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845EE014-DBE2-4DC7-97C5-B8D7E5FB219D}" xr6:coauthVersionLast="47" xr6:coauthVersionMax="47" xr10:uidLastSave="{00000000-0000-0000-0000-000000000000}"/>
  <bookViews>
    <workbookView xWindow="-120" yWindow="-120" windowWidth="24240" windowHeight="13020" firstSheet="1" activeTab="4" xr2:uid="{A574D9D5-0A4D-4A07-9CBC-6C6A14EEE5E1}"/>
  </bookViews>
  <sheets>
    <sheet name="marketing_campaign_data_messy" sheetId="1" r:id="rId1"/>
    <sheet name="marketing_campaign_data_mes (2)" sheetId="2" r:id="rId2"/>
    <sheet name="marketing_campaign_data_mes (3)" sheetId="3" r:id="rId3"/>
    <sheet name="Pivot_table" sheetId="5" r:id="rId4"/>
    <sheet name="Dashboard" sheetId="6" r:id="rId5"/>
  </sheets>
  <definedNames>
    <definedName name="_xlnm._FilterDatabase" localSheetId="1" hidden="1">'marketing_campaign_data_mes (2)'!$A$1:$K$2001</definedName>
    <definedName name="_xlnm._FilterDatabase" localSheetId="2" hidden="1">'marketing_campaign_data_mes (3)'!$A$1:$J$2001</definedName>
    <definedName name="set">'marketing_campaign_data_mes (3)'!$A$1:$R$2001</definedName>
    <definedName name="Slicer_Active">#N/A</definedName>
    <definedName name="Slicer_Campaign_Type">#N/A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2" i="3" l="1"/>
  <c r="U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U1373" i="3"/>
  <c r="U1374" i="3"/>
  <c r="U1375" i="3"/>
  <c r="U1376" i="3"/>
  <c r="U1377" i="3"/>
  <c r="U1378" i="3"/>
  <c r="U1379" i="3"/>
  <c r="U1380" i="3"/>
  <c r="U1381" i="3"/>
  <c r="U1382" i="3"/>
  <c r="U1383" i="3"/>
  <c r="U1384" i="3"/>
  <c r="U1385" i="3"/>
  <c r="U1386" i="3"/>
  <c r="U1387" i="3"/>
  <c r="U1388" i="3"/>
  <c r="U1389" i="3"/>
  <c r="U1390" i="3"/>
  <c r="U1391" i="3"/>
  <c r="U1392" i="3"/>
  <c r="U1393" i="3"/>
  <c r="U1394" i="3"/>
  <c r="U1395" i="3"/>
  <c r="U1396" i="3"/>
  <c r="U1397" i="3"/>
  <c r="U1398" i="3"/>
  <c r="U1399" i="3"/>
  <c r="U1400" i="3"/>
  <c r="U1401" i="3"/>
  <c r="U1402" i="3"/>
  <c r="U1403" i="3"/>
  <c r="U1404" i="3"/>
  <c r="U1405" i="3"/>
  <c r="U1406" i="3"/>
  <c r="U1407" i="3"/>
  <c r="U1408" i="3"/>
  <c r="U1409" i="3"/>
  <c r="U1410" i="3"/>
  <c r="U1411" i="3"/>
  <c r="U1412" i="3"/>
  <c r="U1413" i="3"/>
  <c r="U1414" i="3"/>
  <c r="U1415" i="3"/>
  <c r="U1416" i="3"/>
  <c r="U1417" i="3"/>
  <c r="U1418" i="3"/>
  <c r="U1419" i="3"/>
  <c r="U1420" i="3"/>
  <c r="U1421" i="3"/>
  <c r="U1422" i="3"/>
  <c r="U1423" i="3"/>
  <c r="U1424" i="3"/>
  <c r="U1425" i="3"/>
  <c r="U1426" i="3"/>
  <c r="U1427" i="3"/>
  <c r="U1428" i="3"/>
  <c r="U1429" i="3"/>
  <c r="U1430" i="3"/>
  <c r="U1431" i="3"/>
  <c r="U1432" i="3"/>
  <c r="U1433" i="3"/>
  <c r="U1434" i="3"/>
  <c r="U1435" i="3"/>
  <c r="U1436" i="3"/>
  <c r="U1437" i="3"/>
  <c r="U1438" i="3"/>
  <c r="U1439" i="3"/>
  <c r="U1440" i="3"/>
  <c r="U1441" i="3"/>
  <c r="U1442" i="3"/>
  <c r="U1443" i="3"/>
  <c r="U1444" i="3"/>
  <c r="U1445" i="3"/>
  <c r="U1446" i="3"/>
  <c r="U1447" i="3"/>
  <c r="U1448" i="3"/>
  <c r="U1449" i="3"/>
  <c r="U1450" i="3"/>
  <c r="U1451" i="3"/>
  <c r="U1452" i="3"/>
  <c r="U1453" i="3"/>
  <c r="U1454" i="3"/>
  <c r="U1455" i="3"/>
  <c r="U1456" i="3"/>
  <c r="U1457" i="3"/>
  <c r="U1458" i="3"/>
  <c r="U1459" i="3"/>
  <c r="U1460" i="3"/>
  <c r="U1461" i="3"/>
  <c r="U1462" i="3"/>
  <c r="U1463" i="3"/>
  <c r="U1464" i="3"/>
  <c r="U1465" i="3"/>
  <c r="U1466" i="3"/>
  <c r="U1467" i="3"/>
  <c r="U1468" i="3"/>
  <c r="U1469" i="3"/>
  <c r="U1470" i="3"/>
  <c r="U1471" i="3"/>
  <c r="U1472" i="3"/>
  <c r="U1473" i="3"/>
  <c r="U1474" i="3"/>
  <c r="U1475" i="3"/>
  <c r="U1476" i="3"/>
  <c r="U1477" i="3"/>
  <c r="U1478" i="3"/>
  <c r="U1479" i="3"/>
  <c r="U1480" i="3"/>
  <c r="U1481" i="3"/>
  <c r="U1482" i="3"/>
  <c r="U1483" i="3"/>
  <c r="U1484" i="3"/>
  <c r="U1485" i="3"/>
  <c r="U1486" i="3"/>
  <c r="U1487" i="3"/>
  <c r="U1488" i="3"/>
  <c r="U1489" i="3"/>
  <c r="U1490" i="3"/>
  <c r="U1491" i="3"/>
  <c r="U1492" i="3"/>
  <c r="U1493" i="3"/>
  <c r="U1494" i="3"/>
  <c r="U1495" i="3"/>
  <c r="U1496" i="3"/>
  <c r="U1497" i="3"/>
  <c r="U1498" i="3"/>
  <c r="U1499" i="3"/>
  <c r="U1500" i="3"/>
  <c r="U1501" i="3"/>
  <c r="U1502" i="3"/>
  <c r="U1503" i="3"/>
  <c r="U1504" i="3"/>
  <c r="U1505" i="3"/>
  <c r="U1506" i="3"/>
  <c r="U1507" i="3"/>
  <c r="U1508" i="3"/>
  <c r="U1509" i="3"/>
  <c r="U1510" i="3"/>
  <c r="U1511" i="3"/>
  <c r="U1512" i="3"/>
  <c r="U1513" i="3"/>
  <c r="U1514" i="3"/>
  <c r="U1515" i="3"/>
  <c r="U1516" i="3"/>
  <c r="U1517" i="3"/>
  <c r="U1518" i="3"/>
  <c r="U1519" i="3"/>
  <c r="U1520" i="3"/>
  <c r="U1521" i="3"/>
  <c r="U1522" i="3"/>
  <c r="U1523" i="3"/>
  <c r="U1524" i="3"/>
  <c r="U1525" i="3"/>
  <c r="U1526" i="3"/>
  <c r="U1527" i="3"/>
  <c r="U1528" i="3"/>
  <c r="U1529" i="3"/>
  <c r="U1530" i="3"/>
  <c r="U1531" i="3"/>
  <c r="U1532" i="3"/>
  <c r="U1533" i="3"/>
  <c r="U1534" i="3"/>
  <c r="U1535" i="3"/>
  <c r="U1536" i="3"/>
  <c r="U1537" i="3"/>
  <c r="U1538" i="3"/>
  <c r="U1539" i="3"/>
  <c r="U1540" i="3"/>
  <c r="U1541" i="3"/>
  <c r="U1542" i="3"/>
  <c r="U1543" i="3"/>
  <c r="U1544" i="3"/>
  <c r="U1545" i="3"/>
  <c r="U1546" i="3"/>
  <c r="U1547" i="3"/>
  <c r="U1548" i="3"/>
  <c r="U1549" i="3"/>
  <c r="U1550" i="3"/>
  <c r="U1551" i="3"/>
  <c r="U1552" i="3"/>
  <c r="U1553" i="3"/>
  <c r="U1554" i="3"/>
  <c r="U1555" i="3"/>
  <c r="U1556" i="3"/>
  <c r="U1557" i="3"/>
  <c r="U1558" i="3"/>
  <c r="U1559" i="3"/>
  <c r="U1560" i="3"/>
  <c r="U1561" i="3"/>
  <c r="U1562" i="3"/>
  <c r="U1563" i="3"/>
  <c r="U1564" i="3"/>
  <c r="U1565" i="3"/>
  <c r="U1566" i="3"/>
  <c r="U1567" i="3"/>
  <c r="U1568" i="3"/>
  <c r="U1569" i="3"/>
  <c r="U1570" i="3"/>
  <c r="U1571" i="3"/>
  <c r="U1572" i="3"/>
  <c r="U1573" i="3"/>
  <c r="U1574" i="3"/>
  <c r="U1575" i="3"/>
  <c r="U1576" i="3"/>
  <c r="U1577" i="3"/>
  <c r="U1578" i="3"/>
  <c r="U1579" i="3"/>
  <c r="U1580" i="3"/>
  <c r="U1581" i="3"/>
  <c r="U1582" i="3"/>
  <c r="U1583" i="3"/>
  <c r="U1584" i="3"/>
  <c r="U1585" i="3"/>
  <c r="U1586" i="3"/>
  <c r="U1587" i="3"/>
  <c r="U1588" i="3"/>
  <c r="U1589" i="3"/>
  <c r="U1590" i="3"/>
  <c r="U1591" i="3"/>
  <c r="U1592" i="3"/>
  <c r="U1593" i="3"/>
  <c r="U1594" i="3"/>
  <c r="U1595" i="3"/>
  <c r="U1596" i="3"/>
  <c r="U1597" i="3"/>
  <c r="U1598" i="3"/>
  <c r="U1599" i="3"/>
  <c r="U1600" i="3"/>
  <c r="U1601" i="3"/>
  <c r="U1602" i="3"/>
  <c r="U1603" i="3"/>
  <c r="U1604" i="3"/>
  <c r="U1605" i="3"/>
  <c r="U1606" i="3"/>
  <c r="U1607" i="3"/>
  <c r="U1608" i="3"/>
  <c r="U1609" i="3"/>
  <c r="U1610" i="3"/>
  <c r="U1611" i="3"/>
  <c r="U1612" i="3"/>
  <c r="U1613" i="3"/>
  <c r="U1614" i="3"/>
  <c r="U1615" i="3"/>
  <c r="U1616" i="3"/>
  <c r="U1617" i="3"/>
  <c r="U1618" i="3"/>
  <c r="U1619" i="3"/>
  <c r="U1620" i="3"/>
  <c r="U1621" i="3"/>
  <c r="U1622" i="3"/>
  <c r="U1623" i="3"/>
  <c r="U1624" i="3"/>
  <c r="U1625" i="3"/>
  <c r="U1626" i="3"/>
  <c r="U1627" i="3"/>
  <c r="U1628" i="3"/>
  <c r="U1629" i="3"/>
  <c r="U1630" i="3"/>
  <c r="U1631" i="3"/>
  <c r="U1632" i="3"/>
  <c r="U1633" i="3"/>
  <c r="U1634" i="3"/>
  <c r="U1635" i="3"/>
  <c r="U1636" i="3"/>
  <c r="U1637" i="3"/>
  <c r="U1638" i="3"/>
  <c r="U1639" i="3"/>
  <c r="U1640" i="3"/>
  <c r="U1641" i="3"/>
  <c r="U1642" i="3"/>
  <c r="U1643" i="3"/>
  <c r="U1644" i="3"/>
  <c r="U1645" i="3"/>
  <c r="U1646" i="3"/>
  <c r="U1647" i="3"/>
  <c r="U1648" i="3"/>
  <c r="U1649" i="3"/>
  <c r="U1650" i="3"/>
  <c r="U1651" i="3"/>
  <c r="U1652" i="3"/>
  <c r="U1653" i="3"/>
  <c r="U1654" i="3"/>
  <c r="U1655" i="3"/>
  <c r="U1656" i="3"/>
  <c r="U1657" i="3"/>
  <c r="U1658" i="3"/>
  <c r="U1659" i="3"/>
  <c r="U1660" i="3"/>
  <c r="U1661" i="3"/>
  <c r="U1662" i="3"/>
  <c r="U1663" i="3"/>
  <c r="U1664" i="3"/>
  <c r="U1665" i="3"/>
  <c r="U1666" i="3"/>
  <c r="U1667" i="3"/>
  <c r="U1668" i="3"/>
  <c r="U1669" i="3"/>
  <c r="U1670" i="3"/>
  <c r="U1671" i="3"/>
  <c r="U1672" i="3"/>
  <c r="U1673" i="3"/>
  <c r="U1674" i="3"/>
  <c r="U1675" i="3"/>
  <c r="U1676" i="3"/>
  <c r="U1677" i="3"/>
  <c r="U1678" i="3"/>
  <c r="U1679" i="3"/>
  <c r="U1680" i="3"/>
  <c r="U1681" i="3"/>
  <c r="U1682" i="3"/>
  <c r="U1683" i="3"/>
  <c r="U1684" i="3"/>
  <c r="U1685" i="3"/>
  <c r="U1686" i="3"/>
  <c r="U1687" i="3"/>
  <c r="U1688" i="3"/>
  <c r="U1689" i="3"/>
  <c r="U1690" i="3"/>
  <c r="U1691" i="3"/>
  <c r="U1692" i="3"/>
  <c r="U1693" i="3"/>
  <c r="U1694" i="3"/>
  <c r="U1695" i="3"/>
  <c r="U1696" i="3"/>
  <c r="U1697" i="3"/>
  <c r="U1698" i="3"/>
  <c r="U1699" i="3"/>
  <c r="U1700" i="3"/>
  <c r="U1701" i="3"/>
  <c r="U1702" i="3"/>
  <c r="U1703" i="3"/>
  <c r="U1704" i="3"/>
  <c r="U1705" i="3"/>
  <c r="U1706" i="3"/>
  <c r="U1707" i="3"/>
  <c r="U1708" i="3"/>
  <c r="U1709" i="3"/>
  <c r="U1710" i="3"/>
  <c r="U1711" i="3"/>
  <c r="U1712" i="3"/>
  <c r="U1713" i="3"/>
  <c r="U1714" i="3"/>
  <c r="U1715" i="3"/>
  <c r="U1716" i="3"/>
  <c r="U1717" i="3"/>
  <c r="U1718" i="3"/>
  <c r="U1719" i="3"/>
  <c r="U1720" i="3"/>
  <c r="U1721" i="3"/>
  <c r="U1722" i="3"/>
  <c r="U1723" i="3"/>
  <c r="U1724" i="3"/>
  <c r="U1725" i="3"/>
  <c r="U1726" i="3"/>
  <c r="U1727" i="3"/>
  <c r="U1728" i="3"/>
  <c r="U1729" i="3"/>
  <c r="U1730" i="3"/>
  <c r="U1731" i="3"/>
  <c r="U1732" i="3"/>
  <c r="U1733" i="3"/>
  <c r="U1734" i="3"/>
  <c r="U1735" i="3"/>
  <c r="U1736" i="3"/>
  <c r="U1737" i="3"/>
  <c r="U1738" i="3"/>
  <c r="U1739" i="3"/>
  <c r="U1740" i="3"/>
  <c r="U1741" i="3"/>
  <c r="U1742" i="3"/>
  <c r="U1743" i="3"/>
  <c r="U1744" i="3"/>
  <c r="U1745" i="3"/>
  <c r="U1746" i="3"/>
  <c r="U1747" i="3"/>
  <c r="U1748" i="3"/>
  <c r="U1749" i="3"/>
  <c r="U1750" i="3"/>
  <c r="U1751" i="3"/>
  <c r="U1752" i="3"/>
  <c r="U1753" i="3"/>
  <c r="U1754" i="3"/>
  <c r="U1755" i="3"/>
  <c r="U1756" i="3"/>
  <c r="U1757" i="3"/>
  <c r="U1758" i="3"/>
  <c r="U1759" i="3"/>
  <c r="U1760" i="3"/>
  <c r="U1761" i="3"/>
  <c r="U1762" i="3"/>
  <c r="U1763" i="3"/>
  <c r="U1764" i="3"/>
  <c r="U1765" i="3"/>
  <c r="U1766" i="3"/>
  <c r="U1767" i="3"/>
  <c r="U1768" i="3"/>
  <c r="U1769" i="3"/>
  <c r="U1770" i="3"/>
  <c r="U1771" i="3"/>
  <c r="U1772" i="3"/>
  <c r="U1773" i="3"/>
  <c r="U1774" i="3"/>
  <c r="U1775" i="3"/>
  <c r="U1776" i="3"/>
  <c r="U1777" i="3"/>
  <c r="U1778" i="3"/>
  <c r="U1779" i="3"/>
  <c r="U1780" i="3"/>
  <c r="U1781" i="3"/>
  <c r="U1782" i="3"/>
  <c r="U1783" i="3"/>
  <c r="U1784" i="3"/>
  <c r="U1785" i="3"/>
  <c r="U1786" i="3"/>
  <c r="U1787" i="3"/>
  <c r="U1788" i="3"/>
  <c r="U1789" i="3"/>
  <c r="U1790" i="3"/>
  <c r="U1791" i="3"/>
  <c r="U1792" i="3"/>
  <c r="U1793" i="3"/>
  <c r="U1794" i="3"/>
  <c r="U1795" i="3"/>
  <c r="U1796" i="3"/>
  <c r="U1797" i="3"/>
  <c r="U1798" i="3"/>
  <c r="U1799" i="3"/>
  <c r="U1800" i="3"/>
  <c r="U1801" i="3"/>
  <c r="U1802" i="3"/>
  <c r="U1803" i="3"/>
  <c r="U1804" i="3"/>
  <c r="U1805" i="3"/>
  <c r="U1806" i="3"/>
  <c r="U1807" i="3"/>
  <c r="U1808" i="3"/>
  <c r="U1809" i="3"/>
  <c r="U1810" i="3"/>
  <c r="U1811" i="3"/>
  <c r="U1812" i="3"/>
  <c r="U1813" i="3"/>
  <c r="U1814" i="3"/>
  <c r="U1815" i="3"/>
  <c r="U1816" i="3"/>
  <c r="U1817" i="3"/>
  <c r="U1818" i="3"/>
  <c r="U1819" i="3"/>
  <c r="U1820" i="3"/>
  <c r="U1821" i="3"/>
  <c r="U1822" i="3"/>
  <c r="U1823" i="3"/>
  <c r="U1824" i="3"/>
  <c r="U1825" i="3"/>
  <c r="U1826" i="3"/>
  <c r="U1827" i="3"/>
  <c r="U1828" i="3"/>
  <c r="U1829" i="3"/>
  <c r="U1830" i="3"/>
  <c r="U1831" i="3"/>
  <c r="U1832" i="3"/>
  <c r="U1833" i="3"/>
  <c r="U1834" i="3"/>
  <c r="U1835" i="3"/>
  <c r="U1836" i="3"/>
  <c r="U1837" i="3"/>
  <c r="U1838" i="3"/>
  <c r="U1839" i="3"/>
  <c r="U1840" i="3"/>
  <c r="U1841" i="3"/>
  <c r="U1842" i="3"/>
  <c r="U1843" i="3"/>
  <c r="U1844" i="3"/>
  <c r="U1845" i="3"/>
  <c r="U1846" i="3"/>
  <c r="U1847" i="3"/>
  <c r="U1848" i="3"/>
  <c r="U1849" i="3"/>
  <c r="U1850" i="3"/>
  <c r="U1851" i="3"/>
  <c r="U1852" i="3"/>
  <c r="U1853" i="3"/>
  <c r="U1854" i="3"/>
  <c r="U1855" i="3"/>
  <c r="U1856" i="3"/>
  <c r="U1857" i="3"/>
  <c r="U1858" i="3"/>
  <c r="U1859" i="3"/>
  <c r="U1860" i="3"/>
  <c r="U1861" i="3"/>
  <c r="U1862" i="3"/>
  <c r="U1863" i="3"/>
  <c r="U1864" i="3"/>
  <c r="U1865" i="3"/>
  <c r="U1866" i="3"/>
  <c r="U1867" i="3"/>
  <c r="U1868" i="3"/>
  <c r="U1869" i="3"/>
  <c r="U1870" i="3"/>
  <c r="U1871" i="3"/>
  <c r="U1872" i="3"/>
  <c r="U1873" i="3"/>
  <c r="U1874" i="3"/>
  <c r="U1875" i="3"/>
  <c r="U1876" i="3"/>
  <c r="U1877" i="3"/>
  <c r="U1878" i="3"/>
  <c r="U1879" i="3"/>
  <c r="U1880" i="3"/>
  <c r="U1881" i="3"/>
  <c r="U1882" i="3"/>
  <c r="U1883" i="3"/>
  <c r="U1884" i="3"/>
  <c r="U1885" i="3"/>
  <c r="U1886" i="3"/>
  <c r="U1887" i="3"/>
  <c r="U1888" i="3"/>
  <c r="U1889" i="3"/>
  <c r="U1890" i="3"/>
  <c r="U1891" i="3"/>
  <c r="U1892" i="3"/>
  <c r="U1893" i="3"/>
  <c r="U1894" i="3"/>
  <c r="U1895" i="3"/>
  <c r="U1896" i="3"/>
  <c r="U1897" i="3"/>
  <c r="U1898" i="3"/>
  <c r="U1899" i="3"/>
  <c r="U1900" i="3"/>
  <c r="U1901" i="3"/>
  <c r="U1902" i="3"/>
  <c r="U1903" i="3"/>
  <c r="U1904" i="3"/>
  <c r="U1905" i="3"/>
  <c r="U1906" i="3"/>
  <c r="U1907" i="3"/>
  <c r="U1908" i="3"/>
  <c r="U1909" i="3"/>
  <c r="U1910" i="3"/>
  <c r="U1911" i="3"/>
  <c r="U1912" i="3"/>
  <c r="U1913" i="3"/>
  <c r="U1914" i="3"/>
  <c r="U1915" i="3"/>
  <c r="U1916" i="3"/>
  <c r="U1917" i="3"/>
  <c r="U1918" i="3"/>
  <c r="U1919" i="3"/>
  <c r="U1920" i="3"/>
  <c r="U1921" i="3"/>
  <c r="U1922" i="3"/>
  <c r="U1923" i="3"/>
  <c r="U1924" i="3"/>
  <c r="U1925" i="3"/>
  <c r="U1926" i="3"/>
  <c r="U1927" i="3"/>
  <c r="U1928" i="3"/>
  <c r="U1929" i="3"/>
  <c r="U1930" i="3"/>
  <c r="U1931" i="3"/>
  <c r="U1932" i="3"/>
  <c r="U1933" i="3"/>
  <c r="U1934" i="3"/>
  <c r="U1935" i="3"/>
  <c r="U1936" i="3"/>
  <c r="U1937" i="3"/>
  <c r="U1938" i="3"/>
  <c r="U1939" i="3"/>
  <c r="U1940" i="3"/>
  <c r="U1941" i="3"/>
  <c r="U1942" i="3"/>
  <c r="U1943" i="3"/>
  <c r="U1944" i="3"/>
  <c r="U1945" i="3"/>
  <c r="U1946" i="3"/>
  <c r="U1947" i="3"/>
  <c r="U1948" i="3"/>
  <c r="U1949" i="3"/>
  <c r="U1950" i="3"/>
  <c r="U1951" i="3"/>
  <c r="U1952" i="3"/>
  <c r="U1953" i="3"/>
  <c r="U1954" i="3"/>
  <c r="U1955" i="3"/>
  <c r="U1956" i="3"/>
  <c r="U1957" i="3"/>
  <c r="U1958" i="3"/>
  <c r="U1959" i="3"/>
  <c r="U1960" i="3"/>
  <c r="U1961" i="3"/>
  <c r="U1962" i="3"/>
  <c r="U1963" i="3"/>
  <c r="U1964" i="3"/>
  <c r="U1965" i="3"/>
  <c r="U1966" i="3"/>
  <c r="U1967" i="3"/>
  <c r="U1968" i="3"/>
  <c r="U1969" i="3"/>
  <c r="U1970" i="3"/>
  <c r="U1971" i="3"/>
  <c r="U1972" i="3"/>
  <c r="U1973" i="3"/>
  <c r="U1974" i="3"/>
  <c r="U1975" i="3"/>
  <c r="U1976" i="3"/>
  <c r="U1977" i="3"/>
  <c r="U1978" i="3"/>
  <c r="U1979" i="3"/>
  <c r="U1980" i="3"/>
  <c r="U1981" i="3"/>
  <c r="U1982" i="3"/>
  <c r="U1983" i="3"/>
  <c r="U1984" i="3"/>
  <c r="U1985" i="3"/>
  <c r="U1986" i="3"/>
  <c r="U1987" i="3"/>
  <c r="U1988" i="3"/>
  <c r="U1989" i="3"/>
  <c r="U1990" i="3"/>
  <c r="U1991" i="3"/>
  <c r="U1992" i="3"/>
  <c r="U1993" i="3"/>
  <c r="U1994" i="3"/>
  <c r="U1995" i="3"/>
  <c r="U1996" i="3"/>
  <c r="U1997" i="3"/>
  <c r="U1998" i="3"/>
  <c r="U1999" i="3"/>
  <c r="U2000" i="3"/>
  <c r="U2001"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S1714" i="3"/>
  <c r="S1715" i="3"/>
  <c r="S1716" i="3"/>
  <c r="S1717" i="3"/>
  <c r="S1718" i="3"/>
  <c r="S1719" i="3"/>
  <c r="S1720" i="3"/>
  <c r="S1721" i="3"/>
  <c r="S1722" i="3"/>
  <c r="S1723" i="3"/>
  <c r="S1724" i="3"/>
  <c r="S1725" i="3"/>
  <c r="S1726" i="3"/>
  <c r="S1727" i="3"/>
  <c r="S1728" i="3"/>
  <c r="S1729" i="3"/>
  <c r="S1730" i="3"/>
  <c r="S1731" i="3"/>
  <c r="S1732" i="3"/>
  <c r="S1733" i="3"/>
  <c r="S1734" i="3"/>
  <c r="S1735" i="3"/>
  <c r="S1736" i="3"/>
  <c r="S1737" i="3"/>
  <c r="S1738" i="3"/>
  <c r="S1739" i="3"/>
  <c r="S1740" i="3"/>
  <c r="S1741" i="3"/>
  <c r="S1742" i="3"/>
  <c r="S1743" i="3"/>
  <c r="S1744" i="3"/>
  <c r="S1745" i="3"/>
  <c r="S1746" i="3"/>
  <c r="S1747" i="3"/>
  <c r="S1748" i="3"/>
  <c r="S1749" i="3"/>
  <c r="S1750" i="3"/>
  <c r="S1751" i="3"/>
  <c r="S1752" i="3"/>
  <c r="S1753" i="3"/>
  <c r="S1754" i="3"/>
  <c r="S1755" i="3"/>
  <c r="S1756" i="3"/>
  <c r="S1757"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1782" i="3"/>
  <c r="S1783" i="3"/>
  <c r="S1784" i="3"/>
  <c r="S1785" i="3"/>
  <c r="S1786" i="3"/>
  <c r="S1787" i="3"/>
  <c r="S1788" i="3"/>
  <c r="S1789"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1820" i="3"/>
  <c r="S1821" i="3"/>
  <c r="S1822" i="3"/>
  <c r="S1823" i="3"/>
  <c r="S1824" i="3"/>
  <c r="S1825" i="3"/>
  <c r="S1826" i="3"/>
  <c r="S1827" i="3"/>
  <c r="S1828" i="3"/>
  <c r="S1829" i="3"/>
  <c r="S1830" i="3"/>
  <c r="S1831" i="3"/>
  <c r="S1832" i="3"/>
  <c r="S1833" i="3"/>
  <c r="S1834" i="3"/>
  <c r="S1835"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1861" i="3"/>
  <c r="S1862" i="3"/>
  <c r="S1863" i="3"/>
  <c r="S1864" i="3"/>
  <c r="S1865" i="3"/>
  <c r="S1866" i="3"/>
  <c r="S1867" i="3"/>
  <c r="S1868" i="3"/>
  <c r="S1869" i="3"/>
  <c r="S1870" i="3"/>
  <c r="S1871" i="3"/>
  <c r="S1872" i="3"/>
  <c r="S1873" i="3"/>
  <c r="S1874" i="3"/>
  <c r="S1875" i="3"/>
  <c r="S1876" i="3"/>
  <c r="S1877" i="3"/>
  <c r="S1878" i="3"/>
  <c r="S1879" i="3"/>
  <c r="S1880" i="3"/>
  <c r="S1881" i="3"/>
  <c r="S1882" i="3"/>
  <c r="S1883" i="3"/>
  <c r="S1884" i="3"/>
  <c r="S1885" i="3"/>
  <c r="S1886" i="3"/>
  <c r="S1887" i="3"/>
  <c r="S1888" i="3"/>
  <c r="S1889" i="3"/>
  <c r="S1890" i="3"/>
  <c r="S1891" i="3"/>
  <c r="S1892" i="3"/>
  <c r="S1893" i="3"/>
  <c r="S1894" i="3"/>
  <c r="S1895" i="3"/>
  <c r="S1896" i="3"/>
  <c r="S1897" i="3"/>
  <c r="S1898" i="3"/>
  <c r="S1899" i="3"/>
  <c r="S1900" i="3"/>
  <c r="S1901" i="3"/>
  <c r="S1902" i="3"/>
  <c r="S1903" i="3"/>
  <c r="S1904" i="3"/>
  <c r="S1905" i="3"/>
  <c r="S1906" i="3"/>
  <c r="S1907" i="3"/>
  <c r="S1908" i="3"/>
  <c r="S1909" i="3"/>
  <c r="S1910" i="3"/>
  <c r="S1911" i="3"/>
  <c r="S1912" i="3"/>
  <c r="S1913" i="3"/>
  <c r="S1914" i="3"/>
  <c r="S1915" i="3"/>
  <c r="S1916" i="3"/>
  <c r="S1917" i="3"/>
  <c r="S1918" i="3"/>
  <c r="S1919" i="3"/>
  <c r="S1920" i="3"/>
  <c r="S1921" i="3"/>
  <c r="S1922" i="3"/>
  <c r="S1923" i="3"/>
  <c r="S1924" i="3"/>
  <c r="S1925" i="3"/>
  <c r="S1926" i="3"/>
  <c r="S1927" i="3"/>
  <c r="S1928" i="3"/>
  <c r="S1929" i="3"/>
  <c r="S1930" i="3"/>
  <c r="S1931" i="3"/>
  <c r="S1932" i="3"/>
  <c r="S1933" i="3"/>
  <c r="S1934" i="3"/>
  <c r="S1935" i="3"/>
  <c r="S1936" i="3"/>
  <c r="S1937" i="3"/>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S1965" i="3"/>
  <c r="S1966" i="3"/>
  <c r="S1967" i="3"/>
  <c r="S1968" i="3"/>
  <c r="S1969" i="3"/>
  <c r="S1970" i="3"/>
  <c r="S1971" i="3"/>
  <c r="S1972" i="3"/>
  <c r="S1973" i="3"/>
  <c r="S1974" i="3"/>
  <c r="S1975" i="3"/>
  <c r="S1976"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N2" i="3"/>
  <c r="M2" i="3"/>
  <c r="AA3" i="3"/>
  <c r="AA4" i="3"/>
  <c r="AA5" i="3"/>
  <c r="AA2" i="3"/>
  <c r="Z3" i="3"/>
  <c r="Z4" i="3"/>
  <c r="Z5" i="3"/>
  <c r="Z2" i="3"/>
  <c r="N3" i="3" l="1"/>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L1202" i="3"/>
  <c r="L1203" i="3"/>
  <c r="L1204" i="3"/>
  <c r="L1205" i="3"/>
  <c r="L1206" i="3"/>
  <c r="L1207" i="3"/>
  <c r="L1208" i="3"/>
  <c r="L1209" i="3"/>
  <c r="L1210" i="3"/>
  <c r="L1211" i="3"/>
  <c r="L1212" i="3"/>
  <c r="L1213" i="3"/>
  <c r="L1214" i="3"/>
  <c r="L1215" i="3"/>
  <c r="L1216" i="3"/>
  <c r="L1217" i="3"/>
  <c r="L1218" i="3"/>
  <c r="L1219" i="3"/>
  <c r="L1220" i="3"/>
  <c r="L1221" i="3"/>
  <c r="L1222" i="3"/>
  <c r="L1223" i="3"/>
  <c r="L1224" i="3"/>
  <c r="L1225" i="3"/>
  <c r="L1226" i="3"/>
  <c r="L1227" i="3"/>
  <c r="L1228" i="3"/>
  <c r="L1229" i="3"/>
  <c r="L1230" i="3"/>
  <c r="L1231" i="3"/>
  <c r="L1232" i="3"/>
  <c r="L1233" i="3"/>
  <c r="L1234" i="3"/>
  <c r="L1235" i="3"/>
  <c r="L1236" i="3"/>
  <c r="L1237" i="3"/>
  <c r="L1238" i="3"/>
  <c r="L1239" i="3"/>
  <c r="L1240" i="3"/>
  <c r="L1241" i="3"/>
  <c r="L1242" i="3"/>
  <c r="L1243" i="3"/>
  <c r="L1244" i="3"/>
  <c r="L1245" i="3"/>
  <c r="L1246" i="3"/>
  <c r="L1247" i="3"/>
  <c r="L1248" i="3"/>
  <c r="L1249" i="3"/>
  <c r="L1250" i="3"/>
  <c r="L1251" i="3"/>
  <c r="L1252" i="3"/>
  <c r="L1253" i="3"/>
  <c r="L1254" i="3"/>
  <c r="L1255" i="3"/>
  <c r="L1256" i="3"/>
  <c r="L1257" i="3"/>
  <c r="L1258" i="3"/>
  <c r="L1259" i="3"/>
  <c r="L1260" i="3"/>
  <c r="L1261" i="3"/>
  <c r="L1262" i="3"/>
  <c r="L1263" i="3"/>
  <c r="L1264" i="3"/>
  <c r="L1265" i="3"/>
  <c r="L1266" i="3"/>
  <c r="L1267" i="3"/>
  <c r="L1268" i="3"/>
  <c r="L1269" i="3"/>
  <c r="L1270" i="3"/>
  <c r="L1271" i="3"/>
  <c r="L1272" i="3"/>
  <c r="L1273" i="3"/>
  <c r="L1274" i="3"/>
  <c r="L1275" i="3"/>
  <c r="L1276" i="3"/>
  <c r="L1277" i="3"/>
  <c r="L1278" i="3"/>
  <c r="L1279" i="3"/>
  <c r="L1280" i="3"/>
  <c r="L1281" i="3"/>
  <c r="L1282" i="3"/>
  <c r="L1283" i="3"/>
  <c r="L1284" i="3"/>
  <c r="L1285" i="3"/>
  <c r="L1286" i="3"/>
  <c r="L1287" i="3"/>
  <c r="L1288" i="3"/>
  <c r="L1289" i="3"/>
  <c r="L1290" i="3"/>
  <c r="L1291" i="3"/>
  <c r="L1292" i="3"/>
  <c r="L1293" i="3"/>
  <c r="L1294" i="3"/>
  <c r="L1295" i="3"/>
  <c r="L1296" i="3"/>
  <c r="L1297" i="3"/>
  <c r="L1298" i="3"/>
  <c r="L1299" i="3"/>
  <c r="L1300" i="3"/>
  <c r="L1301" i="3"/>
  <c r="L1302" i="3"/>
  <c r="L1303" i="3"/>
  <c r="L1304" i="3"/>
  <c r="L1305" i="3"/>
  <c r="L1306" i="3"/>
  <c r="L1307" i="3"/>
  <c r="L1308" i="3"/>
  <c r="L1309" i="3"/>
  <c r="L1310" i="3"/>
  <c r="L1311" i="3"/>
  <c r="L1312" i="3"/>
  <c r="L1313" i="3"/>
  <c r="L1314" i="3"/>
  <c r="L1315" i="3"/>
  <c r="L1316" i="3"/>
  <c r="L1317" i="3"/>
  <c r="L1318" i="3"/>
  <c r="L1319" i="3"/>
  <c r="L1320" i="3"/>
  <c r="L1321" i="3"/>
  <c r="L1322" i="3"/>
  <c r="L1323" i="3"/>
  <c r="L1324" i="3"/>
  <c r="L1325" i="3"/>
  <c r="L1326" i="3"/>
  <c r="L1327" i="3"/>
  <c r="L1328" i="3"/>
  <c r="L1329" i="3"/>
  <c r="L1330" i="3"/>
  <c r="L1331" i="3"/>
  <c r="L1332" i="3"/>
  <c r="L1333" i="3"/>
  <c r="L1334" i="3"/>
  <c r="L1335" i="3"/>
  <c r="L1336" i="3"/>
  <c r="L1337" i="3"/>
  <c r="L1338" i="3"/>
  <c r="L1339" i="3"/>
  <c r="L1340" i="3"/>
  <c r="L1341" i="3"/>
  <c r="L1342" i="3"/>
  <c r="L1343" i="3"/>
  <c r="L1344" i="3"/>
  <c r="L1345" i="3"/>
  <c r="L1346" i="3"/>
  <c r="L1347" i="3"/>
  <c r="L1348" i="3"/>
  <c r="L1349" i="3"/>
  <c r="L1350" i="3"/>
  <c r="L1351" i="3"/>
  <c r="L1352" i="3"/>
  <c r="L1353" i="3"/>
  <c r="L1354" i="3"/>
  <c r="L1355" i="3"/>
  <c r="L1356" i="3"/>
  <c r="L1357" i="3"/>
  <c r="L1358" i="3"/>
  <c r="L1359" i="3"/>
  <c r="L1360" i="3"/>
  <c r="L1361" i="3"/>
  <c r="L1362" i="3"/>
  <c r="L1363" i="3"/>
  <c r="L1364" i="3"/>
  <c r="L1365" i="3"/>
  <c r="L1366" i="3"/>
  <c r="L1367" i="3"/>
  <c r="L1368" i="3"/>
  <c r="L1369" i="3"/>
  <c r="L1370" i="3"/>
  <c r="L1371" i="3"/>
  <c r="L1372" i="3"/>
  <c r="L1373" i="3"/>
  <c r="L1374" i="3"/>
  <c r="L1375" i="3"/>
  <c r="L1376" i="3"/>
  <c r="L1377" i="3"/>
  <c r="L1378" i="3"/>
  <c r="L1379" i="3"/>
  <c r="L1380" i="3"/>
  <c r="L1381" i="3"/>
  <c r="L1382" i="3"/>
  <c r="L1383" i="3"/>
  <c r="L1384" i="3"/>
  <c r="L1385" i="3"/>
  <c r="L1386" i="3"/>
  <c r="L1387" i="3"/>
  <c r="L1388" i="3"/>
  <c r="L1389" i="3"/>
  <c r="L1390" i="3"/>
  <c r="L1391" i="3"/>
  <c r="L1392" i="3"/>
  <c r="L1393" i="3"/>
  <c r="L1394" i="3"/>
  <c r="L1395" i="3"/>
  <c r="L1396" i="3"/>
  <c r="L1397" i="3"/>
  <c r="L1398" i="3"/>
  <c r="L1399" i="3"/>
  <c r="L1400" i="3"/>
  <c r="L1401" i="3"/>
  <c r="L1402" i="3"/>
  <c r="L1403" i="3"/>
  <c r="L1404" i="3"/>
  <c r="L1405" i="3"/>
  <c r="L1406" i="3"/>
  <c r="L1407" i="3"/>
  <c r="L1408" i="3"/>
  <c r="L1409" i="3"/>
  <c r="L1410" i="3"/>
  <c r="L1411" i="3"/>
  <c r="L1412" i="3"/>
  <c r="L1413" i="3"/>
  <c r="L1414" i="3"/>
  <c r="L1415" i="3"/>
  <c r="L1416" i="3"/>
  <c r="L1417" i="3"/>
  <c r="L1418" i="3"/>
  <c r="L1419" i="3"/>
  <c r="L1420" i="3"/>
  <c r="L1421" i="3"/>
  <c r="L1422" i="3"/>
  <c r="L1423" i="3"/>
  <c r="L1424" i="3"/>
  <c r="L1425" i="3"/>
  <c r="L1426" i="3"/>
  <c r="L1427" i="3"/>
  <c r="L1428" i="3"/>
  <c r="L1429" i="3"/>
  <c r="L1430" i="3"/>
  <c r="L1431" i="3"/>
  <c r="L1432" i="3"/>
  <c r="L1433" i="3"/>
  <c r="L1434" i="3"/>
  <c r="L1435" i="3"/>
  <c r="L1436" i="3"/>
  <c r="L1437" i="3"/>
  <c r="L1438" i="3"/>
  <c r="L1439" i="3"/>
  <c r="L1440" i="3"/>
  <c r="L1441" i="3"/>
  <c r="L1442" i="3"/>
  <c r="L1443" i="3"/>
  <c r="L1444" i="3"/>
  <c r="L1445" i="3"/>
  <c r="L1446" i="3"/>
  <c r="L1447" i="3"/>
  <c r="L1448" i="3"/>
  <c r="L1449" i="3"/>
  <c r="L1450" i="3"/>
  <c r="L1451" i="3"/>
  <c r="L1452" i="3"/>
  <c r="L1453" i="3"/>
  <c r="L1454" i="3"/>
  <c r="L1455" i="3"/>
  <c r="L1456" i="3"/>
  <c r="L1457" i="3"/>
  <c r="L1458" i="3"/>
  <c r="L1459" i="3"/>
  <c r="L1460" i="3"/>
  <c r="L1461" i="3"/>
  <c r="L1462" i="3"/>
  <c r="L1463" i="3"/>
  <c r="L1464" i="3"/>
  <c r="L1465" i="3"/>
  <c r="L1466" i="3"/>
  <c r="L1467" i="3"/>
  <c r="L1468" i="3"/>
  <c r="L1469" i="3"/>
  <c r="L1470" i="3"/>
  <c r="L1471" i="3"/>
  <c r="L1472" i="3"/>
  <c r="L1473" i="3"/>
  <c r="L1474" i="3"/>
  <c r="L1475" i="3"/>
  <c r="L1476" i="3"/>
  <c r="L1477" i="3"/>
  <c r="L1478" i="3"/>
  <c r="L1479" i="3"/>
  <c r="L1480" i="3"/>
  <c r="L1481" i="3"/>
  <c r="L1482" i="3"/>
  <c r="L1483" i="3"/>
  <c r="L1484" i="3"/>
  <c r="L1485" i="3"/>
  <c r="L1486" i="3"/>
  <c r="L1487" i="3"/>
  <c r="L1488" i="3"/>
  <c r="L1489" i="3"/>
  <c r="L1490" i="3"/>
  <c r="L1491" i="3"/>
  <c r="L1492" i="3"/>
  <c r="L1493" i="3"/>
  <c r="L1494" i="3"/>
  <c r="L1495" i="3"/>
  <c r="L1496" i="3"/>
  <c r="L1497" i="3"/>
  <c r="L1498" i="3"/>
  <c r="L1499" i="3"/>
  <c r="L1500" i="3"/>
  <c r="L1501" i="3"/>
  <c r="L1502" i="3"/>
  <c r="L1503" i="3"/>
  <c r="L1504" i="3"/>
  <c r="L1505" i="3"/>
  <c r="L1506" i="3"/>
  <c r="L1507" i="3"/>
  <c r="L1508" i="3"/>
  <c r="L1509" i="3"/>
  <c r="L1510" i="3"/>
  <c r="L1511" i="3"/>
  <c r="L1512" i="3"/>
  <c r="L1513" i="3"/>
  <c r="L1514" i="3"/>
  <c r="L1515" i="3"/>
  <c r="L1516" i="3"/>
  <c r="L1517" i="3"/>
  <c r="L1518" i="3"/>
  <c r="L1519" i="3"/>
  <c r="L1520" i="3"/>
  <c r="L1521" i="3"/>
  <c r="L1522" i="3"/>
  <c r="L1523" i="3"/>
  <c r="L1524" i="3"/>
  <c r="L1525" i="3"/>
  <c r="L1526" i="3"/>
  <c r="L1527" i="3"/>
  <c r="L1528" i="3"/>
  <c r="L1529" i="3"/>
  <c r="L1530" i="3"/>
  <c r="L1531" i="3"/>
  <c r="L1532" i="3"/>
  <c r="L1533" i="3"/>
  <c r="L1534" i="3"/>
  <c r="L1535" i="3"/>
  <c r="L1536" i="3"/>
  <c r="L1537" i="3"/>
  <c r="L1538" i="3"/>
  <c r="L1539" i="3"/>
  <c r="L1540" i="3"/>
  <c r="L1541" i="3"/>
  <c r="L1542" i="3"/>
  <c r="L1543" i="3"/>
  <c r="L1544" i="3"/>
  <c r="L1545" i="3"/>
  <c r="L1546" i="3"/>
  <c r="L1547" i="3"/>
  <c r="L1548" i="3"/>
  <c r="L1549" i="3"/>
  <c r="L1550" i="3"/>
  <c r="L1551" i="3"/>
  <c r="L1552" i="3"/>
  <c r="L1553" i="3"/>
  <c r="L1554" i="3"/>
  <c r="L1555" i="3"/>
  <c r="L1556" i="3"/>
  <c r="L1557" i="3"/>
  <c r="L1558" i="3"/>
  <c r="L1559" i="3"/>
  <c r="L1560" i="3"/>
  <c r="L1561" i="3"/>
  <c r="L1562" i="3"/>
  <c r="L1563" i="3"/>
  <c r="L1564" i="3"/>
  <c r="L1565" i="3"/>
  <c r="L1566" i="3"/>
  <c r="L1567" i="3"/>
  <c r="L1568" i="3"/>
  <c r="L1569" i="3"/>
  <c r="L1570" i="3"/>
  <c r="L1571" i="3"/>
  <c r="L1572" i="3"/>
  <c r="L1573" i="3"/>
  <c r="L1574" i="3"/>
  <c r="L1575" i="3"/>
  <c r="L1576" i="3"/>
  <c r="L1577" i="3"/>
  <c r="L1578" i="3"/>
  <c r="L1579" i="3"/>
  <c r="L1580" i="3"/>
  <c r="L1581" i="3"/>
  <c r="L1582" i="3"/>
  <c r="L1583" i="3"/>
  <c r="L1584" i="3"/>
  <c r="L1585" i="3"/>
  <c r="L1586" i="3"/>
  <c r="L1587" i="3"/>
  <c r="L1588" i="3"/>
  <c r="L1589" i="3"/>
  <c r="L1590" i="3"/>
  <c r="L1591" i="3"/>
  <c r="L1592" i="3"/>
  <c r="L1593" i="3"/>
  <c r="L1594" i="3"/>
  <c r="L1595" i="3"/>
  <c r="L1596" i="3"/>
  <c r="L1597" i="3"/>
  <c r="L1598" i="3"/>
  <c r="L1599" i="3"/>
  <c r="L1600" i="3"/>
  <c r="L1601" i="3"/>
  <c r="L1602" i="3"/>
  <c r="L1603" i="3"/>
  <c r="L1604" i="3"/>
  <c r="L1605" i="3"/>
  <c r="L1606" i="3"/>
  <c r="L1607" i="3"/>
  <c r="L1608" i="3"/>
  <c r="L1609" i="3"/>
  <c r="L1610" i="3"/>
  <c r="L1611" i="3"/>
  <c r="L1612" i="3"/>
  <c r="L1613" i="3"/>
  <c r="L1614" i="3"/>
  <c r="L1615" i="3"/>
  <c r="L1616" i="3"/>
  <c r="L1617" i="3"/>
  <c r="L1618" i="3"/>
  <c r="L1619" i="3"/>
  <c r="L1620" i="3"/>
  <c r="L1621" i="3"/>
  <c r="L1622" i="3"/>
  <c r="L1623" i="3"/>
  <c r="L1624" i="3"/>
  <c r="L1625" i="3"/>
  <c r="L1626" i="3"/>
  <c r="L1627" i="3"/>
  <c r="L1628" i="3"/>
  <c r="L1629" i="3"/>
  <c r="L1630" i="3"/>
  <c r="L1631" i="3"/>
  <c r="L1632" i="3"/>
  <c r="L1633" i="3"/>
  <c r="L1634" i="3"/>
  <c r="L1635" i="3"/>
  <c r="L1636" i="3"/>
  <c r="L1637" i="3"/>
  <c r="L1638" i="3"/>
  <c r="L1639" i="3"/>
  <c r="L1640" i="3"/>
  <c r="L1641" i="3"/>
  <c r="L1642" i="3"/>
  <c r="L1643" i="3"/>
  <c r="L1644" i="3"/>
  <c r="L1645" i="3"/>
  <c r="L1646" i="3"/>
  <c r="L1647" i="3"/>
  <c r="L1648" i="3"/>
  <c r="L1649" i="3"/>
  <c r="L1650" i="3"/>
  <c r="L1651" i="3"/>
  <c r="L1652" i="3"/>
  <c r="L1653" i="3"/>
  <c r="L1654" i="3"/>
  <c r="L1655" i="3"/>
  <c r="L1656" i="3"/>
  <c r="L1657" i="3"/>
  <c r="L1658" i="3"/>
  <c r="L1659" i="3"/>
  <c r="L1660" i="3"/>
  <c r="L1661" i="3"/>
  <c r="L1662" i="3"/>
  <c r="L1663" i="3"/>
  <c r="L1664" i="3"/>
  <c r="L1665" i="3"/>
  <c r="L1666" i="3"/>
  <c r="L1667" i="3"/>
  <c r="L1668" i="3"/>
  <c r="L1669" i="3"/>
  <c r="L1670" i="3"/>
  <c r="L1671" i="3"/>
  <c r="L1672" i="3"/>
  <c r="L1673" i="3"/>
  <c r="L1674" i="3"/>
  <c r="L1675" i="3"/>
  <c r="L1676" i="3"/>
  <c r="L1677" i="3"/>
  <c r="L1678" i="3"/>
  <c r="L1679" i="3"/>
  <c r="L1680" i="3"/>
  <c r="L1681" i="3"/>
  <c r="L1682" i="3"/>
  <c r="L1683" i="3"/>
  <c r="L1684" i="3"/>
  <c r="L1685" i="3"/>
  <c r="L1686" i="3"/>
  <c r="L1687" i="3"/>
  <c r="L1688" i="3"/>
  <c r="L1689" i="3"/>
  <c r="L1690" i="3"/>
  <c r="L1691" i="3"/>
  <c r="L1692" i="3"/>
  <c r="L1693" i="3"/>
  <c r="L1694" i="3"/>
  <c r="L1695" i="3"/>
  <c r="L1696" i="3"/>
  <c r="L1697" i="3"/>
  <c r="L1698" i="3"/>
  <c r="L1699" i="3"/>
  <c r="L1700" i="3"/>
  <c r="L1701" i="3"/>
  <c r="L1702" i="3"/>
  <c r="L1703" i="3"/>
  <c r="L1704" i="3"/>
  <c r="L1705" i="3"/>
  <c r="L1706" i="3"/>
  <c r="L1707" i="3"/>
  <c r="L1708" i="3"/>
  <c r="L1709" i="3"/>
  <c r="L1710" i="3"/>
  <c r="L1711" i="3"/>
  <c r="L1712" i="3"/>
  <c r="L1713" i="3"/>
  <c r="L1714" i="3"/>
  <c r="L1715" i="3"/>
  <c r="L1716" i="3"/>
  <c r="L1717" i="3"/>
  <c r="L1718" i="3"/>
  <c r="L1719" i="3"/>
  <c r="L1720" i="3"/>
  <c r="L1721" i="3"/>
  <c r="L1722" i="3"/>
  <c r="L1723" i="3"/>
  <c r="L1724" i="3"/>
  <c r="L1725" i="3"/>
  <c r="L1726" i="3"/>
  <c r="L1727" i="3"/>
  <c r="L1728" i="3"/>
  <c r="L1729" i="3"/>
  <c r="L1730" i="3"/>
  <c r="L1731" i="3"/>
  <c r="L1732" i="3"/>
  <c r="L1733" i="3"/>
  <c r="L1734" i="3"/>
  <c r="L1735" i="3"/>
  <c r="L1736" i="3"/>
  <c r="L1737" i="3"/>
  <c r="L1738" i="3"/>
  <c r="L1739" i="3"/>
  <c r="L1740" i="3"/>
  <c r="L1741" i="3"/>
  <c r="L1742" i="3"/>
  <c r="L1743" i="3"/>
  <c r="L1744" i="3"/>
  <c r="L1745" i="3"/>
  <c r="L1746" i="3"/>
  <c r="L1747" i="3"/>
  <c r="L1748" i="3"/>
  <c r="L1749" i="3"/>
  <c r="L1750" i="3"/>
  <c r="L1751" i="3"/>
  <c r="L1752" i="3"/>
  <c r="L1753" i="3"/>
  <c r="L1754" i="3"/>
  <c r="L1755" i="3"/>
  <c r="L1756" i="3"/>
  <c r="L1757" i="3"/>
  <c r="L1758" i="3"/>
  <c r="L1759" i="3"/>
  <c r="L1760" i="3"/>
  <c r="L1761" i="3"/>
  <c r="L1762" i="3"/>
  <c r="L1763" i="3"/>
  <c r="L1764" i="3"/>
  <c r="L1765" i="3"/>
  <c r="L1766" i="3"/>
  <c r="L1767" i="3"/>
  <c r="L1768" i="3"/>
  <c r="L1769" i="3"/>
  <c r="L1770" i="3"/>
  <c r="L1771" i="3"/>
  <c r="L1772" i="3"/>
  <c r="L1773" i="3"/>
  <c r="L1774" i="3"/>
  <c r="L1775" i="3"/>
  <c r="L1776" i="3"/>
  <c r="L1777" i="3"/>
  <c r="L1778" i="3"/>
  <c r="L1779" i="3"/>
  <c r="L1780" i="3"/>
  <c r="L1781" i="3"/>
  <c r="L1782" i="3"/>
  <c r="L1783" i="3"/>
  <c r="L1784" i="3"/>
  <c r="L1785" i="3"/>
  <c r="L1786" i="3"/>
  <c r="L1787" i="3"/>
  <c r="L1788" i="3"/>
  <c r="L1789" i="3"/>
  <c r="L1790" i="3"/>
  <c r="L1791" i="3"/>
  <c r="L1792" i="3"/>
  <c r="L1793" i="3"/>
  <c r="L1794" i="3"/>
  <c r="L1795" i="3"/>
  <c r="L1796" i="3"/>
  <c r="L1797" i="3"/>
  <c r="L1798" i="3"/>
  <c r="L1799" i="3"/>
  <c r="L1800" i="3"/>
  <c r="L1801" i="3"/>
  <c r="L1802" i="3"/>
  <c r="L1803" i="3"/>
  <c r="L1804" i="3"/>
  <c r="L1805" i="3"/>
  <c r="L1806" i="3"/>
  <c r="L1807" i="3"/>
  <c r="L1808" i="3"/>
  <c r="L1809" i="3"/>
  <c r="L1810" i="3"/>
  <c r="L1811" i="3"/>
  <c r="L1812" i="3"/>
  <c r="L1813" i="3"/>
  <c r="L1814" i="3"/>
  <c r="L1815" i="3"/>
  <c r="L1816" i="3"/>
  <c r="L1817" i="3"/>
  <c r="L1818" i="3"/>
  <c r="L1819" i="3"/>
  <c r="L1820" i="3"/>
  <c r="L1821" i="3"/>
  <c r="L1822" i="3"/>
  <c r="L1823" i="3"/>
  <c r="L1824" i="3"/>
  <c r="L1825" i="3"/>
  <c r="L1826" i="3"/>
  <c r="L1827" i="3"/>
  <c r="L1828" i="3"/>
  <c r="L1829" i="3"/>
  <c r="L1830" i="3"/>
  <c r="L1831" i="3"/>
  <c r="L1832" i="3"/>
  <c r="L1833" i="3"/>
  <c r="L1834" i="3"/>
  <c r="L1835" i="3"/>
  <c r="L1836" i="3"/>
  <c r="L1837" i="3"/>
  <c r="L1838" i="3"/>
  <c r="L1839" i="3"/>
  <c r="L1840" i="3"/>
  <c r="L1841" i="3"/>
  <c r="L1842" i="3"/>
  <c r="L1843" i="3"/>
  <c r="L1844" i="3"/>
  <c r="L1845" i="3"/>
  <c r="L1846" i="3"/>
  <c r="L1847" i="3"/>
  <c r="L1848" i="3"/>
  <c r="L1849" i="3"/>
  <c r="L1850" i="3"/>
  <c r="L1851" i="3"/>
  <c r="L1852" i="3"/>
  <c r="L1853" i="3"/>
  <c r="L1854" i="3"/>
  <c r="L1855" i="3"/>
  <c r="L1856" i="3"/>
  <c r="L1857" i="3"/>
  <c r="L1858" i="3"/>
  <c r="L1859" i="3"/>
  <c r="L1860" i="3"/>
  <c r="L1861" i="3"/>
  <c r="L1862" i="3"/>
  <c r="L1863" i="3"/>
  <c r="L1864" i="3"/>
  <c r="L1865" i="3"/>
  <c r="L1866" i="3"/>
  <c r="L1867" i="3"/>
  <c r="L1868" i="3"/>
  <c r="L1869" i="3"/>
  <c r="L1870" i="3"/>
  <c r="L1871" i="3"/>
  <c r="L1872" i="3"/>
  <c r="L1873" i="3"/>
  <c r="L1874" i="3"/>
  <c r="L1875" i="3"/>
  <c r="L1876" i="3"/>
  <c r="L1877" i="3"/>
  <c r="L1878" i="3"/>
  <c r="L1879" i="3"/>
  <c r="L1880" i="3"/>
  <c r="L1881" i="3"/>
  <c r="L1882" i="3"/>
  <c r="L1883" i="3"/>
  <c r="L1884" i="3"/>
  <c r="L1885" i="3"/>
  <c r="L1886" i="3"/>
  <c r="L1887" i="3"/>
  <c r="L1888" i="3"/>
  <c r="L1889" i="3"/>
  <c r="L1890" i="3"/>
  <c r="L1891" i="3"/>
  <c r="L1892" i="3"/>
  <c r="L1893" i="3"/>
  <c r="L1894" i="3"/>
  <c r="L1895" i="3"/>
  <c r="L1896" i="3"/>
  <c r="L1897" i="3"/>
  <c r="L1898" i="3"/>
  <c r="L1899" i="3"/>
  <c r="L1900" i="3"/>
  <c r="L1901" i="3"/>
  <c r="L1902" i="3"/>
  <c r="L1903" i="3"/>
  <c r="L1904" i="3"/>
  <c r="L1905" i="3"/>
  <c r="L1906" i="3"/>
  <c r="L1907" i="3"/>
  <c r="L1908" i="3"/>
  <c r="L1909" i="3"/>
  <c r="L1910" i="3"/>
  <c r="L1911" i="3"/>
  <c r="L1912" i="3"/>
  <c r="L1913" i="3"/>
  <c r="L1914" i="3"/>
  <c r="L1915" i="3"/>
  <c r="L1916" i="3"/>
  <c r="L1917" i="3"/>
  <c r="L1918" i="3"/>
  <c r="L1919" i="3"/>
  <c r="L1920" i="3"/>
  <c r="L1921" i="3"/>
  <c r="L1922" i="3"/>
  <c r="L1923" i="3"/>
  <c r="L1924" i="3"/>
  <c r="L1925" i="3"/>
  <c r="L1926" i="3"/>
  <c r="L1927" i="3"/>
  <c r="L1928" i="3"/>
  <c r="L1929" i="3"/>
  <c r="L1930" i="3"/>
  <c r="L1931" i="3"/>
  <c r="L1932" i="3"/>
  <c r="L1933" i="3"/>
  <c r="L1934" i="3"/>
  <c r="L1935" i="3"/>
  <c r="L1936" i="3"/>
  <c r="L1937" i="3"/>
  <c r="L1938" i="3"/>
  <c r="L1939" i="3"/>
  <c r="L1940" i="3"/>
  <c r="L1941" i="3"/>
  <c r="L1942" i="3"/>
  <c r="L1943" i="3"/>
  <c r="L1944" i="3"/>
  <c r="L1945" i="3"/>
  <c r="L1946" i="3"/>
  <c r="L1947" i="3"/>
  <c r="L1948" i="3"/>
  <c r="L1949" i="3"/>
  <c r="L1950" i="3"/>
  <c r="L1951" i="3"/>
  <c r="L1952" i="3"/>
  <c r="L1953" i="3"/>
  <c r="L1954" i="3"/>
  <c r="L1955" i="3"/>
  <c r="L1956" i="3"/>
  <c r="L1957" i="3"/>
  <c r="L1958" i="3"/>
  <c r="L1959" i="3"/>
  <c r="L1960" i="3"/>
  <c r="L1961" i="3"/>
  <c r="L1962" i="3"/>
  <c r="L1963" i="3"/>
  <c r="L1964" i="3"/>
  <c r="L1965" i="3"/>
  <c r="L1966" i="3"/>
  <c r="L1967" i="3"/>
  <c r="L1968" i="3"/>
  <c r="L1969" i="3"/>
  <c r="L1970" i="3"/>
  <c r="L1971" i="3"/>
  <c r="L1972" i="3"/>
  <c r="L1973" i="3"/>
  <c r="L1974" i="3"/>
  <c r="L1975" i="3"/>
  <c r="L1976" i="3"/>
  <c r="L1977" i="3"/>
  <c r="L1978" i="3"/>
  <c r="L1979" i="3"/>
  <c r="L1980" i="3"/>
  <c r="L1981" i="3"/>
  <c r="L1982" i="3"/>
  <c r="L1983" i="3"/>
  <c r="L1984" i="3"/>
  <c r="L1985" i="3"/>
  <c r="L1986" i="3"/>
  <c r="L1987" i="3"/>
  <c r="L1988" i="3"/>
  <c r="L1989" i="3"/>
  <c r="L1990" i="3"/>
  <c r="L1991" i="3"/>
  <c r="L1992" i="3"/>
  <c r="L1993" i="3"/>
  <c r="L1994" i="3"/>
  <c r="L1995" i="3"/>
  <c r="L1996" i="3"/>
  <c r="L1997" i="3"/>
  <c r="L1998" i="3"/>
  <c r="L1999" i="3"/>
  <c r="L2000" i="3"/>
  <c r="L2001" i="3"/>
  <c r="F55" i="3"/>
  <c r="F90" i="3"/>
  <c r="F95" i="3"/>
  <c r="F99" i="3"/>
  <c r="F104" i="3"/>
  <c r="F125" i="3"/>
  <c r="F151" i="3"/>
  <c r="F164" i="3"/>
  <c r="F172" i="3"/>
  <c r="F210" i="3"/>
  <c r="F226" i="3"/>
  <c r="F233" i="3"/>
  <c r="F238" i="3"/>
  <c r="F239" i="3" s="1"/>
  <c r="F240" i="3" s="1"/>
  <c r="F286" i="3"/>
  <c r="F300" i="3"/>
  <c r="F324" i="3"/>
  <c r="F328" i="3"/>
  <c r="F354" i="3"/>
  <c r="F376" i="3"/>
  <c r="F383" i="3"/>
  <c r="F385" i="3"/>
  <c r="F405" i="3"/>
  <c r="F439" i="3"/>
  <c r="F449" i="3"/>
  <c r="F452" i="3"/>
  <c r="F462" i="3"/>
  <c r="F468" i="3"/>
  <c r="F480" i="3"/>
  <c r="F488" i="3"/>
  <c r="F492" i="3"/>
  <c r="F498" i="3"/>
  <c r="F557" i="3"/>
  <c r="F564" i="3"/>
  <c r="F568" i="3"/>
  <c r="F575" i="3"/>
  <c r="F592" i="3"/>
  <c r="F604" i="3"/>
  <c r="F608" i="3"/>
  <c r="F637" i="3"/>
  <c r="F657" i="3"/>
  <c r="F665" i="3"/>
  <c r="F677" i="3"/>
  <c r="F694" i="3"/>
  <c r="F697" i="3"/>
  <c r="F715" i="3"/>
  <c r="F722" i="3"/>
  <c r="F761" i="3"/>
  <c r="F782" i="3"/>
  <c r="F806" i="3"/>
  <c r="F811" i="3"/>
  <c r="F908" i="3"/>
  <c r="F911" i="3"/>
  <c r="F946" i="3"/>
  <c r="F962" i="3"/>
  <c r="F1020" i="3"/>
  <c r="F1044" i="3"/>
  <c r="F1075" i="3"/>
  <c r="F1144" i="3"/>
  <c r="F1191" i="3"/>
  <c r="F1215" i="3"/>
  <c r="F1222" i="3"/>
  <c r="F1232" i="3"/>
  <c r="F1318" i="3"/>
  <c r="F1363" i="3"/>
  <c r="F1368" i="3"/>
  <c r="F1389" i="3"/>
  <c r="F1434" i="3"/>
  <c r="F1470" i="3"/>
  <c r="F1472" i="3"/>
  <c r="F1476" i="3"/>
  <c r="F1490" i="3"/>
  <c r="F1503" i="3"/>
  <c r="F1511" i="3"/>
  <c r="F1512" i="3" s="1"/>
  <c r="F1520" i="3"/>
  <c r="F1548" i="3"/>
  <c r="F1593" i="3"/>
  <c r="F1617" i="3"/>
  <c r="F1619" i="3"/>
  <c r="F1635" i="3"/>
  <c r="F1639" i="3"/>
  <c r="F1661" i="3"/>
  <c r="F1742" i="3"/>
  <c r="F1746" i="3"/>
  <c r="F1781" i="3"/>
  <c r="F1794" i="3"/>
  <c r="F1808" i="3"/>
  <c r="F1842" i="3"/>
  <c r="F1855" i="3"/>
  <c r="F1867" i="3"/>
  <c r="F1899" i="3"/>
  <c r="F1909" i="3"/>
  <c r="F1916" i="3"/>
  <c r="F1932" i="3"/>
  <c r="F1953" i="3"/>
  <c r="F1964" i="3"/>
  <c r="F1975" i="3"/>
  <c r="F1986" i="3"/>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3" i="2"/>
  <c r="E2" i="2"/>
</calcChain>
</file>

<file path=xl/sharedStrings.xml><?xml version="1.0" encoding="utf-8"?>
<sst xmlns="http://schemas.openxmlformats.org/spreadsheetml/2006/main" count="25975" uniqueCount="4191">
  <si>
    <t xml:space="preserve"> Campaign_ID </t>
  </si>
  <si>
    <t>Campaign_Name</t>
  </si>
  <si>
    <t>Start_Date</t>
  </si>
  <si>
    <t>End_Date</t>
  </si>
  <si>
    <t>Channel</t>
  </si>
  <si>
    <t>Impressions</t>
  </si>
  <si>
    <t xml:space="preserve">Clicks </t>
  </si>
  <si>
    <t>Spend</t>
  </si>
  <si>
    <t>Conversions</t>
  </si>
  <si>
    <t>Active</t>
  </si>
  <si>
    <t>Clicks</t>
  </si>
  <si>
    <t>Campaign_Tag</t>
  </si>
  <si>
    <t>CMP-00001</t>
  </si>
  <si>
    <t>Q4_Summer_CMP-00001</t>
  </si>
  <si>
    <t>TikTok</t>
  </si>
  <si>
    <t>Y</t>
  </si>
  <si>
    <t>TI</t>
  </si>
  <si>
    <t>CMP-00002</t>
  </si>
  <si>
    <t>Q1_Launch_CMP-00002</t>
  </si>
  <si>
    <t>Facebook</t>
  </si>
  <si>
    <t>FA</t>
  </si>
  <si>
    <t>CMP-00003</t>
  </si>
  <si>
    <t>Q3_Winter_CMP-00003</t>
  </si>
  <si>
    <t>Email</t>
  </si>
  <si>
    <t>No</t>
  </si>
  <si>
    <t>EM</t>
  </si>
  <si>
    <t>CMP-00004</t>
  </si>
  <si>
    <t>Q1_BlackFriday_CMP-00004</t>
  </si>
  <si>
    <t>CMP-00005</t>
  </si>
  <si>
    <t>Q2_Winter_CMP-00005</t>
  </si>
  <si>
    <t>Yes</t>
  </si>
  <si>
    <t>CMP-00006</t>
  </si>
  <si>
    <t>Q4_BlackFriday_CMP-00006</t>
  </si>
  <si>
    <t>Instagram</t>
  </si>
  <si>
    <t>IN</t>
  </si>
  <si>
    <t>CMP-00007</t>
  </si>
  <si>
    <t>Q3_Launch_CMP-00007</t>
  </si>
  <si>
    <t>CMP-00008</t>
  </si>
  <si>
    <t>Q4_Launch_CMP-00008</t>
  </si>
  <si>
    <t>CMP-00009</t>
  </si>
  <si>
    <t>Q4_BlackFriday_CMP-00009</t>
  </si>
  <si>
    <t>Google Ads</t>
  </si>
  <si>
    <t>GO</t>
  </si>
  <si>
    <t>CMP-00010</t>
  </si>
  <si>
    <t>Q2_Winter_CMP-00010</t>
  </si>
  <si>
    <t>CMP-00011</t>
  </si>
  <si>
    <t>Q4_Launch_CMP-00011</t>
  </si>
  <si>
    <t>22/02/2023</t>
  </si>
  <si>
    <t>CMP-00012</t>
  </si>
  <si>
    <t>Q4_Launch_CMP-00012</t>
  </si>
  <si>
    <t>CMP-00013</t>
  </si>
  <si>
    <t>Q2_Launch_CMP-00013</t>
  </si>
  <si>
    <t>CMP-00014</t>
  </si>
  <si>
    <t>Q1_Launch_CMP-00014</t>
  </si>
  <si>
    <t>CMP-00015</t>
  </si>
  <si>
    <t>Q2_Summer_CMP-00015</t>
  </si>
  <si>
    <t>CMP-00016</t>
  </si>
  <si>
    <t>Q2_BlackFriday_CMP-00016</t>
  </si>
  <si>
    <t>E-mail</t>
  </si>
  <si>
    <t>E-</t>
  </si>
  <si>
    <t>CMP-00017</t>
  </si>
  <si>
    <t>Q1_Winter_CMP-00017</t>
  </si>
  <si>
    <t>CMP-00018</t>
  </si>
  <si>
    <t>Q1_BlackFriday_CMP-00018</t>
  </si>
  <si>
    <t>CMP-00019</t>
  </si>
  <si>
    <t>Q4_Winter_CMP-00019</t>
  </si>
  <si>
    <t>CMP-00020</t>
  </si>
  <si>
    <t>Q1_Summer_CMP-00020</t>
  </si>
  <si>
    <t>INVALID</t>
  </si>
  <si>
    <t>CMP-00021</t>
  </si>
  <si>
    <t>Q3_BlackFriday_CMP-00021</t>
  </si>
  <si>
    <t>CMP-00022</t>
  </si>
  <si>
    <t>Q2_BlackFriday_CMP-00022</t>
  </si>
  <si>
    <t>CMP-00023</t>
  </si>
  <si>
    <t>Q4_Winter_CMP-00023</t>
  </si>
  <si>
    <t>CMP-00024</t>
  </si>
  <si>
    <t>Q4_Winter_CMP-00024</t>
  </si>
  <si>
    <t>CMP-00025</t>
  </si>
  <si>
    <t>Q2_Winter_CMP-00025</t>
  </si>
  <si>
    <t>CMP-00026</t>
  </si>
  <si>
    <t>Q1_Winter_CMP-00026</t>
  </si>
  <si>
    <t>CMP-00027</t>
  </si>
  <si>
    <t>Q1_Winter_CMP-00027</t>
  </si>
  <si>
    <t>CMP-00028</t>
  </si>
  <si>
    <t>Q4_Summer_CMP-00028</t>
  </si>
  <si>
    <t>CMP-00029</t>
  </si>
  <si>
    <t>Q4_BlackFriday_CMP-00029</t>
  </si>
  <si>
    <t>CMP-00030</t>
  </si>
  <si>
    <t>Q1_Summer_CMP-00030</t>
  </si>
  <si>
    <t>CMP-00031</t>
  </si>
  <si>
    <t>Q1_Launch_CMP-00031</t>
  </si>
  <si>
    <t>CMP-00032</t>
  </si>
  <si>
    <t>Q2_Summer_CMP-00032</t>
  </si>
  <si>
    <t>CMP-00033</t>
  </si>
  <si>
    <t>Q2_BlackFriday_CMP-00033</t>
  </si>
  <si>
    <t>CMP-00034</t>
  </si>
  <si>
    <t>Q2_Summer_CMP-00034</t>
  </si>
  <si>
    <t>CMP-00035</t>
  </si>
  <si>
    <t>Q2_Summer_CMP-00035</t>
  </si>
  <si>
    <t>CMP-00036</t>
  </si>
  <si>
    <t>Q1_Launch_CMP-00036</t>
  </si>
  <si>
    <t>CMP-00037</t>
  </si>
  <si>
    <t>Q2_Winter_CMP-00037</t>
  </si>
  <si>
    <t>CMP-00038</t>
  </si>
  <si>
    <t>Q4_Winter_CMP-00038</t>
  </si>
  <si>
    <t>CMP-00039</t>
  </si>
  <si>
    <t>Q3_Launch_CMP-00039</t>
  </si>
  <si>
    <t>CMP-00040</t>
  </si>
  <si>
    <t>Q4_BlackFriday_CMP-00040</t>
  </si>
  <si>
    <t>CMP-00041</t>
  </si>
  <si>
    <t>Q4_Summer_CMP-00041</t>
  </si>
  <si>
    <t>CMP-00042</t>
  </si>
  <si>
    <t>Q3_Summer_CMP-00042</t>
  </si>
  <si>
    <t>CMP-00043</t>
  </si>
  <si>
    <t>Q2_Summer_CMP-00043</t>
  </si>
  <si>
    <t>21/08/2023</t>
  </si>
  <si>
    <t>CMP-00044</t>
  </si>
  <si>
    <t>Q1_Winter_CMP-00044</t>
  </si>
  <si>
    <t>CMP-00045</t>
  </si>
  <si>
    <t>Q2_Summer_CMP-00045</t>
  </si>
  <si>
    <t>CMP-00046</t>
  </si>
  <si>
    <t>Q4_Launch_CMP-00046</t>
  </si>
  <si>
    <t>CMP-00047</t>
  </si>
  <si>
    <t>Q4_BlackFriday_CMP-00047</t>
  </si>
  <si>
    <t>CMP-00048</t>
  </si>
  <si>
    <t>Q3_Winter_CMP-00048</t>
  </si>
  <si>
    <t>CMP-00049</t>
  </si>
  <si>
    <t>Q4_Winter_CMP-00049</t>
  </si>
  <si>
    <t>CMP-00050</t>
  </si>
  <si>
    <t>Q3_Summer_CMP-00050</t>
  </si>
  <si>
    <t>CMP-00051</t>
  </si>
  <si>
    <t>Q4_Winter_CMP-00051</t>
  </si>
  <si>
    <t>CMP-00052</t>
  </si>
  <si>
    <t>Q2_Launch_CMP-00052</t>
  </si>
  <si>
    <t>CMP-00053</t>
  </si>
  <si>
    <t>Q1_Winter_CMP-00053</t>
  </si>
  <si>
    <t>CMP-00054</t>
  </si>
  <si>
    <t>Q4_Winter_CMP-00054</t>
  </si>
  <si>
    <t>N/A</t>
  </si>
  <si>
    <t>XX</t>
  </si>
  <si>
    <t>CMP-00055</t>
  </si>
  <si>
    <t>Q1_Launch_CMP-00055</t>
  </si>
  <si>
    <t>CMP-00056</t>
  </si>
  <si>
    <t>Q4_BlackFriday_CMP-00056</t>
  </si>
  <si>
    <t>CMP-00057</t>
  </si>
  <si>
    <t>Q4_Launch_CMP-00057</t>
  </si>
  <si>
    <t>CMP-00058</t>
  </si>
  <si>
    <t>Q2_Summer_CMP-00058</t>
  </si>
  <si>
    <t>CMP-00059</t>
  </si>
  <si>
    <t>Q3_Launch_CMP-00059</t>
  </si>
  <si>
    <t>CMP-00060</t>
  </si>
  <si>
    <t>Q2_BlackFriday_CMP-00060</t>
  </si>
  <si>
    <t>CMP-00061</t>
  </si>
  <si>
    <t>Q1_Summer_CMP-00061</t>
  </si>
  <si>
    <t>CMP-00062</t>
  </si>
  <si>
    <t>Q1_BlackFriday_CMP-00062</t>
  </si>
  <si>
    <t>CMP-00063</t>
  </si>
  <si>
    <t>Q3_Summer_CMP-00063</t>
  </si>
  <si>
    <t>CMP-00064</t>
  </si>
  <si>
    <t>Q2_BlackFriday_CMP-00064</t>
  </si>
  <si>
    <t>CMP-00065</t>
  </si>
  <si>
    <t>Q2_Summer_CMP-00065</t>
  </si>
  <si>
    <t>CMP-00066</t>
  </si>
  <si>
    <t>Q1_Winter_CMP-00066</t>
  </si>
  <si>
    <t>CMP-00067</t>
  </si>
  <si>
    <t>Q1_BlackFriday_CMP-00067</t>
  </si>
  <si>
    <t>CMP-00068</t>
  </si>
  <si>
    <t>Q2_Winter_CMP-00068</t>
  </si>
  <si>
    <t>CMP-00069</t>
  </si>
  <si>
    <t>Q1_Winter_CMP-00069</t>
  </si>
  <si>
    <t>CMP-00070</t>
  </si>
  <si>
    <t>Q3_Summer_CMP-00070</t>
  </si>
  <si>
    <t>CMP-00071</t>
  </si>
  <si>
    <t>Q1_Launch_CMP-00071</t>
  </si>
  <si>
    <t>CMP-00072</t>
  </si>
  <si>
    <t>Q1_Summer_CMP-00072</t>
  </si>
  <si>
    <t>CMP-00073</t>
  </si>
  <si>
    <t>Q3_Summer_CMP-00073</t>
  </si>
  <si>
    <t>CMP-00074</t>
  </si>
  <si>
    <t>Q3_Summer_CMP-00074</t>
  </si>
  <si>
    <t>CMP-00075</t>
  </si>
  <si>
    <t>Q3_BlackFriday_CMP-00075</t>
  </si>
  <si>
    <t>CMP-00076</t>
  </si>
  <si>
    <t>Q4_Winter_CMP-00076</t>
  </si>
  <si>
    <t>CMP-00077</t>
  </si>
  <si>
    <t>Q3_Launch_CMP-00077</t>
  </si>
  <si>
    <t>20/02/2023</t>
  </si>
  <si>
    <t>CMP-00078</t>
  </si>
  <si>
    <t>Q3_Winter_CMP-00078</t>
  </si>
  <si>
    <t>CMP-00079</t>
  </si>
  <si>
    <t>Q1_BlackFriday_CMP-00079</t>
  </si>
  <si>
    <t>Gogle</t>
  </si>
  <si>
    <t>CMP-00080</t>
  </si>
  <si>
    <t>Q4_Summer_CMP-00080</t>
  </si>
  <si>
    <t>CMP-00081</t>
  </si>
  <si>
    <t>Q2_Summer_CMP-00081</t>
  </si>
  <si>
    <t>CMP-00082</t>
  </si>
  <si>
    <t>Q4_Launch_CMP-00082</t>
  </si>
  <si>
    <t>CMP-00083</t>
  </si>
  <si>
    <t>Q1_BlackFriday_CMP-00083</t>
  </si>
  <si>
    <t>CMP-00084</t>
  </si>
  <si>
    <t>Q2_Winter_CMP-00084</t>
  </si>
  <si>
    <t>CMP-00085</t>
  </si>
  <si>
    <t>Q4_Summer_CMP-00085</t>
  </si>
  <si>
    <t>CMP-00086</t>
  </si>
  <si>
    <t>Q1_Winter_CMP-00086</t>
  </si>
  <si>
    <t>CMP-00087</t>
  </si>
  <si>
    <t>Q2_Winter_CMP-00087</t>
  </si>
  <si>
    <t>CMP-00088</t>
  </si>
  <si>
    <t>Q2_BlackFriday_CMP-00088</t>
  </si>
  <si>
    <t>CMP-00089</t>
  </si>
  <si>
    <t>Q4_Winter_CMP-00089</t>
  </si>
  <si>
    <t>CMP-00090</t>
  </si>
  <si>
    <t>Q3_BlackFriday_CMP-00090</t>
  </si>
  <si>
    <t>CMP-00091</t>
  </si>
  <si>
    <t>Q3_Launch_CMP-00091</t>
  </si>
  <si>
    <t>CMP-00092</t>
  </si>
  <si>
    <t>Q1_Launch_CMP-00092</t>
  </si>
  <si>
    <t>CMP-00093</t>
  </si>
  <si>
    <t>Q2_Winter_CMP-00093</t>
  </si>
  <si>
    <t>CMP-00094</t>
  </si>
  <si>
    <t>Q1_Winter_CMP-00094</t>
  </si>
  <si>
    <t>CMP-00095</t>
  </si>
  <si>
    <t>Q4_Summer_CMP-00095</t>
  </si>
  <si>
    <t>CMP-00096</t>
  </si>
  <si>
    <t>Q1_Winter_CMP-00096</t>
  </si>
  <si>
    <t>CMP-00097</t>
  </si>
  <si>
    <t>Q3_Summer_CMP-00097</t>
  </si>
  <si>
    <t>CMP-00098</t>
  </si>
  <si>
    <t>Q4_Summer_CMP-00098</t>
  </si>
  <si>
    <t>CMP-00099</t>
  </si>
  <si>
    <t>Q4_BlackFriday_CMP-00099</t>
  </si>
  <si>
    <t>CMP-00100</t>
  </si>
  <si>
    <t>Q2_BlackFriday_CMP-00100</t>
  </si>
  <si>
    <t>Tik_Tok</t>
  </si>
  <si>
    <t>CMP-00101</t>
  </si>
  <si>
    <t>Q2_Summer_CMP-00101</t>
  </si>
  <si>
    <t>CMP-00102</t>
  </si>
  <si>
    <t>Q3_BlackFriday_CMP-00102</t>
  </si>
  <si>
    <t>CMP-00103</t>
  </si>
  <si>
    <t>Q3_Summer_CMP-00103</t>
  </si>
  <si>
    <t>CMP-00104</t>
  </si>
  <si>
    <t>Q1_Winter_CMP-00104</t>
  </si>
  <si>
    <t>CMP-00105</t>
  </si>
  <si>
    <t>Q4_BlackFriday_CMP-00105</t>
  </si>
  <si>
    <t>CMP-00106</t>
  </si>
  <si>
    <t>Q4_BlackFriday_CMP-00106</t>
  </si>
  <si>
    <t>CMP-00107</t>
  </si>
  <si>
    <t>Q4_Winter_CMP-00107</t>
  </si>
  <si>
    <t>CMP-00108</t>
  </si>
  <si>
    <t>Q1_Launch_CMP-00108</t>
  </si>
  <si>
    <t>CMP-00109</t>
  </si>
  <si>
    <t>Q1_BlackFriday_CMP-00109</t>
  </si>
  <si>
    <t>CMP-00110</t>
  </si>
  <si>
    <t>Q3_Launch_CMP-00110</t>
  </si>
  <si>
    <t>CMP-00111</t>
  </si>
  <si>
    <t>Q4_Winter_CMP-00111</t>
  </si>
  <si>
    <t>CMP-00112</t>
  </si>
  <si>
    <t>Q4_BlackFriday_CMP-00112</t>
  </si>
  <si>
    <t>23/01/2023</t>
  </si>
  <si>
    <t>CMP-00113</t>
  </si>
  <si>
    <t>Q3_BlackFriday_CMP-00113</t>
  </si>
  <si>
    <t>CMP-00114</t>
  </si>
  <si>
    <t>Q1_Launch_CMP-00114</t>
  </si>
  <si>
    <t>CMP-00115</t>
  </si>
  <si>
    <t>Q4_BlackFriday_CMP-00115</t>
  </si>
  <si>
    <t>Facebok</t>
  </si>
  <si>
    <t>CMP-00116</t>
  </si>
  <si>
    <t>Q1_Summer_CMP-00116</t>
  </si>
  <si>
    <t>CMP-00117</t>
  </si>
  <si>
    <t>Q2_Summer_CMP-00117</t>
  </si>
  <si>
    <t>CMP-00118</t>
  </si>
  <si>
    <t>Q2_Summer_CMP-00118</t>
  </si>
  <si>
    <t>CMP-00119</t>
  </si>
  <si>
    <t>Q3_Launch_CMP-00119</t>
  </si>
  <si>
    <t>CMP-00120</t>
  </si>
  <si>
    <t>Q2_Launch_CMP-00120</t>
  </si>
  <si>
    <t>CMP-00121</t>
  </si>
  <si>
    <t>Q1_Winter_CMP-00121</t>
  </si>
  <si>
    <t>CMP-00122</t>
  </si>
  <si>
    <t>Q4_Launch_CMP-00122</t>
  </si>
  <si>
    <t>CMP-00123</t>
  </si>
  <si>
    <t>Q1_BlackFriday_CMP-00123</t>
  </si>
  <si>
    <t>CMP-00124</t>
  </si>
  <si>
    <t>Q4_Launch_CMP-00124</t>
  </si>
  <si>
    <t>CMP-00125</t>
  </si>
  <si>
    <t>Q4_Summer_CMP-00125</t>
  </si>
  <si>
    <t>CMP-00126</t>
  </si>
  <si>
    <t>Q1_Winter_CMP-00126</t>
  </si>
  <si>
    <t>CMP-00127</t>
  </si>
  <si>
    <t>Q1_Launch_CMP-00127</t>
  </si>
  <si>
    <t>CMP-00128</t>
  </si>
  <si>
    <t>Q4_Winter_CMP-00128</t>
  </si>
  <si>
    <t>CMP-00129</t>
  </si>
  <si>
    <t>Q4_BlackFriday_CMP-00129</t>
  </si>
  <si>
    <t>CMP-00130</t>
  </si>
  <si>
    <t>Q1_BlackFriday_CMP-00130</t>
  </si>
  <si>
    <t>CMP-00131</t>
  </si>
  <si>
    <t>Q3_Launch_CMP-00131</t>
  </si>
  <si>
    <t>CMP-00132</t>
  </si>
  <si>
    <t>Q2_Launch_CMP-00132</t>
  </si>
  <si>
    <t>CMP-00133</t>
  </si>
  <si>
    <t>Q1_BlackFriday_CMP-00133</t>
  </si>
  <si>
    <t>CMP-00134</t>
  </si>
  <si>
    <t>Q4_Summer_CMP-00134</t>
  </si>
  <si>
    <t>CMP-00135</t>
  </si>
  <si>
    <t>Q2_Launch_CMP-00135</t>
  </si>
  <si>
    <t>CMP-00136</t>
  </si>
  <si>
    <t>Q2_Winter_CMP-00136</t>
  </si>
  <si>
    <t>CMP-00137</t>
  </si>
  <si>
    <t>Q3_Summer_CMP-00137</t>
  </si>
  <si>
    <t>CMP-00138</t>
  </si>
  <si>
    <t>Q4_Summer_CMP-00138</t>
  </si>
  <si>
    <t>CMP-00139</t>
  </si>
  <si>
    <t>Q3_Launch_CMP-00139</t>
  </si>
  <si>
    <t>CMP-00140</t>
  </si>
  <si>
    <t>Q4_Winter_CMP-00140</t>
  </si>
  <si>
    <t>CMP-00141</t>
  </si>
  <si>
    <t>Q1_Winter_CMP-00141</t>
  </si>
  <si>
    <t>CMP-00142</t>
  </si>
  <si>
    <t>Q1_Launch_CMP-00142</t>
  </si>
  <si>
    <t>CMP-00143</t>
  </si>
  <si>
    <t>Q3_BlackFriday_CMP-00143</t>
  </si>
  <si>
    <t>CMP-00144</t>
  </si>
  <si>
    <t>Q2_Summer_CMP-00144</t>
  </si>
  <si>
    <t>CMP-00145</t>
  </si>
  <si>
    <t>Q2_Summer_CMP-00145</t>
  </si>
  <si>
    <t>CMP-00146</t>
  </si>
  <si>
    <t>Q3_Launch_CMP-00146</t>
  </si>
  <si>
    <t>CMP-00147</t>
  </si>
  <si>
    <t>Q1_BlackFriday_CMP-00147</t>
  </si>
  <si>
    <t>CMP-00148</t>
  </si>
  <si>
    <t>Q4_Launch_CMP-00148</t>
  </si>
  <si>
    <t>CMP-00149</t>
  </si>
  <si>
    <t>Q2_BlackFriday_CMP-00149</t>
  </si>
  <si>
    <t>CMP-00150</t>
  </si>
  <si>
    <t>Q2_Summer_CMP-00150</t>
  </si>
  <si>
    <t>CMP-00151</t>
  </si>
  <si>
    <t>Q1_Launch_CMP-00151</t>
  </si>
  <si>
    <t>CMP-00152</t>
  </si>
  <si>
    <t>Q3_BlackFriday_CMP-00152</t>
  </si>
  <si>
    <t>CMP-00153</t>
  </si>
  <si>
    <t>Q2_Winter_CMP-00153</t>
  </si>
  <si>
    <t>CMP-00154</t>
  </si>
  <si>
    <t>Q3_Launch_CMP-00154</t>
  </si>
  <si>
    <t>CMP-00155</t>
  </si>
  <si>
    <t>Q4_Launch_CMP-00155</t>
  </si>
  <si>
    <t>CMP-00156</t>
  </si>
  <si>
    <t>Q2_Launch_CMP-00156</t>
  </si>
  <si>
    <t>CMP-00157</t>
  </si>
  <si>
    <t>Q3_Launch_CMP-00157</t>
  </si>
  <si>
    <t>CMP-00158</t>
  </si>
  <si>
    <t>Q1_Winter_CMP-00158</t>
  </si>
  <si>
    <t>CMP-00159</t>
  </si>
  <si>
    <t>Q1_Winter_CMP-00159</t>
  </si>
  <si>
    <t>CMP-00160</t>
  </si>
  <si>
    <t>Q3_BlackFriday_CMP-00160</t>
  </si>
  <si>
    <t>CMP-00161</t>
  </si>
  <si>
    <t>Q1_Winter_CMP-00161</t>
  </si>
  <si>
    <t>CMP-00162</t>
  </si>
  <si>
    <t>Q4_Winter_CMP-00162</t>
  </si>
  <si>
    <t>CMP-00163</t>
  </si>
  <si>
    <t>Q4_BlackFriday_CMP-00163</t>
  </si>
  <si>
    <t>CMP-00164</t>
  </si>
  <si>
    <t>Q1_Launch_CMP-00164</t>
  </si>
  <si>
    <t>CMP-00165</t>
  </si>
  <si>
    <t>Q3_Summer_CMP-00165</t>
  </si>
  <si>
    <t>CMP-00166</t>
  </si>
  <si>
    <t>Q4_Winter_CMP-00166</t>
  </si>
  <si>
    <t>CMP-00167</t>
  </si>
  <si>
    <t>Q4_Summer_CMP-00167</t>
  </si>
  <si>
    <t>CMP-00168</t>
  </si>
  <si>
    <t>Q1_Winter_CMP-00168</t>
  </si>
  <si>
    <t>CMP-00169</t>
  </si>
  <si>
    <t>Q2_Launch_CMP-00169</t>
  </si>
  <si>
    <t>CMP-00170</t>
  </si>
  <si>
    <t>Q2_Launch_CMP-00170</t>
  </si>
  <si>
    <t>CMP-00171</t>
  </si>
  <si>
    <t>Q2_BlackFriday_CMP-00171</t>
  </si>
  <si>
    <t>CMP-00172</t>
  </si>
  <si>
    <t>Q2_Winter_CMP-00172</t>
  </si>
  <si>
    <t>CMP-00173</t>
  </si>
  <si>
    <t>Q1_BlackFriday_CMP-00173</t>
  </si>
  <si>
    <t>CMP-00174</t>
  </si>
  <si>
    <t>Q3_Summer_CMP-00174</t>
  </si>
  <si>
    <t>CMP-00175</t>
  </si>
  <si>
    <t>Q3_BlackFriday_CMP-00175</t>
  </si>
  <si>
    <t>CMP-00176</t>
  </si>
  <si>
    <t>Q1_Launch_CMP-00176</t>
  </si>
  <si>
    <t>CMP-00177</t>
  </si>
  <si>
    <t>Q4_Launch_CMP-00177</t>
  </si>
  <si>
    <t>CMP-00178</t>
  </si>
  <si>
    <t>Q4_BlackFriday_CMP-00178</t>
  </si>
  <si>
    <t>CMP-00179</t>
  </si>
  <si>
    <t>Q3_Launch_CMP-00179</t>
  </si>
  <si>
    <t>CMP-00180</t>
  </si>
  <si>
    <t>Q3_Summer_CMP-00180</t>
  </si>
  <si>
    <t>CMP-00181</t>
  </si>
  <si>
    <t>Q2_Launch_CMP-00181</t>
  </si>
  <si>
    <t>CMP-00182</t>
  </si>
  <si>
    <t>Q4_BlackFriday_CMP-00182</t>
  </si>
  <si>
    <t>CMP-00183</t>
  </si>
  <si>
    <t>Q2_Winter_CMP-00183</t>
  </si>
  <si>
    <t>CMP-00184</t>
  </si>
  <si>
    <t>Q4_Launch_CMP-00184</t>
  </si>
  <si>
    <t>CMP-00185</t>
  </si>
  <si>
    <t>Q3_Launch_CMP-00185</t>
  </si>
  <si>
    <t>CMP-00186</t>
  </si>
  <si>
    <t>Q3_Summer_CMP-00186</t>
  </si>
  <si>
    <t>CMP-00187</t>
  </si>
  <si>
    <t>Q1_Summer_CMP-00187</t>
  </si>
  <si>
    <t>CMP-00188</t>
  </si>
  <si>
    <t>Q1_Summer_CMP-00188</t>
  </si>
  <si>
    <t>CMP-00189</t>
  </si>
  <si>
    <t>Q4_Summer_CMP-00189</t>
  </si>
  <si>
    <t>Insta_gram</t>
  </si>
  <si>
    <t>CMP-00190</t>
  </si>
  <si>
    <t>Q4_Summer_CMP-00190</t>
  </si>
  <si>
    <t>CMP-00191</t>
  </si>
  <si>
    <t>Q4_Summer_CMP-00191</t>
  </si>
  <si>
    <t>CMP-00192</t>
  </si>
  <si>
    <t>Q3_Launch_CMP-00192</t>
  </si>
  <si>
    <t>CMP-00193</t>
  </si>
  <si>
    <t>Q2_Winter_CMP-00193</t>
  </si>
  <si>
    <t>CMP-00194</t>
  </si>
  <si>
    <t>Q4_Launch_CMP-00194</t>
  </si>
  <si>
    <t>CMP-00195</t>
  </si>
  <si>
    <t>Q1_Winter_CMP-00195</t>
  </si>
  <si>
    <t>CMP-00196</t>
  </si>
  <si>
    <t>Q4_Summer_CMP-00196</t>
  </si>
  <si>
    <t>CMP-00197</t>
  </si>
  <si>
    <t>Q3_Launch_CMP-00197</t>
  </si>
  <si>
    <t>CMP-00198</t>
  </si>
  <si>
    <t>Q4_Launch_CMP-00198</t>
  </si>
  <si>
    <t>CMP-00199</t>
  </si>
  <si>
    <t>Q1_BlackFriday_CMP-00199</t>
  </si>
  <si>
    <t>30/11/2023</t>
  </si>
  <si>
    <t>CMP-00200</t>
  </si>
  <si>
    <t>Q2_BlackFriday_CMP-00200</t>
  </si>
  <si>
    <t>CMP-00201</t>
  </si>
  <si>
    <t>Q3_BlackFriday_CMP-00201</t>
  </si>
  <si>
    <t>CMP-00202</t>
  </si>
  <si>
    <t>Q3_Launch_CMP-00202</t>
  </si>
  <si>
    <t>CMP-00203</t>
  </si>
  <si>
    <t>Q2_Summer_CMP-00203</t>
  </si>
  <si>
    <t>CMP-00204</t>
  </si>
  <si>
    <t>Q4_Summer_CMP-00204</t>
  </si>
  <si>
    <t>CMP-00205</t>
  </si>
  <si>
    <t>Q1_Summer_CMP-00205</t>
  </si>
  <si>
    <t>CMP-00206</t>
  </si>
  <si>
    <t>Q2_BlackFriday_CMP-00206</t>
  </si>
  <si>
    <t>CMP-00207</t>
  </si>
  <si>
    <t>Q3_BlackFriday_CMP-00207</t>
  </si>
  <si>
    <t>CMP-00208</t>
  </si>
  <si>
    <t>Q2_Launch_CMP-00208</t>
  </si>
  <si>
    <t>CMP-00209</t>
  </si>
  <si>
    <t>Q2_Launch_CMP-00209</t>
  </si>
  <si>
    <t>CMP-00210</t>
  </si>
  <si>
    <t>Q2_Launch_CMP-00210</t>
  </si>
  <si>
    <t>CMP-00211</t>
  </si>
  <si>
    <t>Q1_Launch_CMP-00211</t>
  </si>
  <si>
    <t>CMP-00212</t>
  </si>
  <si>
    <t>Q2_Launch_CMP-00212</t>
  </si>
  <si>
    <t>CMP-00213</t>
  </si>
  <si>
    <t>Q2_Launch_CMP-00213</t>
  </si>
  <si>
    <t>CMP-00214</t>
  </si>
  <si>
    <t>Q3_Winter_CMP-00214</t>
  </si>
  <si>
    <t>CMP-00215</t>
  </si>
  <si>
    <t>Q4_Winter_CMP-00215</t>
  </si>
  <si>
    <t>CMP-00216</t>
  </si>
  <si>
    <t>Q1_Winter_CMP-00216</t>
  </si>
  <si>
    <t>CMP-00217</t>
  </si>
  <si>
    <t>Q1_Launch_CMP-00217</t>
  </si>
  <si>
    <t>CMP-00218</t>
  </si>
  <si>
    <t>Q3_Winter_CMP-00218</t>
  </si>
  <si>
    <t>CMP-00219</t>
  </si>
  <si>
    <t>Q3_Winter_CMP-00219</t>
  </si>
  <si>
    <t>CMP-00220</t>
  </si>
  <si>
    <t>Q1_Summer_CMP-00220</t>
  </si>
  <si>
    <t>CMP-00221</t>
  </si>
  <si>
    <t>Q1_Launch_CMP-00221</t>
  </si>
  <si>
    <t>CMP-00222</t>
  </si>
  <si>
    <t>Q1_Winter_CMP-00222</t>
  </si>
  <si>
    <t>CMP-00223</t>
  </si>
  <si>
    <t>Q1_Summer_CMP-00223</t>
  </si>
  <si>
    <t>22/06/2023</t>
  </si>
  <si>
    <t>CMP-00224</t>
  </si>
  <si>
    <t>Q4_Summer_CMP-00224</t>
  </si>
  <si>
    <t>CMP-00225</t>
  </si>
  <si>
    <t>Q2_Launch_CMP-00225</t>
  </si>
  <si>
    <t>CMP-00226</t>
  </si>
  <si>
    <t>Q3_Winter_CMP-00226</t>
  </si>
  <si>
    <t>CMP-00227</t>
  </si>
  <si>
    <t>Q2_Winter_CMP-00227</t>
  </si>
  <si>
    <t>CMP-00228</t>
  </si>
  <si>
    <t>Q3_Winter_CMP-00228</t>
  </si>
  <si>
    <t>CMP-00229</t>
  </si>
  <si>
    <t>Q2_Launch_CMP-00229</t>
  </si>
  <si>
    <t>CMP-00230</t>
  </si>
  <si>
    <t>Q3_Summer_CMP-00230</t>
  </si>
  <si>
    <t>CMP-00231</t>
  </si>
  <si>
    <t>Q3_Summer_CMP-00231</t>
  </si>
  <si>
    <t>CMP-00232</t>
  </si>
  <si>
    <t>Q2_Summer_CMP-00232</t>
  </si>
  <si>
    <t>CMP-00233</t>
  </si>
  <si>
    <t>Q1_Summer_CMP-00233</t>
  </si>
  <si>
    <t>CMP-00234</t>
  </si>
  <si>
    <t>Q4_Summer_CMP-00234</t>
  </si>
  <si>
    <t>CMP-00235</t>
  </si>
  <si>
    <t>Q1_Winter_CMP-00235</t>
  </si>
  <si>
    <t>CMP-00236</t>
  </si>
  <si>
    <t>Q3_BlackFriday_CMP-00236</t>
  </si>
  <si>
    <t>CMP-00237</t>
  </si>
  <si>
    <t>Q2_Summer_CMP-00237</t>
  </si>
  <si>
    <t>CMP-00238</t>
  </si>
  <si>
    <t>Q1_Launch_CMP-00238</t>
  </si>
  <si>
    <t>CMP-00239</t>
  </si>
  <si>
    <t>Q3_Winter_CMP-00239</t>
  </si>
  <si>
    <t>CMP-00240</t>
  </si>
  <si>
    <t>Q4_Summer_CMP-00240</t>
  </si>
  <si>
    <t>CMP-00241</t>
  </si>
  <si>
    <t>Q4_Summer_CMP-00241</t>
  </si>
  <si>
    <t>CMP-00242</t>
  </si>
  <si>
    <t>Q4_Summer_CMP-00242</t>
  </si>
  <si>
    <t>CMP-00243</t>
  </si>
  <si>
    <t>Q4_Summer_CMP-00243</t>
  </si>
  <si>
    <t>CMP-00244</t>
  </si>
  <si>
    <t>Q2_Launch_CMP-00244</t>
  </si>
  <si>
    <t>CMP-00245</t>
  </si>
  <si>
    <t>Q4_BlackFriday_CMP-00245</t>
  </si>
  <si>
    <t>CMP-00246</t>
  </si>
  <si>
    <t>Q4_Winter_CMP-00246</t>
  </si>
  <si>
    <t>CMP-00247</t>
  </si>
  <si>
    <t>Q2_BlackFriday_CMP-00247</t>
  </si>
  <si>
    <t>CMP-00248</t>
  </si>
  <si>
    <t>Q1_Winter_CMP-00248</t>
  </si>
  <si>
    <t>CMP-00249</t>
  </si>
  <si>
    <t>Q1_Summer_CMP-00249</t>
  </si>
  <si>
    <t>CMP-00250</t>
  </si>
  <si>
    <t>Q3_BlackFriday_CMP-00250</t>
  </si>
  <si>
    <t>CMP-00251</t>
  </si>
  <si>
    <t>Q4_Summer_CMP-00251</t>
  </si>
  <si>
    <t>CMP-00252</t>
  </si>
  <si>
    <t>Q2_BlackFriday_CMP-00252</t>
  </si>
  <si>
    <t>CMP-00253</t>
  </si>
  <si>
    <t>Q1_Winter_CMP-00253</t>
  </si>
  <si>
    <t>CMP-00254</t>
  </si>
  <si>
    <t>Q1_Summer_CMP-00254</t>
  </si>
  <si>
    <t>CMP-00255</t>
  </si>
  <si>
    <t>Q2_Winter_CMP-00255</t>
  </si>
  <si>
    <t>CMP-00256</t>
  </si>
  <si>
    <t>Q3_Summer_CMP-00256</t>
  </si>
  <si>
    <t>CMP-00257</t>
  </si>
  <si>
    <t>Q2_Summer_CMP-00257</t>
  </si>
  <si>
    <t>CMP-00258</t>
  </si>
  <si>
    <t>Q3_Winter_CMP-00258</t>
  </si>
  <si>
    <t>CMP-00259</t>
  </si>
  <si>
    <t>Q2_Summer_CMP-00259</t>
  </si>
  <si>
    <t>CMP-00260</t>
  </si>
  <si>
    <t>Q2_BlackFriday_CMP-00260</t>
  </si>
  <si>
    <t>CMP-00261</t>
  </si>
  <si>
    <t>Q3_Launch_CMP-00261</t>
  </si>
  <si>
    <t>CMP-00262</t>
  </si>
  <si>
    <t>Q2_Summer_CMP-00262</t>
  </si>
  <si>
    <t>CMP-00263</t>
  </si>
  <si>
    <t>Q3_BlackFriday_CMP-00263</t>
  </si>
  <si>
    <t>CMP-00264</t>
  </si>
  <si>
    <t>Q4_Launch_CMP-00264</t>
  </si>
  <si>
    <t>CMP-00265</t>
  </si>
  <si>
    <t>Q4_Launch_CMP-00265</t>
  </si>
  <si>
    <t>CMP-00266</t>
  </si>
  <si>
    <t>Q2_BlackFriday_CMP-00266</t>
  </si>
  <si>
    <t>CMP-00267</t>
  </si>
  <si>
    <t>Q2_Winter_CMP-00267</t>
  </si>
  <si>
    <t>14/03/2023</t>
  </si>
  <si>
    <t>CMP-00268</t>
  </si>
  <si>
    <t>Q3_Launch_CMP-00268</t>
  </si>
  <si>
    <t>CMP-00269</t>
  </si>
  <si>
    <t>Q1_BlackFriday_CMP-00269</t>
  </si>
  <si>
    <t>CMP-00270</t>
  </si>
  <si>
    <t>Q2_Winter_CMP-00270</t>
  </si>
  <si>
    <t>CMP-00271</t>
  </si>
  <si>
    <t>Q4_Launch_CMP-00271</t>
  </si>
  <si>
    <t>CMP-00272</t>
  </si>
  <si>
    <t>Q4_Launch_CMP-00272</t>
  </si>
  <si>
    <t>CMP-00273</t>
  </si>
  <si>
    <t>Q3_BlackFriday_CMP-00273</t>
  </si>
  <si>
    <t>CMP-00274</t>
  </si>
  <si>
    <t>Q1_Launch_CMP-00274</t>
  </si>
  <si>
    <t>CMP-00275</t>
  </si>
  <si>
    <t>Q4_Winter_CMP-00275</t>
  </si>
  <si>
    <t>CMP-00276</t>
  </si>
  <si>
    <t>Q3_BlackFriday_CMP-00276</t>
  </si>
  <si>
    <t>CMP-00277</t>
  </si>
  <si>
    <t>Q1_Launch_CMP-00277</t>
  </si>
  <si>
    <t>CMP-00278</t>
  </si>
  <si>
    <t>Q2_Summer_CMP-00278</t>
  </si>
  <si>
    <t>CMP-00279</t>
  </si>
  <si>
    <t>Q3_Launch_CMP-00279</t>
  </si>
  <si>
    <t>CMP-00280</t>
  </si>
  <si>
    <t>Q3_BlackFriday_CMP-00280</t>
  </si>
  <si>
    <t>CMP-00281</t>
  </si>
  <si>
    <t>Q4_Summer_CMP-00281</t>
  </si>
  <si>
    <t>CMP-00282</t>
  </si>
  <si>
    <t>Q1_Winter_CMP-00282</t>
  </si>
  <si>
    <t>CMP-00283</t>
  </si>
  <si>
    <t>Q3_Launch_CMP-00283</t>
  </si>
  <si>
    <t>CMP-00284</t>
  </si>
  <si>
    <t>Q2_BlackFriday_CMP-00284</t>
  </si>
  <si>
    <t>CMP-00285</t>
  </si>
  <si>
    <t>Q2_Summer_CMP-00285</t>
  </si>
  <si>
    <t>CMP-00286</t>
  </si>
  <si>
    <t>Q2_BlackFriday_CMP-00286</t>
  </si>
  <si>
    <t>CMP-00287</t>
  </si>
  <si>
    <t>Q3_Winter_CMP-00287</t>
  </si>
  <si>
    <t>CMP-00288</t>
  </si>
  <si>
    <t>Q3_Summer_CMP-00288</t>
  </si>
  <si>
    <t>31/07/2023</t>
  </si>
  <si>
    <t>CMP-00289</t>
  </si>
  <si>
    <t>Q1_BlackFriday_CMP-00289</t>
  </si>
  <si>
    <t>CMP-00290</t>
  </si>
  <si>
    <t>Q1_BlackFriday_CMP-00290</t>
  </si>
  <si>
    <t>CMP-00291</t>
  </si>
  <si>
    <t>Q2_Launch_CMP-00291</t>
  </si>
  <si>
    <t>CMP-00292</t>
  </si>
  <si>
    <t>Q3_Winter_CMP-00292</t>
  </si>
  <si>
    <t>CMP-00293</t>
  </si>
  <si>
    <t>Q1_Launch_CMP-00293</t>
  </si>
  <si>
    <t>CMP-00294</t>
  </si>
  <si>
    <t>Q3_Winter_CMP-00294</t>
  </si>
  <si>
    <t>CMP-00295</t>
  </si>
  <si>
    <t>Q2_Summer_CMP-00295</t>
  </si>
  <si>
    <t>CMP-00296</t>
  </si>
  <si>
    <t>Q3_Summer_CMP-00296</t>
  </si>
  <si>
    <t>CMP-00297</t>
  </si>
  <si>
    <t>Q4_Launch_CMP-00297</t>
  </si>
  <si>
    <t>CMP-00298</t>
  </si>
  <si>
    <t>Q3_BlackFriday_CMP-00298</t>
  </si>
  <si>
    <t>CMP-00299</t>
  </si>
  <si>
    <t>Q2_Winter_CMP-00299</t>
  </si>
  <si>
    <t>CMP-00300</t>
  </si>
  <si>
    <t>Q1_Launch_CMP-00300</t>
  </si>
  <si>
    <t>CMP-00301</t>
  </si>
  <si>
    <t>Q4_Summer_CMP-00301</t>
  </si>
  <si>
    <t>CMP-00302</t>
  </si>
  <si>
    <t>Q3_Launch_CMP-00302</t>
  </si>
  <si>
    <t>CMP-00303</t>
  </si>
  <si>
    <t>Q1_Summer_CMP-00303</t>
  </si>
  <si>
    <t>CMP-00304</t>
  </si>
  <si>
    <t>Q4_Winter_CMP-00304</t>
  </si>
  <si>
    <t>CMP-00305</t>
  </si>
  <si>
    <t>Q3_Launch_CMP-00305</t>
  </si>
  <si>
    <t>CMP-00306</t>
  </si>
  <si>
    <t>Q2_Summer_CMP-00306</t>
  </si>
  <si>
    <t>CMP-00307</t>
  </si>
  <si>
    <t>Q3_Summer_CMP-00307</t>
  </si>
  <si>
    <t>CMP-00308</t>
  </si>
  <si>
    <t>Q1_Launch_CMP-00308</t>
  </si>
  <si>
    <t>CMP-00309</t>
  </si>
  <si>
    <t>Q3_Winter_CMP-00309</t>
  </si>
  <si>
    <t>CMP-00310</t>
  </si>
  <si>
    <t>Q4_Summer_CMP-00310</t>
  </si>
  <si>
    <t>CMP-00311</t>
  </si>
  <si>
    <t>Q1_BlackFriday_CMP-00311</t>
  </si>
  <si>
    <t>CMP-00312</t>
  </si>
  <si>
    <t>Q1_Summer_CMP-00312</t>
  </si>
  <si>
    <t>CMP-00313</t>
  </si>
  <si>
    <t>Q4_Summer_CMP-00313</t>
  </si>
  <si>
    <t>CMP-00314</t>
  </si>
  <si>
    <t>Q4_BlackFriday_CMP-00314</t>
  </si>
  <si>
    <t>CMP-00315</t>
  </si>
  <si>
    <t>Q3_BlackFriday_CMP-00315</t>
  </si>
  <si>
    <t>CMP-00316</t>
  </si>
  <si>
    <t>Q3_Launch_CMP-00316</t>
  </si>
  <si>
    <t>14/08/2023</t>
  </si>
  <si>
    <t>CMP-00317</t>
  </si>
  <si>
    <t>Q1_BlackFriday_CMP-00317</t>
  </si>
  <si>
    <t>22/08/2023</t>
  </si>
  <si>
    <t>CMP-00318</t>
  </si>
  <si>
    <t>Q4_Summer_CMP-00318</t>
  </si>
  <si>
    <t>CMP-00319</t>
  </si>
  <si>
    <t>Q4_BlackFriday_CMP-00319</t>
  </si>
  <si>
    <t>21/03/2023</t>
  </si>
  <si>
    <t>CMP-00320</t>
  </si>
  <si>
    <t>Q4_Launch_CMP-00320</t>
  </si>
  <si>
    <t>CMP-00321</t>
  </si>
  <si>
    <t>Q1_BlackFriday_CMP-00321</t>
  </si>
  <si>
    <t>29/11/2023</t>
  </si>
  <si>
    <t>CMP-00322</t>
  </si>
  <si>
    <t>Q1_Summer_CMP-00322</t>
  </si>
  <si>
    <t>CMP-00323</t>
  </si>
  <si>
    <t>Q2_Summer_CMP-00323</t>
  </si>
  <si>
    <t>CMP-00324</t>
  </si>
  <si>
    <t>Q1_Winter_CMP-00324</t>
  </si>
  <si>
    <t>CMP-00325</t>
  </si>
  <si>
    <t>Q1_BlackFriday_CMP-00325</t>
  </si>
  <si>
    <t>CMP-00326</t>
  </si>
  <si>
    <t>Q4_Winter_CMP-00326</t>
  </si>
  <si>
    <t>CMP-00327</t>
  </si>
  <si>
    <t>Q2_Summer_CMP-00327</t>
  </si>
  <si>
    <t>CMP-00328</t>
  </si>
  <si>
    <t>Q2_BlackFriday_CMP-00328</t>
  </si>
  <si>
    <t>CMP-00329</t>
  </si>
  <si>
    <t>Q1_Summer_CMP-00329</t>
  </si>
  <si>
    <t>CMP-00330</t>
  </si>
  <si>
    <t>Q3_Summer_CMP-00330</t>
  </si>
  <si>
    <t>CMP-00331</t>
  </si>
  <si>
    <t>Q1_Summer_CMP-00331</t>
  </si>
  <si>
    <t>CMP-00332</t>
  </si>
  <si>
    <t>Q3_Summer_CMP-00332</t>
  </si>
  <si>
    <t>CMP-00333</t>
  </si>
  <si>
    <t>Q3_BlackFriday_CMP-00333</t>
  </si>
  <si>
    <t>CMP-00334</t>
  </si>
  <si>
    <t>Q4_BlackFriday_CMP-00334</t>
  </si>
  <si>
    <t>CMP-00335</t>
  </si>
  <si>
    <t>Q2_Winter_CMP-00335</t>
  </si>
  <si>
    <t>CMP-00336</t>
  </si>
  <si>
    <t>Q4_Summer_CMP-00336</t>
  </si>
  <si>
    <t>CMP-00337</t>
  </si>
  <si>
    <t>Q2_BlackFriday_CMP-00337</t>
  </si>
  <si>
    <t>CMP-00338</t>
  </si>
  <si>
    <t>Q2_Launch_CMP-00338</t>
  </si>
  <si>
    <t>22/03/2023</t>
  </si>
  <si>
    <t>CMP-00339</t>
  </si>
  <si>
    <t>Q4_Summer_CMP-00339</t>
  </si>
  <si>
    <t>CMP-00340</t>
  </si>
  <si>
    <t>Q2_Launch_CMP-00340</t>
  </si>
  <si>
    <t>CMP-00341</t>
  </si>
  <si>
    <t>Q4_BlackFriday_CMP-00341</t>
  </si>
  <si>
    <t>CMP-00342</t>
  </si>
  <si>
    <t>Q3_Launch_CMP-00342</t>
  </si>
  <si>
    <t>CMP-00343</t>
  </si>
  <si>
    <t>Q2_Summer_CMP-00343</t>
  </si>
  <si>
    <t>CMP-00344</t>
  </si>
  <si>
    <t>Q3_BlackFriday_CMP-00344</t>
  </si>
  <si>
    <t>CMP-00345</t>
  </si>
  <si>
    <t>Q1_BlackFriday_CMP-00345</t>
  </si>
  <si>
    <t>CMP-00346</t>
  </si>
  <si>
    <t>Q2_Winter_CMP-00346</t>
  </si>
  <si>
    <t>CMP-00347</t>
  </si>
  <si>
    <t>Q1_Summer_CMP-00347</t>
  </si>
  <si>
    <t>CMP-00348</t>
  </si>
  <si>
    <t>Q4_Summer_CMP-00348</t>
  </si>
  <si>
    <t>CMP-00349</t>
  </si>
  <si>
    <t>Q2_Summer_CMP-00349</t>
  </si>
  <si>
    <t>CMP-00350</t>
  </si>
  <si>
    <t>Q2_Launch_CMP-00350</t>
  </si>
  <si>
    <t>CMP-00351</t>
  </si>
  <si>
    <t>Q4_Winter_CMP-00351</t>
  </si>
  <si>
    <t>CMP-00352</t>
  </si>
  <si>
    <t>Q4_Summer_CMP-00352</t>
  </si>
  <si>
    <t>CMP-00353</t>
  </si>
  <si>
    <t>Q3_Winter_CMP-00353</t>
  </si>
  <si>
    <t>CMP-00354</t>
  </si>
  <si>
    <t>Q3_BlackFriday_CMP-00354</t>
  </si>
  <si>
    <t>CMP-00355</t>
  </si>
  <si>
    <t>Q4_Winter_CMP-00355</t>
  </si>
  <si>
    <t>CMP-00356</t>
  </si>
  <si>
    <t>Q1_Winter_CMP-00356</t>
  </si>
  <si>
    <t>CMP-00357</t>
  </si>
  <si>
    <t>Q2_BlackFriday_CMP-00357</t>
  </si>
  <si>
    <t>CMP-00358</t>
  </si>
  <si>
    <t>Q4_Launch_CMP-00358</t>
  </si>
  <si>
    <t>CMP-00359</t>
  </si>
  <si>
    <t>Q2_Launch_CMP-00359</t>
  </si>
  <si>
    <t>CMP-00360</t>
  </si>
  <si>
    <t>Q2_Summer_CMP-00360</t>
  </si>
  <si>
    <t>CMP-00361</t>
  </si>
  <si>
    <t>Q3_Launch_CMP-00361</t>
  </si>
  <si>
    <t>CMP-00362</t>
  </si>
  <si>
    <t>Q2_BlackFriday_CMP-00362</t>
  </si>
  <si>
    <t>CMP-00363</t>
  </si>
  <si>
    <t>Q1_Winter_CMP-00363</t>
  </si>
  <si>
    <t>CMP-00364</t>
  </si>
  <si>
    <t>Q4_Summer_CMP-00364</t>
  </si>
  <si>
    <t>CMP-00365</t>
  </si>
  <si>
    <t>Q1_Winter_CMP-00365</t>
  </si>
  <si>
    <t>CMP-00366</t>
  </si>
  <si>
    <t>Q1_Launch_CMP-00366</t>
  </si>
  <si>
    <t>CMP-00367</t>
  </si>
  <si>
    <t>Q2_BlackFriday_CMP-00367</t>
  </si>
  <si>
    <t>CMP-00368</t>
  </si>
  <si>
    <t>Q1_Launch_CMP-00368</t>
  </si>
  <si>
    <t>CMP-00369</t>
  </si>
  <si>
    <t>Q4_BlackFriday_CMP-00369</t>
  </si>
  <si>
    <t>CMP-00370</t>
  </si>
  <si>
    <t>Q3_Summer_CMP-00370</t>
  </si>
  <si>
    <t>CMP-00371</t>
  </si>
  <si>
    <t>Q1_BlackFriday_CMP-00371</t>
  </si>
  <si>
    <t>CMP-00372</t>
  </si>
  <si>
    <t>Q4_Winter_CMP-00372</t>
  </si>
  <si>
    <t>13/03/2023</t>
  </si>
  <si>
    <t>CMP-00373</t>
  </si>
  <si>
    <t>Q2_Launch_CMP-00373</t>
  </si>
  <si>
    <t>CMP-00374</t>
  </si>
  <si>
    <t>Q4_BlackFriday_CMP-00374</t>
  </si>
  <si>
    <t>CMP-00375</t>
  </si>
  <si>
    <t>Q1_Launch_CMP-00375</t>
  </si>
  <si>
    <t>CMP-00376</t>
  </si>
  <si>
    <t>Q3_BlackFriday_CMP-00376</t>
  </si>
  <si>
    <t>CMP-00377</t>
  </si>
  <si>
    <t>Q1_Summer_CMP-00377</t>
  </si>
  <si>
    <t>CMP-00378</t>
  </si>
  <si>
    <t>Q4_Launch_CMP-00378</t>
  </si>
  <si>
    <t>CMP-00379</t>
  </si>
  <si>
    <t>Q2_BlackFriday_CMP-00379</t>
  </si>
  <si>
    <t>24/05/2023</t>
  </si>
  <si>
    <t>CMP-00380</t>
  </si>
  <si>
    <t>Q2_Launch_CMP-00380</t>
  </si>
  <si>
    <t>CMP-00381</t>
  </si>
  <si>
    <t>Q2_BlackFriday_CMP-00381</t>
  </si>
  <si>
    <t>CMP-00382</t>
  </si>
  <si>
    <t>Q4_Launch_CMP-00382</t>
  </si>
  <si>
    <t>CMP-00383</t>
  </si>
  <si>
    <t>Q1_Summer_CMP-00383</t>
  </si>
  <si>
    <t>CMP-00384</t>
  </si>
  <si>
    <t>Q2_Summer_CMP-00384</t>
  </si>
  <si>
    <t>CMP-00385</t>
  </si>
  <si>
    <t>Q2_Summer_CMP-00385</t>
  </si>
  <si>
    <t>CMP-00386</t>
  </si>
  <si>
    <t>Q1_Summer_CMP-00386</t>
  </si>
  <si>
    <t>CMP-00387</t>
  </si>
  <si>
    <t>Q3_Winter_CMP-00387</t>
  </si>
  <si>
    <t>CMP-00388</t>
  </si>
  <si>
    <t>Q1_Summer_CMP-00388</t>
  </si>
  <si>
    <t>CMP-00389</t>
  </si>
  <si>
    <t>Q3_Winter_CMP-00389</t>
  </si>
  <si>
    <t>CMP-00390</t>
  </si>
  <si>
    <t>Q4_Launch_CMP-00390</t>
  </si>
  <si>
    <t>CMP-00391</t>
  </si>
  <si>
    <t>Q4_Summer_CMP-00391</t>
  </si>
  <si>
    <t>CMP-00392</t>
  </si>
  <si>
    <t>Q2_BlackFriday_CMP-00392</t>
  </si>
  <si>
    <t>CMP-00393</t>
  </si>
  <si>
    <t>Q4_Winter_CMP-00393</t>
  </si>
  <si>
    <t>CMP-00394</t>
  </si>
  <si>
    <t>Q2_Winter_CMP-00394</t>
  </si>
  <si>
    <t>CMP-00395</t>
  </si>
  <si>
    <t>Q3_BlackFriday_CMP-00395</t>
  </si>
  <si>
    <t>CMP-00396</t>
  </si>
  <si>
    <t>Q3_Summer_CMP-00396</t>
  </si>
  <si>
    <t>CMP-00397</t>
  </si>
  <si>
    <t>Q1_Winter_CMP-00397</t>
  </si>
  <si>
    <t>16/05/2023</t>
  </si>
  <si>
    <t>CMP-00398</t>
  </si>
  <si>
    <t>Q4_BlackFriday_CMP-00398</t>
  </si>
  <si>
    <t>CMP-00399</t>
  </si>
  <si>
    <t>Q2_Winter_CMP-00399</t>
  </si>
  <si>
    <t>CMP-00400</t>
  </si>
  <si>
    <t>Q3_Summer_CMP-00400</t>
  </si>
  <si>
    <t>CMP-00401</t>
  </si>
  <si>
    <t>Q2_Winter_CMP-00401</t>
  </si>
  <si>
    <t>CMP-00402</t>
  </si>
  <si>
    <t>Q3_Launch_CMP-00402</t>
  </si>
  <si>
    <t>CMP-00403</t>
  </si>
  <si>
    <t>Q2_Summer_CMP-00403</t>
  </si>
  <si>
    <t>16/01/2023</t>
  </si>
  <si>
    <t>CMP-00404</t>
  </si>
  <si>
    <t>Q4_Launch_CMP-00404</t>
  </si>
  <si>
    <t>CMP-00405</t>
  </si>
  <si>
    <t>Q3_Summer_CMP-00405</t>
  </si>
  <si>
    <t>CMP-00406</t>
  </si>
  <si>
    <t>Q2_BlackFriday_CMP-00406</t>
  </si>
  <si>
    <t>CMP-00407</t>
  </si>
  <si>
    <t>Q1_Winter_CMP-00407</t>
  </si>
  <si>
    <t>17/03/2023</t>
  </si>
  <si>
    <t>CMP-00408</t>
  </si>
  <si>
    <t>Q1_BlackFriday_CMP-00408</t>
  </si>
  <si>
    <t>CMP-00409</t>
  </si>
  <si>
    <t>Q4_Summer_CMP-00409</t>
  </si>
  <si>
    <t>CMP-00410</t>
  </si>
  <si>
    <t>Q4_Winter_CMP-00410</t>
  </si>
  <si>
    <t>CMP-00411</t>
  </si>
  <si>
    <t>Q4_Summer_CMP-00411</t>
  </si>
  <si>
    <t>CMP-00412</t>
  </si>
  <si>
    <t>Q1_Summer_CMP-00412</t>
  </si>
  <si>
    <t>CMP-00413</t>
  </si>
  <si>
    <t>Q3_Winter_CMP-00413</t>
  </si>
  <si>
    <t>CMP-00414</t>
  </si>
  <si>
    <t>Q2_Winter_CMP-00414</t>
  </si>
  <si>
    <t>CMP-00415</t>
  </si>
  <si>
    <t>Q1_Summer_CMP-00415</t>
  </si>
  <si>
    <t>CMP-00416</t>
  </si>
  <si>
    <t>Q3_BlackFriday_CMP-00416</t>
  </si>
  <si>
    <t>CMP-00417</t>
  </si>
  <si>
    <t>Q4_Launch_CMP-00417</t>
  </si>
  <si>
    <t>CMP-00418</t>
  </si>
  <si>
    <t>Q3_BlackFriday_CMP-00418</t>
  </si>
  <si>
    <t>31/08/2023</t>
  </si>
  <si>
    <t>CMP-00419</t>
  </si>
  <si>
    <t>Q4_BlackFriday_CMP-00419</t>
  </si>
  <si>
    <t>13/02/2023</t>
  </si>
  <si>
    <t>CMP-00420</t>
  </si>
  <si>
    <t>Q3_Launch_CMP-00420</t>
  </si>
  <si>
    <t>CMP-00421</t>
  </si>
  <si>
    <t>Q1_BlackFriday_CMP-00421</t>
  </si>
  <si>
    <t>CMP-00422</t>
  </si>
  <si>
    <t>Q3_BlackFriday_CMP-00422</t>
  </si>
  <si>
    <t>CMP-00423</t>
  </si>
  <si>
    <t>Q4_Summer_CMP-00423</t>
  </si>
  <si>
    <t>CMP-00424</t>
  </si>
  <si>
    <t>Q3_Summer_CMP-00424</t>
  </si>
  <si>
    <t>CMP-00425</t>
  </si>
  <si>
    <t>Q2_Launch_CMP-00425</t>
  </si>
  <si>
    <t>CMP-00426</t>
  </si>
  <si>
    <t>Q2_Winter_CMP-00426</t>
  </si>
  <si>
    <t>CMP-00427</t>
  </si>
  <si>
    <t>Q3_Launch_CMP-00427</t>
  </si>
  <si>
    <t>CMP-00428</t>
  </si>
  <si>
    <t>Q1_Winter_CMP-00428</t>
  </si>
  <si>
    <t>CMP-00429</t>
  </si>
  <si>
    <t>Q4_BlackFriday_CMP-00429</t>
  </si>
  <si>
    <t>CMP-00430</t>
  </si>
  <si>
    <t>Q2_Summer_CMP-00430</t>
  </si>
  <si>
    <t>CMP-00431</t>
  </si>
  <si>
    <t>Q2_Launch_CMP-00431</t>
  </si>
  <si>
    <t>CMP-00432</t>
  </si>
  <si>
    <t>Q1_BlackFriday_CMP-00432</t>
  </si>
  <si>
    <t>CMP-00433</t>
  </si>
  <si>
    <t>Q4_Winter_CMP-00433</t>
  </si>
  <si>
    <t>17/05/2023</t>
  </si>
  <si>
    <t>CMP-00434</t>
  </si>
  <si>
    <t>Q3_BlackFriday_CMP-00434</t>
  </si>
  <si>
    <t>CMP-00435</t>
  </si>
  <si>
    <t>Q3_Launch_CMP-00435</t>
  </si>
  <si>
    <t>CMP-00436</t>
  </si>
  <si>
    <t>Q4_BlackFriday_CMP-00436</t>
  </si>
  <si>
    <t>CMP-00437</t>
  </si>
  <si>
    <t>Q3_Winter_CMP-00437</t>
  </si>
  <si>
    <t>CMP-00438</t>
  </si>
  <si>
    <t>Q1_BlackFriday_CMP-00438</t>
  </si>
  <si>
    <t>CMP-00439</t>
  </si>
  <si>
    <t>Q1_Launch_CMP-00439</t>
  </si>
  <si>
    <t>CMP-00440</t>
  </si>
  <si>
    <t>Q4_BlackFriday_CMP-00440</t>
  </si>
  <si>
    <t>CMP-00441</t>
  </si>
  <si>
    <t>Q3_Summer_CMP-00441</t>
  </si>
  <si>
    <t>CMP-00442</t>
  </si>
  <si>
    <t>Q1_Launch_CMP-00442</t>
  </si>
  <si>
    <t>CMP-00443</t>
  </si>
  <si>
    <t>Q2_Launch_CMP-00443</t>
  </si>
  <si>
    <t>CMP-00444</t>
  </si>
  <si>
    <t>Q2_BlackFriday_CMP-00444</t>
  </si>
  <si>
    <t>CMP-00445</t>
  </si>
  <si>
    <t>Q2_BlackFriday_CMP-00445</t>
  </si>
  <si>
    <t>CMP-00446</t>
  </si>
  <si>
    <t>Q4_BlackFriday_CMP-00446</t>
  </si>
  <si>
    <t>CMP-00447</t>
  </si>
  <si>
    <t>Q1_BlackFriday_CMP-00447</t>
  </si>
  <si>
    <t>CMP-00448</t>
  </si>
  <si>
    <t>Q1_Launch_CMP-00448</t>
  </si>
  <si>
    <t>CMP-00449</t>
  </si>
  <si>
    <t>Q1_Winter_CMP-00449</t>
  </si>
  <si>
    <t>CMP-00450</t>
  </si>
  <si>
    <t>Q3_Summer_CMP-00450</t>
  </si>
  <si>
    <t>CMP-00451</t>
  </si>
  <si>
    <t>Q1_Launch_CMP-00451</t>
  </si>
  <si>
    <t>CMP-00452</t>
  </si>
  <si>
    <t>Q3_Summer_CMP-00452</t>
  </si>
  <si>
    <t>CMP-00453</t>
  </si>
  <si>
    <t>Q4_BlackFriday_CMP-00453</t>
  </si>
  <si>
    <t>CMP-00454</t>
  </si>
  <si>
    <t>Q1_Summer_CMP-00454</t>
  </si>
  <si>
    <t>CMP-00455</t>
  </si>
  <si>
    <t>Q3_Winter_CMP-00455</t>
  </si>
  <si>
    <t>CMP-00456</t>
  </si>
  <si>
    <t>Q3_BlackFriday_CMP-00456</t>
  </si>
  <si>
    <t>CMP-00457</t>
  </si>
  <si>
    <t>Q2_Summer_CMP-00457</t>
  </si>
  <si>
    <t>CMP-00458</t>
  </si>
  <si>
    <t>Q3_Winter_CMP-00458</t>
  </si>
  <si>
    <t>CMP-00459</t>
  </si>
  <si>
    <t>Q2_Launch_CMP-00459</t>
  </si>
  <si>
    <t>CMP-00460</t>
  </si>
  <si>
    <t>Q1_BlackFriday_CMP-00460</t>
  </si>
  <si>
    <t>CMP-00461</t>
  </si>
  <si>
    <t>Q2_Summer_CMP-00461</t>
  </si>
  <si>
    <t>CMP-00462</t>
  </si>
  <si>
    <t>Q4_BlackFriday_CMP-00462</t>
  </si>
  <si>
    <t>CMP-00463</t>
  </si>
  <si>
    <t>Q2_Launch_CMP-00463</t>
  </si>
  <si>
    <t>CMP-00464</t>
  </si>
  <si>
    <t>Q4_Launch_CMP-00464</t>
  </si>
  <si>
    <t>CMP-00465</t>
  </si>
  <si>
    <t>Q1_BlackFriday_CMP-00465</t>
  </si>
  <si>
    <t>CMP-00466</t>
  </si>
  <si>
    <t>Q3_BlackFriday_CMP-00466</t>
  </si>
  <si>
    <t>CMP-00467</t>
  </si>
  <si>
    <t>Q2_Launch_CMP-00467</t>
  </si>
  <si>
    <t>CMP-00468</t>
  </si>
  <si>
    <t>Q3_Winter_CMP-00468</t>
  </si>
  <si>
    <t>CMP-00469</t>
  </si>
  <si>
    <t>Q2_BlackFriday_CMP-00469</t>
  </si>
  <si>
    <t>CMP-00470</t>
  </si>
  <si>
    <t>Q2_Launch_CMP-00470</t>
  </si>
  <si>
    <t>CMP-00471</t>
  </si>
  <si>
    <t>Q2_BlackFriday_CMP-00471</t>
  </si>
  <si>
    <t>CMP-00472</t>
  </si>
  <si>
    <t>Q3_Summer_CMP-00472</t>
  </si>
  <si>
    <t>CMP-00473</t>
  </si>
  <si>
    <t>Q3_Launch_CMP-00473</t>
  </si>
  <si>
    <t>CMP-00474</t>
  </si>
  <si>
    <t>Q2_Launch_CMP-00474</t>
  </si>
  <si>
    <t>CMP-00475</t>
  </si>
  <si>
    <t>Q4_Summer_CMP-00475</t>
  </si>
  <si>
    <t>CMP-00476</t>
  </si>
  <si>
    <t>Q2_Launch_CMP-00476</t>
  </si>
  <si>
    <t>CMP-00477</t>
  </si>
  <si>
    <t>Q3_BlackFriday_CMP-00477</t>
  </si>
  <si>
    <t>CMP-00478</t>
  </si>
  <si>
    <t>Q4_BlackFriday_CMP-00478</t>
  </si>
  <si>
    <t>CMP-00479</t>
  </si>
  <si>
    <t>Q4_Launch_CMP-00479</t>
  </si>
  <si>
    <t>CMP-00480</t>
  </si>
  <si>
    <t>Q4_Launch_CMP-00480</t>
  </si>
  <si>
    <t>CMP-00481</t>
  </si>
  <si>
    <t>Q4_Summer_CMP-00481</t>
  </si>
  <si>
    <t>CMP-00482</t>
  </si>
  <si>
    <t>Q1_Launch_CMP-00482</t>
  </si>
  <si>
    <t>CMP-00483</t>
  </si>
  <si>
    <t>Q1_Winter_CMP-00483</t>
  </si>
  <si>
    <t>CMP-00484</t>
  </si>
  <si>
    <t>Q3_Winter_CMP-00484</t>
  </si>
  <si>
    <t>CMP-00485</t>
  </si>
  <si>
    <t>Q3_Winter_CMP-00485</t>
  </si>
  <si>
    <t>CMP-00486</t>
  </si>
  <si>
    <t>Q3_Summer_CMP-00486</t>
  </si>
  <si>
    <t>CMP-00487</t>
  </si>
  <si>
    <t>Q4_Winter_CMP-00487</t>
  </si>
  <si>
    <t>CMP-00488</t>
  </si>
  <si>
    <t>Q4_Summer_CMP-00488</t>
  </si>
  <si>
    <t>CMP-00489</t>
  </si>
  <si>
    <t>Q4_Launch_CMP-00489</t>
  </si>
  <si>
    <t>CMP-00490</t>
  </si>
  <si>
    <t>Q1_Summer_CMP-00490</t>
  </si>
  <si>
    <t>CMP-00491</t>
  </si>
  <si>
    <t>Q1_BlackFriday_CMP-00491</t>
  </si>
  <si>
    <t>CMP-00492</t>
  </si>
  <si>
    <t>Q1_BlackFriday_CMP-00492</t>
  </si>
  <si>
    <t>CMP-00493</t>
  </si>
  <si>
    <t>Q1_BlackFriday_CMP-00493</t>
  </si>
  <si>
    <t>CMP-00494</t>
  </si>
  <si>
    <t>Q4_BlackFriday_CMP-00494</t>
  </si>
  <si>
    <t>CMP-00495</t>
  </si>
  <si>
    <t>Q1_Summer_CMP-00495</t>
  </si>
  <si>
    <t>CMP-00496</t>
  </si>
  <si>
    <t>Q1_Winter_CMP-00496</t>
  </si>
  <si>
    <t>CMP-00497</t>
  </si>
  <si>
    <t>Q2_Launch_CMP-00497</t>
  </si>
  <si>
    <t>CMP-00498</t>
  </si>
  <si>
    <t>Q2_Winter_CMP-00498</t>
  </si>
  <si>
    <t>CMP-00499</t>
  </si>
  <si>
    <t>Q2_BlackFriday_CMP-00499</t>
  </si>
  <si>
    <t>CMP-00500</t>
  </si>
  <si>
    <t>Q3_Summer_CMP-00500</t>
  </si>
  <si>
    <t>CMP-00501</t>
  </si>
  <si>
    <t>Q4_Winter_CMP-00501</t>
  </si>
  <si>
    <t>CMP-00502</t>
  </si>
  <si>
    <t>Q1_Summer_CMP-00502</t>
  </si>
  <si>
    <t>CMP-00503</t>
  </si>
  <si>
    <t>Q1_Winter_CMP-00503</t>
  </si>
  <si>
    <t>CMP-00504</t>
  </si>
  <si>
    <t>Q1_Summer_CMP-00504</t>
  </si>
  <si>
    <t>CMP-00505</t>
  </si>
  <si>
    <t>Q2_Winter_CMP-00505</t>
  </si>
  <si>
    <t>CMP-00506</t>
  </si>
  <si>
    <t>Q1_Launch_CMP-00506</t>
  </si>
  <si>
    <t>CMP-00507</t>
  </si>
  <si>
    <t>Q1_Launch_CMP-00507</t>
  </si>
  <si>
    <t>CMP-00508</t>
  </si>
  <si>
    <t>Q4_Summer_CMP-00508</t>
  </si>
  <si>
    <t>CMP-00509</t>
  </si>
  <si>
    <t>Q1_BlackFriday_CMP-00509</t>
  </si>
  <si>
    <t>CMP-00510</t>
  </si>
  <si>
    <t>Q4_Launch_CMP-00510</t>
  </si>
  <si>
    <t>CMP-00511</t>
  </si>
  <si>
    <t>Q2_Winter_CMP-00511</t>
  </si>
  <si>
    <t>CMP-00512</t>
  </si>
  <si>
    <t>Q3_Launch_CMP-00512</t>
  </si>
  <si>
    <t>CMP-00513</t>
  </si>
  <si>
    <t>Q1_Launch_CMP-00513</t>
  </si>
  <si>
    <t>13/08/2023</t>
  </si>
  <si>
    <t>CMP-00514</t>
  </si>
  <si>
    <t>Q2_Summer_CMP-00514</t>
  </si>
  <si>
    <t>CMP-00515</t>
  </si>
  <si>
    <t>Q2_Winter_CMP-00515</t>
  </si>
  <si>
    <t>CMP-00516</t>
  </si>
  <si>
    <t>Q2_Winter_CMP-00516</t>
  </si>
  <si>
    <t>CMP-00517</t>
  </si>
  <si>
    <t>Q2_Launch_CMP-00517</t>
  </si>
  <si>
    <t>CMP-00518</t>
  </si>
  <si>
    <t>Q4_BlackFriday_CMP-00518</t>
  </si>
  <si>
    <t>CMP-00519</t>
  </si>
  <si>
    <t>Q3_Summer_CMP-00519</t>
  </si>
  <si>
    <t>CMP-00520</t>
  </si>
  <si>
    <t>Q4_BlackFriday_CMP-00520</t>
  </si>
  <si>
    <t>CMP-00521</t>
  </si>
  <si>
    <t>Q3_Launch_CMP-00521</t>
  </si>
  <si>
    <t>CMP-00522</t>
  </si>
  <si>
    <t>Q4_Summer_CMP-00522</t>
  </si>
  <si>
    <t>CMP-00523</t>
  </si>
  <si>
    <t>Q4_Launch_CMP-00523</t>
  </si>
  <si>
    <t>CMP-00524</t>
  </si>
  <si>
    <t>Q4_Winter_CMP-00524</t>
  </si>
  <si>
    <t>CMP-00525</t>
  </si>
  <si>
    <t>Q1_BlackFriday_CMP-00525</t>
  </si>
  <si>
    <t>CMP-00526</t>
  </si>
  <si>
    <t>Q4_Summer_CMP-00526</t>
  </si>
  <si>
    <t>CMP-00527</t>
  </si>
  <si>
    <t>Q4_Summer_CMP-00527</t>
  </si>
  <si>
    <t>CMP-00528</t>
  </si>
  <si>
    <t>Q3_Summer_CMP-00528</t>
  </si>
  <si>
    <t>CMP-00529</t>
  </si>
  <si>
    <t>Q4_Summer_CMP-00529</t>
  </si>
  <si>
    <t>CMP-00530</t>
  </si>
  <si>
    <t>Q3_Winter_CMP-00530</t>
  </si>
  <si>
    <t>CMP-00531</t>
  </si>
  <si>
    <t>Q4_Launch_CMP-00531</t>
  </si>
  <si>
    <t>CMP-00532</t>
  </si>
  <si>
    <t>Q3_Summer_CMP-00532</t>
  </si>
  <si>
    <t>CMP-00533</t>
  </si>
  <si>
    <t>Q2_BlackFriday_CMP-00533</t>
  </si>
  <si>
    <t>CMP-00534</t>
  </si>
  <si>
    <t>Q2_BlackFriday_CMP-00534</t>
  </si>
  <si>
    <t>CMP-00535</t>
  </si>
  <si>
    <t>Q4_Summer_CMP-00535</t>
  </si>
  <si>
    <t>CMP-00536</t>
  </si>
  <si>
    <t>Q2_Winter_CMP-00536</t>
  </si>
  <si>
    <t>CMP-00537</t>
  </si>
  <si>
    <t>Q3_BlackFriday_CMP-00537</t>
  </si>
  <si>
    <t>CMP-00538</t>
  </si>
  <si>
    <t>Q4_Winter_CMP-00538</t>
  </si>
  <si>
    <t>CMP-00539</t>
  </si>
  <si>
    <t>Q3_BlackFriday_CMP-00539</t>
  </si>
  <si>
    <t>CMP-00540</t>
  </si>
  <si>
    <t>Q4_Summer_CMP-00540</t>
  </si>
  <si>
    <t>CMP-00541</t>
  </si>
  <si>
    <t>Q4_Launch_CMP-00541</t>
  </si>
  <si>
    <t>23/08/2023</t>
  </si>
  <si>
    <t>CMP-00542</t>
  </si>
  <si>
    <t>Q4_Winter_CMP-00542</t>
  </si>
  <si>
    <t>CMP-00543</t>
  </si>
  <si>
    <t>Q3_Winter_CMP-00543</t>
  </si>
  <si>
    <t>CMP-00544</t>
  </si>
  <si>
    <t>Q3_BlackFriday_CMP-00544</t>
  </si>
  <si>
    <t>CMP-00545</t>
  </si>
  <si>
    <t>Q4_Summer_CMP-00545</t>
  </si>
  <si>
    <t>CMP-00546</t>
  </si>
  <si>
    <t>Q1_Summer_CMP-00546</t>
  </si>
  <si>
    <t>CMP-00547</t>
  </si>
  <si>
    <t>Q2_Winter_CMP-00547</t>
  </si>
  <si>
    <t>CMP-00548</t>
  </si>
  <si>
    <t>Q1_Summer_CMP-00548</t>
  </si>
  <si>
    <t>CMP-00549</t>
  </si>
  <si>
    <t>Q4_Launch_CMP-00549</t>
  </si>
  <si>
    <t>CMP-00550</t>
  </si>
  <si>
    <t>Q3_Winter_CMP-00550</t>
  </si>
  <si>
    <t>29/08/2023</t>
  </si>
  <si>
    <t>CMP-00551</t>
  </si>
  <si>
    <t>Q2_Summer_CMP-00551</t>
  </si>
  <si>
    <t>CMP-00552</t>
  </si>
  <si>
    <t>Q2_Launch_CMP-00552</t>
  </si>
  <si>
    <t>CMP-00553</t>
  </si>
  <si>
    <t>Q4_Summer_CMP-00553</t>
  </si>
  <si>
    <t>CMP-00554</t>
  </si>
  <si>
    <t>Q1_BlackFriday_CMP-00554</t>
  </si>
  <si>
    <t>CMP-00555</t>
  </si>
  <si>
    <t>Q1_Summer_CMP-00555</t>
  </si>
  <si>
    <t>CMP-00556</t>
  </si>
  <si>
    <t>Q1_Launch_CMP-00556</t>
  </si>
  <si>
    <t>CMP-00557</t>
  </si>
  <si>
    <t>Q3_Summer_CMP-00557</t>
  </si>
  <si>
    <t>CMP-00558</t>
  </si>
  <si>
    <t>Q2_BlackFriday_CMP-00558</t>
  </si>
  <si>
    <t>CMP-00559</t>
  </si>
  <si>
    <t>Q1_Launch_CMP-00559</t>
  </si>
  <si>
    <t>CMP-00560</t>
  </si>
  <si>
    <t>Q4_Winter_CMP-00560</t>
  </si>
  <si>
    <t>14/04/2023</t>
  </si>
  <si>
    <t>CMP-00561</t>
  </si>
  <si>
    <t>Q2_Winter_CMP-00561</t>
  </si>
  <si>
    <t>CMP-00562</t>
  </si>
  <si>
    <t>Q3_Launch_CMP-00562</t>
  </si>
  <si>
    <t>CMP-00563</t>
  </si>
  <si>
    <t>Q4_BlackFriday_CMP-00563</t>
  </si>
  <si>
    <t>CMP-00564</t>
  </si>
  <si>
    <t>Q2_Winter_CMP-00564</t>
  </si>
  <si>
    <t>CMP-00565</t>
  </si>
  <si>
    <t>Q2_Launch_CMP-00565</t>
  </si>
  <si>
    <t>CMP-00566</t>
  </si>
  <si>
    <t>Q2_Summer_CMP-00566</t>
  </si>
  <si>
    <t>CMP-00567</t>
  </si>
  <si>
    <t>Q1_Summer_CMP-00567</t>
  </si>
  <si>
    <t>CMP-00568</t>
  </si>
  <si>
    <t>Q2_Summer_CMP-00568</t>
  </si>
  <si>
    <t>CMP-00569</t>
  </si>
  <si>
    <t>Q2_Summer_CMP-00569</t>
  </si>
  <si>
    <t>CMP-00570</t>
  </si>
  <si>
    <t>Q3_Launch_CMP-00570</t>
  </si>
  <si>
    <t>CMP-00571</t>
  </si>
  <si>
    <t>Q1_BlackFriday_CMP-00571</t>
  </si>
  <si>
    <t>CMP-00572</t>
  </si>
  <si>
    <t>Q2_Launch_CMP-00572</t>
  </si>
  <si>
    <t>CMP-00573</t>
  </si>
  <si>
    <t>Q2_Winter_CMP-00573</t>
  </si>
  <si>
    <t>CMP-00574</t>
  </si>
  <si>
    <t>Q4_BlackFriday_CMP-00574</t>
  </si>
  <si>
    <t>CMP-00575</t>
  </si>
  <si>
    <t>Q3_Winter_CMP-00575</t>
  </si>
  <si>
    <t>CMP-00576</t>
  </si>
  <si>
    <t>Q1_Launch_CMP-00576</t>
  </si>
  <si>
    <t>17/08/2023</t>
  </si>
  <si>
    <t>CMP-00577</t>
  </si>
  <si>
    <t>Q4_Launch_CMP-00577</t>
  </si>
  <si>
    <t>CMP-00578</t>
  </si>
  <si>
    <t>Q1_Summer_CMP-00578</t>
  </si>
  <si>
    <t>CMP-00579</t>
  </si>
  <si>
    <t>Q2_BlackFriday_CMP-00579</t>
  </si>
  <si>
    <t>CMP-00580</t>
  </si>
  <si>
    <t>Q1_Summer_CMP-00580</t>
  </si>
  <si>
    <t>CMP-00581</t>
  </si>
  <si>
    <t>Q4_Winter_CMP-00581</t>
  </si>
  <si>
    <t>CMP-00582</t>
  </si>
  <si>
    <t>Q1_BlackFriday_CMP-00582</t>
  </si>
  <si>
    <t>CMP-00583</t>
  </si>
  <si>
    <t>Q1_Winter_CMP-00583</t>
  </si>
  <si>
    <t>CMP-00584</t>
  </si>
  <si>
    <t>Q3_BlackFriday_CMP-00584</t>
  </si>
  <si>
    <t>CMP-00585</t>
  </si>
  <si>
    <t>Q4_BlackFriday_CMP-00585</t>
  </si>
  <si>
    <t>CMP-00586</t>
  </si>
  <si>
    <t>Q1_Winter_CMP-00586</t>
  </si>
  <si>
    <t>CMP-00587</t>
  </si>
  <si>
    <t>Q3_Summer_CMP-00587</t>
  </si>
  <si>
    <t>CMP-00588</t>
  </si>
  <si>
    <t>Q2_BlackFriday_CMP-00588</t>
  </si>
  <si>
    <t>CMP-00589</t>
  </si>
  <si>
    <t>Q4_Summer_CMP-00589</t>
  </si>
  <si>
    <t>28/02/2023</t>
  </si>
  <si>
    <t>CMP-00590</t>
  </si>
  <si>
    <t>Q1_Launch_CMP-00590</t>
  </si>
  <si>
    <t>CMP-00591</t>
  </si>
  <si>
    <t>Q3_Summer_CMP-00591</t>
  </si>
  <si>
    <t>CMP-00592</t>
  </si>
  <si>
    <t>Q1_BlackFriday_CMP-00592</t>
  </si>
  <si>
    <t>CMP-00593</t>
  </si>
  <si>
    <t>Q4_BlackFriday_CMP-00593</t>
  </si>
  <si>
    <t>CMP-00594</t>
  </si>
  <si>
    <t>Q2_BlackFriday_CMP-00594</t>
  </si>
  <si>
    <t>CMP-00595</t>
  </si>
  <si>
    <t>Q1_Winter_CMP-00595</t>
  </si>
  <si>
    <t>CMP-00596</t>
  </si>
  <si>
    <t>Q2_BlackFriday_CMP-00596</t>
  </si>
  <si>
    <t>CMP-00597</t>
  </si>
  <si>
    <t>Q1_Winter_CMP-00597</t>
  </si>
  <si>
    <t>CMP-00598</t>
  </si>
  <si>
    <t>Q4_Summer_CMP-00598</t>
  </si>
  <si>
    <t>CMP-00599</t>
  </si>
  <si>
    <t>Q1_BlackFriday_CMP-00599</t>
  </si>
  <si>
    <t>CMP-00600</t>
  </si>
  <si>
    <t>Q1_Launch_CMP-00600</t>
  </si>
  <si>
    <t>CMP-00601</t>
  </si>
  <si>
    <t>Q1_Launch_CMP-00601</t>
  </si>
  <si>
    <t>CMP-00602</t>
  </si>
  <si>
    <t>Q2_BlackFriday_CMP-00602</t>
  </si>
  <si>
    <t>CMP-00603</t>
  </si>
  <si>
    <t>Q1_Summer_CMP-00603</t>
  </si>
  <si>
    <t>CMP-00604</t>
  </si>
  <si>
    <t>Q1_Launch_CMP-00604</t>
  </si>
  <si>
    <t>CMP-00605</t>
  </si>
  <si>
    <t>Q2_BlackFriday_CMP-00605</t>
  </si>
  <si>
    <t>CMP-00606</t>
  </si>
  <si>
    <t>Q4_Launch_CMP-00606</t>
  </si>
  <si>
    <t>CMP-00607</t>
  </si>
  <si>
    <t>Q3_Winter_CMP-00607</t>
  </si>
  <si>
    <t>22/10/2023</t>
  </si>
  <si>
    <t>CMP-00608</t>
  </si>
  <si>
    <t>Q1_Summer_CMP-00608</t>
  </si>
  <si>
    <t>CMP-00609</t>
  </si>
  <si>
    <t>Q1_Winter_CMP-00609</t>
  </si>
  <si>
    <t>CMP-00610</t>
  </si>
  <si>
    <t>Q4_Summer_CMP-00610</t>
  </si>
  <si>
    <t>CMP-00611</t>
  </si>
  <si>
    <t>Q4_Summer_CMP-00611</t>
  </si>
  <si>
    <t>CMP-00612</t>
  </si>
  <si>
    <t>Q4_Launch_CMP-00612</t>
  </si>
  <si>
    <t>CMP-00613</t>
  </si>
  <si>
    <t>Q2_Launch_CMP-00613</t>
  </si>
  <si>
    <t>CMP-00614</t>
  </si>
  <si>
    <t>Q4_Winter_CMP-00614</t>
  </si>
  <si>
    <t>CMP-00615</t>
  </si>
  <si>
    <t>Q1_Launch_CMP-00615</t>
  </si>
  <si>
    <t>CMP-00616</t>
  </si>
  <si>
    <t>Q1_BlackFriday_CMP-00616</t>
  </si>
  <si>
    <t>CMP-00617</t>
  </si>
  <si>
    <t>Q3_Winter_CMP-00617</t>
  </si>
  <si>
    <t>CMP-00618</t>
  </si>
  <si>
    <t>Q3_Launch_CMP-00618</t>
  </si>
  <si>
    <t>CMP-00619</t>
  </si>
  <si>
    <t>Q1_Winter_CMP-00619</t>
  </si>
  <si>
    <t>CMP-00620</t>
  </si>
  <si>
    <t>Q2_Summer_CMP-00620</t>
  </si>
  <si>
    <t>CMP-00621</t>
  </si>
  <si>
    <t>Q1_Winter_CMP-00621</t>
  </si>
  <si>
    <t>CMP-00622</t>
  </si>
  <si>
    <t>Q4_Summer_CMP-00622</t>
  </si>
  <si>
    <t>CMP-00623</t>
  </si>
  <si>
    <t>Q1_Winter_CMP-00623</t>
  </si>
  <si>
    <t>CMP-00624</t>
  </si>
  <si>
    <t>Q1_Summer_CMP-00624</t>
  </si>
  <si>
    <t>CMP-00625</t>
  </si>
  <si>
    <t>Q1_Winter_CMP-00625</t>
  </si>
  <si>
    <t>CMP-00626</t>
  </si>
  <si>
    <t>Q4_Winter_CMP-00626</t>
  </si>
  <si>
    <t>CMP-00627</t>
  </si>
  <si>
    <t>Q3_Summer_CMP-00627</t>
  </si>
  <si>
    <t>CMP-00628</t>
  </si>
  <si>
    <t>Q3_BlackFriday_CMP-00628</t>
  </si>
  <si>
    <t>CMP-00629</t>
  </si>
  <si>
    <t>Q2_BlackFriday_CMP-00629</t>
  </si>
  <si>
    <t>19/12/2023</t>
  </si>
  <si>
    <t>CMP-00630</t>
  </si>
  <si>
    <t>Q2_Launch_CMP-00630</t>
  </si>
  <si>
    <t>CMP-00631</t>
  </si>
  <si>
    <t>Q4_Summer_CMP-00631</t>
  </si>
  <si>
    <t>CMP-00632</t>
  </si>
  <si>
    <t>Q1_Summer_CMP-00632</t>
  </si>
  <si>
    <t>CMP-00633</t>
  </si>
  <si>
    <t>Q3_Winter_CMP-00633</t>
  </si>
  <si>
    <t>CMP-00634</t>
  </si>
  <si>
    <t>Q4_BlackFriday_CMP-00634</t>
  </si>
  <si>
    <t>CMP-00635</t>
  </si>
  <si>
    <t>Q2_Launch_CMP-00635</t>
  </si>
  <si>
    <t>CMP-00636</t>
  </si>
  <si>
    <t>Q3_BlackFriday_CMP-00636</t>
  </si>
  <si>
    <t>19/02/2023</t>
  </si>
  <si>
    <t>CMP-00637</t>
  </si>
  <si>
    <t>Q3_Winter_CMP-00637</t>
  </si>
  <si>
    <t>CMP-00638</t>
  </si>
  <si>
    <t>Q3_BlackFriday_CMP-00638</t>
  </si>
  <si>
    <t>CMP-00639</t>
  </si>
  <si>
    <t>Q1_Summer_CMP-00639</t>
  </si>
  <si>
    <t>CMP-00640</t>
  </si>
  <si>
    <t>Q3_Launch_CMP-00640</t>
  </si>
  <si>
    <t>CMP-00641</t>
  </si>
  <si>
    <t>Q4_BlackFriday_CMP-00641</t>
  </si>
  <si>
    <t>CMP-00642</t>
  </si>
  <si>
    <t>Q1_Winter_CMP-00642</t>
  </si>
  <si>
    <t>CMP-00643</t>
  </si>
  <si>
    <t>Q2_Winter_CMP-00643</t>
  </si>
  <si>
    <t>CMP-00644</t>
  </si>
  <si>
    <t>Q3_Winter_CMP-00644</t>
  </si>
  <si>
    <t>CMP-00645</t>
  </si>
  <si>
    <t>Q1_BlackFriday_CMP-00645</t>
  </si>
  <si>
    <t>CMP-00646</t>
  </si>
  <si>
    <t>Q2_Summer_CMP-00646</t>
  </si>
  <si>
    <t>CMP-00647</t>
  </si>
  <si>
    <t>Q2_Launch_CMP-00647</t>
  </si>
  <si>
    <t>CMP-00648</t>
  </si>
  <si>
    <t>Q4_Summer_CMP-00648</t>
  </si>
  <si>
    <t>CMP-00649</t>
  </si>
  <si>
    <t>Q1_Launch_CMP-00649</t>
  </si>
  <si>
    <t>CMP-00650</t>
  </si>
  <si>
    <t>Q1_BlackFriday_CMP-00650</t>
  </si>
  <si>
    <t>CMP-00651</t>
  </si>
  <si>
    <t>Q3_Launch_CMP-00651</t>
  </si>
  <si>
    <t>CMP-00652</t>
  </si>
  <si>
    <t>Q3_Summer_CMP-00652</t>
  </si>
  <si>
    <t>CMP-00653</t>
  </si>
  <si>
    <t>Q1_BlackFriday_CMP-00653</t>
  </si>
  <si>
    <t>CMP-00654</t>
  </si>
  <si>
    <t>Q4_Launch_CMP-00654</t>
  </si>
  <si>
    <t>CMP-00655</t>
  </si>
  <si>
    <t>Q1_Launch_CMP-00655</t>
  </si>
  <si>
    <t>CMP-00656</t>
  </si>
  <si>
    <t>Q4_Launch_CMP-00656</t>
  </si>
  <si>
    <t>14/09/2023</t>
  </si>
  <si>
    <t>CMP-00657</t>
  </si>
  <si>
    <t>Q1_Winter_CMP-00657</t>
  </si>
  <si>
    <t>CMP-00658</t>
  </si>
  <si>
    <t>Q2_Launch_CMP-00658</t>
  </si>
  <si>
    <t>CMP-00659</t>
  </si>
  <si>
    <t>Q2_Launch_CMP-00659</t>
  </si>
  <si>
    <t>CMP-00660</t>
  </si>
  <si>
    <t>Q1_BlackFriday_CMP-00660</t>
  </si>
  <si>
    <t>CMP-00661</t>
  </si>
  <si>
    <t>Q1_BlackFriday_CMP-00661</t>
  </si>
  <si>
    <t>CMP-00662</t>
  </si>
  <si>
    <t>Q1_BlackFriday_CMP-00662</t>
  </si>
  <si>
    <t>CMP-00663</t>
  </si>
  <si>
    <t>Q3_Winter_CMP-00663</t>
  </si>
  <si>
    <t>CMP-00664</t>
  </si>
  <si>
    <t>Q1_BlackFriday_CMP-00664</t>
  </si>
  <si>
    <t>CMP-00665</t>
  </si>
  <si>
    <t>Q4_Launch_CMP-00665</t>
  </si>
  <si>
    <t>CMP-00666</t>
  </si>
  <si>
    <t>Q1_Summer_CMP-00666</t>
  </si>
  <si>
    <t>CMP-00667</t>
  </si>
  <si>
    <t>Q4_BlackFriday_CMP-00667</t>
  </si>
  <si>
    <t>CMP-00668</t>
  </si>
  <si>
    <t>Q4_Launch_CMP-00668</t>
  </si>
  <si>
    <t>CMP-00669</t>
  </si>
  <si>
    <t>Q3_Winter_CMP-00669</t>
  </si>
  <si>
    <t>CMP-00670</t>
  </si>
  <si>
    <t>Q4_Launch_CMP-00670</t>
  </si>
  <si>
    <t>CMP-00671</t>
  </si>
  <si>
    <t>Q2_Winter_CMP-00671</t>
  </si>
  <si>
    <t>CMP-00672</t>
  </si>
  <si>
    <t>Q1_BlackFriday_CMP-00672</t>
  </si>
  <si>
    <t>CMP-00673</t>
  </si>
  <si>
    <t>Q3_Summer_CMP-00673</t>
  </si>
  <si>
    <t>CMP-00674</t>
  </si>
  <si>
    <t>Q2_BlackFriday_CMP-00674</t>
  </si>
  <si>
    <t>CMP-00675</t>
  </si>
  <si>
    <t>Q3_Launch_CMP-00675</t>
  </si>
  <si>
    <t>CMP-00676</t>
  </si>
  <si>
    <t>Q1_BlackFriday_CMP-00676</t>
  </si>
  <si>
    <t>CMP-00677</t>
  </si>
  <si>
    <t>Q3_BlackFriday_CMP-00677</t>
  </si>
  <si>
    <t>CMP-00678</t>
  </si>
  <si>
    <t>Q3_Summer_CMP-00678</t>
  </si>
  <si>
    <t>CMP-00679</t>
  </si>
  <si>
    <t>Q1_BlackFriday_CMP-00679</t>
  </si>
  <si>
    <t>CMP-00680</t>
  </si>
  <si>
    <t>Q3_BlackFriday_CMP-00680</t>
  </si>
  <si>
    <t>CMP-00681</t>
  </si>
  <si>
    <t>Q2_Launch_CMP-00681</t>
  </si>
  <si>
    <t>CMP-00682</t>
  </si>
  <si>
    <t>Q4_Summer_CMP-00682</t>
  </si>
  <si>
    <t>CMP-00683</t>
  </si>
  <si>
    <t>Q4_Summer_CMP-00683</t>
  </si>
  <si>
    <t>CMP-00684</t>
  </si>
  <si>
    <t>Q4_Summer_CMP-00684</t>
  </si>
  <si>
    <t>CMP-00685</t>
  </si>
  <si>
    <t>Q3_Launch_CMP-00685</t>
  </si>
  <si>
    <t>CMP-00686</t>
  </si>
  <si>
    <t>Q2_Launch_CMP-00686</t>
  </si>
  <si>
    <t>CMP-00687</t>
  </si>
  <si>
    <t>Q1_Summer_CMP-00687</t>
  </si>
  <si>
    <t>CMP-00688</t>
  </si>
  <si>
    <t>Q3_BlackFriday_CMP-00688</t>
  </si>
  <si>
    <t>CMP-00689</t>
  </si>
  <si>
    <t>Q1_Launch_CMP-00689</t>
  </si>
  <si>
    <t>CMP-00690</t>
  </si>
  <si>
    <t>Q2_BlackFriday_CMP-00690</t>
  </si>
  <si>
    <t>29/05/2023</t>
  </si>
  <si>
    <t>CMP-00691</t>
  </si>
  <si>
    <t>Q3_BlackFriday_CMP-00691</t>
  </si>
  <si>
    <t>CMP-00692</t>
  </si>
  <si>
    <t>Q4_Winter_CMP-00692</t>
  </si>
  <si>
    <t>CMP-00693</t>
  </si>
  <si>
    <t>Q2_Winter_CMP-00693</t>
  </si>
  <si>
    <t>CMP-00694</t>
  </si>
  <si>
    <t>Q2_Summer_CMP-00694</t>
  </si>
  <si>
    <t>CMP-00695</t>
  </si>
  <si>
    <t>Q2_Summer_CMP-00695</t>
  </si>
  <si>
    <t>CMP-00696</t>
  </si>
  <si>
    <t>Q1_Winter_CMP-00696</t>
  </si>
  <si>
    <t>CMP-00697</t>
  </si>
  <si>
    <t>Q4_BlackFriday_CMP-00697</t>
  </si>
  <si>
    <t>CMP-00698</t>
  </si>
  <si>
    <t>Q1_Winter_CMP-00698</t>
  </si>
  <si>
    <t>CMP-00699</t>
  </si>
  <si>
    <t>Q1_BlackFriday_CMP-00699</t>
  </si>
  <si>
    <t>CMP-00700</t>
  </si>
  <si>
    <t>Q3_Summer_CMP-00700</t>
  </si>
  <si>
    <t>CMP-00701</t>
  </si>
  <si>
    <t>Q3_Summer_CMP-00701</t>
  </si>
  <si>
    <t>CMP-00702</t>
  </si>
  <si>
    <t>Q2_BlackFriday_CMP-00702</t>
  </si>
  <si>
    <t>CMP-00703</t>
  </si>
  <si>
    <t>Q1_Summer_CMP-00703</t>
  </si>
  <si>
    <t>CMP-00704</t>
  </si>
  <si>
    <t>Q4_Summer_CMP-00704</t>
  </si>
  <si>
    <t>CMP-00705</t>
  </si>
  <si>
    <t>Q1_Winter_CMP-00705</t>
  </si>
  <si>
    <t>CMP-00706</t>
  </si>
  <si>
    <t>Q2_BlackFriday_CMP-00706</t>
  </si>
  <si>
    <t>CMP-00707</t>
  </si>
  <si>
    <t>Q3_Launch_CMP-00707</t>
  </si>
  <si>
    <t>CMP-00708</t>
  </si>
  <si>
    <t>Q1_Launch_CMP-00708</t>
  </si>
  <si>
    <t>CMP-00709</t>
  </si>
  <si>
    <t>Q3_Winter_CMP-00709</t>
  </si>
  <si>
    <t>CMP-00710</t>
  </si>
  <si>
    <t>Q1_BlackFriday_CMP-00710</t>
  </si>
  <si>
    <t>CMP-00711</t>
  </si>
  <si>
    <t>Q3_BlackFriday_CMP-00711</t>
  </si>
  <si>
    <t>CMP-00712</t>
  </si>
  <si>
    <t>Q4_BlackFriday_CMP-00712</t>
  </si>
  <si>
    <t>CMP-00713</t>
  </si>
  <si>
    <t>Q4_BlackFriday_CMP-00713</t>
  </si>
  <si>
    <t>CMP-00714</t>
  </si>
  <si>
    <t>Q1_Winter_CMP-00714</t>
  </si>
  <si>
    <t>CMP-00715</t>
  </si>
  <si>
    <t>Q3_Summer_CMP-00715</t>
  </si>
  <si>
    <t>CMP-00716</t>
  </si>
  <si>
    <t>Q3_Winter_CMP-00716</t>
  </si>
  <si>
    <t>CMP-00717</t>
  </si>
  <si>
    <t>Q1_Summer_CMP-00717</t>
  </si>
  <si>
    <t>CMP-00718</t>
  </si>
  <si>
    <t>Q2_BlackFriday_CMP-00718</t>
  </si>
  <si>
    <t>CMP-00719</t>
  </si>
  <si>
    <t>Q3_Winter_CMP-00719</t>
  </si>
  <si>
    <t>CMP-00720</t>
  </si>
  <si>
    <t>Q4_Summer_CMP-00720</t>
  </si>
  <si>
    <t>CMP-00721</t>
  </si>
  <si>
    <t>Q2_Launch_CMP-00721</t>
  </si>
  <si>
    <t>CMP-00722</t>
  </si>
  <si>
    <t>Q1_Summer_CMP-00722</t>
  </si>
  <si>
    <t>CMP-00723</t>
  </si>
  <si>
    <t>Q2_Launch_CMP-00723</t>
  </si>
  <si>
    <t>21/10/2023</t>
  </si>
  <si>
    <t>CMP-00724</t>
  </si>
  <si>
    <t>Q1_Summer_CMP-00724</t>
  </si>
  <si>
    <t>CMP-00725</t>
  </si>
  <si>
    <t>Q4_Launch_CMP-00725</t>
  </si>
  <si>
    <t>CMP-00726</t>
  </si>
  <si>
    <t>Q3_BlackFriday_CMP-00726</t>
  </si>
  <si>
    <t>CMP-00727</t>
  </si>
  <si>
    <t>Q2_BlackFriday_CMP-00727</t>
  </si>
  <si>
    <t>CMP-00728</t>
  </si>
  <si>
    <t>Q2_BlackFriday_CMP-00728</t>
  </si>
  <si>
    <t>CMP-00729</t>
  </si>
  <si>
    <t>Q2_BlackFriday_CMP-00729</t>
  </si>
  <si>
    <t>CMP-00730</t>
  </si>
  <si>
    <t>Q2_Launch_CMP-00730</t>
  </si>
  <si>
    <t>CMP-00731</t>
  </si>
  <si>
    <t>Q3_Summer_CMP-00731</t>
  </si>
  <si>
    <t>CMP-00732</t>
  </si>
  <si>
    <t>Q2_Launch_CMP-00732</t>
  </si>
  <si>
    <t>CMP-00733</t>
  </si>
  <si>
    <t>Q4_BlackFriday_CMP-00733</t>
  </si>
  <si>
    <t>CMP-00734</t>
  </si>
  <si>
    <t>Q1_BlackFriday_CMP-00734</t>
  </si>
  <si>
    <t>CMP-00735</t>
  </si>
  <si>
    <t>Q1_BlackFriday_CMP-00735</t>
  </si>
  <si>
    <t>CMP-00736</t>
  </si>
  <si>
    <t>Q4_Winter_CMP-00736</t>
  </si>
  <si>
    <t>CMP-00737</t>
  </si>
  <si>
    <t>Q4_Launch_CMP-00737</t>
  </si>
  <si>
    <t>CMP-00738</t>
  </si>
  <si>
    <t>Q2_Winter_CMP-00738</t>
  </si>
  <si>
    <t>CMP-00739</t>
  </si>
  <si>
    <t>Q2_Launch_CMP-00739</t>
  </si>
  <si>
    <t>CMP-00740</t>
  </si>
  <si>
    <t>Q2_BlackFriday_CMP-00740</t>
  </si>
  <si>
    <t>CMP-00741</t>
  </si>
  <si>
    <t>Q3_BlackFriday_CMP-00741</t>
  </si>
  <si>
    <t>CMP-00742</t>
  </si>
  <si>
    <t>Q3_Summer_CMP-00742</t>
  </si>
  <si>
    <t>CMP-00743</t>
  </si>
  <si>
    <t>Q1_Launch_CMP-00743</t>
  </si>
  <si>
    <t>CMP-00744</t>
  </si>
  <si>
    <t>Q4_Winter_CMP-00744</t>
  </si>
  <si>
    <t>CMP-00745</t>
  </si>
  <si>
    <t>Q4_Winter_CMP-00745</t>
  </si>
  <si>
    <t>CMP-00746</t>
  </si>
  <si>
    <t>Q2_Launch_CMP-00746</t>
  </si>
  <si>
    <t>CMP-00747</t>
  </si>
  <si>
    <t>Q1_Winter_CMP-00747</t>
  </si>
  <si>
    <t>CMP-00748</t>
  </si>
  <si>
    <t>Q1_Launch_CMP-00748</t>
  </si>
  <si>
    <t>CMP-00749</t>
  </si>
  <si>
    <t>Q3_Launch_CMP-00749</t>
  </si>
  <si>
    <t>CMP-00750</t>
  </si>
  <si>
    <t>Q1_Winter_CMP-00750</t>
  </si>
  <si>
    <t>CMP-00751</t>
  </si>
  <si>
    <t>Q1_Launch_CMP-00751</t>
  </si>
  <si>
    <t>CMP-00752</t>
  </si>
  <si>
    <t>Q1_Winter_CMP-00752</t>
  </si>
  <si>
    <t>CMP-00753</t>
  </si>
  <si>
    <t>Q1_Winter_CMP-00753</t>
  </si>
  <si>
    <t>CMP-00754</t>
  </si>
  <si>
    <t>Q4_Launch_CMP-00754</t>
  </si>
  <si>
    <t>CMP-00755</t>
  </si>
  <si>
    <t>Q3_Winter_CMP-00755</t>
  </si>
  <si>
    <t>CMP-00756</t>
  </si>
  <si>
    <t>Q4_Winter_CMP-00756</t>
  </si>
  <si>
    <t>CMP-00757</t>
  </si>
  <si>
    <t>Q3_Summer_CMP-00757</t>
  </si>
  <si>
    <t>CMP-00758</t>
  </si>
  <si>
    <t>Q3_BlackFriday_CMP-00758</t>
  </si>
  <si>
    <t>CMP-00759</t>
  </si>
  <si>
    <t>Q1_Summer_CMP-00759</t>
  </si>
  <si>
    <t>CMP-00760</t>
  </si>
  <si>
    <t>Q1_BlackFriday_CMP-00760</t>
  </si>
  <si>
    <t>CMP-00761</t>
  </si>
  <si>
    <t>Q4_Launch_CMP-00761</t>
  </si>
  <si>
    <t>CMP-00762</t>
  </si>
  <si>
    <t>Q4_Launch_CMP-00762</t>
  </si>
  <si>
    <t>27/02/2023</t>
  </si>
  <si>
    <t>CMP-00763</t>
  </si>
  <si>
    <t>Q3_Launch_CMP-00763</t>
  </si>
  <si>
    <t>CMP-00764</t>
  </si>
  <si>
    <t>Q2_Winter_CMP-00764</t>
  </si>
  <si>
    <t>CMP-00765</t>
  </si>
  <si>
    <t>Q1_Winter_CMP-00765</t>
  </si>
  <si>
    <t>CMP-00766</t>
  </si>
  <si>
    <t>Q1_BlackFriday_CMP-00766</t>
  </si>
  <si>
    <t>CMP-00767</t>
  </si>
  <si>
    <t>Q4_Launch_CMP-00767</t>
  </si>
  <si>
    <t>CMP-00768</t>
  </si>
  <si>
    <t>Q3_Launch_CMP-00768</t>
  </si>
  <si>
    <t>CMP-00769</t>
  </si>
  <si>
    <t>Q2_BlackFriday_CMP-00769</t>
  </si>
  <si>
    <t>CMP-00770</t>
  </si>
  <si>
    <t>Q1_Winter_CMP-00770</t>
  </si>
  <si>
    <t>CMP-00771</t>
  </si>
  <si>
    <t>Q3_Launch_CMP-00771</t>
  </si>
  <si>
    <t>CMP-00772</t>
  </si>
  <si>
    <t>Q3_Summer_CMP-00772</t>
  </si>
  <si>
    <t>CMP-00773</t>
  </si>
  <si>
    <t>Q4_BlackFriday_CMP-00773</t>
  </si>
  <si>
    <t>CMP-00774</t>
  </si>
  <si>
    <t>Q3_Launch_CMP-00774</t>
  </si>
  <si>
    <t>21/05/2023</t>
  </si>
  <si>
    <t>CMP-00775</t>
  </si>
  <si>
    <t>Q3_Winter_CMP-00775</t>
  </si>
  <si>
    <t>CMP-00776</t>
  </si>
  <si>
    <t>Q2_Summer_CMP-00776</t>
  </si>
  <si>
    <t>CMP-00777</t>
  </si>
  <si>
    <t>Q2_Launch_CMP-00777</t>
  </si>
  <si>
    <t>CMP-00778</t>
  </si>
  <si>
    <t>Q3_BlackFriday_CMP-00778</t>
  </si>
  <si>
    <t>CMP-00779</t>
  </si>
  <si>
    <t>Q1_BlackFriday_CMP-00779</t>
  </si>
  <si>
    <t>CMP-00780</t>
  </si>
  <si>
    <t>Q3_Winter_CMP-00780</t>
  </si>
  <si>
    <t>CMP-00781</t>
  </si>
  <si>
    <t>Q1_BlackFriday_CMP-00781</t>
  </si>
  <si>
    <t>CMP-00782</t>
  </si>
  <si>
    <t>Q3_Launch_CMP-00782</t>
  </si>
  <si>
    <t>CMP-00783</t>
  </si>
  <si>
    <t>Q4_Winter_CMP-00783</t>
  </si>
  <si>
    <t>CMP-00784</t>
  </si>
  <si>
    <t>Q2_BlackFriday_CMP-00784</t>
  </si>
  <si>
    <t>CMP-00785</t>
  </si>
  <si>
    <t>Q3_Summer_CMP-00785</t>
  </si>
  <si>
    <t>CMP-00786</t>
  </si>
  <si>
    <t>Q2_BlackFriday_CMP-00786</t>
  </si>
  <si>
    <t>CMP-00787</t>
  </si>
  <si>
    <t>Q2_Summer_CMP-00787</t>
  </si>
  <si>
    <t>CMP-00788</t>
  </si>
  <si>
    <t>Q2_Winter_CMP-00788</t>
  </si>
  <si>
    <t>CMP-00789</t>
  </si>
  <si>
    <t>Q1_Summer_CMP-00789</t>
  </si>
  <si>
    <t>CMP-00790</t>
  </si>
  <si>
    <t>Q2_Summer_CMP-00790</t>
  </si>
  <si>
    <t>CMP-00791</t>
  </si>
  <si>
    <t>Q4_Summer_CMP-00791</t>
  </si>
  <si>
    <t>CMP-00792</t>
  </si>
  <si>
    <t>Q3_Winter_CMP-00792</t>
  </si>
  <si>
    <t>CMP-00793</t>
  </si>
  <si>
    <t>Q3_Launch_CMP-00793</t>
  </si>
  <si>
    <t>CMP-00794</t>
  </si>
  <si>
    <t>Q4_Winter_CMP-00794</t>
  </si>
  <si>
    <t>CMP-00795</t>
  </si>
  <si>
    <t>Q4_BlackFriday_CMP-00795</t>
  </si>
  <si>
    <t>CMP-00796</t>
  </si>
  <si>
    <t>Q1_Summer_CMP-00796</t>
  </si>
  <si>
    <t>CMP-00797</t>
  </si>
  <si>
    <t>Q4_Launch_CMP-00797</t>
  </si>
  <si>
    <t>CMP-00798</t>
  </si>
  <si>
    <t>Q4_BlackFriday_CMP-00798</t>
  </si>
  <si>
    <t>CMP-00799</t>
  </si>
  <si>
    <t>Q1_Winter_CMP-00799</t>
  </si>
  <si>
    <t>CMP-00800</t>
  </si>
  <si>
    <t>Q3_Summer_CMP-00800</t>
  </si>
  <si>
    <t>CMP-00801</t>
  </si>
  <si>
    <t>Q3_Summer_CMP-00801</t>
  </si>
  <si>
    <t>CMP-00802</t>
  </si>
  <si>
    <t>Q2_Summer_CMP-00802</t>
  </si>
  <si>
    <t>CMP-00803</t>
  </si>
  <si>
    <t>Q3_Winter_CMP-00803</t>
  </si>
  <si>
    <t>CMP-00804</t>
  </si>
  <si>
    <t>Q3_BlackFriday_CMP-00804</t>
  </si>
  <si>
    <t>CMP-00805</t>
  </si>
  <si>
    <t>Q4_Summer_CMP-00805</t>
  </si>
  <si>
    <t>CMP-00806</t>
  </si>
  <si>
    <t>Q3_Summer_CMP-00806</t>
  </si>
  <si>
    <t>CMP-00807</t>
  </si>
  <si>
    <t>Q4_Summer_CMP-00807</t>
  </si>
  <si>
    <t>CMP-00808</t>
  </si>
  <si>
    <t>Q3_Winter_CMP-00808</t>
  </si>
  <si>
    <t>CMP-00809</t>
  </si>
  <si>
    <t>Q1_Summer_CMP-00809</t>
  </si>
  <si>
    <t>CMP-00810</t>
  </si>
  <si>
    <t>Q2_Winter_CMP-00810</t>
  </si>
  <si>
    <t>CMP-00811</t>
  </si>
  <si>
    <t>Q4_Winter_CMP-00811</t>
  </si>
  <si>
    <t>CMP-00812</t>
  </si>
  <si>
    <t>Q2_BlackFriday_CMP-00812</t>
  </si>
  <si>
    <t>CMP-00813</t>
  </si>
  <si>
    <t>Q4_Winter_CMP-00813</t>
  </si>
  <si>
    <t>CMP-00814</t>
  </si>
  <si>
    <t>Q4_Winter_CMP-00814</t>
  </si>
  <si>
    <t>29/04/2023</t>
  </si>
  <si>
    <t>CMP-00815</t>
  </si>
  <si>
    <t>Q4_BlackFriday_CMP-00815</t>
  </si>
  <si>
    <t>19/03/2023</t>
  </si>
  <si>
    <t>CMP-00816</t>
  </si>
  <si>
    <t>Q2_Winter_CMP-00816</t>
  </si>
  <si>
    <t>CMP-00817</t>
  </si>
  <si>
    <t>Q1_Winter_CMP-00817</t>
  </si>
  <si>
    <t>CMP-00818</t>
  </si>
  <si>
    <t>Q1_Launch_CMP-00818</t>
  </si>
  <si>
    <t>CMP-00819</t>
  </si>
  <si>
    <t>Q1_Launch_CMP-00819</t>
  </si>
  <si>
    <t>CMP-00820</t>
  </si>
  <si>
    <t>Q2_Winter_CMP-00820</t>
  </si>
  <si>
    <t>CMP-00821</t>
  </si>
  <si>
    <t>Q1_Launch_CMP-00821</t>
  </si>
  <si>
    <t>27/05/2023</t>
  </si>
  <si>
    <t>CMP-00822</t>
  </si>
  <si>
    <t>Q3_Launch_CMP-00822</t>
  </si>
  <si>
    <t>CMP-00823</t>
  </si>
  <si>
    <t>Q2_BlackFriday_CMP-00823</t>
  </si>
  <si>
    <t>CMP-00824</t>
  </si>
  <si>
    <t>Q4_Winter_CMP-00824</t>
  </si>
  <si>
    <t>CMP-00825</t>
  </si>
  <si>
    <t>Q3_Winter_CMP-00825</t>
  </si>
  <si>
    <t>CMP-00826</t>
  </si>
  <si>
    <t>Q3_Launch_CMP-00826</t>
  </si>
  <si>
    <t>23/07/2023</t>
  </si>
  <si>
    <t>CMP-00827</t>
  </si>
  <si>
    <t>Q4_Launch_CMP-00827</t>
  </si>
  <si>
    <t>CMP-00828</t>
  </si>
  <si>
    <t>Q3_Launch_CMP-00828</t>
  </si>
  <si>
    <t>CMP-00829</t>
  </si>
  <si>
    <t>Q3_Summer_CMP-00829</t>
  </si>
  <si>
    <t>CMP-00830</t>
  </si>
  <si>
    <t>Q2_Summer_CMP-00830</t>
  </si>
  <si>
    <t>17/01/2023</t>
  </si>
  <si>
    <t>CMP-00831</t>
  </si>
  <si>
    <t>Q3_Launch_CMP-00831</t>
  </si>
  <si>
    <t>CMP-00832</t>
  </si>
  <si>
    <t>Q4_BlackFriday_CMP-00832</t>
  </si>
  <si>
    <t>23/11/2023</t>
  </si>
  <si>
    <t>CMP-00833</t>
  </si>
  <si>
    <t>Q2_Launch_CMP-00833</t>
  </si>
  <si>
    <t>29/03/2023</t>
  </si>
  <si>
    <t>CMP-00834</t>
  </si>
  <si>
    <t>Q1_Winter_CMP-00834</t>
  </si>
  <si>
    <t>CMP-00835</t>
  </si>
  <si>
    <t>Q4_BlackFriday_CMP-00835</t>
  </si>
  <si>
    <t>CMP-00836</t>
  </si>
  <si>
    <t>Q1_BlackFriday_CMP-00836</t>
  </si>
  <si>
    <t>CMP-00837</t>
  </si>
  <si>
    <t>Q4_Winter_CMP-00837</t>
  </si>
  <si>
    <t>CMP-00838</t>
  </si>
  <si>
    <t>Q4_Launch_CMP-00838</t>
  </si>
  <si>
    <t>CMP-00839</t>
  </si>
  <si>
    <t>Q4_Winter_CMP-00839</t>
  </si>
  <si>
    <t>CMP-00840</t>
  </si>
  <si>
    <t>Q1_BlackFriday_CMP-00840</t>
  </si>
  <si>
    <t>CMP-00841</t>
  </si>
  <si>
    <t>Q3_Winter_CMP-00841</t>
  </si>
  <si>
    <t>CMP-00842</t>
  </si>
  <si>
    <t>Q4_Summer_CMP-00842</t>
  </si>
  <si>
    <t>CMP-00843</t>
  </si>
  <si>
    <t>Q3_BlackFriday_CMP-00843</t>
  </si>
  <si>
    <t>CMP-00844</t>
  </si>
  <si>
    <t>Q3_Launch_CMP-00844</t>
  </si>
  <si>
    <t>CMP-00845</t>
  </si>
  <si>
    <t>Q4_Launch_CMP-00845</t>
  </si>
  <si>
    <t>CMP-00846</t>
  </si>
  <si>
    <t>Q4_Launch_CMP-00846</t>
  </si>
  <si>
    <t>CMP-00847</t>
  </si>
  <si>
    <t>Q3_Summer_CMP-00847</t>
  </si>
  <si>
    <t>27/06/2023</t>
  </si>
  <si>
    <t>CMP-00848</t>
  </si>
  <si>
    <t>Q3_Launch_CMP-00848</t>
  </si>
  <si>
    <t>CMP-00849</t>
  </si>
  <si>
    <t>Q2_BlackFriday_CMP-00849</t>
  </si>
  <si>
    <t>CMP-00850</t>
  </si>
  <si>
    <t>Q1_BlackFriday_CMP-00850</t>
  </si>
  <si>
    <t>CMP-00851</t>
  </si>
  <si>
    <t>Q4_Launch_CMP-00851</t>
  </si>
  <si>
    <t>CMP-00852</t>
  </si>
  <si>
    <t>Q2_Winter_CMP-00852</t>
  </si>
  <si>
    <t>CMP-00853</t>
  </si>
  <si>
    <t>Q2_Summer_CMP-00853</t>
  </si>
  <si>
    <t>CMP-00854</t>
  </si>
  <si>
    <t>Q3_Winter_CMP-00854</t>
  </si>
  <si>
    <t>CMP-00855</t>
  </si>
  <si>
    <t>Q1_Summer_CMP-00855</t>
  </si>
  <si>
    <t>CMP-00856</t>
  </si>
  <si>
    <t>Q4_Summer_CMP-00856</t>
  </si>
  <si>
    <t>CMP-00857</t>
  </si>
  <si>
    <t>Q3_BlackFriday_CMP-00857</t>
  </si>
  <si>
    <t>CMP-00858</t>
  </si>
  <si>
    <t>Q1_Summer_CMP-00858</t>
  </si>
  <si>
    <t>CMP-00859</t>
  </si>
  <si>
    <t>Q2_BlackFriday_CMP-00859</t>
  </si>
  <si>
    <t>CMP-00860</t>
  </si>
  <si>
    <t>Q2_Winter_CMP-00860</t>
  </si>
  <si>
    <t>CMP-00861</t>
  </si>
  <si>
    <t>Q4_Winter_CMP-00861</t>
  </si>
  <si>
    <t>CMP-00862</t>
  </si>
  <si>
    <t>Q3_Winter_CMP-00862</t>
  </si>
  <si>
    <t>CMP-00863</t>
  </si>
  <si>
    <t>Q3_BlackFriday_CMP-00863</t>
  </si>
  <si>
    <t>CMP-00864</t>
  </si>
  <si>
    <t>Q4_Winter_CMP-00864</t>
  </si>
  <si>
    <t>CMP-00865</t>
  </si>
  <si>
    <t>Q2_Summer_CMP-00865</t>
  </si>
  <si>
    <t>CMP-00866</t>
  </si>
  <si>
    <t>Q1_Summer_CMP-00866</t>
  </si>
  <si>
    <t>CMP-00867</t>
  </si>
  <si>
    <t>Q1_Launch_CMP-00867</t>
  </si>
  <si>
    <t>CMP-00868</t>
  </si>
  <si>
    <t>Q4_Summer_CMP-00868</t>
  </si>
  <si>
    <t>CMP-00869</t>
  </si>
  <si>
    <t>Q2_BlackFriday_CMP-00869</t>
  </si>
  <si>
    <t>CMP-00870</t>
  </si>
  <si>
    <t>Q3_Summer_CMP-00870</t>
  </si>
  <si>
    <t>CMP-00871</t>
  </si>
  <si>
    <t>Q2_Winter_CMP-00871</t>
  </si>
  <si>
    <t>CMP-00872</t>
  </si>
  <si>
    <t>Q1_BlackFriday_CMP-00872</t>
  </si>
  <si>
    <t>CMP-00873</t>
  </si>
  <si>
    <t>Q1_Launch_CMP-00873</t>
  </si>
  <si>
    <t>CMP-00874</t>
  </si>
  <si>
    <t>Q4_Winter_CMP-00874</t>
  </si>
  <si>
    <t>CMP-00875</t>
  </si>
  <si>
    <t>Q3_Summer_CMP-00875</t>
  </si>
  <si>
    <t>CMP-00876</t>
  </si>
  <si>
    <t>Q1_Summer_CMP-00876</t>
  </si>
  <si>
    <t>CMP-00877</t>
  </si>
  <si>
    <t>Q4_Summer_CMP-00877</t>
  </si>
  <si>
    <t>CMP-00878</t>
  </si>
  <si>
    <t>Q1_Winter_CMP-00878</t>
  </si>
  <si>
    <t>CMP-00879</t>
  </si>
  <si>
    <t>Q1_Launch_CMP-00879</t>
  </si>
  <si>
    <t>CMP-00880</t>
  </si>
  <si>
    <t>Q2_BlackFriday_CMP-00880</t>
  </si>
  <si>
    <t>CMP-00881</t>
  </si>
  <si>
    <t>Q3_Launch_CMP-00881</t>
  </si>
  <si>
    <t>CMP-00882</t>
  </si>
  <si>
    <t>Q1_BlackFriday_CMP-00882</t>
  </si>
  <si>
    <t>CMP-00883</t>
  </si>
  <si>
    <t>Q3_Launch_CMP-00883</t>
  </si>
  <si>
    <t>CMP-00884</t>
  </si>
  <si>
    <t>Q2_Summer_CMP-00884</t>
  </si>
  <si>
    <t>CMP-00885</t>
  </si>
  <si>
    <t>Q3_Launch_CMP-00885</t>
  </si>
  <si>
    <t>CMP-00886</t>
  </si>
  <si>
    <t>Q4_BlackFriday_CMP-00886</t>
  </si>
  <si>
    <t>CMP-00887</t>
  </si>
  <si>
    <t>Q4_Summer_CMP-00887</t>
  </si>
  <si>
    <t>CMP-00888</t>
  </si>
  <si>
    <t>Q2_Launch_CMP-00888</t>
  </si>
  <si>
    <t>CMP-00889</t>
  </si>
  <si>
    <t>Q3_Launch_CMP-00889</t>
  </si>
  <si>
    <t>CMP-00890</t>
  </si>
  <si>
    <t>Q3_Winter_CMP-00890</t>
  </si>
  <si>
    <t>CMP-00891</t>
  </si>
  <si>
    <t>Q4_Summer_CMP-00891</t>
  </si>
  <si>
    <t>CMP-00892</t>
  </si>
  <si>
    <t>Q4_Launch_CMP-00892</t>
  </si>
  <si>
    <t>CMP-00893</t>
  </si>
  <si>
    <t>Q3_Summer_CMP-00893</t>
  </si>
  <si>
    <t>CMP-00894</t>
  </si>
  <si>
    <t>Q4_Winter_CMP-00894</t>
  </si>
  <si>
    <t>CMP-00895</t>
  </si>
  <si>
    <t>Q1_Launch_CMP-00895</t>
  </si>
  <si>
    <t>CMP-00896</t>
  </si>
  <si>
    <t>Q2_Launch_CMP-00896</t>
  </si>
  <si>
    <t>CMP-00897</t>
  </si>
  <si>
    <t>Q3_Launch_CMP-00897</t>
  </si>
  <si>
    <t>CMP-00898</t>
  </si>
  <si>
    <t>Q1_BlackFriday_CMP-00898</t>
  </si>
  <si>
    <t>CMP-00899</t>
  </si>
  <si>
    <t>Q3_Winter_CMP-00899</t>
  </si>
  <si>
    <t>CMP-00900</t>
  </si>
  <si>
    <t>Q1_Summer_CMP-00900</t>
  </si>
  <si>
    <t>CMP-00901</t>
  </si>
  <si>
    <t>Q2_Winter_CMP-00901</t>
  </si>
  <si>
    <t>CMP-00902</t>
  </si>
  <si>
    <t>Q4_Winter_CMP-00902</t>
  </si>
  <si>
    <t>CMP-00903</t>
  </si>
  <si>
    <t>Q1_Winter_CMP-00903</t>
  </si>
  <si>
    <t>CMP-00904</t>
  </si>
  <si>
    <t>Q4_Launch_CMP-00904</t>
  </si>
  <si>
    <t>CMP-00905</t>
  </si>
  <si>
    <t>Q2_Summer_CMP-00905</t>
  </si>
  <si>
    <t>CMP-00906</t>
  </si>
  <si>
    <t>Q4_BlackFriday_CMP-00906</t>
  </si>
  <si>
    <t>CMP-00907</t>
  </si>
  <si>
    <t>Q4_BlackFriday_CMP-00907</t>
  </si>
  <si>
    <t>CMP-00908</t>
  </si>
  <si>
    <t>Q3_Winter_CMP-00908</t>
  </si>
  <si>
    <t>CMP-00909</t>
  </si>
  <si>
    <t>Q1_BlackFriday_CMP-00909</t>
  </si>
  <si>
    <t>13/06/2023</t>
  </si>
  <si>
    <t>CMP-00910</t>
  </si>
  <si>
    <t>Q4_Summer_CMP-00910</t>
  </si>
  <si>
    <t>CMP-00911</t>
  </si>
  <si>
    <t>Q3_Winter_CMP-00911</t>
  </si>
  <si>
    <t>CMP-00912</t>
  </si>
  <si>
    <t>Q4_Launch_CMP-00912</t>
  </si>
  <si>
    <t>CMP-00913</t>
  </si>
  <si>
    <t>Q3_Winter_CMP-00913</t>
  </si>
  <si>
    <t>CMP-00914</t>
  </si>
  <si>
    <t>Q3_Launch_CMP-00914</t>
  </si>
  <si>
    <t>CMP-00915</t>
  </si>
  <si>
    <t>Q4_Summer_CMP-00915</t>
  </si>
  <si>
    <t>CMP-00916</t>
  </si>
  <si>
    <t>Q1_Launch_CMP-00916</t>
  </si>
  <si>
    <t>CMP-00917</t>
  </si>
  <si>
    <t>Q1_Launch_CMP-00917</t>
  </si>
  <si>
    <t>CMP-00918</t>
  </si>
  <si>
    <t>Q2_Summer_CMP-00918</t>
  </si>
  <si>
    <t>CMP-00919</t>
  </si>
  <si>
    <t>Q2_Summer_CMP-00919</t>
  </si>
  <si>
    <t>CMP-00920</t>
  </si>
  <si>
    <t>Q2_Winter_CMP-00920</t>
  </si>
  <si>
    <t>CMP-00921</t>
  </si>
  <si>
    <t>Q4_Summer_CMP-00921</t>
  </si>
  <si>
    <t>CMP-00922</t>
  </si>
  <si>
    <t>Q1_Launch_CMP-00922</t>
  </si>
  <si>
    <t>CMP-00923</t>
  </si>
  <si>
    <t>Q4_Winter_CMP-00923</t>
  </si>
  <si>
    <t>CMP-00924</t>
  </si>
  <si>
    <t>Q4_Winter_CMP-00924</t>
  </si>
  <si>
    <t>CMP-00925</t>
  </si>
  <si>
    <t>Q4_Launch_CMP-00925</t>
  </si>
  <si>
    <t>CMP-00926</t>
  </si>
  <si>
    <t>Q1_BlackFriday_CMP-00926</t>
  </si>
  <si>
    <t>CMP-00927</t>
  </si>
  <si>
    <t>Q1_Launch_CMP-00927</t>
  </si>
  <si>
    <t>CMP-00928</t>
  </si>
  <si>
    <t>Q3_BlackFriday_CMP-00928</t>
  </si>
  <si>
    <t>CMP-00929</t>
  </si>
  <si>
    <t>Q3_BlackFriday_CMP-00929</t>
  </si>
  <si>
    <t>CMP-00930</t>
  </si>
  <si>
    <t>Q2_Winter_CMP-00930</t>
  </si>
  <si>
    <t>CMP-00931</t>
  </si>
  <si>
    <t>Q3_Winter_CMP-00931</t>
  </si>
  <si>
    <t>CMP-00932</t>
  </si>
  <si>
    <t>Q3_BlackFriday_CMP-00932</t>
  </si>
  <si>
    <t>CMP-00933</t>
  </si>
  <si>
    <t>Q4_Launch_CMP-00933</t>
  </si>
  <si>
    <t>CMP-00934</t>
  </si>
  <si>
    <t>Q2_BlackFriday_CMP-00934</t>
  </si>
  <si>
    <t>CMP-00935</t>
  </si>
  <si>
    <t>Q2_Winter_CMP-00935</t>
  </si>
  <si>
    <t>CMP-00936</t>
  </si>
  <si>
    <t>Q4_Summer_CMP-00936</t>
  </si>
  <si>
    <t>CMP-00937</t>
  </si>
  <si>
    <t>Q3_Launch_CMP-00937</t>
  </si>
  <si>
    <t>CMP-00938</t>
  </si>
  <si>
    <t>Q2_Winter_CMP-00938</t>
  </si>
  <si>
    <t>CMP-00939</t>
  </si>
  <si>
    <t>Q4_Summer_CMP-00939</t>
  </si>
  <si>
    <t>CMP-00940</t>
  </si>
  <si>
    <t>Q1_BlackFriday_CMP-00940</t>
  </si>
  <si>
    <t>CMP-00941</t>
  </si>
  <si>
    <t>Q2_Winter_CMP-00941</t>
  </si>
  <si>
    <t>CMP-00942</t>
  </si>
  <si>
    <t>Q1_Launch_CMP-00942</t>
  </si>
  <si>
    <t>CMP-00943</t>
  </si>
  <si>
    <t>Q3_Summer_CMP-00943</t>
  </si>
  <si>
    <t>CMP-00944</t>
  </si>
  <si>
    <t>Q1_Launch_CMP-00944</t>
  </si>
  <si>
    <t>CMP-00945</t>
  </si>
  <si>
    <t>Q2_Summer_CMP-00945</t>
  </si>
  <si>
    <t>CMP-00946</t>
  </si>
  <si>
    <t>Q3_Winter_CMP-00946</t>
  </si>
  <si>
    <t>CMP-00947</t>
  </si>
  <si>
    <t>Q3_Summer_CMP-00947</t>
  </si>
  <si>
    <t>CMP-00948</t>
  </si>
  <si>
    <t>Q2_BlackFriday_CMP-00948</t>
  </si>
  <si>
    <t>CMP-00949</t>
  </si>
  <si>
    <t>Q3_Launch_CMP-00949</t>
  </si>
  <si>
    <t>CMP-00950</t>
  </si>
  <si>
    <t>Q3_BlackFriday_CMP-00950</t>
  </si>
  <si>
    <t>CMP-00951</t>
  </si>
  <si>
    <t>Q4_BlackFriday_CMP-00951</t>
  </si>
  <si>
    <t>CMP-00952</t>
  </si>
  <si>
    <t>Q2_Summer_CMP-00952</t>
  </si>
  <si>
    <t>CMP-00953</t>
  </si>
  <si>
    <t>Q2_Summer_CMP-00953</t>
  </si>
  <si>
    <t>CMP-00954</t>
  </si>
  <si>
    <t>Q2_BlackFriday_CMP-00954</t>
  </si>
  <si>
    <t>CMP-00955</t>
  </si>
  <si>
    <t>Q2_BlackFriday_CMP-00955</t>
  </si>
  <si>
    <t>CMP-00956</t>
  </si>
  <si>
    <t>Q1_Winter_CMP-00956</t>
  </si>
  <si>
    <t>CMP-00957</t>
  </si>
  <si>
    <t>Q4_BlackFriday_CMP-00957</t>
  </si>
  <si>
    <t>CMP-00958</t>
  </si>
  <si>
    <t>Q3_Launch_CMP-00958</t>
  </si>
  <si>
    <t>CMP-00959</t>
  </si>
  <si>
    <t>Q2_Winter_CMP-00959</t>
  </si>
  <si>
    <t>CMP-00960</t>
  </si>
  <si>
    <t>Q1_Winter_CMP-00960</t>
  </si>
  <si>
    <t>CMP-00961</t>
  </si>
  <si>
    <t>Q2_Summer_CMP-00961</t>
  </si>
  <si>
    <t>CMP-00962</t>
  </si>
  <si>
    <t>Q2_Winter_CMP-00962</t>
  </si>
  <si>
    <t>CMP-00963</t>
  </si>
  <si>
    <t>Q2_Launch_CMP-00963</t>
  </si>
  <si>
    <t>CMP-00964</t>
  </si>
  <si>
    <t>Q1_BlackFriday_CMP-00964</t>
  </si>
  <si>
    <t>CMP-00965</t>
  </si>
  <si>
    <t>Q1_Summer_CMP-00965</t>
  </si>
  <si>
    <t>CMP-00966</t>
  </si>
  <si>
    <t>Q2_Launch_CMP-00966</t>
  </si>
  <si>
    <t>CMP-00967</t>
  </si>
  <si>
    <t>Q4_Launch_CMP-00967</t>
  </si>
  <si>
    <t>CMP-00968</t>
  </si>
  <si>
    <t>Q3_BlackFriday_CMP-00968</t>
  </si>
  <si>
    <t>CMP-00969</t>
  </si>
  <si>
    <t>Q1_Winter_CMP-00969</t>
  </si>
  <si>
    <t>CMP-00970</t>
  </si>
  <si>
    <t>Q4_Launch_CMP-00970</t>
  </si>
  <si>
    <t>25/10/2023</t>
  </si>
  <si>
    <t>CMP-00971</t>
  </si>
  <si>
    <t>Q4_Launch_CMP-00971</t>
  </si>
  <si>
    <t>CMP-00972</t>
  </si>
  <si>
    <t>Q3_BlackFriday_CMP-00972</t>
  </si>
  <si>
    <t>CMP-00973</t>
  </si>
  <si>
    <t>Q3_Summer_CMP-00973</t>
  </si>
  <si>
    <t>CMP-00974</t>
  </si>
  <si>
    <t>Q2_Winter_CMP-00974</t>
  </si>
  <si>
    <t>CMP-00975</t>
  </si>
  <si>
    <t>Q3_Winter_CMP-00975</t>
  </si>
  <si>
    <t>CMP-00976</t>
  </si>
  <si>
    <t>Q4_Launch_CMP-00976</t>
  </si>
  <si>
    <t>CMP-00977</t>
  </si>
  <si>
    <t>Q4_BlackFriday_CMP-00977</t>
  </si>
  <si>
    <t>CMP-00978</t>
  </si>
  <si>
    <t>Q1_Launch_CMP-00978</t>
  </si>
  <si>
    <t>CMP-00979</t>
  </si>
  <si>
    <t>Q3_Winter_CMP-00979</t>
  </si>
  <si>
    <t>CMP-00980</t>
  </si>
  <si>
    <t>Q1_BlackFriday_CMP-00980</t>
  </si>
  <si>
    <t>CMP-00981</t>
  </si>
  <si>
    <t>Q4_BlackFriday_CMP-00981</t>
  </si>
  <si>
    <t>CMP-00982</t>
  </si>
  <si>
    <t>Q4_Winter_CMP-00982</t>
  </si>
  <si>
    <t>CMP-00983</t>
  </si>
  <si>
    <t>Q2_Launch_CMP-00983</t>
  </si>
  <si>
    <t>CMP-00984</t>
  </si>
  <si>
    <t>Q3_Winter_CMP-00984</t>
  </si>
  <si>
    <t>CMP-00985</t>
  </si>
  <si>
    <t>Q1_Winter_CMP-00985</t>
  </si>
  <si>
    <t>CMP-00986</t>
  </si>
  <si>
    <t>Q4_BlackFriday_CMP-00986</t>
  </si>
  <si>
    <t>CMP-00987</t>
  </si>
  <si>
    <t>Q2_Summer_CMP-00987</t>
  </si>
  <si>
    <t>CMP-00988</t>
  </si>
  <si>
    <t>Q3_BlackFriday_CMP-00988</t>
  </si>
  <si>
    <t>CMP-00989</t>
  </si>
  <si>
    <t>Q1_BlackFriday_CMP-00989</t>
  </si>
  <si>
    <t>CMP-00990</t>
  </si>
  <si>
    <t>Q3_Summer_CMP-00990</t>
  </si>
  <si>
    <t>CMP-00991</t>
  </si>
  <si>
    <t>Q3_Summer_CMP-00991</t>
  </si>
  <si>
    <t>CMP-00992</t>
  </si>
  <si>
    <t>Q3_Launch_CMP-00992</t>
  </si>
  <si>
    <t>CMP-00993</t>
  </si>
  <si>
    <t>Q4_Summer_CMP-00993</t>
  </si>
  <si>
    <t>CMP-00994</t>
  </si>
  <si>
    <t>Q3_BlackFriday_CMP-00994</t>
  </si>
  <si>
    <t>CMP-00995</t>
  </si>
  <si>
    <t>Q1_Summer_CMP-00995</t>
  </si>
  <si>
    <t>CMP-00996</t>
  </si>
  <si>
    <t>Q4_Launch_CMP-00996</t>
  </si>
  <si>
    <t>CMP-00997</t>
  </si>
  <si>
    <t>Q4_Winter_CMP-00997</t>
  </si>
  <si>
    <t>CMP-00998</t>
  </si>
  <si>
    <t>Q4_Summer_CMP-00998</t>
  </si>
  <si>
    <t>CMP-00999</t>
  </si>
  <si>
    <t>Q1_BlackFriday_CMP-00999</t>
  </si>
  <si>
    <t>CMP-01000</t>
  </si>
  <si>
    <t>Q1_Winter_CMP-01000</t>
  </si>
  <si>
    <t>CMP-01001</t>
  </si>
  <si>
    <t>Q2_Winter_CMP-01001</t>
  </si>
  <si>
    <t>22/04/2023</t>
  </si>
  <si>
    <t>CMP-01002</t>
  </si>
  <si>
    <t>Q1_Launch_CMP-01002</t>
  </si>
  <si>
    <t>CMP-01003</t>
  </si>
  <si>
    <t>Q1_Summer_CMP-01003</t>
  </si>
  <si>
    <t>CMP-01004</t>
  </si>
  <si>
    <t>Q4_Summer_CMP-01004</t>
  </si>
  <si>
    <t>CMP-01005</t>
  </si>
  <si>
    <t>Q3_Summer_CMP-01005</t>
  </si>
  <si>
    <t>CMP-01006</t>
  </si>
  <si>
    <t>Q3_Winter_CMP-01006</t>
  </si>
  <si>
    <t>CMP-01007</t>
  </si>
  <si>
    <t>Q1_BlackFriday_CMP-01007</t>
  </si>
  <si>
    <t>CMP-01008</t>
  </si>
  <si>
    <t>Q3_Winter_CMP-01008</t>
  </si>
  <si>
    <t>CMP-01009</t>
  </si>
  <si>
    <t>Q3_Summer_CMP-01009</t>
  </si>
  <si>
    <t>CMP-01010</t>
  </si>
  <si>
    <t>Q4_Launch_CMP-01010</t>
  </si>
  <si>
    <t>CMP-01011</t>
  </si>
  <si>
    <t>Q1_Summer_CMP-01011</t>
  </si>
  <si>
    <t>CMP-01012</t>
  </si>
  <si>
    <t>Q2_Winter_CMP-01012</t>
  </si>
  <si>
    <t>CMP-01013</t>
  </si>
  <si>
    <t>Q3_Summer_CMP-01013</t>
  </si>
  <si>
    <t>CMP-01014</t>
  </si>
  <si>
    <t>Q2_Launch_CMP-01014</t>
  </si>
  <si>
    <t>CMP-01015</t>
  </si>
  <si>
    <t>Q1_BlackFriday_CMP-01015</t>
  </si>
  <si>
    <t>CMP-01016</t>
  </si>
  <si>
    <t>Q2_Launch_CMP-01016</t>
  </si>
  <si>
    <t>CMP-01017</t>
  </si>
  <si>
    <t>Q2_Summer_CMP-01017</t>
  </si>
  <si>
    <t>CMP-01018</t>
  </si>
  <si>
    <t>Q3_BlackFriday_CMP-01018</t>
  </si>
  <si>
    <t>21/04/2023</t>
  </si>
  <si>
    <t>CMP-01019</t>
  </si>
  <si>
    <t>Q3_Summer_CMP-01019</t>
  </si>
  <si>
    <t>CMP-01020</t>
  </si>
  <si>
    <t>Q3_Launch_CMP-01020</t>
  </si>
  <si>
    <t>CMP-01021</t>
  </si>
  <si>
    <t>Q1_Launch_CMP-01021</t>
  </si>
  <si>
    <t>CMP-01022</t>
  </si>
  <si>
    <t>Q1_Summer_CMP-01022</t>
  </si>
  <si>
    <t>CMP-01023</t>
  </si>
  <si>
    <t>Q1_Winter_CMP-01023</t>
  </si>
  <si>
    <t>23/05/2023</t>
  </si>
  <si>
    <t>CMP-01024</t>
  </si>
  <si>
    <t>Q1_Winter_CMP-01024</t>
  </si>
  <si>
    <t>CMP-01025</t>
  </si>
  <si>
    <t>Q3_Summer_CMP-01025</t>
  </si>
  <si>
    <t>CMP-01026</t>
  </si>
  <si>
    <t>Q2_Summer_CMP-01026</t>
  </si>
  <si>
    <t>CMP-01027</t>
  </si>
  <si>
    <t>Q2_BlackFriday_CMP-01027</t>
  </si>
  <si>
    <t>26/11/2023</t>
  </si>
  <si>
    <t>CMP-01028</t>
  </si>
  <si>
    <t>Q4_Summer_CMP-01028</t>
  </si>
  <si>
    <t>CMP-01029</t>
  </si>
  <si>
    <t>Q2_BlackFriday_CMP-01029</t>
  </si>
  <si>
    <t>CMP-01030</t>
  </si>
  <si>
    <t>Q2_Winter_CMP-01030</t>
  </si>
  <si>
    <t>CMP-01031</t>
  </si>
  <si>
    <t>Q3_Summer_CMP-01031</t>
  </si>
  <si>
    <t>CMP-01032</t>
  </si>
  <si>
    <t>Q4_BlackFriday_CMP-01032</t>
  </si>
  <si>
    <t>CMP-01033</t>
  </si>
  <si>
    <t>Q2_BlackFriday_CMP-01033</t>
  </si>
  <si>
    <t>CMP-01034</t>
  </si>
  <si>
    <t>Q2_BlackFriday_CMP-01034</t>
  </si>
  <si>
    <t>CMP-01035</t>
  </si>
  <si>
    <t>Q4_Winter_CMP-01035</t>
  </si>
  <si>
    <t>CMP-01036</t>
  </si>
  <si>
    <t>Q2_BlackFriday_CMP-01036</t>
  </si>
  <si>
    <t>CMP-01037</t>
  </si>
  <si>
    <t>Q2_Winter_CMP-01037</t>
  </si>
  <si>
    <t>CMP-01038</t>
  </si>
  <si>
    <t>Q3_BlackFriday_CMP-01038</t>
  </si>
  <si>
    <t>26/09/2023</t>
  </si>
  <si>
    <t>CMP-01039</t>
  </si>
  <si>
    <t>Q4_BlackFriday_CMP-01039</t>
  </si>
  <si>
    <t>CMP-01040</t>
  </si>
  <si>
    <t>Q1_Launch_CMP-01040</t>
  </si>
  <si>
    <t>CMP-01041</t>
  </si>
  <si>
    <t>Q3_BlackFriday_CMP-01041</t>
  </si>
  <si>
    <t>CMP-01042</t>
  </si>
  <si>
    <t>Q3_Launch_CMP-01042</t>
  </si>
  <si>
    <t>CMP-01043</t>
  </si>
  <si>
    <t>Q2_Summer_CMP-01043</t>
  </si>
  <si>
    <t>CMP-01044</t>
  </si>
  <si>
    <t>Q4_Winter_CMP-01044</t>
  </si>
  <si>
    <t>18/09/2023</t>
  </si>
  <si>
    <t>CMP-01045</t>
  </si>
  <si>
    <t>Q2_Launch_CMP-01045</t>
  </si>
  <si>
    <t>CMP-01046</t>
  </si>
  <si>
    <t>Q3_BlackFriday_CMP-01046</t>
  </si>
  <si>
    <t>CMP-01047</t>
  </si>
  <si>
    <t>Q2_BlackFriday_CMP-01047</t>
  </si>
  <si>
    <t>CMP-01048</t>
  </si>
  <si>
    <t>Q3_Summer_CMP-01048</t>
  </si>
  <si>
    <t>CMP-01049</t>
  </si>
  <si>
    <t>Q2_BlackFriday_CMP-01049</t>
  </si>
  <si>
    <t>CMP-01050</t>
  </si>
  <si>
    <t>Q2_Launch_CMP-01050</t>
  </si>
  <si>
    <t>CMP-01051</t>
  </si>
  <si>
    <t>Q3_Summer_CMP-01051</t>
  </si>
  <si>
    <t>CMP-01052</t>
  </si>
  <si>
    <t>Q1_Winter_CMP-01052</t>
  </si>
  <si>
    <t>CMP-01053</t>
  </si>
  <si>
    <t>Q4_Winter_CMP-01053</t>
  </si>
  <si>
    <t>CMP-01054</t>
  </si>
  <si>
    <t>Q4_BlackFriday_CMP-01054</t>
  </si>
  <si>
    <t>CMP-01055</t>
  </si>
  <si>
    <t>Q3_Launch_CMP-01055</t>
  </si>
  <si>
    <t>CMP-01056</t>
  </si>
  <si>
    <t>Q1_BlackFriday_CMP-01056</t>
  </si>
  <si>
    <t>CMP-01057</t>
  </si>
  <si>
    <t>Q1_BlackFriday_CMP-01057</t>
  </si>
  <si>
    <t>CMP-01058</t>
  </si>
  <si>
    <t>Q1_Winter_CMP-01058</t>
  </si>
  <si>
    <t>CMP-01059</t>
  </si>
  <si>
    <t>Q4_Launch_CMP-01059</t>
  </si>
  <si>
    <t>CMP-01060</t>
  </si>
  <si>
    <t>Q3_BlackFriday_CMP-01060</t>
  </si>
  <si>
    <t>CMP-01061</t>
  </si>
  <si>
    <t>Q1_Winter_CMP-01061</t>
  </si>
  <si>
    <t>CMP-01062</t>
  </si>
  <si>
    <t>Q3_BlackFriday_CMP-01062</t>
  </si>
  <si>
    <t>CMP-01063</t>
  </si>
  <si>
    <t>Q2_Launch_CMP-01063</t>
  </si>
  <si>
    <t>CMP-01064</t>
  </si>
  <si>
    <t>Q2_Summer_CMP-01064</t>
  </si>
  <si>
    <t>CMP-01065</t>
  </si>
  <si>
    <t>Q4_Launch_CMP-01065</t>
  </si>
  <si>
    <t>CMP-01066</t>
  </si>
  <si>
    <t>Q4_Launch_CMP-01066</t>
  </si>
  <si>
    <t>CMP-01067</t>
  </si>
  <si>
    <t>Q4_Winter_CMP-01067</t>
  </si>
  <si>
    <t>CMP-01068</t>
  </si>
  <si>
    <t>Q3_BlackFriday_CMP-01068</t>
  </si>
  <si>
    <t>CMP-01069</t>
  </si>
  <si>
    <t>Q3_Launch_CMP-01069</t>
  </si>
  <si>
    <t>CMP-01070</t>
  </si>
  <si>
    <t>Q4_BlackFriday_CMP-01070</t>
  </si>
  <si>
    <t>18/10/2023</t>
  </si>
  <si>
    <t>CMP-01071</t>
  </si>
  <si>
    <t>Q1_Winter_CMP-01071</t>
  </si>
  <si>
    <t>CMP-01072</t>
  </si>
  <si>
    <t>Q1_Launch_CMP-01072</t>
  </si>
  <si>
    <t>CMP-01073</t>
  </si>
  <si>
    <t>Q4_BlackFriday_CMP-01073</t>
  </si>
  <si>
    <t>CMP-01074</t>
  </si>
  <si>
    <t>Q4_Summer_CMP-01074</t>
  </si>
  <si>
    <t>CMP-01075</t>
  </si>
  <si>
    <t>Q2_Winter_CMP-01075</t>
  </si>
  <si>
    <t>CMP-01076</t>
  </si>
  <si>
    <t>Q3_Winter_CMP-01076</t>
  </si>
  <si>
    <t>CMP-01077</t>
  </si>
  <si>
    <t>Q2_Winter_CMP-01077</t>
  </si>
  <si>
    <t>CMP-01078</t>
  </si>
  <si>
    <t>Q3_Summer_CMP-01078</t>
  </si>
  <si>
    <t>CMP-01079</t>
  </si>
  <si>
    <t>Q1_BlackFriday_CMP-01079</t>
  </si>
  <si>
    <t>CMP-01080</t>
  </si>
  <si>
    <t>Q2_BlackFriday_CMP-01080</t>
  </si>
  <si>
    <t>CMP-01081</t>
  </si>
  <si>
    <t>Q4_Launch_CMP-01081</t>
  </si>
  <si>
    <t>CMP-01082</t>
  </si>
  <si>
    <t>Q2_Launch_CMP-01082</t>
  </si>
  <si>
    <t>CMP-01083</t>
  </si>
  <si>
    <t>Q1_Winter_CMP-01083</t>
  </si>
  <si>
    <t>CMP-01084</t>
  </si>
  <si>
    <t>Q2_Winter_CMP-01084</t>
  </si>
  <si>
    <t>CMP-01085</t>
  </si>
  <si>
    <t>Q3_BlackFriday_CMP-01085</t>
  </si>
  <si>
    <t>CMP-01086</t>
  </si>
  <si>
    <t>Q1_Winter_CMP-01086</t>
  </si>
  <si>
    <t>CMP-01087</t>
  </si>
  <si>
    <t>Q2_Winter_CMP-01087</t>
  </si>
  <si>
    <t>CMP-01088</t>
  </si>
  <si>
    <t>Q4_Summer_CMP-01088</t>
  </si>
  <si>
    <t>CMP-01089</t>
  </si>
  <si>
    <t>Q2_Winter_CMP-01089</t>
  </si>
  <si>
    <t>CMP-01090</t>
  </si>
  <si>
    <t>Q3_Summer_CMP-01090</t>
  </si>
  <si>
    <t>CMP-01091</t>
  </si>
  <si>
    <t>Q4_Winter_CMP-01091</t>
  </si>
  <si>
    <t>CMP-01092</t>
  </si>
  <si>
    <t>Q3_Summer_CMP-01092</t>
  </si>
  <si>
    <t>CMP-01093</t>
  </si>
  <si>
    <t>Q4_Launch_CMP-01093</t>
  </si>
  <si>
    <t>CMP-01094</t>
  </si>
  <si>
    <t>Q2_Launch_CMP-01094</t>
  </si>
  <si>
    <t>CMP-01095</t>
  </si>
  <si>
    <t>Q4_Launch_CMP-01095</t>
  </si>
  <si>
    <t>CMP-01096</t>
  </si>
  <si>
    <t>Q2_Summer_CMP-01096</t>
  </si>
  <si>
    <t>CMP-01097</t>
  </si>
  <si>
    <t>Q4_Winter_CMP-01097</t>
  </si>
  <si>
    <t>CMP-01098</t>
  </si>
  <si>
    <t>Q3_Winter_CMP-01098</t>
  </si>
  <si>
    <t>CMP-01099</t>
  </si>
  <si>
    <t>Q4_BlackFriday_CMP-01099</t>
  </si>
  <si>
    <t>CMP-01100</t>
  </si>
  <si>
    <t>Q3_Launch_CMP-01100</t>
  </si>
  <si>
    <t>18/03/2023</t>
  </si>
  <si>
    <t>CMP-01101</t>
  </si>
  <si>
    <t>Q4_Summer_CMP-01101</t>
  </si>
  <si>
    <t>CMP-01102</t>
  </si>
  <si>
    <t>Q3_Launch_CMP-01102</t>
  </si>
  <si>
    <t>CMP-01103</t>
  </si>
  <si>
    <t>Q1_Winter_CMP-01103</t>
  </si>
  <si>
    <t>CMP-01104</t>
  </si>
  <si>
    <t>Q2_Winter_CMP-01104</t>
  </si>
  <si>
    <t>CMP-01105</t>
  </si>
  <si>
    <t>Q3_BlackFriday_CMP-01105</t>
  </si>
  <si>
    <t>CMP-01106</t>
  </si>
  <si>
    <t>Q3_Summer_CMP-01106</t>
  </si>
  <si>
    <t>CMP-01107</t>
  </si>
  <si>
    <t>Q4_Summer_CMP-01107</t>
  </si>
  <si>
    <t>CMP-01108</t>
  </si>
  <si>
    <t>Q2_Winter_CMP-01108</t>
  </si>
  <si>
    <t>CMP-01109</t>
  </si>
  <si>
    <t>Q4_Winter_CMP-01109</t>
  </si>
  <si>
    <t>CMP-01110</t>
  </si>
  <si>
    <t>Q1_Winter_CMP-01110</t>
  </si>
  <si>
    <t>CMP-01111</t>
  </si>
  <si>
    <t>Q3_Launch_CMP-01111</t>
  </si>
  <si>
    <t>CMP-01112</t>
  </si>
  <si>
    <t>Q1_BlackFriday_CMP-01112</t>
  </si>
  <si>
    <t>CMP-01113</t>
  </si>
  <si>
    <t>Q4_Winter_CMP-01113</t>
  </si>
  <si>
    <t>CMP-01114</t>
  </si>
  <si>
    <t>Q4_Winter_CMP-01114</t>
  </si>
  <si>
    <t>CMP-01115</t>
  </si>
  <si>
    <t>Q3_BlackFriday_CMP-01115</t>
  </si>
  <si>
    <t>CMP-01116</t>
  </si>
  <si>
    <t>Q4_Launch_CMP-01116</t>
  </si>
  <si>
    <t>CMP-01117</t>
  </si>
  <si>
    <t>Q1_BlackFriday_CMP-01117</t>
  </si>
  <si>
    <t>CMP-01118</t>
  </si>
  <si>
    <t>Q4_Winter_CMP-01118</t>
  </si>
  <si>
    <t>CMP-01119</t>
  </si>
  <si>
    <t>Q2_Launch_CMP-01119</t>
  </si>
  <si>
    <t>CMP-01120</t>
  </si>
  <si>
    <t>Q1_Launch_CMP-01120</t>
  </si>
  <si>
    <t>CMP-01121</t>
  </si>
  <si>
    <t>Q1_BlackFriday_CMP-01121</t>
  </si>
  <si>
    <t>CMP-01122</t>
  </si>
  <si>
    <t>Q1_Launch_CMP-01122</t>
  </si>
  <si>
    <t>CMP-01123</t>
  </si>
  <si>
    <t>Q1_Winter_CMP-01123</t>
  </si>
  <si>
    <t>20/01/2023</t>
  </si>
  <si>
    <t>CMP-01124</t>
  </si>
  <si>
    <t>Q3_Winter_CMP-01124</t>
  </si>
  <si>
    <t>CMP-01125</t>
  </si>
  <si>
    <t>Q4_Launch_CMP-01125</t>
  </si>
  <si>
    <t>CMP-01126</t>
  </si>
  <si>
    <t>Q1_Launch_CMP-01126</t>
  </si>
  <si>
    <t>CMP-01127</t>
  </si>
  <si>
    <t>Q4_Launch_CMP-01127</t>
  </si>
  <si>
    <t>CMP-01128</t>
  </si>
  <si>
    <t>Q1_BlackFriday_CMP-01128</t>
  </si>
  <si>
    <t>15/06/2023</t>
  </si>
  <si>
    <t>CMP-01129</t>
  </si>
  <si>
    <t>Q4_BlackFriday_CMP-01129</t>
  </si>
  <si>
    <t>CMP-01130</t>
  </si>
  <si>
    <t>Q1_Launch_CMP-01130</t>
  </si>
  <si>
    <t>CMP-01131</t>
  </si>
  <si>
    <t>Q3_Launch_CMP-01131</t>
  </si>
  <si>
    <t>CMP-01132</t>
  </si>
  <si>
    <t>Q3_BlackFriday_CMP-01132</t>
  </si>
  <si>
    <t>CMP-01133</t>
  </si>
  <si>
    <t>Q1_Winter_CMP-01133</t>
  </si>
  <si>
    <t>CMP-01134</t>
  </si>
  <si>
    <t>Q4_Launch_CMP-01134</t>
  </si>
  <si>
    <t>CMP-01135</t>
  </si>
  <si>
    <t>Q1_Winter_CMP-01135</t>
  </si>
  <si>
    <t>CMP-01136</t>
  </si>
  <si>
    <t>Q1_BlackFriday_CMP-01136</t>
  </si>
  <si>
    <t>CMP-01137</t>
  </si>
  <si>
    <t>Q3_Winter_CMP-01137</t>
  </si>
  <si>
    <t>CMP-01138</t>
  </si>
  <si>
    <t>Q4_Launch_CMP-01138</t>
  </si>
  <si>
    <t>CMP-01139</t>
  </si>
  <si>
    <t>Q1_Launch_CMP-01139</t>
  </si>
  <si>
    <t>CMP-01140</t>
  </si>
  <si>
    <t>Q3_Summer_CMP-01140</t>
  </si>
  <si>
    <t>CMP-01141</t>
  </si>
  <si>
    <t>Q1_Launch_CMP-01141</t>
  </si>
  <si>
    <t>CMP-01142</t>
  </si>
  <si>
    <t>Q4_BlackFriday_CMP-01142</t>
  </si>
  <si>
    <t>CMP-01143</t>
  </si>
  <si>
    <t>Q1_BlackFriday_CMP-01143</t>
  </si>
  <si>
    <t>CMP-01144</t>
  </si>
  <si>
    <t>Q3_Launch_CMP-01144</t>
  </si>
  <si>
    <t>CMP-01145</t>
  </si>
  <si>
    <t>Q3_BlackFriday_CMP-01145</t>
  </si>
  <si>
    <t>CMP-01146</t>
  </si>
  <si>
    <t>Q1_BlackFriday_CMP-01146</t>
  </si>
  <si>
    <t>CMP-01147</t>
  </si>
  <si>
    <t>Q2_BlackFriday_CMP-01147</t>
  </si>
  <si>
    <t>CMP-01148</t>
  </si>
  <si>
    <t>Q3_Launch_CMP-01148</t>
  </si>
  <si>
    <t>CMP-01149</t>
  </si>
  <si>
    <t>Q1_Launch_CMP-01149</t>
  </si>
  <si>
    <t>CMP-01150</t>
  </si>
  <si>
    <t>Q3_BlackFriday_CMP-01150</t>
  </si>
  <si>
    <t>CMP-01151</t>
  </si>
  <si>
    <t>Q1_Summer_CMP-01151</t>
  </si>
  <si>
    <t>CMP-01152</t>
  </si>
  <si>
    <t>Q3_Summer_CMP-01152</t>
  </si>
  <si>
    <t>CMP-01153</t>
  </si>
  <si>
    <t>Q4_Winter_CMP-01153</t>
  </si>
  <si>
    <t>CMP-01154</t>
  </si>
  <si>
    <t>Q2_Summer_CMP-01154</t>
  </si>
  <si>
    <t>CMP-01155</t>
  </si>
  <si>
    <t>Q1_Winter_CMP-01155</t>
  </si>
  <si>
    <t>CMP-01156</t>
  </si>
  <si>
    <t>Q2_Launch_CMP-01156</t>
  </si>
  <si>
    <t>CMP-01157</t>
  </si>
  <si>
    <t>Q4_BlackFriday_CMP-01157</t>
  </si>
  <si>
    <t>23/02/2023</t>
  </si>
  <si>
    <t>CMP-01158</t>
  </si>
  <si>
    <t>Q3_Launch_CMP-01158</t>
  </si>
  <si>
    <t>CMP-01159</t>
  </si>
  <si>
    <t>Q2_Launch_CMP-01159</t>
  </si>
  <si>
    <t>CMP-01160</t>
  </si>
  <si>
    <t>Q1_Summer_CMP-01160</t>
  </si>
  <si>
    <t>CMP-01161</t>
  </si>
  <si>
    <t>Q3_BlackFriday_CMP-01161</t>
  </si>
  <si>
    <t>CMP-01162</t>
  </si>
  <si>
    <t>Q1_Winter_CMP-01162</t>
  </si>
  <si>
    <t>CMP-01163</t>
  </si>
  <si>
    <t>Q1_Launch_CMP-01163</t>
  </si>
  <si>
    <t>CMP-01164</t>
  </si>
  <si>
    <t>Q1_BlackFriday_CMP-01164</t>
  </si>
  <si>
    <t>CMP-01165</t>
  </si>
  <si>
    <t>Q3_Launch_CMP-01165</t>
  </si>
  <si>
    <t>CMP-01166</t>
  </si>
  <si>
    <t>Q4_Summer_CMP-01166</t>
  </si>
  <si>
    <t>CMP-01167</t>
  </si>
  <si>
    <t>Q2_BlackFriday_CMP-01167</t>
  </si>
  <si>
    <t>CMP-01168</t>
  </si>
  <si>
    <t>Q1_Launch_CMP-01168</t>
  </si>
  <si>
    <t>CMP-01169</t>
  </si>
  <si>
    <t>Q1_Winter_CMP-01169</t>
  </si>
  <si>
    <t>20/03/2023</t>
  </si>
  <si>
    <t>CMP-01170</t>
  </si>
  <si>
    <t>Q3_BlackFriday_CMP-01170</t>
  </si>
  <si>
    <t>CMP-01171</t>
  </si>
  <si>
    <t>Q2_Summer_CMP-01171</t>
  </si>
  <si>
    <t>CMP-01172</t>
  </si>
  <si>
    <t>Q3_Launch_CMP-01172</t>
  </si>
  <si>
    <t>CMP-01173</t>
  </si>
  <si>
    <t>Q2_Launch_CMP-01173</t>
  </si>
  <si>
    <t>CMP-01174</t>
  </si>
  <si>
    <t>Q3_Winter_CMP-01174</t>
  </si>
  <si>
    <t>CMP-01175</t>
  </si>
  <si>
    <t>Q3_Summer_CMP-01175</t>
  </si>
  <si>
    <t>CMP-01176</t>
  </si>
  <si>
    <t>Q4_Winter_CMP-01176</t>
  </si>
  <si>
    <t>CMP-01177</t>
  </si>
  <si>
    <t>Q3_BlackFriday_CMP-01177</t>
  </si>
  <si>
    <t>CMP-01178</t>
  </si>
  <si>
    <t>Q1_Launch_CMP-01178</t>
  </si>
  <si>
    <t>CMP-01179</t>
  </si>
  <si>
    <t>Q2_Summer_CMP-01179</t>
  </si>
  <si>
    <t>CMP-01180</t>
  </si>
  <si>
    <t>Q4_Winter_CMP-01180</t>
  </si>
  <si>
    <t>CMP-01181</t>
  </si>
  <si>
    <t>Q3_BlackFriday_CMP-01181</t>
  </si>
  <si>
    <t>CMP-01182</t>
  </si>
  <si>
    <t>Q4_BlackFriday_CMP-01182</t>
  </si>
  <si>
    <t>CMP-01183</t>
  </si>
  <si>
    <t>Q1_Winter_CMP-01183</t>
  </si>
  <si>
    <t>CMP-01184</t>
  </si>
  <si>
    <t>Q2_Summer_CMP-01184</t>
  </si>
  <si>
    <t>CMP-01185</t>
  </si>
  <si>
    <t>Q3_Winter_CMP-01185</t>
  </si>
  <si>
    <t>CMP-01186</t>
  </si>
  <si>
    <t>Q1_BlackFriday_CMP-01186</t>
  </si>
  <si>
    <t>CMP-01187</t>
  </si>
  <si>
    <t>Q4_Launch_CMP-01187</t>
  </si>
  <si>
    <t>CMP-01188</t>
  </si>
  <si>
    <t>Q3_Launch_CMP-01188</t>
  </si>
  <si>
    <t>CMP-01189</t>
  </si>
  <si>
    <t>Q4_Summer_CMP-01189</t>
  </si>
  <si>
    <t>CMP-01190</t>
  </si>
  <si>
    <t>Q3_BlackFriday_CMP-01190</t>
  </si>
  <si>
    <t>CMP-01191</t>
  </si>
  <si>
    <t>Q3_BlackFriday_CMP-01191</t>
  </si>
  <si>
    <t>CMP-01192</t>
  </si>
  <si>
    <t>Q4_Winter_CMP-01192</t>
  </si>
  <si>
    <t>CMP-01193</t>
  </si>
  <si>
    <t>Q4_Launch_CMP-01193</t>
  </si>
  <si>
    <t>CMP-01194</t>
  </si>
  <si>
    <t>Q2_Winter_CMP-01194</t>
  </si>
  <si>
    <t>CMP-01195</t>
  </si>
  <si>
    <t>Q4_BlackFriday_CMP-01195</t>
  </si>
  <si>
    <t>CMP-01196</t>
  </si>
  <si>
    <t>Q4_Summer_CMP-01196</t>
  </si>
  <si>
    <t>CMP-01197</t>
  </si>
  <si>
    <t>Q1_Launch_CMP-01197</t>
  </si>
  <si>
    <t>CMP-01198</t>
  </si>
  <si>
    <t>Q3_Summer_CMP-01198</t>
  </si>
  <si>
    <t>CMP-01199</t>
  </si>
  <si>
    <t>Q2_BlackFriday_CMP-01199</t>
  </si>
  <si>
    <t>CMP-01200</t>
  </si>
  <si>
    <t>Q3_BlackFriday_CMP-01200</t>
  </si>
  <si>
    <t>CMP-01201</t>
  </si>
  <si>
    <t>Q3_Launch_CMP-01201</t>
  </si>
  <si>
    <t>CMP-01202</t>
  </si>
  <si>
    <t>Q4_Summer_CMP-01202</t>
  </si>
  <si>
    <t>CMP-01203</t>
  </si>
  <si>
    <t>Q2_Winter_CMP-01203</t>
  </si>
  <si>
    <t>CMP-01204</t>
  </si>
  <si>
    <t>Q3_Launch_CMP-01204</t>
  </si>
  <si>
    <t>CMP-01205</t>
  </si>
  <si>
    <t>Q4_Summer_CMP-01205</t>
  </si>
  <si>
    <t>CMP-01206</t>
  </si>
  <si>
    <t>Q3_Launch_CMP-01206</t>
  </si>
  <si>
    <t>CMP-01207</t>
  </si>
  <si>
    <t>Q2_Launch_CMP-01207</t>
  </si>
  <si>
    <t>CMP-01208</t>
  </si>
  <si>
    <t>Q2_Launch_CMP-01208</t>
  </si>
  <si>
    <t>CMP-01209</t>
  </si>
  <si>
    <t>Q1_Summer_CMP-01209</t>
  </si>
  <si>
    <t>CMP-01210</t>
  </si>
  <si>
    <t>Q4_Winter_CMP-01210</t>
  </si>
  <si>
    <t>CMP-01211</t>
  </si>
  <si>
    <t>Q2_Summer_CMP-01211</t>
  </si>
  <si>
    <t>CMP-01212</t>
  </si>
  <si>
    <t>Q3_Winter_CMP-01212</t>
  </si>
  <si>
    <t>CMP-01213</t>
  </si>
  <si>
    <t>Q2_Launch_CMP-01213</t>
  </si>
  <si>
    <t>CMP-01214</t>
  </si>
  <si>
    <t>Q4_BlackFriday_CMP-01214</t>
  </si>
  <si>
    <t>CMP-01215</t>
  </si>
  <si>
    <t>Q2_Launch_CMP-01215</t>
  </si>
  <si>
    <t>CMP-01216</t>
  </si>
  <si>
    <t>Q3_BlackFriday_CMP-01216</t>
  </si>
  <si>
    <t>CMP-01217</t>
  </si>
  <si>
    <t>Q3_Summer_CMP-01217</t>
  </si>
  <si>
    <t>CMP-01218</t>
  </si>
  <si>
    <t>Q3_Launch_CMP-01218</t>
  </si>
  <si>
    <t>CMP-01219</t>
  </si>
  <si>
    <t>Q2_Launch_CMP-01219</t>
  </si>
  <si>
    <t>CMP-01220</t>
  </si>
  <si>
    <t>Q4_Launch_CMP-01220</t>
  </si>
  <si>
    <t>CMP-01221</t>
  </si>
  <si>
    <t>Q3_Launch_CMP-01221</t>
  </si>
  <si>
    <t>CMP-01222</t>
  </si>
  <si>
    <t>Q2_Winter_CMP-01222</t>
  </si>
  <si>
    <t>CMP-01223</t>
  </si>
  <si>
    <t>Q4_BlackFriday_CMP-01223</t>
  </si>
  <si>
    <t>CMP-01224</t>
  </si>
  <si>
    <t>Q1_BlackFriday_CMP-01224</t>
  </si>
  <si>
    <t>CMP-01225</t>
  </si>
  <si>
    <t>Q4_Winter_CMP-01225</t>
  </si>
  <si>
    <t>CMP-01226</t>
  </si>
  <si>
    <t>Q1_Launch_CMP-01226</t>
  </si>
  <si>
    <t>CMP-01227</t>
  </si>
  <si>
    <t>Q4_Launch_CMP-01227</t>
  </si>
  <si>
    <t>CMP-01228</t>
  </si>
  <si>
    <t>Q4_Winter_CMP-01228</t>
  </si>
  <si>
    <t>CMP-01229</t>
  </si>
  <si>
    <t>Q1_Winter_CMP-01229</t>
  </si>
  <si>
    <t>CMP-01230</t>
  </si>
  <si>
    <t>Q2_Summer_CMP-01230</t>
  </si>
  <si>
    <t>CMP-01231</t>
  </si>
  <si>
    <t>Q4_Summer_CMP-01231</t>
  </si>
  <si>
    <t>CMP-01232</t>
  </si>
  <si>
    <t>Q3_Winter_CMP-01232</t>
  </si>
  <si>
    <t>CMP-01233</t>
  </si>
  <si>
    <t>Q2_Launch_CMP-01233</t>
  </si>
  <si>
    <t>CMP-01234</t>
  </si>
  <si>
    <t>Q1_BlackFriday_CMP-01234</t>
  </si>
  <si>
    <t>16/12/2023</t>
  </si>
  <si>
    <t>CMP-01235</t>
  </si>
  <si>
    <t>Q1_Launch_CMP-01235</t>
  </si>
  <si>
    <t>CMP-01236</t>
  </si>
  <si>
    <t>Q2_Winter_CMP-01236</t>
  </si>
  <si>
    <t>CMP-01237</t>
  </si>
  <si>
    <t>Q4_BlackFriday_CMP-01237</t>
  </si>
  <si>
    <t>CMP-01238</t>
  </si>
  <si>
    <t>Q2_Winter_CMP-01238</t>
  </si>
  <si>
    <t>CMP-01239</t>
  </si>
  <si>
    <t>Q4_Winter_CMP-01239</t>
  </si>
  <si>
    <t>CMP-01240</t>
  </si>
  <si>
    <t>Q3_Winter_CMP-01240</t>
  </si>
  <si>
    <t>CMP-01241</t>
  </si>
  <si>
    <t>Q3_Summer_CMP-01241</t>
  </si>
  <si>
    <t>CMP-01242</t>
  </si>
  <si>
    <t>Q1_Winter_CMP-01242</t>
  </si>
  <si>
    <t>CMP-01243</t>
  </si>
  <si>
    <t>Q4_Launch_CMP-01243</t>
  </si>
  <si>
    <t>CMP-01244</t>
  </si>
  <si>
    <t>Q2_Launch_CMP-01244</t>
  </si>
  <si>
    <t>CMP-01245</t>
  </si>
  <si>
    <t>Q2_Winter_CMP-01245</t>
  </si>
  <si>
    <t>CMP-01246</t>
  </si>
  <si>
    <t>Q4_Summer_CMP-01246</t>
  </si>
  <si>
    <t>CMP-01247</t>
  </si>
  <si>
    <t>Q3_Winter_CMP-01247</t>
  </si>
  <si>
    <t>CMP-01248</t>
  </si>
  <si>
    <t>Q2_Launch_CMP-01248</t>
  </si>
  <si>
    <t>CMP-01249</t>
  </si>
  <si>
    <t>Q1_Summer_CMP-01249</t>
  </si>
  <si>
    <t>CMP-01250</t>
  </si>
  <si>
    <t>Q1_Launch_CMP-01250</t>
  </si>
  <si>
    <t>CMP-01251</t>
  </si>
  <si>
    <t>Q4_Launch_CMP-01251</t>
  </si>
  <si>
    <t>CMP-01252</t>
  </si>
  <si>
    <t>Q1_Launch_CMP-01252</t>
  </si>
  <si>
    <t>CMP-01253</t>
  </si>
  <si>
    <t>Q3_Summer_CMP-01253</t>
  </si>
  <si>
    <t>CMP-01254</t>
  </si>
  <si>
    <t>Q1_Launch_CMP-01254</t>
  </si>
  <si>
    <t>CMP-01255</t>
  </si>
  <si>
    <t>Q4_Summer_CMP-01255</t>
  </si>
  <si>
    <t>CMP-01256</t>
  </si>
  <si>
    <t>Q3_Launch_CMP-01256</t>
  </si>
  <si>
    <t>CMP-01257</t>
  </si>
  <si>
    <t>Q1_BlackFriday_CMP-01257</t>
  </si>
  <si>
    <t>CMP-01258</t>
  </si>
  <si>
    <t>Q4_Launch_CMP-01258</t>
  </si>
  <si>
    <t>CMP-01259</t>
  </si>
  <si>
    <t>Q4_Summer_CMP-01259</t>
  </si>
  <si>
    <t>CMP-01260</t>
  </si>
  <si>
    <t>Q1_Winter_CMP-01260</t>
  </si>
  <si>
    <t>CMP-01261</t>
  </si>
  <si>
    <t>Q3_Summer_CMP-01261</t>
  </si>
  <si>
    <t>CMP-01262</t>
  </si>
  <si>
    <t>Q2_BlackFriday_CMP-01262</t>
  </si>
  <si>
    <t>CMP-01263</t>
  </si>
  <si>
    <t>Q4_BlackFriday_CMP-01263</t>
  </si>
  <si>
    <t>CMP-01264</t>
  </si>
  <si>
    <t>Q2_Winter_CMP-01264</t>
  </si>
  <si>
    <t>CMP-01265</t>
  </si>
  <si>
    <t>Q4_Winter_CMP-01265</t>
  </si>
  <si>
    <t>CMP-01266</t>
  </si>
  <si>
    <t>Q3_Summer_CMP-01266</t>
  </si>
  <si>
    <t>CMP-01267</t>
  </si>
  <si>
    <t>Q3_Summer_CMP-01267</t>
  </si>
  <si>
    <t>CMP-01268</t>
  </si>
  <si>
    <t>Q4_Launch_CMP-01268</t>
  </si>
  <si>
    <t>CMP-01269</t>
  </si>
  <si>
    <t>Q2_BlackFriday_CMP-01269</t>
  </si>
  <si>
    <t>CMP-01270</t>
  </si>
  <si>
    <t>Q3_BlackFriday_CMP-01270</t>
  </si>
  <si>
    <t>CMP-01271</t>
  </si>
  <si>
    <t>Q4_BlackFriday_CMP-01271</t>
  </si>
  <si>
    <t>CMP-01272</t>
  </si>
  <si>
    <t>Q4_BlackFriday_CMP-01272</t>
  </si>
  <si>
    <t>CMP-01273</t>
  </si>
  <si>
    <t>Q3_Summer_CMP-01273</t>
  </si>
  <si>
    <t>30/01/2023</t>
  </si>
  <si>
    <t>CMP-01274</t>
  </si>
  <si>
    <t>Q2_Winter_CMP-01274</t>
  </si>
  <si>
    <t>CMP-01275</t>
  </si>
  <si>
    <t>Q3_Summer_CMP-01275</t>
  </si>
  <si>
    <t>CMP-01276</t>
  </si>
  <si>
    <t>Q2_BlackFriday_CMP-01276</t>
  </si>
  <si>
    <t>CMP-01277</t>
  </si>
  <si>
    <t>Q3_BlackFriday_CMP-01277</t>
  </si>
  <si>
    <t>CMP-01278</t>
  </si>
  <si>
    <t>Q3_Winter_CMP-01278</t>
  </si>
  <si>
    <t>16/07/2023</t>
  </si>
  <si>
    <t>CMP-01279</t>
  </si>
  <si>
    <t>Q3_Launch_CMP-01279</t>
  </si>
  <si>
    <t>CMP-01280</t>
  </si>
  <si>
    <t>Q4_BlackFriday_CMP-01280</t>
  </si>
  <si>
    <t>CMP-01281</t>
  </si>
  <si>
    <t>Q2_Winter_CMP-01281</t>
  </si>
  <si>
    <t>CMP-01282</t>
  </si>
  <si>
    <t>Q2_BlackFriday_CMP-01282</t>
  </si>
  <si>
    <t>CMP-01283</t>
  </si>
  <si>
    <t>Q4_BlackFriday_CMP-01283</t>
  </si>
  <si>
    <t>CMP-01284</t>
  </si>
  <si>
    <t>Q2_Summer_CMP-01284</t>
  </si>
  <si>
    <t>CMP-01285</t>
  </si>
  <si>
    <t>Q2_BlackFriday_CMP-01285</t>
  </si>
  <si>
    <t>CMP-01286</t>
  </si>
  <si>
    <t>Q2_Summer_CMP-01286</t>
  </si>
  <si>
    <t>CMP-01287</t>
  </si>
  <si>
    <t>Q3_BlackFriday_CMP-01287</t>
  </si>
  <si>
    <t>CMP-01288</t>
  </si>
  <si>
    <t>Q4_Launch_CMP-01288</t>
  </si>
  <si>
    <t>CMP-01289</t>
  </si>
  <si>
    <t>Q2_BlackFriday_CMP-01289</t>
  </si>
  <si>
    <t>26/07/2023</t>
  </si>
  <si>
    <t>CMP-01290</t>
  </si>
  <si>
    <t>Q2_BlackFriday_CMP-01290</t>
  </si>
  <si>
    <t>CMP-01291</t>
  </si>
  <si>
    <t>Q3_Launch_CMP-01291</t>
  </si>
  <si>
    <t>CMP-01292</t>
  </si>
  <si>
    <t>Q4_Winter_CMP-01292</t>
  </si>
  <si>
    <t>CMP-01293</t>
  </si>
  <si>
    <t>Q4_Winter_CMP-01293</t>
  </si>
  <si>
    <t>CMP-01294</t>
  </si>
  <si>
    <t>Q4_Launch_CMP-01294</t>
  </si>
  <si>
    <t>CMP-01295</t>
  </si>
  <si>
    <t>Q1_Summer_CMP-01295</t>
  </si>
  <si>
    <t>CMP-01296</t>
  </si>
  <si>
    <t>Q3_Winter_CMP-01296</t>
  </si>
  <si>
    <t>CMP-01297</t>
  </si>
  <si>
    <t>Q3_Winter_CMP-01297</t>
  </si>
  <si>
    <t>CMP-01298</t>
  </si>
  <si>
    <t>Q2_Winter_CMP-01298</t>
  </si>
  <si>
    <t>CMP-01299</t>
  </si>
  <si>
    <t>Q3_Summer_CMP-01299</t>
  </si>
  <si>
    <t>CMP-01300</t>
  </si>
  <si>
    <t>Q2_BlackFriday_CMP-01300</t>
  </si>
  <si>
    <t>CMP-01301</t>
  </si>
  <si>
    <t>Q4_Launch_CMP-01301</t>
  </si>
  <si>
    <t>CMP-01302</t>
  </si>
  <si>
    <t>Q1_Winter_CMP-01302</t>
  </si>
  <si>
    <t>CMP-01303</t>
  </si>
  <si>
    <t>Q2_BlackFriday_CMP-01303</t>
  </si>
  <si>
    <t>CMP-01304</t>
  </si>
  <si>
    <t>Q1_Launch_CMP-01304</t>
  </si>
  <si>
    <t>CMP-01305</t>
  </si>
  <si>
    <t>Q1_BlackFriday_CMP-01305</t>
  </si>
  <si>
    <t>CMP-01306</t>
  </si>
  <si>
    <t>Q1_BlackFriday_CMP-01306</t>
  </si>
  <si>
    <t>CMP-01307</t>
  </si>
  <si>
    <t>Q1_Summer_CMP-01307</t>
  </si>
  <si>
    <t>CMP-01308</t>
  </si>
  <si>
    <t>Q4_Winter_CMP-01308</t>
  </si>
  <si>
    <t>CMP-01309</t>
  </si>
  <si>
    <t>Q2_BlackFriday_CMP-01309</t>
  </si>
  <si>
    <t>CMP-01310</t>
  </si>
  <si>
    <t>Q2_Winter_CMP-01310</t>
  </si>
  <si>
    <t>CMP-01311</t>
  </si>
  <si>
    <t>Q2_Launch_CMP-01311</t>
  </si>
  <si>
    <t>CMP-01312</t>
  </si>
  <si>
    <t>Q2_Summer_CMP-01312</t>
  </si>
  <si>
    <t>CMP-01313</t>
  </si>
  <si>
    <t>Q3_BlackFriday_CMP-01313</t>
  </si>
  <si>
    <t>CMP-01314</t>
  </si>
  <si>
    <t>Q1_Winter_CMP-01314</t>
  </si>
  <si>
    <t>CMP-01315</t>
  </si>
  <si>
    <t>Q1_Winter_CMP-01315</t>
  </si>
  <si>
    <t>CMP-01316</t>
  </si>
  <si>
    <t>Q3_Summer_CMP-01316</t>
  </si>
  <si>
    <t>CMP-01317</t>
  </si>
  <si>
    <t>Q2_Winter_CMP-01317</t>
  </si>
  <si>
    <t>CMP-01318</t>
  </si>
  <si>
    <t>Q2_Launch_CMP-01318</t>
  </si>
  <si>
    <t>CMP-01319</t>
  </si>
  <si>
    <t>Q4_Summer_CMP-01319</t>
  </si>
  <si>
    <t>24/01/2023</t>
  </si>
  <si>
    <t>CMP-01320</t>
  </si>
  <si>
    <t>Q1_BlackFriday_CMP-01320</t>
  </si>
  <si>
    <t>CMP-01321</t>
  </si>
  <si>
    <t>Q1_Winter_CMP-01321</t>
  </si>
  <si>
    <t>CMP-01322</t>
  </si>
  <si>
    <t>Q4_Summer_CMP-01322</t>
  </si>
  <si>
    <t>CMP-01323</t>
  </si>
  <si>
    <t>Q4_Summer_CMP-01323</t>
  </si>
  <si>
    <t>CMP-01324</t>
  </si>
  <si>
    <t>Q4_Winter_CMP-01324</t>
  </si>
  <si>
    <t>CMP-01325</t>
  </si>
  <si>
    <t>Q1_Winter_CMP-01325</t>
  </si>
  <si>
    <t>CMP-01326</t>
  </si>
  <si>
    <t>Q4_BlackFriday_CMP-01326</t>
  </si>
  <si>
    <t>CMP-01327</t>
  </si>
  <si>
    <t>Q1_Launch_CMP-01327</t>
  </si>
  <si>
    <t>CMP-01328</t>
  </si>
  <si>
    <t>Q1_Launch_CMP-01328</t>
  </si>
  <si>
    <t>CMP-01329</t>
  </si>
  <si>
    <t>Q2_Launch_CMP-01329</t>
  </si>
  <si>
    <t>CMP-01330</t>
  </si>
  <si>
    <t>Q1_BlackFriday_CMP-01330</t>
  </si>
  <si>
    <t>CMP-01331</t>
  </si>
  <si>
    <t>Q4_BlackFriday_CMP-01331</t>
  </si>
  <si>
    <t>CMP-01332</t>
  </si>
  <si>
    <t>Q4_Winter_CMP-01332</t>
  </si>
  <si>
    <t>CMP-01333</t>
  </si>
  <si>
    <t>Q3_Launch_CMP-01333</t>
  </si>
  <si>
    <t>CMP-01334</t>
  </si>
  <si>
    <t>Q3_BlackFriday_CMP-01334</t>
  </si>
  <si>
    <t>CMP-01335</t>
  </si>
  <si>
    <t>Q3_Winter_CMP-01335</t>
  </si>
  <si>
    <t>CMP-01336</t>
  </si>
  <si>
    <t>Q3_BlackFriday_CMP-01336</t>
  </si>
  <si>
    <t>CMP-01337</t>
  </si>
  <si>
    <t>Q3_Launch_CMP-01337</t>
  </si>
  <si>
    <t>CMP-01338</t>
  </si>
  <si>
    <t>Q1_Winter_CMP-01338</t>
  </si>
  <si>
    <t>13/11/2023</t>
  </si>
  <si>
    <t>CMP-01339</t>
  </si>
  <si>
    <t>Q4_Summer_CMP-01339</t>
  </si>
  <si>
    <t>CMP-01340</t>
  </si>
  <si>
    <t>Q3_Launch_CMP-01340</t>
  </si>
  <si>
    <t>CMP-01341</t>
  </si>
  <si>
    <t>Q4_Winter_CMP-01341</t>
  </si>
  <si>
    <t>CMP-01342</t>
  </si>
  <si>
    <t>Q2_Summer_CMP-01342</t>
  </si>
  <si>
    <t>CMP-01343</t>
  </si>
  <si>
    <t>Q4_BlackFriday_CMP-01343</t>
  </si>
  <si>
    <t>CMP-01344</t>
  </si>
  <si>
    <t>Q1_Launch_CMP-01344</t>
  </si>
  <si>
    <t>CMP-01345</t>
  </si>
  <si>
    <t>Q3_Winter_CMP-01345</t>
  </si>
  <si>
    <t>CMP-01346</t>
  </si>
  <si>
    <t>Q2_Summer_CMP-01346</t>
  </si>
  <si>
    <t>CMP-01347</t>
  </si>
  <si>
    <t>Q2_Winter_CMP-01347</t>
  </si>
  <si>
    <t>CMP-01348</t>
  </si>
  <si>
    <t>Q3_BlackFriday_CMP-01348</t>
  </si>
  <si>
    <t>CMP-01349</t>
  </si>
  <si>
    <t>Q3_Launch_CMP-01349</t>
  </si>
  <si>
    <t>CMP-01350</t>
  </si>
  <si>
    <t>Q1_BlackFriday_CMP-01350</t>
  </si>
  <si>
    <t>CMP-01351</t>
  </si>
  <si>
    <t>Q2_Winter_CMP-01351</t>
  </si>
  <si>
    <t>CMP-01352</t>
  </si>
  <si>
    <t>Q3_Winter_CMP-01352</t>
  </si>
  <si>
    <t>CMP-01353</t>
  </si>
  <si>
    <t>Q2_Launch_CMP-01353</t>
  </si>
  <si>
    <t>CMP-01354</t>
  </si>
  <si>
    <t>Q2_Winter_CMP-01354</t>
  </si>
  <si>
    <t>CMP-01355</t>
  </si>
  <si>
    <t>Q2_BlackFriday_CMP-01355</t>
  </si>
  <si>
    <t>CMP-01356</t>
  </si>
  <si>
    <t>Q4_Launch_CMP-01356</t>
  </si>
  <si>
    <t>CMP-01357</t>
  </si>
  <si>
    <t>Q3_Winter_CMP-01357</t>
  </si>
  <si>
    <t>CMP-01358</t>
  </si>
  <si>
    <t>Q3_Launch_CMP-01358</t>
  </si>
  <si>
    <t>CMP-01359</t>
  </si>
  <si>
    <t>Q3_BlackFriday_CMP-01359</t>
  </si>
  <si>
    <t>CMP-01360</t>
  </si>
  <si>
    <t>Q2_BlackFriday_CMP-01360</t>
  </si>
  <si>
    <t>CMP-01361</t>
  </si>
  <si>
    <t>Q3_BlackFriday_CMP-01361</t>
  </si>
  <si>
    <t>CMP-01362</t>
  </si>
  <si>
    <t>Q3_Launch_CMP-01362</t>
  </si>
  <si>
    <t>CMP-01363</t>
  </si>
  <si>
    <t>Q3_Launch_CMP-01363</t>
  </si>
  <si>
    <t>CMP-01364</t>
  </si>
  <si>
    <t>Q4_Launch_CMP-01364</t>
  </si>
  <si>
    <t>CMP-01365</t>
  </si>
  <si>
    <t>Q1_Launch_CMP-01365</t>
  </si>
  <si>
    <t>CMP-01366</t>
  </si>
  <si>
    <t>Q1_Launch_CMP-01366</t>
  </si>
  <si>
    <t>CMP-01367</t>
  </si>
  <si>
    <t>Q3_Winter_CMP-01367</t>
  </si>
  <si>
    <t>CMP-01368</t>
  </si>
  <si>
    <t>Q4_BlackFriday_CMP-01368</t>
  </si>
  <si>
    <t>CMP-01369</t>
  </si>
  <si>
    <t>Q1_Winter_CMP-01369</t>
  </si>
  <si>
    <t>CMP-01370</t>
  </si>
  <si>
    <t>Q2_BlackFriday_CMP-01370</t>
  </si>
  <si>
    <t>CMP-01371</t>
  </si>
  <si>
    <t>Q3_BlackFriday_CMP-01371</t>
  </si>
  <si>
    <t>CMP-01372</t>
  </si>
  <si>
    <t>Q1_BlackFriday_CMP-01372</t>
  </si>
  <si>
    <t>CMP-01373</t>
  </si>
  <si>
    <t>Q4_Launch_CMP-01373</t>
  </si>
  <si>
    <t>CMP-01374</t>
  </si>
  <si>
    <t>Q3_Winter_CMP-01374</t>
  </si>
  <si>
    <t>CMP-01375</t>
  </si>
  <si>
    <t>Q2_Launch_CMP-01375</t>
  </si>
  <si>
    <t>CMP-01376</t>
  </si>
  <si>
    <t>Q3_Summer_CMP-01376</t>
  </si>
  <si>
    <t>CMP-01377</t>
  </si>
  <si>
    <t>Q1_Winter_CMP-01377</t>
  </si>
  <si>
    <t>CMP-01378</t>
  </si>
  <si>
    <t>Q2_BlackFriday_CMP-01378</t>
  </si>
  <si>
    <t>CMP-01379</t>
  </si>
  <si>
    <t>Q4_Launch_CMP-01379</t>
  </si>
  <si>
    <t>CMP-01380</t>
  </si>
  <si>
    <t>Q1_Launch_CMP-01380</t>
  </si>
  <si>
    <t>CMP-01381</t>
  </si>
  <si>
    <t>Q4_Winter_CMP-01381</t>
  </si>
  <si>
    <t>CMP-01382</t>
  </si>
  <si>
    <t>Q3_Launch_CMP-01382</t>
  </si>
  <si>
    <t>CMP-01383</t>
  </si>
  <si>
    <t>Q1_Summer_CMP-01383</t>
  </si>
  <si>
    <t>CMP-01384</t>
  </si>
  <si>
    <t>Q1_BlackFriday_CMP-01384</t>
  </si>
  <si>
    <t>CMP-01385</t>
  </si>
  <si>
    <t>Q3_BlackFriday_CMP-01385</t>
  </si>
  <si>
    <t>CMP-01386</t>
  </si>
  <si>
    <t>Q4_BlackFriday_CMP-01386</t>
  </si>
  <si>
    <t>CMP-01387</t>
  </si>
  <si>
    <t>Q1_Launch_CMP-01387</t>
  </si>
  <si>
    <t>CMP-01388</t>
  </si>
  <si>
    <t>Q2_Summer_CMP-01388</t>
  </si>
  <si>
    <t>CMP-01389</t>
  </si>
  <si>
    <t>Q3_Launch_CMP-01389</t>
  </si>
  <si>
    <t>CMP-01390</t>
  </si>
  <si>
    <t>Q2_Winter_CMP-01390</t>
  </si>
  <si>
    <t>CMP-01391</t>
  </si>
  <si>
    <t>Q3_Winter_CMP-01391</t>
  </si>
  <si>
    <t>16/03/2023</t>
  </si>
  <si>
    <t>CMP-01392</t>
  </si>
  <si>
    <t>Q1_Launch_CMP-01392</t>
  </si>
  <si>
    <t>CMP-01393</t>
  </si>
  <si>
    <t>Q2_BlackFriday_CMP-01393</t>
  </si>
  <si>
    <t>CMP-01394</t>
  </si>
  <si>
    <t>Q3_BlackFriday_CMP-01394</t>
  </si>
  <si>
    <t>CMP-01395</t>
  </si>
  <si>
    <t>Q1_Winter_CMP-01395</t>
  </si>
  <si>
    <t>CMP-01396</t>
  </si>
  <si>
    <t>Q1_BlackFriday_CMP-01396</t>
  </si>
  <si>
    <t>CMP-01397</t>
  </si>
  <si>
    <t>Q3_Launch_CMP-01397</t>
  </si>
  <si>
    <t>CMP-01398</t>
  </si>
  <si>
    <t>Q2_Winter_CMP-01398</t>
  </si>
  <si>
    <t>CMP-01399</t>
  </si>
  <si>
    <t>Q3_Launch_CMP-01399</t>
  </si>
  <si>
    <t>CMP-01400</t>
  </si>
  <si>
    <t>Q2_Launch_CMP-01400</t>
  </si>
  <si>
    <t>CMP-01401</t>
  </si>
  <si>
    <t>Q3_BlackFriday_CMP-01401</t>
  </si>
  <si>
    <t>CMP-01402</t>
  </si>
  <si>
    <t>Q2_BlackFriday_CMP-01402</t>
  </si>
  <si>
    <t>CMP-01403</t>
  </si>
  <si>
    <t>Q3_Summer_CMP-01403</t>
  </si>
  <si>
    <t>CMP-01404</t>
  </si>
  <si>
    <t>Q2_Summer_CMP-01404</t>
  </si>
  <si>
    <t>CMP-01405</t>
  </si>
  <si>
    <t>Q4_Launch_CMP-01405</t>
  </si>
  <si>
    <t>CMP-01406</t>
  </si>
  <si>
    <t>Q4_Launch_CMP-01406</t>
  </si>
  <si>
    <t>CMP-01407</t>
  </si>
  <si>
    <t>Q1_Summer_CMP-01407</t>
  </si>
  <si>
    <t>CMP-01408</t>
  </si>
  <si>
    <t>Q3_Summer_CMP-01408</t>
  </si>
  <si>
    <t>CMP-01409</t>
  </si>
  <si>
    <t>Q4_Summer_CMP-01409</t>
  </si>
  <si>
    <t>CMP-01410</t>
  </si>
  <si>
    <t>Q3_Launch_CMP-01410</t>
  </si>
  <si>
    <t>CMP-01411</t>
  </si>
  <si>
    <t>Q3_BlackFriday_CMP-01411</t>
  </si>
  <si>
    <t>CMP-01412</t>
  </si>
  <si>
    <t>Q1_Summer_CMP-01412</t>
  </si>
  <si>
    <t>CMP-01413</t>
  </si>
  <si>
    <t>Q1_Summer_CMP-01413</t>
  </si>
  <si>
    <t>CMP-01414</t>
  </si>
  <si>
    <t>Q2_Summer_CMP-01414</t>
  </si>
  <si>
    <t>CMP-01415</t>
  </si>
  <si>
    <t>Q4_Winter_CMP-01415</t>
  </si>
  <si>
    <t>CMP-01416</t>
  </si>
  <si>
    <t>Q1_Launch_CMP-01416</t>
  </si>
  <si>
    <t>CMP-01417</t>
  </si>
  <si>
    <t>Q3_Launch_CMP-01417</t>
  </si>
  <si>
    <t>CMP-01418</t>
  </si>
  <si>
    <t>Q4_Winter_CMP-01418</t>
  </si>
  <si>
    <t>CMP-01419</t>
  </si>
  <si>
    <t>Q3_Summer_CMP-01419</t>
  </si>
  <si>
    <t>CMP-01420</t>
  </si>
  <si>
    <t>Q2_BlackFriday_CMP-01420</t>
  </si>
  <si>
    <t>CMP-01421</t>
  </si>
  <si>
    <t>Q4_Launch_CMP-01421</t>
  </si>
  <si>
    <t>CMP-01422</t>
  </si>
  <si>
    <t>Q1_Launch_CMP-01422</t>
  </si>
  <si>
    <t>CMP-01423</t>
  </si>
  <si>
    <t>Q3_Summer_CMP-01423</t>
  </si>
  <si>
    <t>CMP-01424</t>
  </si>
  <si>
    <t>Q4_Summer_CMP-01424</t>
  </si>
  <si>
    <t>CMP-01425</t>
  </si>
  <si>
    <t>Q1_Winter_CMP-01425</t>
  </si>
  <si>
    <t>CMP-01426</t>
  </si>
  <si>
    <t>Q3_Launch_CMP-01426</t>
  </si>
  <si>
    <t>CMP-01427</t>
  </si>
  <si>
    <t>Q2_BlackFriday_CMP-01427</t>
  </si>
  <si>
    <t>CMP-01428</t>
  </si>
  <si>
    <t>Q2_BlackFriday_CMP-01428</t>
  </si>
  <si>
    <t>25/05/2023</t>
  </si>
  <si>
    <t>CMP-01429</t>
  </si>
  <si>
    <t>Q4_Winter_CMP-01429</t>
  </si>
  <si>
    <t>CMP-01430</t>
  </si>
  <si>
    <t>Q3_Winter_CMP-01430</t>
  </si>
  <si>
    <t>CMP-01431</t>
  </si>
  <si>
    <t>Q2_Winter_CMP-01431</t>
  </si>
  <si>
    <t>CMP-01432</t>
  </si>
  <si>
    <t>Q2_BlackFriday_CMP-01432</t>
  </si>
  <si>
    <t>CMP-01433</t>
  </si>
  <si>
    <t>Q2_Summer_CMP-01433</t>
  </si>
  <si>
    <t>CMP-01434</t>
  </si>
  <si>
    <t>Q1_Summer_CMP-01434</t>
  </si>
  <si>
    <t>CMP-01435</t>
  </si>
  <si>
    <t>Q2_BlackFriday_CMP-01435</t>
  </si>
  <si>
    <t>CMP-01436</t>
  </si>
  <si>
    <t>Q1_BlackFriday_CMP-01436</t>
  </si>
  <si>
    <t>CMP-01437</t>
  </si>
  <si>
    <t>Q3_Winter_CMP-01437</t>
  </si>
  <si>
    <t>CMP-01438</t>
  </si>
  <si>
    <t>Q2_Winter_CMP-01438</t>
  </si>
  <si>
    <t>CMP-01439</t>
  </si>
  <si>
    <t>Q3_Winter_CMP-01439</t>
  </si>
  <si>
    <t>19/06/2023</t>
  </si>
  <si>
    <t>CMP-01440</t>
  </si>
  <si>
    <t>Q4_BlackFriday_CMP-01440</t>
  </si>
  <si>
    <t>CMP-01441</t>
  </si>
  <si>
    <t>Q2_Winter_CMP-01441</t>
  </si>
  <si>
    <t>CMP-01442</t>
  </si>
  <si>
    <t>Q3_Summer_CMP-01442</t>
  </si>
  <si>
    <t>CMP-01443</t>
  </si>
  <si>
    <t>Q2_Launch_CMP-01443</t>
  </si>
  <si>
    <t>CMP-01444</t>
  </si>
  <si>
    <t>Q1_Launch_CMP-01444</t>
  </si>
  <si>
    <t>CMP-01445</t>
  </si>
  <si>
    <t>Q1_Launch_CMP-01445</t>
  </si>
  <si>
    <t>CMP-01446</t>
  </si>
  <si>
    <t>Q2_Launch_CMP-01446</t>
  </si>
  <si>
    <t>27/10/2023</t>
  </si>
  <si>
    <t>CMP-01447</t>
  </si>
  <si>
    <t>Q1_Launch_CMP-01447</t>
  </si>
  <si>
    <t>CMP-01448</t>
  </si>
  <si>
    <t>Q4_Launch_CMP-01448</t>
  </si>
  <si>
    <t>CMP-01449</t>
  </si>
  <si>
    <t>Q2_Winter_CMP-01449</t>
  </si>
  <si>
    <t>CMP-01450</t>
  </si>
  <si>
    <t>Q4_Summer_CMP-01450</t>
  </si>
  <si>
    <t>CMP-01451</t>
  </si>
  <si>
    <t>Q1_Winter_CMP-01451</t>
  </si>
  <si>
    <t>CMP-01452</t>
  </si>
  <si>
    <t>Q1_Winter_CMP-01452</t>
  </si>
  <si>
    <t>CMP-01453</t>
  </si>
  <si>
    <t>Q2_Summer_CMP-01453</t>
  </si>
  <si>
    <t>CMP-01454</t>
  </si>
  <si>
    <t>Q4_BlackFriday_CMP-01454</t>
  </si>
  <si>
    <t>CMP-01455</t>
  </si>
  <si>
    <t>Q3_Launch_CMP-01455</t>
  </si>
  <si>
    <t>CMP-01456</t>
  </si>
  <si>
    <t>Q2_Winter_CMP-01456</t>
  </si>
  <si>
    <t>CMP-01457</t>
  </si>
  <si>
    <t>Q1_BlackFriday_CMP-01457</t>
  </si>
  <si>
    <t>22/01/2023</t>
  </si>
  <si>
    <t>CMP-01458</t>
  </si>
  <si>
    <t>Q4_BlackFriday_CMP-01458</t>
  </si>
  <si>
    <t>CMP-01459</t>
  </si>
  <si>
    <t>Q1_Launch_CMP-01459</t>
  </si>
  <si>
    <t>CMP-01460</t>
  </si>
  <si>
    <t>Q1_Summer_CMP-01460</t>
  </si>
  <si>
    <t>CMP-01461</t>
  </si>
  <si>
    <t>Q4_Launch_CMP-01461</t>
  </si>
  <si>
    <t>CMP-01462</t>
  </si>
  <si>
    <t>Q4_Summer_CMP-01462</t>
  </si>
  <si>
    <t>CMP-01463</t>
  </si>
  <si>
    <t>Q3_BlackFriday_CMP-01463</t>
  </si>
  <si>
    <t>CMP-01464</t>
  </si>
  <si>
    <t>Q3_Summer_CMP-01464</t>
  </si>
  <si>
    <t>CMP-01465</t>
  </si>
  <si>
    <t>Q4_BlackFriday_CMP-01465</t>
  </si>
  <si>
    <t>CMP-01466</t>
  </si>
  <si>
    <t>Q2_Summer_CMP-01466</t>
  </si>
  <si>
    <t>CMP-01467</t>
  </si>
  <si>
    <t>Q4_Launch_CMP-01467</t>
  </si>
  <si>
    <t>CMP-01468</t>
  </si>
  <si>
    <t>Q1_BlackFriday_CMP-01468</t>
  </si>
  <si>
    <t>CMP-01469</t>
  </si>
  <si>
    <t>Q3_Summer_CMP-01469</t>
  </si>
  <si>
    <t>CMP-01470</t>
  </si>
  <si>
    <t>Q2_Winter_CMP-01470</t>
  </si>
  <si>
    <t>CMP-01471</t>
  </si>
  <si>
    <t>Q2_Summer_CMP-01471</t>
  </si>
  <si>
    <t>CMP-01472</t>
  </si>
  <si>
    <t>Q2_Winter_CMP-01472</t>
  </si>
  <si>
    <t>CMP-01473</t>
  </si>
  <si>
    <t>Q2_Launch_CMP-01473</t>
  </si>
  <si>
    <t>CMP-01474</t>
  </si>
  <si>
    <t>Q1_Summer_CMP-01474</t>
  </si>
  <si>
    <t>CMP-01475</t>
  </si>
  <si>
    <t>Q2_BlackFriday_CMP-01475</t>
  </si>
  <si>
    <t>CMP-01476</t>
  </si>
  <si>
    <t>Q3_Launch_CMP-01476</t>
  </si>
  <si>
    <t>CMP-01477</t>
  </si>
  <si>
    <t>Q2_Launch_CMP-01477</t>
  </si>
  <si>
    <t>CMP-01478</t>
  </si>
  <si>
    <t>Q2_Winter_CMP-01478</t>
  </si>
  <si>
    <t>CMP-01479</t>
  </si>
  <si>
    <t>Q2_Winter_CMP-01479</t>
  </si>
  <si>
    <t>CMP-01480</t>
  </si>
  <si>
    <t>Q3_Summer_CMP-01480</t>
  </si>
  <si>
    <t>CMP-01481</t>
  </si>
  <si>
    <t>Q2_Summer_CMP-01481</t>
  </si>
  <si>
    <t>17/11/2023</t>
  </si>
  <si>
    <t>CMP-01482</t>
  </si>
  <si>
    <t>Q4_Winter_CMP-01482</t>
  </si>
  <si>
    <t>CMP-01483</t>
  </si>
  <si>
    <t>Q3_Launch_CMP-01483</t>
  </si>
  <si>
    <t>20/11/2023</t>
  </si>
  <si>
    <t>CMP-01484</t>
  </si>
  <si>
    <t>Q3_BlackFriday_CMP-01484</t>
  </si>
  <si>
    <t>CMP-01485</t>
  </si>
  <si>
    <t>Q3_Summer_CMP-01485</t>
  </si>
  <si>
    <t>CMP-01486</t>
  </si>
  <si>
    <t>Q1_BlackFriday_CMP-01486</t>
  </si>
  <si>
    <t>CMP-01487</t>
  </si>
  <si>
    <t>Q1_Launch_CMP-01487</t>
  </si>
  <si>
    <t>CMP-01488</t>
  </si>
  <si>
    <t>Q1_Winter_CMP-01488</t>
  </si>
  <si>
    <t>CMP-01489</t>
  </si>
  <si>
    <t>Q4_Summer_CMP-01489</t>
  </si>
  <si>
    <t>CMP-01490</t>
  </si>
  <si>
    <t>Q4_Winter_CMP-01490</t>
  </si>
  <si>
    <t>CMP-01491</t>
  </si>
  <si>
    <t>Q2_Summer_CMP-01491</t>
  </si>
  <si>
    <t>CMP-01492</t>
  </si>
  <si>
    <t>Q1_BlackFriday_CMP-01492</t>
  </si>
  <si>
    <t>CMP-01493</t>
  </si>
  <si>
    <t>Q2_Summer_CMP-01493</t>
  </si>
  <si>
    <t>CMP-01494</t>
  </si>
  <si>
    <t>Q4_Summer_CMP-01494</t>
  </si>
  <si>
    <t>CMP-01495</t>
  </si>
  <si>
    <t>Q1_Launch_CMP-01495</t>
  </si>
  <si>
    <t>CMP-01496</t>
  </si>
  <si>
    <t>Q4_Launch_CMP-01496</t>
  </si>
  <si>
    <t>CMP-01497</t>
  </si>
  <si>
    <t>Q4_Winter_CMP-01497</t>
  </si>
  <si>
    <t>30/04/2023</t>
  </si>
  <si>
    <t>CMP-01498</t>
  </si>
  <si>
    <t>Q1_BlackFriday_CMP-01498</t>
  </si>
  <si>
    <t>CMP-01499</t>
  </si>
  <si>
    <t>Q4_Launch_CMP-01499</t>
  </si>
  <si>
    <t>CMP-01500</t>
  </si>
  <si>
    <t>Q3_Winter_CMP-01500</t>
  </si>
  <si>
    <t>CMP-01501</t>
  </si>
  <si>
    <t>Q3_BlackFriday_CMP-01501</t>
  </si>
  <si>
    <t>CMP-01502</t>
  </si>
  <si>
    <t>Q1_Launch_CMP-01502</t>
  </si>
  <si>
    <t>CMP-01503</t>
  </si>
  <si>
    <t>Q4_Winter_CMP-01503</t>
  </si>
  <si>
    <t>CMP-01504</t>
  </si>
  <si>
    <t>Q2_Winter_CMP-01504</t>
  </si>
  <si>
    <t>CMP-01505</t>
  </si>
  <si>
    <t>Q2_Winter_CMP-01505</t>
  </si>
  <si>
    <t>CMP-01506</t>
  </si>
  <si>
    <t>Q2_Summer_CMP-01506</t>
  </si>
  <si>
    <t>CMP-01507</t>
  </si>
  <si>
    <t>Q1_Launch_CMP-01507</t>
  </si>
  <si>
    <t>CMP-01508</t>
  </si>
  <si>
    <t>Q3_Summer_CMP-01508</t>
  </si>
  <si>
    <t>CMP-01509</t>
  </si>
  <si>
    <t>Q2_Winter_CMP-01509</t>
  </si>
  <si>
    <t>CMP-01510</t>
  </si>
  <si>
    <t>Q3_Winter_CMP-01510</t>
  </si>
  <si>
    <t>CMP-01511</t>
  </si>
  <si>
    <t>Q3_BlackFriday_CMP-01511</t>
  </si>
  <si>
    <t>CMP-01512</t>
  </si>
  <si>
    <t>Q4_BlackFriday_CMP-01512</t>
  </si>
  <si>
    <t>CMP-01513</t>
  </si>
  <si>
    <t>Q2_BlackFriday_CMP-01513</t>
  </si>
  <si>
    <t>CMP-01514</t>
  </si>
  <si>
    <t>Q4_BlackFriday_CMP-01514</t>
  </si>
  <si>
    <t>CMP-01515</t>
  </si>
  <si>
    <t>Q2_Summer_CMP-01515</t>
  </si>
  <si>
    <t>CMP-01516</t>
  </si>
  <si>
    <t>Q4_Summer_CMP-01516</t>
  </si>
  <si>
    <t>CMP-01517</t>
  </si>
  <si>
    <t>Q2_Winter_CMP-01517</t>
  </si>
  <si>
    <t>CMP-01518</t>
  </si>
  <si>
    <t>Q1_Winter_CMP-01518</t>
  </si>
  <si>
    <t>CMP-01519</t>
  </si>
  <si>
    <t>Q1_Winter_CMP-01519</t>
  </si>
  <si>
    <t>CMP-01520</t>
  </si>
  <si>
    <t>Q2_Launch_CMP-01520</t>
  </si>
  <si>
    <t>CMP-01521</t>
  </si>
  <si>
    <t>Q3_Summer_CMP-01521</t>
  </si>
  <si>
    <t>CMP-01522</t>
  </si>
  <si>
    <t>Q4_Launch_CMP-01522</t>
  </si>
  <si>
    <t>CMP-01523</t>
  </si>
  <si>
    <t>Q3_Winter_CMP-01523</t>
  </si>
  <si>
    <t>CMP-01524</t>
  </si>
  <si>
    <t>Q4_Launch_CMP-01524</t>
  </si>
  <si>
    <t>CMP-01525</t>
  </si>
  <si>
    <t>Q2_Launch_CMP-01525</t>
  </si>
  <si>
    <t>CMP-01526</t>
  </si>
  <si>
    <t>Q3_Launch_CMP-01526</t>
  </si>
  <si>
    <t>CMP-01527</t>
  </si>
  <si>
    <t>Q1_BlackFriday_CMP-01527</t>
  </si>
  <si>
    <t>CMP-01528</t>
  </si>
  <si>
    <t>Q3_BlackFriday_CMP-01528</t>
  </si>
  <si>
    <t>CMP-01529</t>
  </si>
  <si>
    <t>Q2_BlackFriday_CMP-01529</t>
  </si>
  <si>
    <t>CMP-01530</t>
  </si>
  <si>
    <t>Q3_Launch_CMP-01530</t>
  </si>
  <si>
    <t>CMP-01531</t>
  </si>
  <si>
    <t>Q4_Summer_CMP-01531</t>
  </si>
  <si>
    <t>CMP-01532</t>
  </si>
  <si>
    <t>Q3_BlackFriday_CMP-01532</t>
  </si>
  <si>
    <t>CMP-01533</t>
  </si>
  <si>
    <t>Q1_BlackFriday_CMP-01533</t>
  </si>
  <si>
    <t>CMP-01534</t>
  </si>
  <si>
    <t>Q4_Summer_CMP-01534</t>
  </si>
  <si>
    <t>CMP-01535</t>
  </si>
  <si>
    <t>Q2_Summer_CMP-01535</t>
  </si>
  <si>
    <t>CMP-01536</t>
  </si>
  <si>
    <t>Q2_Launch_CMP-01536</t>
  </si>
  <si>
    <t>CMP-01537</t>
  </si>
  <si>
    <t>Q1_Summer_CMP-01537</t>
  </si>
  <si>
    <t>CMP-01538</t>
  </si>
  <si>
    <t>Q3_Winter_CMP-01538</t>
  </si>
  <si>
    <t>CMP-01539</t>
  </si>
  <si>
    <t>Q3_BlackFriday_CMP-01539</t>
  </si>
  <si>
    <t>CMP-01540</t>
  </si>
  <si>
    <t>Q4_Launch_CMP-01540</t>
  </si>
  <si>
    <t>CMP-01541</t>
  </si>
  <si>
    <t>Q1_Winter_CMP-01541</t>
  </si>
  <si>
    <t>CMP-01542</t>
  </si>
  <si>
    <t>Q4_Winter_CMP-01542</t>
  </si>
  <si>
    <t>CMP-01543</t>
  </si>
  <si>
    <t>Q2_Winter_CMP-01543</t>
  </si>
  <si>
    <t>CMP-01544</t>
  </si>
  <si>
    <t>Q1_Winter_CMP-01544</t>
  </si>
  <si>
    <t>CMP-01545</t>
  </si>
  <si>
    <t>Q3_Winter_CMP-01545</t>
  </si>
  <si>
    <t>CMP-01546</t>
  </si>
  <si>
    <t>Q1_BlackFriday_CMP-01546</t>
  </si>
  <si>
    <t>CMP-01547</t>
  </si>
  <si>
    <t>Q2_Winter_CMP-01547</t>
  </si>
  <si>
    <t>CMP-01548</t>
  </si>
  <si>
    <t>Q3_Winter_CMP-01548</t>
  </si>
  <si>
    <t>CMP-01549</t>
  </si>
  <si>
    <t>Q1_Winter_CMP-01549</t>
  </si>
  <si>
    <t>CMP-01550</t>
  </si>
  <si>
    <t>Q2_Winter_CMP-01550</t>
  </si>
  <si>
    <t>CMP-01551</t>
  </si>
  <si>
    <t>Q4_Winter_CMP-01551</t>
  </si>
  <si>
    <t>CMP-01552</t>
  </si>
  <si>
    <t>Q3_Summer_CMP-01552</t>
  </si>
  <si>
    <t>CMP-01553</t>
  </si>
  <si>
    <t>Q4_BlackFriday_CMP-01553</t>
  </si>
  <si>
    <t>CMP-01554</t>
  </si>
  <si>
    <t>Q4_Launch_CMP-01554</t>
  </si>
  <si>
    <t>CMP-01555</t>
  </si>
  <si>
    <t>Q4_Launch_CMP-01555</t>
  </si>
  <si>
    <t>CMP-01556</t>
  </si>
  <si>
    <t>Q3_Winter_CMP-01556</t>
  </si>
  <si>
    <t>CMP-01557</t>
  </si>
  <si>
    <t>Q3_Summer_CMP-01557</t>
  </si>
  <si>
    <t>CMP-01558</t>
  </si>
  <si>
    <t>Q1_BlackFriday_CMP-01558</t>
  </si>
  <si>
    <t>CMP-01559</t>
  </si>
  <si>
    <t>Q3_Winter_CMP-01559</t>
  </si>
  <si>
    <t>CMP-01560</t>
  </si>
  <si>
    <t>Q1_Summer_CMP-01560</t>
  </si>
  <si>
    <t>22/11/2023</t>
  </si>
  <si>
    <t>CMP-01561</t>
  </si>
  <si>
    <t>Q4_Winter_CMP-01561</t>
  </si>
  <si>
    <t>CMP-01562</t>
  </si>
  <si>
    <t>Q2_Launch_CMP-01562</t>
  </si>
  <si>
    <t>CMP-01563</t>
  </si>
  <si>
    <t>Q2_Winter_CMP-01563</t>
  </si>
  <si>
    <t>CMP-01564</t>
  </si>
  <si>
    <t>Q4_Winter_CMP-01564</t>
  </si>
  <si>
    <t>CMP-01565</t>
  </si>
  <si>
    <t>Q4_Launch_CMP-01565</t>
  </si>
  <si>
    <t>CMP-01566</t>
  </si>
  <si>
    <t>Q2_Winter_CMP-01566</t>
  </si>
  <si>
    <t>CMP-01567</t>
  </si>
  <si>
    <t>Q3_Summer_CMP-01567</t>
  </si>
  <si>
    <t>CMP-01568</t>
  </si>
  <si>
    <t>Q2_BlackFriday_CMP-01568</t>
  </si>
  <si>
    <t>CMP-01569</t>
  </si>
  <si>
    <t>Q2_Launch_CMP-01569</t>
  </si>
  <si>
    <t>CMP-01570</t>
  </si>
  <si>
    <t>Q1_Winter_CMP-01570</t>
  </si>
  <si>
    <t>CMP-01571</t>
  </si>
  <si>
    <t>Q2_Launch_CMP-01571</t>
  </si>
  <si>
    <t>CMP-01572</t>
  </si>
  <si>
    <t>Q2_BlackFriday_CMP-01572</t>
  </si>
  <si>
    <t>CMP-01573</t>
  </si>
  <si>
    <t>Q3_Summer_CMP-01573</t>
  </si>
  <si>
    <t>CMP-01574</t>
  </si>
  <si>
    <t>Q1_BlackFriday_CMP-01574</t>
  </si>
  <si>
    <t>CMP-01575</t>
  </si>
  <si>
    <t>Q1_Launch_CMP-01575</t>
  </si>
  <si>
    <t>CMP-01576</t>
  </si>
  <si>
    <t>Q2_Launch_CMP-01576</t>
  </si>
  <si>
    <t>CMP-01577</t>
  </si>
  <si>
    <t>Q3_Summer_CMP-01577</t>
  </si>
  <si>
    <t>CMP-01578</t>
  </si>
  <si>
    <t>Q4_Winter_CMP-01578</t>
  </si>
  <si>
    <t>CMP-01579</t>
  </si>
  <si>
    <t>Q1_BlackFriday_CMP-01579</t>
  </si>
  <si>
    <t>CMP-01580</t>
  </si>
  <si>
    <t>Q3_Summer_CMP-01580</t>
  </si>
  <si>
    <t>CMP-01581</t>
  </si>
  <si>
    <t>Q4_BlackFriday_CMP-01581</t>
  </si>
  <si>
    <t>14/10/2023</t>
  </si>
  <si>
    <t>CMP-01582</t>
  </si>
  <si>
    <t>Q1_Launch_CMP-01582</t>
  </si>
  <si>
    <t>CMP-01583</t>
  </si>
  <si>
    <t>Q4_Winter_CMP-01583</t>
  </si>
  <si>
    <t>CMP-01584</t>
  </si>
  <si>
    <t>Q4_BlackFriday_CMP-01584</t>
  </si>
  <si>
    <t>CMP-01585</t>
  </si>
  <si>
    <t>Q2_Summer_CMP-01585</t>
  </si>
  <si>
    <t>CMP-01586</t>
  </si>
  <si>
    <t>Q1_BlackFriday_CMP-01586</t>
  </si>
  <si>
    <t>CMP-01587</t>
  </si>
  <si>
    <t>Q2_Launch_CMP-01587</t>
  </si>
  <si>
    <t>CMP-01588</t>
  </si>
  <si>
    <t>Q4_Launch_CMP-01588</t>
  </si>
  <si>
    <t>CMP-01589</t>
  </si>
  <si>
    <t>Q1_Summer_CMP-01589</t>
  </si>
  <si>
    <t>CMP-01590</t>
  </si>
  <si>
    <t>Q3_BlackFriday_CMP-01590</t>
  </si>
  <si>
    <t>CMP-01591</t>
  </si>
  <si>
    <t>Q3_BlackFriday_CMP-01591</t>
  </si>
  <si>
    <t>CMP-01592</t>
  </si>
  <si>
    <t>Q4_BlackFriday_CMP-01592</t>
  </si>
  <si>
    <t>CMP-01593</t>
  </si>
  <si>
    <t>Q3_Summer_CMP-01593</t>
  </si>
  <si>
    <t>CMP-01594</t>
  </si>
  <si>
    <t>Q1_Summer_CMP-01594</t>
  </si>
  <si>
    <t>CMP-01595</t>
  </si>
  <si>
    <t>Q4_Winter_CMP-01595</t>
  </si>
  <si>
    <t>CMP-01596</t>
  </si>
  <si>
    <t>Q4_Winter_CMP-01596</t>
  </si>
  <si>
    <t>CMP-01597</t>
  </si>
  <si>
    <t>Q4_BlackFriday_CMP-01597</t>
  </si>
  <si>
    <t>CMP-01598</t>
  </si>
  <si>
    <t>Q1_Launch_CMP-01598</t>
  </si>
  <si>
    <t>CMP-01599</t>
  </si>
  <si>
    <t>Q4_Launch_CMP-01599</t>
  </si>
  <si>
    <t>CMP-01600</t>
  </si>
  <si>
    <t>Q1_Summer_CMP-01600</t>
  </si>
  <si>
    <t>CMP-01601</t>
  </si>
  <si>
    <t>Q1_Summer_CMP-01601</t>
  </si>
  <si>
    <t>CMP-01602</t>
  </si>
  <si>
    <t>Q1_Winter_CMP-01602</t>
  </si>
  <si>
    <t>CMP-01603</t>
  </si>
  <si>
    <t>Q3_Launch_CMP-01603</t>
  </si>
  <si>
    <t>CMP-01604</t>
  </si>
  <si>
    <t>Q4_Summer_CMP-01604</t>
  </si>
  <si>
    <t>CMP-01605</t>
  </si>
  <si>
    <t>Q3_Launch_CMP-01605</t>
  </si>
  <si>
    <t>CMP-01606</t>
  </si>
  <si>
    <t>Q4_Summer_CMP-01606</t>
  </si>
  <si>
    <t>CMP-01607</t>
  </si>
  <si>
    <t>Q4_Launch_CMP-01607</t>
  </si>
  <si>
    <t>CMP-01608</t>
  </si>
  <si>
    <t>Q1_Winter_CMP-01608</t>
  </si>
  <si>
    <t>CMP-01609</t>
  </si>
  <si>
    <t>Q2_Summer_CMP-01609</t>
  </si>
  <si>
    <t>CMP-01610</t>
  </si>
  <si>
    <t>Q3_Summer_CMP-01610</t>
  </si>
  <si>
    <t>CMP-01611</t>
  </si>
  <si>
    <t>Q3_Launch_CMP-01611</t>
  </si>
  <si>
    <t>CMP-01612</t>
  </si>
  <si>
    <t>Q1_Launch_CMP-01612</t>
  </si>
  <si>
    <t>CMP-01613</t>
  </si>
  <si>
    <t>Q3_BlackFriday_CMP-01613</t>
  </si>
  <si>
    <t>CMP-01614</t>
  </si>
  <si>
    <t>Q3_BlackFriday_CMP-01614</t>
  </si>
  <si>
    <t>CMP-01615</t>
  </si>
  <si>
    <t>Q2_BlackFriday_CMP-01615</t>
  </si>
  <si>
    <t>CMP-01616</t>
  </si>
  <si>
    <t>Q4_Summer_CMP-01616</t>
  </si>
  <si>
    <t>CMP-01617</t>
  </si>
  <si>
    <t>Q3_Launch_CMP-01617</t>
  </si>
  <si>
    <t>CMP-01618</t>
  </si>
  <si>
    <t>Q3_Winter_CMP-01618</t>
  </si>
  <si>
    <t>CMP-01619</t>
  </si>
  <si>
    <t>Q2_BlackFriday_CMP-01619</t>
  </si>
  <si>
    <t>CMP-01620</t>
  </si>
  <si>
    <t>Q4_BlackFriday_CMP-01620</t>
  </si>
  <si>
    <t>CMP-01621</t>
  </si>
  <si>
    <t>Q2_Launch_CMP-01621</t>
  </si>
  <si>
    <t>CMP-01622</t>
  </si>
  <si>
    <t>Q1_BlackFriday_CMP-01622</t>
  </si>
  <si>
    <t>CMP-01623</t>
  </si>
  <si>
    <t>Q3_Winter_CMP-01623</t>
  </si>
  <si>
    <t>CMP-01624</t>
  </si>
  <si>
    <t>Q3_BlackFriday_CMP-01624</t>
  </si>
  <si>
    <t>CMP-01625</t>
  </si>
  <si>
    <t>Q1_Summer_CMP-01625</t>
  </si>
  <si>
    <t>CMP-01626</t>
  </si>
  <si>
    <t>Q4_BlackFriday_CMP-01626</t>
  </si>
  <si>
    <t>CMP-01627</t>
  </si>
  <si>
    <t>Q4_Winter_CMP-01627</t>
  </si>
  <si>
    <t>CMP-01628</t>
  </si>
  <si>
    <t>Q4_Winter_CMP-01628</t>
  </si>
  <si>
    <t>CMP-01629</t>
  </si>
  <si>
    <t>Q3_Launch_CMP-01629</t>
  </si>
  <si>
    <t>CMP-01630</t>
  </si>
  <si>
    <t>Q3_BlackFriday_CMP-01630</t>
  </si>
  <si>
    <t>CMP-01631</t>
  </si>
  <si>
    <t>Q4_BlackFriday_CMP-01631</t>
  </si>
  <si>
    <t>CMP-01632</t>
  </si>
  <si>
    <t>Q2_Winter_CMP-01632</t>
  </si>
  <si>
    <t>CMP-01633</t>
  </si>
  <si>
    <t>Q3_Summer_CMP-01633</t>
  </si>
  <si>
    <t>CMP-01634</t>
  </si>
  <si>
    <t>Q1_Winter_CMP-01634</t>
  </si>
  <si>
    <t>CMP-01635</t>
  </si>
  <si>
    <t>Q3_BlackFriday_CMP-01635</t>
  </si>
  <si>
    <t>CMP-01636</t>
  </si>
  <si>
    <t>Q2_Launch_CMP-01636</t>
  </si>
  <si>
    <t>CMP-01637</t>
  </si>
  <si>
    <t>Q1_Winter_CMP-01637</t>
  </si>
  <si>
    <t>CMP-01638</t>
  </si>
  <si>
    <t>Q1_Summer_CMP-01638</t>
  </si>
  <si>
    <t>CMP-01639</t>
  </si>
  <si>
    <t>Q4_BlackFriday_CMP-01639</t>
  </si>
  <si>
    <t>CMP-01640</t>
  </si>
  <si>
    <t>Q2_BlackFriday_CMP-01640</t>
  </si>
  <si>
    <t>CMP-01641</t>
  </si>
  <si>
    <t>Q3_Launch_CMP-01641</t>
  </si>
  <si>
    <t>CMP-01642</t>
  </si>
  <si>
    <t>Q2_Launch_CMP-01642</t>
  </si>
  <si>
    <t>CMP-01643</t>
  </si>
  <si>
    <t>Q1_BlackFriday_CMP-01643</t>
  </si>
  <si>
    <t>CMP-01644</t>
  </si>
  <si>
    <t>Q1_BlackFriday_CMP-01644</t>
  </si>
  <si>
    <t>CMP-01645</t>
  </si>
  <si>
    <t>Q2_Launch_CMP-01645</t>
  </si>
  <si>
    <t>CMP-01646</t>
  </si>
  <si>
    <t>Q1_Winter_CMP-01646</t>
  </si>
  <si>
    <t>CMP-01647</t>
  </si>
  <si>
    <t>Q2_BlackFriday_CMP-01647</t>
  </si>
  <si>
    <t>CMP-01648</t>
  </si>
  <si>
    <t>Q1_Launch_CMP-01648</t>
  </si>
  <si>
    <t>CMP-01649</t>
  </si>
  <si>
    <t>Q2_Winter_CMP-01649</t>
  </si>
  <si>
    <t>CMP-01650</t>
  </si>
  <si>
    <t>Q2_Winter_CMP-01650</t>
  </si>
  <si>
    <t>18/02/2023</t>
  </si>
  <si>
    <t>CMP-01651</t>
  </si>
  <si>
    <t>Q4_Winter_CMP-01651</t>
  </si>
  <si>
    <t>CMP-01652</t>
  </si>
  <si>
    <t>Q2_Summer_CMP-01652</t>
  </si>
  <si>
    <t>CMP-01653</t>
  </si>
  <si>
    <t>Q3_Winter_CMP-01653</t>
  </si>
  <si>
    <t>CMP-01654</t>
  </si>
  <si>
    <t>Q1_Launch_CMP-01654</t>
  </si>
  <si>
    <t>CMP-01655</t>
  </si>
  <si>
    <t>Q4_Launch_CMP-01655</t>
  </si>
  <si>
    <t>CMP-01656</t>
  </si>
  <si>
    <t>Q2_Launch_CMP-01656</t>
  </si>
  <si>
    <t>CMP-01657</t>
  </si>
  <si>
    <t>Q2_Launch_CMP-01657</t>
  </si>
  <si>
    <t>CMP-01658</t>
  </si>
  <si>
    <t>Q4_BlackFriday_CMP-01658</t>
  </si>
  <si>
    <t>CMP-01659</t>
  </si>
  <si>
    <t>Q3_BlackFriday_CMP-01659</t>
  </si>
  <si>
    <t>CMP-01660</t>
  </si>
  <si>
    <t>Q4_BlackFriday_CMP-01660</t>
  </si>
  <si>
    <t>CMP-01661</t>
  </si>
  <si>
    <t>Q3_Winter_CMP-01661</t>
  </si>
  <si>
    <t>CMP-01662</t>
  </si>
  <si>
    <t>Q3_BlackFriday_CMP-01662</t>
  </si>
  <si>
    <t>CMP-01663</t>
  </si>
  <si>
    <t>Q1_Winter_CMP-01663</t>
  </si>
  <si>
    <t>CMP-01664</t>
  </si>
  <si>
    <t>Q3_Winter_CMP-01664</t>
  </si>
  <si>
    <t>CMP-01665</t>
  </si>
  <si>
    <t>Q2_Summer_CMP-01665</t>
  </si>
  <si>
    <t>CMP-01666</t>
  </si>
  <si>
    <t>Q4_BlackFriday_CMP-01666</t>
  </si>
  <si>
    <t>CMP-01667</t>
  </si>
  <si>
    <t>Q1_Winter_CMP-01667</t>
  </si>
  <si>
    <t>CMP-01668</t>
  </si>
  <si>
    <t>Q3_Winter_CMP-01668</t>
  </si>
  <si>
    <t>CMP-01669</t>
  </si>
  <si>
    <t>Q4_BlackFriday_CMP-01669</t>
  </si>
  <si>
    <t>CMP-01670</t>
  </si>
  <si>
    <t>Q1_Launch_CMP-01670</t>
  </si>
  <si>
    <t>CMP-01671</t>
  </si>
  <si>
    <t>Q4_Launch_CMP-01671</t>
  </si>
  <si>
    <t>CMP-01672</t>
  </si>
  <si>
    <t>Q4_Summer_CMP-01672</t>
  </si>
  <si>
    <t>CMP-01673</t>
  </si>
  <si>
    <t>Q2_Summer_CMP-01673</t>
  </si>
  <si>
    <t>CMP-01674</t>
  </si>
  <si>
    <t>Q4_Summer_CMP-01674</t>
  </si>
  <si>
    <t>CMP-01675</t>
  </si>
  <si>
    <t>Q3_Launch_CMP-01675</t>
  </si>
  <si>
    <t>CMP-01676</t>
  </si>
  <si>
    <t>Q2_Summer_CMP-01676</t>
  </si>
  <si>
    <t>15/05/2023</t>
  </si>
  <si>
    <t>CMP-01677</t>
  </si>
  <si>
    <t>Q3_Summer_CMP-01677</t>
  </si>
  <si>
    <t>CMP-01678</t>
  </si>
  <si>
    <t>Q3_BlackFriday_CMP-01678</t>
  </si>
  <si>
    <t>CMP-01679</t>
  </si>
  <si>
    <t>Q1_Launch_CMP-01679</t>
  </si>
  <si>
    <t>CMP-01680</t>
  </si>
  <si>
    <t>Q4_Winter_CMP-01680</t>
  </si>
  <si>
    <t>CMP-01681</t>
  </si>
  <si>
    <t>Q4_Winter_CMP-01681</t>
  </si>
  <si>
    <t>CMP-01682</t>
  </si>
  <si>
    <t>Q4_BlackFriday_CMP-01682</t>
  </si>
  <si>
    <t>CMP-01683</t>
  </si>
  <si>
    <t>Q3_BlackFriday_CMP-01683</t>
  </si>
  <si>
    <t>CMP-01684</t>
  </si>
  <si>
    <t>Q2_Launch_CMP-01684</t>
  </si>
  <si>
    <t>CMP-01685</t>
  </si>
  <si>
    <t>Q2_BlackFriday_CMP-01685</t>
  </si>
  <si>
    <t>CMP-01686</t>
  </si>
  <si>
    <t>Q1_Summer_CMP-01686</t>
  </si>
  <si>
    <t>CMP-01687</t>
  </si>
  <si>
    <t>Q3_Summer_CMP-01687</t>
  </si>
  <si>
    <t>CMP-01688</t>
  </si>
  <si>
    <t>Q1_Summer_CMP-01688</t>
  </si>
  <si>
    <t>CMP-01689</t>
  </si>
  <si>
    <t>Q4_Winter_CMP-01689</t>
  </si>
  <si>
    <t>CMP-01690</t>
  </si>
  <si>
    <t>Q2_Winter_CMP-01690</t>
  </si>
  <si>
    <t>CMP-01691</t>
  </si>
  <si>
    <t>Q2_Winter_CMP-01691</t>
  </si>
  <si>
    <t>CMP-01692</t>
  </si>
  <si>
    <t>Q1_Launch_CMP-01692</t>
  </si>
  <si>
    <t>CMP-01693</t>
  </si>
  <si>
    <t>Q1_BlackFriday_CMP-01693</t>
  </si>
  <si>
    <t>20/07/2023</t>
  </si>
  <si>
    <t>CMP-01694</t>
  </si>
  <si>
    <t>Q1_Summer_CMP-01694</t>
  </si>
  <si>
    <t>CMP-01695</t>
  </si>
  <si>
    <t>Q4_Launch_CMP-01695</t>
  </si>
  <si>
    <t>CMP-01696</t>
  </si>
  <si>
    <t>Q4_Launch_CMP-01696</t>
  </si>
  <si>
    <t>CMP-01697</t>
  </si>
  <si>
    <t>Q4_Winter_CMP-01697</t>
  </si>
  <si>
    <t>CMP-01698</t>
  </si>
  <si>
    <t>Q3_Winter_CMP-01698</t>
  </si>
  <si>
    <t>CMP-01699</t>
  </si>
  <si>
    <t>Q1_BlackFriday_CMP-01699</t>
  </si>
  <si>
    <t>CMP-01700</t>
  </si>
  <si>
    <t>Q3_Winter_CMP-01700</t>
  </si>
  <si>
    <t>CMP-01701</t>
  </si>
  <si>
    <t>Q4_BlackFriday_CMP-01701</t>
  </si>
  <si>
    <t>CMP-01702</t>
  </si>
  <si>
    <t>Q4_Summer_CMP-01702</t>
  </si>
  <si>
    <t>CMP-01703</t>
  </si>
  <si>
    <t>Q2_BlackFriday_CMP-01703</t>
  </si>
  <si>
    <t>CMP-01704</t>
  </si>
  <si>
    <t>Q4_Winter_CMP-01704</t>
  </si>
  <si>
    <t>CMP-01705</t>
  </si>
  <si>
    <t>Q2_BlackFriday_CMP-01705</t>
  </si>
  <si>
    <t>CMP-01706</t>
  </si>
  <si>
    <t>Q1_BlackFriday_CMP-01706</t>
  </si>
  <si>
    <t>CMP-01707</t>
  </si>
  <si>
    <t>Q4_Summer_CMP-01707</t>
  </si>
  <si>
    <t>CMP-01708</t>
  </si>
  <si>
    <t>Q3_Summer_CMP-01708</t>
  </si>
  <si>
    <t>CMP-01709</t>
  </si>
  <si>
    <t>Q1_Summer_CMP-01709</t>
  </si>
  <si>
    <t>CMP-01710</t>
  </si>
  <si>
    <t>Q3_Summer_CMP-01710</t>
  </si>
  <si>
    <t>CMP-01711</t>
  </si>
  <si>
    <t>Q2_Summer_CMP-01711</t>
  </si>
  <si>
    <t>CMP-01712</t>
  </si>
  <si>
    <t>Q1_Summer_CMP-01712</t>
  </si>
  <si>
    <t>CMP-01713</t>
  </si>
  <si>
    <t>Q3_Launch_CMP-01713</t>
  </si>
  <si>
    <t>CMP-01714</t>
  </si>
  <si>
    <t>Q3_Summer_CMP-01714</t>
  </si>
  <si>
    <t>CMP-01715</t>
  </si>
  <si>
    <t>Q3_Summer_CMP-01715</t>
  </si>
  <si>
    <t>CMP-01716</t>
  </si>
  <si>
    <t>Q2_Winter_CMP-01716</t>
  </si>
  <si>
    <t>CMP-01717</t>
  </si>
  <si>
    <t>Q4_Winter_CMP-01717</t>
  </si>
  <si>
    <t>CMP-01718</t>
  </si>
  <si>
    <t>Q2_BlackFriday_CMP-01718</t>
  </si>
  <si>
    <t>CMP-01719</t>
  </si>
  <si>
    <t>Q1_Winter_CMP-01719</t>
  </si>
  <si>
    <t>CMP-01720</t>
  </si>
  <si>
    <t>Q3_Winter_CMP-01720</t>
  </si>
  <si>
    <t>CMP-01721</t>
  </si>
  <si>
    <t>Q4_Winter_CMP-01721</t>
  </si>
  <si>
    <t>CMP-01722</t>
  </si>
  <si>
    <t>Q2_Launch_CMP-01722</t>
  </si>
  <si>
    <t>CMP-01723</t>
  </si>
  <si>
    <t>Q1_Summer_CMP-01723</t>
  </si>
  <si>
    <t>CMP-01724</t>
  </si>
  <si>
    <t>Q1_BlackFriday_CMP-01724</t>
  </si>
  <si>
    <t>CMP-01725</t>
  </si>
  <si>
    <t>Q3_Summer_CMP-01725</t>
  </si>
  <si>
    <t>CMP-01726</t>
  </si>
  <si>
    <t>Q3_Winter_CMP-01726</t>
  </si>
  <si>
    <t>CMP-01727</t>
  </si>
  <si>
    <t>Q2_Summer_CMP-01727</t>
  </si>
  <si>
    <t>CMP-01728</t>
  </si>
  <si>
    <t>Q4_Winter_CMP-01728</t>
  </si>
  <si>
    <t>CMP-01729</t>
  </si>
  <si>
    <t>Q2_BlackFriday_CMP-01729</t>
  </si>
  <si>
    <t>CMP-01730</t>
  </si>
  <si>
    <t>Q4_Launch_CMP-01730</t>
  </si>
  <si>
    <t>CMP-01731</t>
  </si>
  <si>
    <t>Q4_Summer_CMP-01731</t>
  </si>
  <si>
    <t>CMP-01732</t>
  </si>
  <si>
    <t>Q1_BlackFriday_CMP-01732</t>
  </si>
  <si>
    <t>CMP-01733</t>
  </si>
  <si>
    <t>Q2_BlackFriday_CMP-01733</t>
  </si>
  <si>
    <t>CMP-01734</t>
  </si>
  <si>
    <t>Q2_Winter_CMP-01734</t>
  </si>
  <si>
    <t>CMP-01735</t>
  </si>
  <si>
    <t>Q4_Winter_CMP-01735</t>
  </si>
  <si>
    <t>CMP-01736</t>
  </si>
  <si>
    <t>Q4_Summer_CMP-01736</t>
  </si>
  <si>
    <t>CMP-01737</t>
  </si>
  <si>
    <t>Q3_Summer_CMP-01737</t>
  </si>
  <si>
    <t>CMP-01738</t>
  </si>
  <si>
    <t>Q4_Summer_CMP-01738</t>
  </si>
  <si>
    <t>CMP-01739</t>
  </si>
  <si>
    <t>Q1_BlackFriday_CMP-01739</t>
  </si>
  <si>
    <t>CMP-01740</t>
  </si>
  <si>
    <t>Q4_Winter_CMP-01740</t>
  </si>
  <si>
    <t>CMP-01741</t>
  </si>
  <si>
    <t>Q3_BlackFriday_CMP-01741</t>
  </si>
  <si>
    <t>CMP-01742</t>
  </si>
  <si>
    <t>Q2_Launch_CMP-01742</t>
  </si>
  <si>
    <t>CMP-01743</t>
  </si>
  <si>
    <t>Q2_BlackFriday_CMP-01743</t>
  </si>
  <si>
    <t>CMP-01744</t>
  </si>
  <si>
    <t>Q4_Launch_CMP-01744</t>
  </si>
  <si>
    <t>CMP-01745</t>
  </si>
  <si>
    <t>Q4_Launch_CMP-01745</t>
  </si>
  <si>
    <t>CMP-01746</t>
  </si>
  <si>
    <t>Q1_Launch_CMP-01746</t>
  </si>
  <si>
    <t>CMP-01747</t>
  </si>
  <si>
    <t>Q1_Launch_CMP-01747</t>
  </si>
  <si>
    <t>CMP-01748</t>
  </si>
  <si>
    <t>Q1_BlackFriday_CMP-01748</t>
  </si>
  <si>
    <t>CMP-01749</t>
  </si>
  <si>
    <t>Q4_Launch_CMP-01749</t>
  </si>
  <si>
    <t>CMP-01750</t>
  </si>
  <si>
    <t>Q3_Launch_CMP-01750</t>
  </si>
  <si>
    <t>CMP-01751</t>
  </si>
  <si>
    <t>Q3_Summer_CMP-01751</t>
  </si>
  <si>
    <t>CMP-01752</t>
  </si>
  <si>
    <t>Q1_Winter_CMP-01752</t>
  </si>
  <si>
    <t>CMP-01753</t>
  </si>
  <si>
    <t>Q1_BlackFriday_CMP-01753</t>
  </si>
  <si>
    <t>CMP-01754</t>
  </si>
  <si>
    <t>Q2_BlackFriday_CMP-01754</t>
  </si>
  <si>
    <t>CMP-01755</t>
  </si>
  <si>
    <t>Q1_Summer_CMP-01755</t>
  </si>
  <si>
    <t>CMP-01756</t>
  </si>
  <si>
    <t>Q1_BlackFriday_CMP-01756</t>
  </si>
  <si>
    <t>CMP-01757</t>
  </si>
  <si>
    <t>Q4_Winter_CMP-01757</t>
  </si>
  <si>
    <t>CMP-01758</t>
  </si>
  <si>
    <t>Q3_Summer_CMP-01758</t>
  </si>
  <si>
    <t>CMP-01759</t>
  </si>
  <si>
    <t>Q4_Winter_CMP-01759</t>
  </si>
  <si>
    <t>CMP-01760</t>
  </si>
  <si>
    <t>Q3_Summer_CMP-01760</t>
  </si>
  <si>
    <t>CMP-01761</t>
  </si>
  <si>
    <t>Q2_Summer_CMP-01761</t>
  </si>
  <si>
    <t>CMP-01762</t>
  </si>
  <si>
    <t>Q4_Winter_CMP-01762</t>
  </si>
  <si>
    <t>CMP-01763</t>
  </si>
  <si>
    <t>Q2_BlackFriday_CMP-01763</t>
  </si>
  <si>
    <t>CMP-01764</t>
  </si>
  <si>
    <t>Q1_Winter_CMP-01764</t>
  </si>
  <si>
    <t>CMP-01765</t>
  </si>
  <si>
    <t>Q4_Winter_CMP-01765</t>
  </si>
  <si>
    <t>CMP-01766</t>
  </si>
  <si>
    <t>Q1_Summer_CMP-01766</t>
  </si>
  <si>
    <t>CMP-01767</t>
  </si>
  <si>
    <t>Q4_Winter_CMP-01767</t>
  </si>
  <si>
    <t>CMP-01768</t>
  </si>
  <si>
    <t>Q1_BlackFriday_CMP-01768</t>
  </si>
  <si>
    <t>CMP-01769</t>
  </si>
  <si>
    <t>Q1_Winter_CMP-01769</t>
  </si>
  <si>
    <t>CMP-01770</t>
  </si>
  <si>
    <t>Q3_Winter_CMP-01770</t>
  </si>
  <si>
    <t>CMP-01771</t>
  </si>
  <si>
    <t>Q4_Winter_CMP-01771</t>
  </si>
  <si>
    <t>CMP-01772</t>
  </si>
  <si>
    <t>Q3_Launch_CMP-01772</t>
  </si>
  <si>
    <t>CMP-01773</t>
  </si>
  <si>
    <t>Q1_Winter_CMP-01773</t>
  </si>
  <si>
    <t>CMP-01774</t>
  </si>
  <si>
    <t>Q2_Winter_CMP-01774</t>
  </si>
  <si>
    <t>CMP-01775</t>
  </si>
  <si>
    <t>Q3_Launch_CMP-01775</t>
  </si>
  <si>
    <t>CMP-01776</t>
  </si>
  <si>
    <t>Q3_Winter_CMP-01776</t>
  </si>
  <si>
    <t>CMP-01777</t>
  </si>
  <si>
    <t>Q3_Launch_CMP-01777</t>
  </si>
  <si>
    <t>CMP-01778</t>
  </si>
  <si>
    <t>Q1_Launch_CMP-01778</t>
  </si>
  <si>
    <t>CMP-01779</t>
  </si>
  <si>
    <t>Q4_Launch_CMP-01779</t>
  </si>
  <si>
    <t>CMP-01780</t>
  </si>
  <si>
    <t>Q3_Winter_CMP-01780</t>
  </si>
  <si>
    <t>CMP-01781</t>
  </si>
  <si>
    <t>Q4_BlackFriday_CMP-01781</t>
  </si>
  <si>
    <t>CMP-01782</t>
  </si>
  <si>
    <t>Q1_Launch_CMP-01782</t>
  </si>
  <si>
    <t>CMP-01783</t>
  </si>
  <si>
    <t>Q1_Launch_CMP-01783</t>
  </si>
  <si>
    <t>CMP-01784</t>
  </si>
  <si>
    <t>Q2_Winter_CMP-01784</t>
  </si>
  <si>
    <t>CMP-01785</t>
  </si>
  <si>
    <t>Q1_Summer_CMP-01785</t>
  </si>
  <si>
    <t>CMP-01786</t>
  </si>
  <si>
    <t>Q1_Winter_CMP-01786</t>
  </si>
  <si>
    <t>CMP-01787</t>
  </si>
  <si>
    <t>Q4_Summer_CMP-01787</t>
  </si>
  <si>
    <t>CMP-01788</t>
  </si>
  <si>
    <t>Q2_BlackFriday_CMP-01788</t>
  </si>
  <si>
    <t>CMP-01789</t>
  </si>
  <si>
    <t>Q2_BlackFriday_CMP-01789</t>
  </si>
  <si>
    <t>CMP-01790</t>
  </si>
  <si>
    <t>Q4_BlackFriday_CMP-01790</t>
  </si>
  <si>
    <t>CMP-01791</t>
  </si>
  <si>
    <t>Q3_BlackFriday_CMP-01791</t>
  </si>
  <si>
    <t>CMP-01792</t>
  </si>
  <si>
    <t>Q3_Summer_CMP-01792</t>
  </si>
  <si>
    <t>CMP-01793</t>
  </si>
  <si>
    <t>Q1_Launch_CMP-01793</t>
  </si>
  <si>
    <t>CMP-01794</t>
  </si>
  <si>
    <t>Q2_Summer_CMP-01794</t>
  </si>
  <si>
    <t>CMP-01795</t>
  </si>
  <si>
    <t>Q4_Winter_CMP-01795</t>
  </si>
  <si>
    <t>CMP-01796</t>
  </si>
  <si>
    <t>Q2_Summer_CMP-01796</t>
  </si>
  <si>
    <t>CMP-01797</t>
  </si>
  <si>
    <t>Q4_Launch_CMP-01797</t>
  </si>
  <si>
    <t>CMP-01798</t>
  </si>
  <si>
    <t>Q1_Summer_CMP-01798</t>
  </si>
  <si>
    <t>CMP-01799</t>
  </si>
  <si>
    <t>Q2_Summer_CMP-01799</t>
  </si>
  <si>
    <t>CMP-01800</t>
  </si>
  <si>
    <t>Q4_Winter_CMP-01800</t>
  </si>
  <si>
    <t>CMP-01801</t>
  </si>
  <si>
    <t>Q1_Summer_CMP-01801</t>
  </si>
  <si>
    <t>CMP-01802</t>
  </si>
  <si>
    <t>Q2_Launch_CMP-01802</t>
  </si>
  <si>
    <t>CMP-01803</t>
  </si>
  <si>
    <t>Q3_Launch_CMP-01803</t>
  </si>
  <si>
    <t>CMP-01804</t>
  </si>
  <si>
    <t>Q2_Launch_CMP-01804</t>
  </si>
  <si>
    <t>CMP-01805</t>
  </si>
  <si>
    <t>Q1_Winter_CMP-01805</t>
  </si>
  <si>
    <t>28/05/2023</t>
  </si>
  <si>
    <t>CMP-01806</t>
  </si>
  <si>
    <t>Q2_BlackFriday_CMP-01806</t>
  </si>
  <si>
    <t>CMP-01807</t>
  </si>
  <si>
    <t>Q1_Summer_CMP-01807</t>
  </si>
  <si>
    <t>30/08/2023</t>
  </si>
  <si>
    <t>CMP-01808</t>
  </si>
  <si>
    <t>Q2_BlackFriday_CMP-01808</t>
  </si>
  <si>
    <t>CMP-01809</t>
  </si>
  <si>
    <t>Q3_Winter_CMP-01809</t>
  </si>
  <si>
    <t>CMP-01810</t>
  </si>
  <si>
    <t>Q3_Launch_CMP-01810</t>
  </si>
  <si>
    <t>CMP-01811</t>
  </si>
  <si>
    <t>Q2_Summer_CMP-01811</t>
  </si>
  <si>
    <t>CMP-01812</t>
  </si>
  <si>
    <t>Q4_Launch_CMP-01812</t>
  </si>
  <si>
    <t>CMP-01813</t>
  </si>
  <si>
    <t>Q2_BlackFriday_CMP-01813</t>
  </si>
  <si>
    <t>CMP-01814</t>
  </si>
  <si>
    <t>Q1_Winter_CMP-01814</t>
  </si>
  <si>
    <t>CMP-01815</t>
  </si>
  <si>
    <t>Q2_Winter_CMP-01815</t>
  </si>
  <si>
    <t>CMP-01816</t>
  </si>
  <si>
    <t>Q3_Launch_CMP-01816</t>
  </si>
  <si>
    <t>CMP-01817</t>
  </si>
  <si>
    <t>Q1_Launch_CMP-01817</t>
  </si>
  <si>
    <t>CMP-01818</t>
  </si>
  <si>
    <t>Q1_Winter_CMP-01818</t>
  </si>
  <si>
    <t>CMP-01819</t>
  </si>
  <si>
    <t>Q3_Winter_CMP-01819</t>
  </si>
  <si>
    <t>CMP-01820</t>
  </si>
  <si>
    <t>Q2_BlackFriday_CMP-01820</t>
  </si>
  <si>
    <t>30/12/2023</t>
  </si>
  <si>
    <t>CMP-01821</t>
  </si>
  <si>
    <t>Q1_Summer_CMP-01821</t>
  </si>
  <si>
    <t>CMP-01822</t>
  </si>
  <si>
    <t>Q1_Launch_CMP-01822</t>
  </si>
  <si>
    <t>CMP-01823</t>
  </si>
  <si>
    <t>Q1_Winter_CMP-01823</t>
  </si>
  <si>
    <t>CMP-01824</t>
  </si>
  <si>
    <t>Q3_BlackFriday_CMP-01824</t>
  </si>
  <si>
    <t>CMP-01825</t>
  </si>
  <si>
    <t>Q1_Winter_CMP-01825</t>
  </si>
  <si>
    <t>CMP-01826</t>
  </si>
  <si>
    <t>Q1_Winter_CMP-01826</t>
  </si>
  <si>
    <t>CMP-01827</t>
  </si>
  <si>
    <t>Q1_Launch_CMP-01827</t>
  </si>
  <si>
    <t>CMP-01828</t>
  </si>
  <si>
    <t>Q1_Summer_CMP-01828</t>
  </si>
  <si>
    <t>CMP-01829</t>
  </si>
  <si>
    <t>Q4_Summer_CMP-01829</t>
  </si>
  <si>
    <t>CMP-01830</t>
  </si>
  <si>
    <t>Q2_Summer_CMP-01830</t>
  </si>
  <si>
    <t>CMP-01831</t>
  </si>
  <si>
    <t>Q1_Summer_CMP-01831</t>
  </si>
  <si>
    <t>CMP-01832</t>
  </si>
  <si>
    <t>Q4_Launch_CMP-01832</t>
  </si>
  <si>
    <t>CMP-01833</t>
  </si>
  <si>
    <t>Q3_Launch_CMP-01833</t>
  </si>
  <si>
    <t>CMP-01834</t>
  </si>
  <si>
    <t>Q4_Winter_CMP-01834</t>
  </si>
  <si>
    <t>CMP-01835</t>
  </si>
  <si>
    <t>Q4_BlackFriday_CMP-01835</t>
  </si>
  <si>
    <t>CMP-01836</t>
  </si>
  <si>
    <t>Q3_Launch_CMP-01836</t>
  </si>
  <si>
    <t>CMP-01837</t>
  </si>
  <si>
    <t>Q4_Winter_CMP-01837</t>
  </si>
  <si>
    <t>CMP-01838</t>
  </si>
  <si>
    <t>Q4_BlackFriday_CMP-01838</t>
  </si>
  <si>
    <t>CMP-01839</t>
  </si>
  <si>
    <t>Q2_Winter_CMP-01839</t>
  </si>
  <si>
    <t>CMP-01840</t>
  </si>
  <si>
    <t>Q3_Winter_CMP-01840</t>
  </si>
  <si>
    <t>CMP-01841</t>
  </si>
  <si>
    <t>Q4_BlackFriday_CMP-01841</t>
  </si>
  <si>
    <t>CMP-01842</t>
  </si>
  <si>
    <t>Q2_BlackFriday_CMP-01842</t>
  </si>
  <si>
    <t>CMP-01843</t>
  </si>
  <si>
    <t>Q1_Launch_CMP-01843</t>
  </si>
  <si>
    <t>CMP-01844</t>
  </si>
  <si>
    <t>Q3_Winter_CMP-01844</t>
  </si>
  <si>
    <t>CMP-01845</t>
  </si>
  <si>
    <t>Q1_Launch_CMP-01845</t>
  </si>
  <si>
    <t>CMP-01846</t>
  </si>
  <si>
    <t>Q4_Winter_CMP-01846</t>
  </si>
  <si>
    <t>CMP-01847</t>
  </si>
  <si>
    <t>Q4_Winter_CMP-01847</t>
  </si>
  <si>
    <t>CMP-01848</t>
  </si>
  <si>
    <t>Q3_Winter_CMP-01848</t>
  </si>
  <si>
    <t>CMP-01849</t>
  </si>
  <si>
    <t>Q4_Launch_CMP-01849</t>
  </si>
  <si>
    <t>CMP-01850</t>
  </si>
  <si>
    <t>Q4_Launch_CMP-01850</t>
  </si>
  <si>
    <t>18/12/2023</t>
  </si>
  <si>
    <t>CMP-01851</t>
  </si>
  <si>
    <t>Q4_Launch_CMP-01851</t>
  </si>
  <si>
    <t>CMP-01852</t>
  </si>
  <si>
    <t>Q4_Launch_CMP-01852</t>
  </si>
  <si>
    <t>CMP-01853</t>
  </si>
  <si>
    <t>Q3_BlackFriday_CMP-01853</t>
  </si>
  <si>
    <t>CMP-01854</t>
  </si>
  <si>
    <t>Q3_Launch_CMP-01854</t>
  </si>
  <si>
    <t>CMP-01855</t>
  </si>
  <si>
    <t>Q2_Winter_CMP-01855</t>
  </si>
  <si>
    <t>26/04/2023</t>
  </si>
  <si>
    <t>CMP-01856</t>
  </si>
  <si>
    <t>Q2_Winter_CMP-01856</t>
  </si>
  <si>
    <t>CMP-01857</t>
  </si>
  <si>
    <t>Q2_Winter_CMP-01857</t>
  </si>
  <si>
    <t>CMP-01858</t>
  </si>
  <si>
    <t>Q3_Launch_CMP-01858</t>
  </si>
  <si>
    <t>15/04/2023</t>
  </si>
  <si>
    <t>CMP-01859</t>
  </si>
  <si>
    <t>Q4_BlackFriday_CMP-01859</t>
  </si>
  <si>
    <t>CMP-01860</t>
  </si>
  <si>
    <t>Q3_Winter_CMP-01860</t>
  </si>
  <si>
    <t>CMP-01861</t>
  </si>
  <si>
    <t>Q4_Winter_CMP-01861</t>
  </si>
  <si>
    <t>CMP-01862</t>
  </si>
  <si>
    <t>Q4_Summer_CMP-01862</t>
  </si>
  <si>
    <t>CMP-01863</t>
  </si>
  <si>
    <t>Q4_BlackFriday_CMP-01863</t>
  </si>
  <si>
    <t>CMP-01864</t>
  </si>
  <si>
    <t>Q4_Summer_CMP-01864</t>
  </si>
  <si>
    <t>CMP-01865</t>
  </si>
  <si>
    <t>Q2_Winter_CMP-01865</t>
  </si>
  <si>
    <t>CMP-01866</t>
  </si>
  <si>
    <t>Q3_Winter_CMP-01866</t>
  </si>
  <si>
    <t>CMP-01867</t>
  </si>
  <si>
    <t>Q4_Launch_CMP-01867</t>
  </si>
  <si>
    <t>CMP-01868</t>
  </si>
  <si>
    <t>Q2_Launch_CMP-01868</t>
  </si>
  <si>
    <t>CMP-01869</t>
  </si>
  <si>
    <t>Q1_Winter_CMP-01869</t>
  </si>
  <si>
    <t>CMP-01870</t>
  </si>
  <si>
    <t>Q4_Winter_CMP-01870</t>
  </si>
  <si>
    <t>CMP-01871</t>
  </si>
  <si>
    <t>Q3_Winter_CMP-01871</t>
  </si>
  <si>
    <t>CMP-01872</t>
  </si>
  <si>
    <t>Q4_Winter_CMP-01872</t>
  </si>
  <si>
    <t>CMP-01873</t>
  </si>
  <si>
    <t>Q2_Launch_CMP-01873</t>
  </si>
  <si>
    <t>CMP-01874</t>
  </si>
  <si>
    <t>Q3_Launch_CMP-01874</t>
  </si>
  <si>
    <t>CMP-01875</t>
  </si>
  <si>
    <t>Q2_Winter_CMP-01875</t>
  </si>
  <si>
    <t>CMP-01876</t>
  </si>
  <si>
    <t>Q4_BlackFriday_CMP-01876</t>
  </si>
  <si>
    <t>CMP-01877</t>
  </si>
  <si>
    <t>Q1_Summer_CMP-01877</t>
  </si>
  <si>
    <t>CMP-01878</t>
  </si>
  <si>
    <t>Q1_Summer_CMP-01878</t>
  </si>
  <si>
    <t>CMP-01879</t>
  </si>
  <si>
    <t>Q1_Summer_CMP-01879</t>
  </si>
  <si>
    <t>CMP-01880</t>
  </si>
  <si>
    <t>Q1_BlackFriday_CMP-01880</t>
  </si>
  <si>
    <t>CMP-01881</t>
  </si>
  <si>
    <t>Q1_BlackFriday_CMP-01881</t>
  </si>
  <si>
    <t>CMP-01882</t>
  </si>
  <si>
    <t>Q3_Winter_CMP-01882</t>
  </si>
  <si>
    <t>CMP-01883</t>
  </si>
  <si>
    <t>Q2_Winter_CMP-01883</t>
  </si>
  <si>
    <t>CMP-01884</t>
  </si>
  <si>
    <t>Q3_Summer_CMP-01884</t>
  </si>
  <si>
    <t>CMP-01885</t>
  </si>
  <si>
    <t>Q3_BlackFriday_CMP-01885</t>
  </si>
  <si>
    <t>CMP-01886</t>
  </si>
  <si>
    <t>Q4_Launch_CMP-01886</t>
  </si>
  <si>
    <t>CMP-01887</t>
  </si>
  <si>
    <t>Q3_Winter_CMP-01887</t>
  </si>
  <si>
    <t>31/12/2023</t>
  </si>
  <si>
    <t>CMP-01888</t>
  </si>
  <si>
    <t>Q3_BlackFriday_CMP-01888</t>
  </si>
  <si>
    <t>CMP-01889</t>
  </si>
  <si>
    <t>Q1_Winter_CMP-01889</t>
  </si>
  <si>
    <t>CMP-01890</t>
  </si>
  <si>
    <t>Q2_Winter_CMP-01890</t>
  </si>
  <si>
    <t>CMP-01891</t>
  </si>
  <si>
    <t>Q4_Summer_CMP-01891</t>
  </si>
  <si>
    <t>CMP-01892</t>
  </si>
  <si>
    <t>Q4_Winter_CMP-01892</t>
  </si>
  <si>
    <t>CMP-01893</t>
  </si>
  <si>
    <t>Q4_BlackFriday_CMP-01893</t>
  </si>
  <si>
    <t>CMP-01894</t>
  </si>
  <si>
    <t>Q2_Summer_CMP-01894</t>
  </si>
  <si>
    <t>CMP-01895</t>
  </si>
  <si>
    <t>Q2_Launch_CMP-01895</t>
  </si>
  <si>
    <t>CMP-01896</t>
  </si>
  <si>
    <t>Q1_Summer_CMP-01896</t>
  </si>
  <si>
    <t>CMP-01897</t>
  </si>
  <si>
    <t>Q2_Launch_CMP-01897</t>
  </si>
  <si>
    <t>CMP-01898</t>
  </si>
  <si>
    <t>Q4_Launch_CMP-01898</t>
  </si>
  <si>
    <t>17/04/2023</t>
  </si>
  <si>
    <t>CMP-01899</t>
  </si>
  <si>
    <t>Q4_Winter_CMP-01899</t>
  </si>
  <si>
    <t>CMP-01900</t>
  </si>
  <si>
    <t>Q1_BlackFriday_CMP-01900</t>
  </si>
  <si>
    <t>28/06/2023</t>
  </si>
  <si>
    <t>CMP-01901</t>
  </si>
  <si>
    <t>Q4_Winter_CMP-01901</t>
  </si>
  <si>
    <t>CMP-01902</t>
  </si>
  <si>
    <t>Q4_Summer_CMP-01902</t>
  </si>
  <si>
    <t>CMP-01903</t>
  </si>
  <si>
    <t>Q4_BlackFriday_CMP-01903</t>
  </si>
  <si>
    <t>CMP-01904</t>
  </si>
  <si>
    <t>Q3_Summer_CMP-01904</t>
  </si>
  <si>
    <t>CMP-01905</t>
  </si>
  <si>
    <t>Q3_Summer_CMP-01905</t>
  </si>
  <si>
    <t>CMP-01906</t>
  </si>
  <si>
    <t>Q2_Winter_CMP-01906</t>
  </si>
  <si>
    <t>CMP-01907</t>
  </si>
  <si>
    <t>Q3_Launch_CMP-01907</t>
  </si>
  <si>
    <t>CMP-01908</t>
  </si>
  <si>
    <t>Q2_Summer_CMP-01908</t>
  </si>
  <si>
    <t>CMP-01909</t>
  </si>
  <si>
    <t>Q2_BlackFriday_CMP-01909</t>
  </si>
  <si>
    <t>CMP-01910</t>
  </si>
  <si>
    <t>Q3_Summer_CMP-01910</t>
  </si>
  <si>
    <t>CMP-01911</t>
  </si>
  <si>
    <t>Q3_Launch_CMP-01911</t>
  </si>
  <si>
    <t>CMP-01912</t>
  </si>
  <si>
    <t>Q1_Launch_CMP-01912</t>
  </si>
  <si>
    <t>CMP-01913</t>
  </si>
  <si>
    <t>Q2_BlackFriday_CMP-01913</t>
  </si>
  <si>
    <t>CMP-01914</t>
  </si>
  <si>
    <t>Q3_Winter_CMP-01914</t>
  </si>
  <si>
    <t>CMP-01915</t>
  </si>
  <si>
    <t>Q3_Summer_CMP-01915</t>
  </si>
  <si>
    <t>CMP-01916</t>
  </si>
  <si>
    <t>Q4_BlackFriday_CMP-01916</t>
  </si>
  <si>
    <t>CMP-01917</t>
  </si>
  <si>
    <t>Q2_Summer_CMP-01917</t>
  </si>
  <si>
    <t>CMP-01918</t>
  </si>
  <si>
    <t>Q2_BlackFriday_CMP-01918</t>
  </si>
  <si>
    <t>CMP-01919</t>
  </si>
  <si>
    <t>Q3_Launch_CMP-01919</t>
  </si>
  <si>
    <t>CMP-01920</t>
  </si>
  <si>
    <t>Q4_BlackFriday_CMP-01920</t>
  </si>
  <si>
    <t>CMP-01921</t>
  </si>
  <si>
    <t>Q1_BlackFriday_CMP-01921</t>
  </si>
  <si>
    <t>CMP-01922</t>
  </si>
  <si>
    <t>Q4_Summer_CMP-01922</t>
  </si>
  <si>
    <t>CMP-01923</t>
  </si>
  <si>
    <t>Q3_Summer_CMP-01923</t>
  </si>
  <si>
    <t>CMP-01924</t>
  </si>
  <si>
    <t>Q2_Summer_CMP-01924</t>
  </si>
  <si>
    <t>CMP-01925</t>
  </si>
  <si>
    <t>Q1_BlackFriday_CMP-01925</t>
  </si>
  <si>
    <t>CMP-01926</t>
  </si>
  <si>
    <t>Q4_Winter_CMP-01926</t>
  </si>
  <si>
    <t>CMP-01927</t>
  </si>
  <si>
    <t>Q4_Launch_CMP-01927</t>
  </si>
  <si>
    <t>CMP-01928</t>
  </si>
  <si>
    <t>Q4_Summer_CMP-01928</t>
  </si>
  <si>
    <t>CMP-01929</t>
  </si>
  <si>
    <t>Q3_Launch_CMP-01929</t>
  </si>
  <si>
    <t>CMP-01930</t>
  </si>
  <si>
    <t>Q3_BlackFriday_CMP-01930</t>
  </si>
  <si>
    <t>CMP-01931</t>
  </si>
  <si>
    <t>Q4_Launch_CMP-01931</t>
  </si>
  <si>
    <t>CMP-01932</t>
  </si>
  <si>
    <t>Q3_Winter_CMP-01932</t>
  </si>
  <si>
    <t>CMP-01933</t>
  </si>
  <si>
    <t>Q3_BlackFriday_CMP-01933</t>
  </si>
  <si>
    <t>CMP-01934</t>
  </si>
  <si>
    <t>Q2_Launch_CMP-01934</t>
  </si>
  <si>
    <t>CMP-01935</t>
  </si>
  <si>
    <t>Q3_BlackFriday_CMP-01935</t>
  </si>
  <si>
    <t>CMP-01936</t>
  </si>
  <si>
    <t>Q1_Launch_CMP-01936</t>
  </si>
  <si>
    <t>CMP-01937</t>
  </si>
  <si>
    <t>Q1_BlackFriday_CMP-01937</t>
  </si>
  <si>
    <t>CMP-01938</t>
  </si>
  <si>
    <t>Q1_Summer_CMP-01938</t>
  </si>
  <si>
    <t>CMP-01939</t>
  </si>
  <si>
    <t>Q2_Summer_CMP-01939</t>
  </si>
  <si>
    <t>CMP-01940</t>
  </si>
  <si>
    <t>Q2_Summer_CMP-01940</t>
  </si>
  <si>
    <t>CMP-01941</t>
  </si>
  <si>
    <t>Q2_BlackFriday_CMP-01941</t>
  </si>
  <si>
    <t>CMP-01942</t>
  </si>
  <si>
    <t>Q1_Winter_CMP-01942</t>
  </si>
  <si>
    <t>CMP-01943</t>
  </si>
  <si>
    <t>Q2_Summer_CMP-01943</t>
  </si>
  <si>
    <t>CMP-01944</t>
  </si>
  <si>
    <t>Q1_Summer_CMP-01944</t>
  </si>
  <si>
    <t>CMP-01945</t>
  </si>
  <si>
    <t>Q1_BlackFriday_CMP-01945</t>
  </si>
  <si>
    <t>CMP-01946</t>
  </si>
  <si>
    <t>Q1_Winter_CMP-01946</t>
  </si>
  <si>
    <t>CMP-01947</t>
  </si>
  <si>
    <t>Q4_BlackFriday_CMP-01947</t>
  </si>
  <si>
    <t>CMP-01948</t>
  </si>
  <si>
    <t>Q1_Summer_CMP-01948</t>
  </si>
  <si>
    <t>CMP-01949</t>
  </si>
  <si>
    <t>Q1_Winter_CMP-01949</t>
  </si>
  <si>
    <t>CMP-01950</t>
  </si>
  <si>
    <t>Q2_Summer_CMP-01950</t>
  </si>
  <si>
    <t>CMP-01951</t>
  </si>
  <si>
    <t>Q2_Summer_CMP-01951</t>
  </si>
  <si>
    <t>CMP-01952</t>
  </si>
  <si>
    <t>Q1_Summer_CMP-01952</t>
  </si>
  <si>
    <t>CMP-01953</t>
  </si>
  <si>
    <t>Q4_Winter_CMP-01953</t>
  </si>
  <si>
    <t>CMP-01954</t>
  </si>
  <si>
    <t>Q2_Summer_CMP-01954</t>
  </si>
  <si>
    <t>CMP-01955</t>
  </si>
  <si>
    <t>Q1_Launch_CMP-01955</t>
  </si>
  <si>
    <t>CMP-01956</t>
  </si>
  <si>
    <t>Q3_Winter_CMP-01956</t>
  </si>
  <si>
    <t>CMP-01957</t>
  </si>
  <si>
    <t>Q4_Winter_CMP-01957</t>
  </si>
  <si>
    <t>CMP-01958</t>
  </si>
  <si>
    <t>Q4_Winter_CMP-01958</t>
  </si>
  <si>
    <t>CMP-01959</t>
  </si>
  <si>
    <t>Q4_BlackFriday_CMP-01959</t>
  </si>
  <si>
    <t>CMP-01960</t>
  </si>
  <si>
    <t>Q1_Launch_CMP-01960</t>
  </si>
  <si>
    <t>CMP-01961</t>
  </si>
  <si>
    <t>Q2_Summer_CMP-01961</t>
  </si>
  <si>
    <t>CMP-01962</t>
  </si>
  <si>
    <t>Q1_Winter_CMP-01962</t>
  </si>
  <si>
    <t>CMP-01963</t>
  </si>
  <si>
    <t>Q2_BlackFriday_CMP-01963</t>
  </si>
  <si>
    <t>CMP-01964</t>
  </si>
  <si>
    <t>Q2_Winter_CMP-01964</t>
  </si>
  <si>
    <t>CMP-01965</t>
  </si>
  <si>
    <t>Q1_Summer_CMP-01965</t>
  </si>
  <si>
    <t>CMP-01966</t>
  </si>
  <si>
    <t>Q2_Winter_CMP-01966</t>
  </si>
  <si>
    <t>CMP-01967</t>
  </si>
  <si>
    <t>Q3_Winter_CMP-01967</t>
  </si>
  <si>
    <t>CMP-01968</t>
  </si>
  <si>
    <t>Q2_Launch_CMP-01968</t>
  </si>
  <si>
    <t>CMP-01969</t>
  </si>
  <si>
    <t>Q3_Launch_CMP-01969</t>
  </si>
  <si>
    <t>CMP-01970</t>
  </si>
  <si>
    <t>Q3_Winter_CMP-01970</t>
  </si>
  <si>
    <t>CMP-01971</t>
  </si>
  <si>
    <t>Q4_BlackFriday_CMP-01971</t>
  </si>
  <si>
    <t>16/08/2023</t>
  </si>
  <si>
    <t>CMP-01972</t>
  </si>
  <si>
    <t>Q3_Winter_CMP-01972</t>
  </si>
  <si>
    <t>CMP-01973</t>
  </si>
  <si>
    <t>Q1_BlackFriday_CMP-01973</t>
  </si>
  <si>
    <t>CMP-01974</t>
  </si>
  <si>
    <t>Q3_Winter_CMP-01974</t>
  </si>
  <si>
    <t>CMP-01975</t>
  </si>
  <si>
    <t>Q1_Summer_CMP-01975</t>
  </si>
  <si>
    <t>CMP-01976</t>
  </si>
  <si>
    <t>Q1_Launch_CMP-01976</t>
  </si>
  <si>
    <t>CMP-01977</t>
  </si>
  <si>
    <t>Q3_Summer_CMP-01977</t>
  </si>
  <si>
    <t>CMP-01978</t>
  </si>
  <si>
    <t>Q4_Summer_CMP-01978</t>
  </si>
  <si>
    <t>CMP-01979</t>
  </si>
  <si>
    <t>Q4_Summer_CMP-01979</t>
  </si>
  <si>
    <t>CMP-01980</t>
  </si>
  <si>
    <t>Q1_BlackFriday_CMP-01980</t>
  </si>
  <si>
    <t>CMP-01981</t>
  </si>
  <si>
    <t>Q3_Summer_CMP-01981</t>
  </si>
  <si>
    <t>CMP-01982</t>
  </si>
  <si>
    <t>Q3_BlackFriday_CMP-01982</t>
  </si>
  <si>
    <t>CMP-01983</t>
  </si>
  <si>
    <t>Q4_BlackFriday_CMP-01983</t>
  </si>
  <si>
    <t>CMP-01984</t>
  </si>
  <si>
    <t>Q4_BlackFriday_CMP-01984</t>
  </si>
  <si>
    <t>CMP-01985</t>
  </si>
  <si>
    <t>Q4_BlackFriday_CMP-01985</t>
  </si>
  <si>
    <t>CMP-01986</t>
  </si>
  <si>
    <t>Q4_BlackFriday_CMP-01986</t>
  </si>
  <si>
    <t>CMP-01987</t>
  </si>
  <si>
    <t>Q2_Winter_CMP-01987</t>
  </si>
  <si>
    <t>CMP-01988</t>
  </si>
  <si>
    <t>Q2_Summer_CMP-01988</t>
  </si>
  <si>
    <t>CMP-01989</t>
  </si>
  <si>
    <t>Q3_Launch_CMP-01989</t>
  </si>
  <si>
    <t>CMP-01990</t>
  </si>
  <si>
    <t>Q4_Launch_CMP-01990</t>
  </si>
  <si>
    <t>CMP-01991</t>
  </si>
  <si>
    <t>Q3_Launch_CMP-01991</t>
  </si>
  <si>
    <t>CMP-01992</t>
  </si>
  <si>
    <t>Q4_Launch_CMP-01992</t>
  </si>
  <si>
    <t>CMP-01993</t>
  </si>
  <si>
    <t>Q4_Winter_CMP-01993</t>
  </si>
  <si>
    <t>CMP-01994</t>
  </si>
  <si>
    <t>Q2_Launch_CMP-01994</t>
  </si>
  <si>
    <t>CMP-01995</t>
  </si>
  <si>
    <t>Q4_Summer_CMP-01995</t>
  </si>
  <si>
    <t>CMP-01996</t>
  </si>
  <si>
    <t>Q2_BlackFriday_CMP-01996</t>
  </si>
  <si>
    <t>CMP-01997</t>
  </si>
  <si>
    <t>Q4_Winter_CMP-01997</t>
  </si>
  <si>
    <t>CMP-01998</t>
  </si>
  <si>
    <t>Q4_BlackFriday_CMP-01998</t>
  </si>
  <si>
    <t>CMP-01999</t>
  </si>
  <si>
    <t>Q1_Launch_CMP-01999</t>
  </si>
  <si>
    <t>CMP-02000</t>
  </si>
  <si>
    <t>Q2_Winter_CMP-02000</t>
  </si>
  <si>
    <t>Eliminate noise</t>
  </si>
  <si>
    <t>A backup</t>
  </si>
  <si>
    <t>Remove Duplicates</t>
  </si>
  <si>
    <t>duration</t>
  </si>
  <si>
    <t>start_date</t>
  </si>
  <si>
    <t>End_date</t>
  </si>
  <si>
    <t>Start_date</t>
  </si>
  <si>
    <t>Cleaned End_date</t>
  </si>
  <si>
    <t>Cleaned Spend</t>
  </si>
  <si>
    <t>CTR</t>
  </si>
  <si>
    <t>CPC</t>
  </si>
  <si>
    <t>CPA</t>
  </si>
  <si>
    <t>ROI</t>
  </si>
  <si>
    <t>Conversion Rate</t>
  </si>
  <si>
    <t>Month</t>
  </si>
  <si>
    <t>Season</t>
  </si>
  <si>
    <t>Fall</t>
  </si>
  <si>
    <t>Spring</t>
  </si>
  <si>
    <t>Winter</t>
  </si>
  <si>
    <t>Summer</t>
  </si>
  <si>
    <t>Campaign_Type</t>
  </si>
  <si>
    <t>Launch</t>
  </si>
  <si>
    <t>BlackFriday</t>
  </si>
  <si>
    <t>Total campaign carried during FALL</t>
  </si>
  <si>
    <t>summer</t>
  </si>
  <si>
    <t>1. How much we spent by season</t>
  </si>
  <si>
    <t>2. How many clicks cross each platform</t>
  </si>
  <si>
    <t>3. How many impressions we made during the winter season</t>
  </si>
  <si>
    <t>4. How we spent on each channel</t>
  </si>
  <si>
    <t>5. How any campaigns are still active</t>
  </si>
  <si>
    <t>6. Channel with the highest rate of conversion</t>
  </si>
  <si>
    <t>7. Total CPA  for each campaign type</t>
  </si>
  <si>
    <t>8. Total Amount spent across each month and the ROI</t>
  </si>
  <si>
    <t>9. What season has the highest marketing campaign</t>
  </si>
  <si>
    <t>year</t>
  </si>
  <si>
    <t>day</t>
  </si>
  <si>
    <t>Total Spent</t>
  </si>
  <si>
    <t>Seasons</t>
  </si>
  <si>
    <t>Total Clicks</t>
  </si>
  <si>
    <t>channel</t>
  </si>
  <si>
    <t>Total Impressions</t>
  </si>
  <si>
    <t>TRUE</t>
  </si>
  <si>
    <t>No. Campaigns</t>
  </si>
  <si>
    <t>Average CPA</t>
  </si>
  <si>
    <t>Average of Conversion Rate</t>
  </si>
  <si>
    <t>Jan</t>
  </si>
  <si>
    <t>Feb</t>
  </si>
  <si>
    <t>Mar</t>
  </si>
  <si>
    <t>Apr</t>
  </si>
  <si>
    <t>May</t>
  </si>
  <si>
    <t>Jun</t>
  </si>
  <si>
    <t>Jul</t>
  </si>
  <si>
    <t>Aug</t>
  </si>
  <si>
    <t>Sep</t>
  </si>
  <si>
    <t>Oct</t>
  </si>
  <si>
    <t>Nov</t>
  </si>
  <si>
    <t>Dec</t>
  </si>
  <si>
    <t>Spent</t>
  </si>
  <si>
    <t xml:space="preserve"> ROI</t>
  </si>
  <si>
    <t>Total coversions</t>
  </si>
  <si>
    <t>NO.Campaigns</t>
  </si>
  <si>
    <t>Avg. Conversions</t>
  </si>
  <si>
    <t>Total ROI</t>
  </si>
  <si>
    <t>qw</t>
  </si>
  <si>
    <t>Column chart</t>
  </si>
  <si>
    <t>Bar charts</t>
  </si>
  <si>
    <t>KPI</t>
  </si>
  <si>
    <t>Combo chart</t>
  </si>
  <si>
    <t>done</t>
  </si>
  <si>
    <t>10. Total ROI</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</si>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</sst>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8" formatCode="&quot;$&quot;#,##0.00_);[Red]\(&quot;$&quot;#,##0.00\)"/>
    <numFmt numFmtId="44" formatCode="_(&quot;$&quot;* #,##0.00_);_(&quot;$&quot;* \(#,##0.00\);_(&quot;$&quot;* &quot;-&quot;??_);_(@_)"/>
    <numFmt numFmtId="164" formatCode="0.000"/>
    <numFmt numFmtId="165" formatCode="[&lt;999999]0.00,&quot;k&quot;;[&lt;999999999]0.00,,&quot;M&quot;"/>
    <numFmt numFmtId="166" formatCode="[&lt;999999]\ &quot;$&quot;\ 0.00,&quot;k&quot;;[&lt;999999999]\ &quot;$&quot;\ 0.00,,&quot;M&quot;"/>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22" fontId="0" fillId="0" borderId="0" xfId="0" applyNumberFormat="1"/>
    <xf numFmtId="14" fontId="0" fillId="0" borderId="0" xfId="0" applyNumberFormat="1"/>
    <xf numFmtId="8" fontId="0" fillId="0" borderId="0" xfId="0" applyNumberFormat="1"/>
    <xf numFmtId="0" fontId="18" fillId="33" borderId="0" xfId="0" applyFont="1" applyFill="1"/>
    <xf numFmtId="14" fontId="18" fillId="33" borderId="0" xfId="0" applyNumberFormat="1" applyFont="1" applyFill="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0" borderId="0" xfId="0" applyNumberFormat="1"/>
    <xf numFmtId="165" fontId="0" fillId="0" borderId="0" xfId="0" applyNumberFormat="1"/>
    <xf numFmtId="166" fontId="0" fillId="0" borderId="0" xfId="0" applyNumberFormat="1"/>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66" formatCode="[&lt;999999]\ &quot;$&quot;\ 0.00,&quot;k&quot;;[&lt;999999999]\ &quot;$&quot;\ 0.00,,&quot;M&quot;"/>
    </dxf>
    <dxf>
      <numFmt numFmtId="165" formatCode="[&lt;999999]0.00,&quot;k&quot;;[&lt;999999999]0.00,,&quot;M&quot;"/>
    </dxf>
    <dxf>
      <numFmt numFmtId="166" formatCode="[&lt;999999]\ &quot;$&quot;\ 0.00,&quot;k&quot;;[&lt;999999999]\ &quot;$&quot;\ 0.00,,&quot;M&quot;"/>
    </dxf>
    <dxf>
      <numFmt numFmtId="166" formatCode="[&lt;999999]\ &quot;$&quot;\ 0.00,&quot;k&quot;;[&lt;999999999]\ &quot;$&quot;\ 0.00,,&quot;M&quot;"/>
    </dxf>
    <dxf>
      <numFmt numFmtId="166" formatCode="[&lt;999999]\ &quot;$&quot;\ 0.00,&quot;k&quot;;[&lt;999999999]\ &quot;$&quot;\ 0.00,,&quot;M&quot;"/>
    </dxf>
    <dxf>
      <numFmt numFmtId="166" formatCode="[&lt;999999]\ &quot;$&quot;\ 0.00,&quot;k&quot;;[&lt;999999999]\ &quot;$&quot;\ 0.00,,&quot;M&quot;"/>
    </dxf>
    <dxf>
      <numFmt numFmtId="34" formatCode="_(&quot;$&quot;* #,##0.00_);_(&quot;$&quot;* \(#,##0.00\);_(&quot;$&quot;* &quot;-&quot;??_);_(@_)"/>
    </dxf>
    <dxf>
      <numFmt numFmtId="14" formatCode="0.00%"/>
    </dxf>
    <dxf>
      <numFmt numFmtId="166" formatCode="[&lt;999999]\ &quot;$&quot;\ 0.00,&quot;k&quot;;[&lt;999999999]\ &quot;$&quot;\ 0.00,,&quot;M&quot;"/>
    </dxf>
    <dxf>
      <numFmt numFmtId="0" formatCode="General"/>
    </dxf>
    <dxf>
      <numFmt numFmtId="0" formatCode="General"/>
    </dxf>
    <dxf>
      <numFmt numFmtId="0" formatCode="General"/>
    </dxf>
    <dxf>
      <numFmt numFmtId="164" formatCode="0.000"/>
    </dxf>
    <dxf>
      <numFmt numFmtId="2" formatCode="0.00"/>
    </dxf>
    <dxf>
      <numFmt numFmtId="19" formatCode="m/d/yyyy"/>
    </dxf>
    <dxf>
      <numFmt numFmtId="19" formatCode="m/d/yyyy"/>
    </dxf>
    <dxf>
      <font>
        <b/>
        <i val="0"/>
        <strike val="0"/>
        <condense val="0"/>
        <extend val="0"/>
        <outline val="0"/>
        <shadow val="0"/>
        <u val="none"/>
        <vertAlign val="baseline"/>
        <sz val="12"/>
        <color theme="1"/>
        <name val="Aptos Narrow"/>
        <family val="2"/>
        <scheme val="minor"/>
      </font>
      <fill>
        <patternFill patternType="solid">
          <fgColor indexed="64"/>
          <bgColor theme="0" tint="-0.34998626667073579"/>
        </patternFill>
      </fill>
    </dxf>
    <dxf>
      <font>
        <color rgb="FF9C0006"/>
      </font>
      <fill>
        <patternFill>
          <bgColor rgb="FFFFC7CE"/>
        </patternFill>
      </fill>
    </dxf>
    <dxf>
      <font>
        <b/>
        <i val="0"/>
        <sz val="12"/>
        <color theme="5"/>
      </font>
      <fill>
        <patternFill>
          <bgColor rgb="FF002060"/>
        </patternFill>
      </fill>
    </dxf>
    <dxf>
      <fill>
        <patternFill patternType="solid">
          <bgColor theme="2"/>
        </patternFill>
      </fill>
      <border diagonalUp="0" diagonalDown="0">
        <left/>
        <right/>
        <top/>
        <bottom/>
        <vertical/>
        <horizontal/>
      </border>
    </dxf>
  </dxfs>
  <tableStyles count="1" defaultTableStyle="TableStyleMedium2" defaultPivotStyle="PivotStyleLight16">
    <tableStyle name="Slicer Style 1" pivot="0" table="0" count="4" xr9:uid="{392B8783-5221-4A5D-A510-2854C7CE2DB7}">
      <tableStyleElement type="wholeTable" dxfId="19"/>
      <tableStyleElement type="headerRow" dxfId="18"/>
    </tableStyle>
  </tableStyles>
  <extLst>
    <ext xmlns:x14="http://schemas.microsoft.com/office/spreadsheetml/2009/9/main" uri="{46F421CA-312F-682f-3DD2-61675219B42D}">
      <x14:dxfs count="2">
        <dxf>
          <font>
            <b/>
            <i val="0"/>
            <sz val="11"/>
            <color theme="5"/>
          </font>
          <fill>
            <patternFill>
              <bgColor rgb="FF002060"/>
            </patternFill>
          </fill>
        </dxf>
        <dxf>
          <font>
            <b/>
            <i val="0"/>
            <color rgb="FF002060"/>
          </font>
          <fill>
            <patternFill>
              <bgColor theme="5"/>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Dashboard (1).xlsx]Pivot_table!PivotTable6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s>
    <c:plotArea>
      <c:layout/>
      <c:pieChart>
        <c:varyColors val="1"/>
        <c:ser>
          <c:idx val="0"/>
          <c:order val="0"/>
          <c:tx>
            <c:strRef>
              <c:f>Pivot_table!$C$12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7F-4F78-9184-42591D1E7C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7F-4F78-9184-42591D1E7C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7F-4F78-9184-42591D1E7C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47F-4F78-9184-42591D1E7C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47F-4F78-9184-42591D1E7CF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Pivot_table!$B$13:$B$17</c:f>
              <c:strCache>
                <c:ptCount val="5"/>
                <c:pt idx="0">
                  <c:v>Email</c:v>
                </c:pt>
                <c:pt idx="1">
                  <c:v>Facebook</c:v>
                </c:pt>
                <c:pt idx="2">
                  <c:v>Google Ads</c:v>
                </c:pt>
                <c:pt idx="3">
                  <c:v>Instagram</c:v>
                </c:pt>
                <c:pt idx="4">
                  <c:v>TikTok</c:v>
                </c:pt>
              </c:strCache>
            </c:strRef>
          </c:cat>
          <c:val>
            <c:numRef>
              <c:f>Pivot_table!$C$13:$C$17</c:f>
              <c:numCache>
                <c:formatCode>[&lt;999999]\ "$"\ 0.00,"k";[&lt;999999999]\ "$"\ 0.00,,"M"</c:formatCode>
                <c:ptCount val="5"/>
                <c:pt idx="0">
                  <c:v>684594.58000000007</c:v>
                </c:pt>
                <c:pt idx="1">
                  <c:v>769519.70000000042</c:v>
                </c:pt>
                <c:pt idx="2">
                  <c:v>628150.12500000023</c:v>
                </c:pt>
                <c:pt idx="3">
                  <c:v>622066.54500000051</c:v>
                </c:pt>
                <c:pt idx="4">
                  <c:v>717733.01500000001</c:v>
                </c:pt>
              </c:numCache>
            </c:numRef>
          </c:val>
          <c:extLst>
            <c:ext xmlns:c16="http://schemas.microsoft.com/office/drawing/2014/chart" uri="{C3380CC4-5D6E-409C-BE32-E72D297353CC}">
              <c16:uniqueId val="{00000000-19C5-4C74-9463-386FBC9A132B}"/>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Dashboard (1).xlsx]Pivot_table!PivotTable10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 on Spend VS ROI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Pivot_table!$I$25</c:f>
              <c:strCache>
                <c:ptCount val="1"/>
                <c:pt idx="0">
                  <c:v>Spent</c:v>
                </c:pt>
              </c:strCache>
            </c:strRef>
          </c:tx>
          <c:spPr>
            <a:solidFill>
              <a:srgbClr val="002060"/>
            </a:solidFill>
            <a:ln>
              <a:noFill/>
            </a:ln>
            <a:effectLst/>
          </c:spPr>
          <c:invertIfNegative val="0"/>
          <c:cat>
            <c:strRef>
              <c:f>Pivot_table!$H$26:$H$37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Pivot_table!$I$26:$I$37</c:f>
              <c:numCache>
                <c:formatCode>[&lt;999999]\ "$"\ 0.00,"k";[&lt;999999999]\ "$"\ 0.00,,"M"</c:formatCode>
                <c:ptCount val="12"/>
                <c:pt idx="0">
                  <c:v>271604.63250000018</c:v>
                </c:pt>
                <c:pt idx="1">
                  <c:v>235745.89250000013</c:v>
                </c:pt>
                <c:pt idx="2">
                  <c:v>267814.14250000007</c:v>
                </c:pt>
                <c:pt idx="3">
                  <c:v>279291.25250000006</c:v>
                </c:pt>
                <c:pt idx="4">
                  <c:v>286382.68250000023</c:v>
                </c:pt>
                <c:pt idx="5">
                  <c:v>310790.50250000012</c:v>
                </c:pt>
                <c:pt idx="6">
                  <c:v>309717.97500000033</c:v>
                </c:pt>
                <c:pt idx="7">
                  <c:v>251640.29500000027</c:v>
                </c:pt>
                <c:pt idx="8">
                  <c:v>283589.63750000036</c:v>
                </c:pt>
                <c:pt idx="9">
                  <c:v>295435.2725000002</c:v>
                </c:pt>
                <c:pt idx="10">
                  <c:v>280940.10750000004</c:v>
                </c:pt>
                <c:pt idx="11">
                  <c:v>349111.57250000042</c:v>
                </c:pt>
              </c:numCache>
            </c:numRef>
          </c:val>
          <c:extLst>
            <c:ext xmlns:c16="http://schemas.microsoft.com/office/drawing/2014/chart" uri="{C3380CC4-5D6E-409C-BE32-E72D297353CC}">
              <c16:uniqueId val="{00000000-17A3-4A3E-8CA6-0676DB477A38}"/>
            </c:ext>
          </c:extLst>
        </c:ser>
        <c:dLbls>
          <c:showLegendKey val="0"/>
          <c:showVal val="0"/>
          <c:showCatName val="0"/>
          <c:showSerName val="0"/>
          <c:showPercent val="0"/>
          <c:showBubbleSize val="0"/>
        </c:dLbls>
        <c:gapWidth val="75"/>
        <c:overlap val="-27"/>
        <c:axId val="556919520"/>
        <c:axId val="556920240"/>
      </c:barChart>
      <c:lineChart>
        <c:grouping val="standard"/>
        <c:varyColors val="0"/>
        <c:ser>
          <c:idx val="1"/>
          <c:order val="1"/>
          <c:tx>
            <c:strRef>
              <c:f>Pivot_table!$J$25</c:f>
              <c:strCache>
                <c:ptCount val="1"/>
                <c:pt idx="0">
                  <c:v> ROI</c:v>
                </c:pt>
              </c:strCache>
            </c:strRef>
          </c:tx>
          <c:spPr>
            <a:ln w="28575" cap="rnd">
              <a:solidFill>
                <a:schemeClr val="accent2"/>
              </a:solidFill>
              <a:round/>
            </a:ln>
            <a:effectLst/>
          </c:spPr>
          <c:marker>
            <c:symbol val="none"/>
          </c:marker>
          <c:cat>
            <c:strRef>
              <c:f>Pivot_table!$H$26:$H$37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Pivot_table!$J$26:$J$37</c:f>
              <c:numCache>
                <c:formatCode>[&lt;999999]\ "$"\ 0.00,"k";[&lt;999999999]\ "$"\ 0.00,,"M"</c:formatCode>
                <c:ptCount val="12"/>
                <c:pt idx="0">
                  <c:v>1101545.3674999999</c:v>
                </c:pt>
                <c:pt idx="1">
                  <c:v>973504.10749999958</c:v>
                </c:pt>
                <c:pt idx="2">
                  <c:v>1036485.8574999995</c:v>
                </c:pt>
                <c:pt idx="3">
                  <c:v>1114458.7474999998</c:v>
                </c:pt>
                <c:pt idx="4">
                  <c:v>1129617.3174999997</c:v>
                </c:pt>
                <c:pt idx="5">
                  <c:v>1261559.4974999996</c:v>
                </c:pt>
                <c:pt idx="6">
                  <c:v>1204282.0250000001</c:v>
                </c:pt>
                <c:pt idx="7">
                  <c:v>941559.70500000054</c:v>
                </c:pt>
                <c:pt idx="8">
                  <c:v>1093560.3625000007</c:v>
                </c:pt>
                <c:pt idx="9">
                  <c:v>1070464.7275</c:v>
                </c:pt>
                <c:pt idx="10">
                  <c:v>1045059.8924999997</c:v>
                </c:pt>
                <c:pt idx="11">
                  <c:v>1358988.4275000002</c:v>
                </c:pt>
              </c:numCache>
            </c:numRef>
          </c:val>
          <c:smooth val="0"/>
          <c:extLst>
            <c:ext xmlns:c16="http://schemas.microsoft.com/office/drawing/2014/chart" uri="{C3380CC4-5D6E-409C-BE32-E72D297353CC}">
              <c16:uniqueId val="{00000001-17A3-4A3E-8CA6-0676DB477A38}"/>
            </c:ext>
          </c:extLst>
        </c:ser>
        <c:dLbls>
          <c:showLegendKey val="0"/>
          <c:showVal val="0"/>
          <c:showCatName val="0"/>
          <c:showSerName val="0"/>
          <c:showPercent val="0"/>
          <c:showBubbleSize val="0"/>
        </c:dLbls>
        <c:marker val="1"/>
        <c:smooth val="0"/>
        <c:axId val="387352584"/>
        <c:axId val="387355464"/>
      </c:lineChart>
      <c:catAx>
        <c:axId val="556919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20240"/>
        <c:crosses val="autoZero"/>
        <c:auto val="1"/>
        <c:lblAlgn val="ctr"/>
        <c:lblOffset val="100"/>
        <c:noMultiLvlLbl val="0"/>
      </c:catAx>
      <c:valAx>
        <c:axId val="556920240"/>
        <c:scaling>
          <c:orientation val="minMax"/>
        </c:scaling>
        <c:delete val="0"/>
        <c:axPos val="l"/>
        <c:numFmt formatCode="[&lt;999999]\ &quot;$&quot;\ 0.00,&quot;k&quot;;[&lt;999999999]\ &quot;$&quot;\ 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19520"/>
        <c:crosses val="autoZero"/>
        <c:crossBetween val="between"/>
      </c:valAx>
      <c:valAx>
        <c:axId val="387355464"/>
        <c:scaling>
          <c:orientation val="minMax"/>
        </c:scaling>
        <c:delete val="0"/>
        <c:axPos val="r"/>
        <c:numFmt formatCode="[&lt;999999]\ &quot;$&quot;\ 0.00,&quot;k&quot;;[&lt;999999999]\ &quot;$&quot;\ 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352584"/>
        <c:crosses val="max"/>
        <c:crossBetween val="between"/>
      </c:valAx>
      <c:catAx>
        <c:axId val="387352584"/>
        <c:scaling>
          <c:orientation val="minMax"/>
        </c:scaling>
        <c:delete val="1"/>
        <c:axPos val="t"/>
        <c:numFmt formatCode="General" sourceLinked="1"/>
        <c:majorTickMark val="out"/>
        <c:minorTickMark val="none"/>
        <c:tickLblPos val="nextTo"/>
        <c:crossAx val="387355464"/>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Dashboard (1).xlsx]Pivot_table!PivotTable2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a:t>
            </a:r>
            <a:r>
              <a:rPr lang="en-US" baseline="0"/>
              <a:t> By Clicks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29510918321521"/>
          <c:y val="0.21963516273071026"/>
          <c:w val="0.70242171930887853"/>
          <c:h val="0.74386846592819467"/>
        </c:manualLayout>
      </c:layout>
      <c:barChart>
        <c:barDir val="bar"/>
        <c:grouping val="clustered"/>
        <c:varyColors val="0"/>
        <c:ser>
          <c:idx val="0"/>
          <c:order val="0"/>
          <c:tx>
            <c:strRef>
              <c:f>Pivot_table!$H$4</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Pivot_table!$G$5:$G$9</c:f>
              <c:strCache>
                <c:ptCount val="5"/>
                <c:pt idx="0">
                  <c:v>Facebook</c:v>
                </c:pt>
                <c:pt idx="1">
                  <c:v>TikTok</c:v>
                </c:pt>
                <c:pt idx="2">
                  <c:v>Email</c:v>
                </c:pt>
                <c:pt idx="3">
                  <c:v>Instagram</c:v>
                </c:pt>
                <c:pt idx="4">
                  <c:v>Google Ads</c:v>
                </c:pt>
              </c:strCache>
            </c:strRef>
          </c:cat>
          <c:val>
            <c:numRef>
              <c:f>Pivot_table!$H$5:$H$9</c:f>
              <c:numCache>
                <c:formatCode>[&lt;999999]0.00,"k";[&lt;999999999]0.00,,"M"</c:formatCode>
                <c:ptCount val="5"/>
                <c:pt idx="0">
                  <c:v>676683</c:v>
                </c:pt>
                <c:pt idx="1">
                  <c:v>637630</c:v>
                </c:pt>
                <c:pt idx="2">
                  <c:v>593263</c:v>
                </c:pt>
                <c:pt idx="3">
                  <c:v>548074</c:v>
                </c:pt>
                <c:pt idx="4">
                  <c:v>546825</c:v>
                </c:pt>
              </c:numCache>
            </c:numRef>
          </c:val>
          <c:extLst>
            <c:ext xmlns:c16="http://schemas.microsoft.com/office/drawing/2014/chart" uri="{C3380CC4-5D6E-409C-BE32-E72D297353CC}">
              <c16:uniqueId val="{00000000-15EA-49DD-96B7-FE027C549721}"/>
            </c:ext>
          </c:extLst>
        </c:ser>
        <c:dLbls>
          <c:dLblPos val="outEnd"/>
          <c:showLegendKey val="0"/>
          <c:showVal val="1"/>
          <c:showCatName val="0"/>
          <c:showSerName val="0"/>
          <c:showPercent val="0"/>
          <c:showBubbleSize val="0"/>
        </c:dLbls>
        <c:gapWidth val="30"/>
        <c:overlap val="70"/>
        <c:axId val="590904576"/>
        <c:axId val="590903856"/>
      </c:barChart>
      <c:catAx>
        <c:axId val="59090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903856"/>
        <c:crosses val="autoZero"/>
        <c:auto val="1"/>
        <c:lblAlgn val="ctr"/>
        <c:lblOffset val="100"/>
        <c:noMultiLvlLbl val="0"/>
      </c:catAx>
      <c:valAx>
        <c:axId val="590903856"/>
        <c:scaling>
          <c:orientation val="minMax"/>
        </c:scaling>
        <c:delete val="1"/>
        <c:axPos val="b"/>
        <c:numFmt formatCode="[&lt;999999]0.00,&quot;k&quot;;[&lt;999999999]0.00,,&quot;M&quot;" sourceLinked="1"/>
        <c:majorTickMark val="none"/>
        <c:minorTickMark val="none"/>
        <c:tickLblPos val="nextTo"/>
        <c:crossAx val="590904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Dashboard (1).xlsx]Pivot_table!PivotTable1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Seasons</a:t>
            </a:r>
            <a:r>
              <a:rPr lang="en-US" baseline="0"/>
              <a:t> By Total Spent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Pivot_table!$C$4</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Pivot_table!$B$5:$B$8</c:f>
              <c:strCache>
                <c:ptCount val="4"/>
                <c:pt idx="0">
                  <c:v>Summer</c:v>
                </c:pt>
                <c:pt idx="1">
                  <c:v>Fall</c:v>
                </c:pt>
                <c:pt idx="2">
                  <c:v>Winter</c:v>
                </c:pt>
                <c:pt idx="3">
                  <c:v>Spring</c:v>
                </c:pt>
              </c:strCache>
            </c:strRef>
          </c:cat>
          <c:val>
            <c:numRef>
              <c:f>Pivot_table!$C$5:$C$8</c:f>
              <c:numCache>
                <c:formatCode>[&lt;999999]\ "$"\ 0.00,"k";[&lt;999999999]\ "$"\ 0.00,,"M"</c:formatCode>
                <c:ptCount val="4"/>
                <c:pt idx="0">
                  <c:v>872148.77249999845</c:v>
                </c:pt>
                <c:pt idx="1">
                  <c:v>859965.01750000007</c:v>
                </c:pt>
                <c:pt idx="2">
                  <c:v>856462.09750000085</c:v>
                </c:pt>
                <c:pt idx="3">
                  <c:v>833488.07750000083</c:v>
                </c:pt>
              </c:numCache>
            </c:numRef>
          </c:val>
          <c:extLst>
            <c:ext xmlns:c16="http://schemas.microsoft.com/office/drawing/2014/chart" uri="{C3380CC4-5D6E-409C-BE32-E72D297353CC}">
              <c16:uniqueId val="{00000000-5EA4-47AA-A2D9-FFC3D0D03B35}"/>
            </c:ext>
          </c:extLst>
        </c:ser>
        <c:dLbls>
          <c:dLblPos val="outEnd"/>
          <c:showLegendKey val="0"/>
          <c:showVal val="1"/>
          <c:showCatName val="0"/>
          <c:showSerName val="0"/>
          <c:showPercent val="0"/>
          <c:showBubbleSize val="0"/>
        </c:dLbls>
        <c:gapWidth val="123"/>
        <c:overlap val="-27"/>
        <c:axId val="556912320"/>
        <c:axId val="556913040"/>
      </c:barChart>
      <c:catAx>
        <c:axId val="55691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13040"/>
        <c:crosses val="autoZero"/>
        <c:auto val="1"/>
        <c:lblAlgn val="ctr"/>
        <c:lblOffset val="100"/>
        <c:noMultiLvlLbl val="0"/>
      </c:catAx>
      <c:valAx>
        <c:axId val="556913040"/>
        <c:scaling>
          <c:orientation val="minMax"/>
        </c:scaling>
        <c:delete val="1"/>
        <c:axPos val="l"/>
        <c:numFmt formatCode="[&lt;999999]\ &quot;$&quot;\ 0.00,&quot;k&quot;;[&lt;999999999]\ &quot;$&quot;\ 0.00,,&quot;M&quot;" sourceLinked="1"/>
        <c:majorTickMark val="out"/>
        <c:minorTickMark val="none"/>
        <c:tickLblPos val="nextTo"/>
        <c:crossAx val="556912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Dashboard (1).xlsx]Pivot_table!PivotTable6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Spent By Channels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Pivot_table!$C$12</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Pivot_table!$B$13:$B$17</c:f>
              <c:strCache>
                <c:ptCount val="5"/>
                <c:pt idx="0">
                  <c:v>Email</c:v>
                </c:pt>
                <c:pt idx="1">
                  <c:v>Facebook</c:v>
                </c:pt>
                <c:pt idx="2">
                  <c:v>Google Ads</c:v>
                </c:pt>
                <c:pt idx="3">
                  <c:v>Instagram</c:v>
                </c:pt>
                <c:pt idx="4">
                  <c:v>TikTok</c:v>
                </c:pt>
              </c:strCache>
            </c:strRef>
          </c:cat>
          <c:val>
            <c:numRef>
              <c:f>Pivot_table!$C$13:$C$17</c:f>
              <c:numCache>
                <c:formatCode>[&lt;999999]\ "$"\ 0.00,"k";[&lt;999999999]\ "$"\ 0.00,,"M"</c:formatCode>
                <c:ptCount val="5"/>
                <c:pt idx="0">
                  <c:v>684594.58000000007</c:v>
                </c:pt>
                <c:pt idx="1">
                  <c:v>769519.70000000042</c:v>
                </c:pt>
                <c:pt idx="2">
                  <c:v>628150.12500000023</c:v>
                </c:pt>
                <c:pt idx="3">
                  <c:v>622066.54500000051</c:v>
                </c:pt>
                <c:pt idx="4">
                  <c:v>717733.01500000001</c:v>
                </c:pt>
              </c:numCache>
            </c:numRef>
          </c:val>
          <c:extLst>
            <c:ext xmlns:c16="http://schemas.microsoft.com/office/drawing/2014/chart" uri="{C3380CC4-5D6E-409C-BE32-E72D297353CC}">
              <c16:uniqueId val="{00000000-F65F-46BA-8614-BEE7EDCA630B}"/>
            </c:ext>
          </c:extLst>
        </c:ser>
        <c:dLbls>
          <c:dLblPos val="outEnd"/>
          <c:showLegendKey val="0"/>
          <c:showVal val="1"/>
          <c:showCatName val="0"/>
          <c:showSerName val="0"/>
          <c:showPercent val="0"/>
          <c:showBubbleSize val="0"/>
        </c:dLbls>
        <c:gapWidth val="219"/>
        <c:overlap val="-27"/>
        <c:axId val="390321648"/>
        <c:axId val="390320928"/>
      </c:barChart>
      <c:catAx>
        <c:axId val="3903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320928"/>
        <c:crosses val="autoZero"/>
        <c:auto val="1"/>
        <c:lblAlgn val="ctr"/>
        <c:lblOffset val="100"/>
        <c:noMultiLvlLbl val="0"/>
      </c:catAx>
      <c:valAx>
        <c:axId val="390320928"/>
        <c:scaling>
          <c:orientation val="minMax"/>
        </c:scaling>
        <c:delete val="1"/>
        <c:axPos val="l"/>
        <c:numFmt formatCode="[&lt;999999]\ &quot;$&quot;\ 0.00,&quot;k&quot;;[&lt;999999999]\ &quot;$&quot;\ 0.00,,&quot;M&quot;" sourceLinked="1"/>
        <c:majorTickMark val="none"/>
        <c:minorTickMark val="none"/>
        <c:tickLblPos val="nextTo"/>
        <c:crossAx val="390321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Dashboard (1).xlsx]Pivot_table!PivotTable9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CPA By Campaign_Type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Pivot_table!$C$25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Pivot_table!$B$26:$B$29</c:f>
              <c:strCache>
                <c:ptCount val="4"/>
                <c:pt idx="0">
                  <c:v>BlackFriday</c:v>
                </c:pt>
                <c:pt idx="1">
                  <c:v>Launch</c:v>
                </c:pt>
                <c:pt idx="2">
                  <c:v>Winter</c:v>
                </c:pt>
                <c:pt idx="3">
                  <c:v>Summer</c:v>
                </c:pt>
              </c:strCache>
            </c:strRef>
          </c:cat>
          <c:val>
            <c:numRef>
              <c:f>Pivot_table!$C$26:$C$29</c:f>
              <c:numCache>
                <c:formatCode>_("$"* #,##0.00_);_("$"* \(#,##0.00\);_("$"* "-"??_);_(@_)</c:formatCode>
                <c:ptCount val="4"/>
                <c:pt idx="0">
                  <c:v>12.8851012233005</c:v>
                </c:pt>
                <c:pt idx="1">
                  <c:v>11.400896701840789</c:v>
                </c:pt>
                <c:pt idx="2">
                  <c:v>12.795512061204828</c:v>
                </c:pt>
                <c:pt idx="3">
                  <c:v>13.223607689546789</c:v>
                </c:pt>
              </c:numCache>
            </c:numRef>
          </c:val>
          <c:extLst>
            <c:ext xmlns:c16="http://schemas.microsoft.com/office/drawing/2014/chart" uri="{C3380CC4-5D6E-409C-BE32-E72D297353CC}">
              <c16:uniqueId val="{00000000-24A6-4C18-AAC5-D0D5829E537C}"/>
            </c:ext>
          </c:extLst>
        </c:ser>
        <c:dLbls>
          <c:showLegendKey val="0"/>
          <c:showVal val="0"/>
          <c:showCatName val="0"/>
          <c:showSerName val="0"/>
          <c:showPercent val="0"/>
          <c:showBubbleSize val="0"/>
        </c:dLbls>
        <c:gapWidth val="163"/>
        <c:overlap val="-27"/>
        <c:axId val="558581768"/>
        <c:axId val="558585008"/>
      </c:barChart>
      <c:catAx>
        <c:axId val="558581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585008"/>
        <c:crosses val="autoZero"/>
        <c:auto val="1"/>
        <c:lblAlgn val="ctr"/>
        <c:lblOffset val="100"/>
        <c:noMultiLvlLbl val="0"/>
      </c:catAx>
      <c:valAx>
        <c:axId val="558585008"/>
        <c:scaling>
          <c:orientation val="minMax"/>
        </c:scaling>
        <c:delete val="1"/>
        <c:axPos val="l"/>
        <c:numFmt formatCode="_(&quot;$&quot;* #,##0.00_);_(&quot;$&quot;* \(#,##0.00\);_(&quot;$&quot;* &quot;-&quot;??_);_(@_)" sourceLinked="1"/>
        <c:majorTickMark val="none"/>
        <c:minorTickMark val="none"/>
        <c:tickLblPos val="nextTo"/>
        <c:crossAx val="558581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592336</xdr:colOff>
      <xdr:row>39</xdr:row>
      <xdr:rowOff>89892</xdr:rowOff>
    </xdr:from>
    <xdr:to>
      <xdr:col>9</xdr:col>
      <xdr:colOff>790278</xdr:colOff>
      <xdr:row>52</xdr:row>
      <xdr:rowOff>5952</xdr:rowOff>
    </xdr:to>
    <xdr:graphicFrame macro="">
      <xdr:nvGraphicFramePr>
        <xdr:cNvPr id="11" name="Chart 10">
          <a:extLst>
            <a:ext uri="{FF2B5EF4-FFF2-40B4-BE49-F238E27FC236}">
              <a16:creationId xmlns:a16="http://schemas.microsoft.com/office/drawing/2014/main" id="{AF321390-7ABB-9D32-CC2A-D29C7F0CE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533400</xdr:colOff>
      <xdr:row>1</xdr:row>
      <xdr:rowOff>53340</xdr:rowOff>
    </xdr:from>
    <xdr:to>
      <xdr:col>21</xdr:col>
      <xdr:colOff>297180</xdr:colOff>
      <xdr:row>4</xdr:row>
      <xdr:rowOff>99060</xdr:rowOff>
    </xdr:to>
    <xdr:sp macro="" textlink="">
      <xdr:nvSpPr>
        <xdr:cNvPr id="6" name="Rectangle: Rounded Corners 5">
          <a:extLst>
            <a:ext uri="{FF2B5EF4-FFF2-40B4-BE49-F238E27FC236}">
              <a16:creationId xmlns:a16="http://schemas.microsoft.com/office/drawing/2014/main" id="{4AD6B659-CC15-48AD-8F2B-4420F41539B9}"/>
            </a:ext>
          </a:extLst>
        </xdr:cNvPr>
        <xdr:cNvSpPr/>
      </xdr:nvSpPr>
      <xdr:spPr>
        <a:xfrm>
          <a:off x="533400" y="230925"/>
          <a:ext cx="14172361" cy="578474"/>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1"/>
              </a:solidFill>
              <a:latin typeface="Algerian" panose="04020705040A02060702" pitchFamily="82" charset="0"/>
            </a:rPr>
            <a:t>MARKETING</a:t>
          </a:r>
          <a:r>
            <a:rPr lang="en-US" sz="3200" b="1">
              <a:solidFill>
                <a:srgbClr val="FFC000"/>
              </a:solidFill>
              <a:latin typeface="Algerian" panose="04020705040A02060702" pitchFamily="82" charset="0"/>
            </a:rPr>
            <a:t> CAMPAIGN </a:t>
          </a:r>
          <a:r>
            <a:rPr lang="en-US" sz="3200" b="1">
              <a:solidFill>
                <a:schemeClr val="tx2"/>
              </a:solidFill>
              <a:latin typeface="Algerian" panose="04020705040A02060702" pitchFamily="82" charset="0"/>
            </a:rPr>
            <a:t>DASHBOARD</a:t>
          </a:r>
        </a:p>
      </xdr:txBody>
    </xdr:sp>
    <xdr:clientData/>
  </xdr:twoCellAnchor>
  <xdr:twoCellAnchor>
    <xdr:from>
      <xdr:col>13</xdr:col>
      <xdr:colOff>358140</xdr:colOff>
      <xdr:row>27</xdr:row>
      <xdr:rowOff>99060</xdr:rowOff>
    </xdr:from>
    <xdr:to>
      <xdr:col>21</xdr:col>
      <xdr:colOff>297180</xdr:colOff>
      <xdr:row>37</xdr:row>
      <xdr:rowOff>76200</xdr:rowOff>
    </xdr:to>
    <xdr:sp macro="" textlink="">
      <xdr:nvSpPr>
        <xdr:cNvPr id="8" name="Rectangle: Rounded Corners 7">
          <a:extLst>
            <a:ext uri="{FF2B5EF4-FFF2-40B4-BE49-F238E27FC236}">
              <a16:creationId xmlns:a16="http://schemas.microsoft.com/office/drawing/2014/main" id="{5D033BEF-5B9C-4B98-B133-3721D950E482}"/>
            </a:ext>
          </a:extLst>
        </xdr:cNvPr>
        <xdr:cNvSpPr/>
      </xdr:nvSpPr>
      <xdr:spPr>
        <a:xfrm>
          <a:off x="8282940" y="5036820"/>
          <a:ext cx="4815840" cy="1805940"/>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533400</xdr:colOff>
      <xdr:row>27</xdr:row>
      <xdr:rowOff>99060</xdr:rowOff>
    </xdr:from>
    <xdr:to>
      <xdr:col>5</xdr:col>
      <xdr:colOff>502920</xdr:colOff>
      <xdr:row>37</xdr:row>
      <xdr:rowOff>45720</xdr:rowOff>
    </xdr:to>
    <xdr:sp macro="" textlink="">
      <xdr:nvSpPr>
        <xdr:cNvPr id="12" name="Rectangle: Rounded Corners 11">
          <a:extLst>
            <a:ext uri="{FF2B5EF4-FFF2-40B4-BE49-F238E27FC236}">
              <a16:creationId xmlns:a16="http://schemas.microsoft.com/office/drawing/2014/main" id="{D3B9DC70-027F-4918-B0C0-A06F84E50DB9}"/>
            </a:ext>
          </a:extLst>
        </xdr:cNvPr>
        <xdr:cNvSpPr/>
      </xdr:nvSpPr>
      <xdr:spPr>
        <a:xfrm>
          <a:off x="533400" y="5036820"/>
          <a:ext cx="3017520" cy="1775460"/>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579120</xdr:colOff>
      <xdr:row>12</xdr:row>
      <xdr:rowOff>53340</xdr:rowOff>
    </xdr:from>
    <xdr:to>
      <xdr:col>21</xdr:col>
      <xdr:colOff>297180</xdr:colOff>
      <xdr:row>27</xdr:row>
      <xdr:rowOff>0</xdr:rowOff>
    </xdr:to>
    <xdr:grpSp>
      <xdr:nvGrpSpPr>
        <xdr:cNvPr id="27" name="Group 26">
          <a:extLst>
            <a:ext uri="{FF2B5EF4-FFF2-40B4-BE49-F238E27FC236}">
              <a16:creationId xmlns:a16="http://schemas.microsoft.com/office/drawing/2014/main" id="{C584E62F-5D32-608E-ADF7-2250F5E505E0}"/>
            </a:ext>
          </a:extLst>
        </xdr:cNvPr>
        <xdr:cNvGrpSpPr/>
      </xdr:nvGrpSpPr>
      <xdr:grpSpPr>
        <a:xfrm>
          <a:off x="4033241" y="2188615"/>
          <a:ext cx="10771247" cy="2615753"/>
          <a:chOff x="3627120" y="2247900"/>
          <a:chExt cx="9471660" cy="2689860"/>
        </a:xfrm>
      </xdr:grpSpPr>
      <xdr:sp macro="" textlink="">
        <xdr:nvSpPr>
          <xdr:cNvPr id="7" name="Rectangle: Rounded Corners 6">
            <a:extLst>
              <a:ext uri="{FF2B5EF4-FFF2-40B4-BE49-F238E27FC236}">
                <a16:creationId xmlns:a16="http://schemas.microsoft.com/office/drawing/2014/main" id="{7B3032FC-4BA1-4D6E-8BE1-6668C53FCB0E}"/>
              </a:ext>
            </a:extLst>
          </xdr:cNvPr>
          <xdr:cNvSpPr/>
        </xdr:nvSpPr>
        <xdr:spPr>
          <a:xfrm>
            <a:off x="3627120" y="2247900"/>
            <a:ext cx="9471660" cy="2689860"/>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5" name="Chart 24">
            <a:extLst>
              <a:ext uri="{FF2B5EF4-FFF2-40B4-BE49-F238E27FC236}">
                <a16:creationId xmlns:a16="http://schemas.microsoft.com/office/drawing/2014/main" id="{C74F29F5-D396-41EE-9B46-3EE6BE41F5D3}"/>
              </a:ext>
            </a:extLst>
          </xdr:cNvPr>
          <xdr:cNvGraphicFramePr>
            <a:graphicFrameLocks/>
          </xdr:cNvGraphicFramePr>
        </xdr:nvGraphicFramePr>
        <xdr:xfrm>
          <a:off x="3733800" y="2308860"/>
          <a:ext cx="9243060" cy="253746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533400</xdr:colOff>
      <xdr:row>17</xdr:row>
      <xdr:rowOff>88900</xdr:rowOff>
    </xdr:from>
    <xdr:to>
      <xdr:col>5</xdr:col>
      <xdr:colOff>502920</xdr:colOff>
      <xdr:row>27</xdr:row>
      <xdr:rowOff>58420</xdr:rowOff>
    </xdr:to>
    <xdr:grpSp>
      <xdr:nvGrpSpPr>
        <xdr:cNvPr id="28" name="Group 27">
          <a:extLst>
            <a:ext uri="{FF2B5EF4-FFF2-40B4-BE49-F238E27FC236}">
              <a16:creationId xmlns:a16="http://schemas.microsoft.com/office/drawing/2014/main" id="{2B461709-5402-36E6-7037-01FFFF664961}"/>
            </a:ext>
          </a:extLst>
        </xdr:cNvPr>
        <xdr:cNvGrpSpPr/>
      </xdr:nvGrpSpPr>
      <xdr:grpSpPr>
        <a:xfrm>
          <a:off x="533400" y="3113873"/>
          <a:ext cx="3423641" cy="1748915"/>
          <a:chOff x="533400" y="3197860"/>
          <a:chExt cx="3017520" cy="1798320"/>
        </a:xfrm>
      </xdr:grpSpPr>
      <xdr:sp macro="" textlink="">
        <xdr:nvSpPr>
          <xdr:cNvPr id="13" name="Rectangle: Rounded Corners 12">
            <a:extLst>
              <a:ext uri="{FF2B5EF4-FFF2-40B4-BE49-F238E27FC236}">
                <a16:creationId xmlns:a16="http://schemas.microsoft.com/office/drawing/2014/main" id="{A9876BC0-12BA-4CA6-94F0-6CD06E9FDD02}"/>
              </a:ext>
            </a:extLst>
          </xdr:cNvPr>
          <xdr:cNvSpPr/>
        </xdr:nvSpPr>
        <xdr:spPr>
          <a:xfrm>
            <a:off x="533400" y="3197860"/>
            <a:ext cx="3017520" cy="1798320"/>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6" name="Chart 25">
            <a:extLst>
              <a:ext uri="{FF2B5EF4-FFF2-40B4-BE49-F238E27FC236}">
                <a16:creationId xmlns:a16="http://schemas.microsoft.com/office/drawing/2014/main" id="{59D9EB64-67C7-430B-BCC8-4EC5B187B16E}"/>
              </a:ext>
            </a:extLst>
          </xdr:cNvPr>
          <xdr:cNvGraphicFramePr>
            <a:graphicFrameLocks/>
          </xdr:cNvGraphicFramePr>
        </xdr:nvGraphicFramePr>
        <xdr:xfrm>
          <a:off x="533401" y="3197861"/>
          <a:ext cx="2834639" cy="173989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5</xdr:col>
      <xdr:colOff>571500</xdr:colOff>
      <xdr:row>27</xdr:row>
      <xdr:rowOff>99060</xdr:rowOff>
    </xdr:from>
    <xdr:to>
      <xdr:col>13</xdr:col>
      <xdr:colOff>220980</xdr:colOff>
      <xdr:row>37</xdr:row>
      <xdr:rowOff>76200</xdr:rowOff>
    </xdr:to>
    <xdr:grpSp>
      <xdr:nvGrpSpPr>
        <xdr:cNvPr id="30" name="Group 29">
          <a:extLst>
            <a:ext uri="{FF2B5EF4-FFF2-40B4-BE49-F238E27FC236}">
              <a16:creationId xmlns:a16="http://schemas.microsoft.com/office/drawing/2014/main" id="{A9FBD37F-6DE5-CD01-7118-4F6FA79B45AF}"/>
            </a:ext>
          </a:extLst>
        </xdr:cNvPr>
        <xdr:cNvGrpSpPr/>
      </xdr:nvGrpSpPr>
      <xdr:grpSpPr>
        <a:xfrm>
          <a:off x="4025621" y="4903428"/>
          <a:ext cx="5176073" cy="1756536"/>
          <a:chOff x="3619500" y="5036820"/>
          <a:chExt cx="4526280" cy="1805940"/>
        </a:xfrm>
      </xdr:grpSpPr>
      <xdr:sp macro="" textlink="">
        <xdr:nvSpPr>
          <xdr:cNvPr id="11" name="Rectangle: Rounded Corners 10">
            <a:extLst>
              <a:ext uri="{FF2B5EF4-FFF2-40B4-BE49-F238E27FC236}">
                <a16:creationId xmlns:a16="http://schemas.microsoft.com/office/drawing/2014/main" id="{B0F89DE6-1FFB-4E24-AF53-47DAB321AB6E}"/>
              </a:ext>
            </a:extLst>
          </xdr:cNvPr>
          <xdr:cNvSpPr/>
        </xdr:nvSpPr>
        <xdr:spPr>
          <a:xfrm>
            <a:off x="3627120" y="5036820"/>
            <a:ext cx="4518660" cy="1805940"/>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9" name="Chart 28">
            <a:extLst>
              <a:ext uri="{FF2B5EF4-FFF2-40B4-BE49-F238E27FC236}">
                <a16:creationId xmlns:a16="http://schemas.microsoft.com/office/drawing/2014/main" id="{99A8BD74-F437-4FF0-9032-8F3AF977CF86}"/>
              </a:ext>
            </a:extLst>
          </xdr:cNvPr>
          <xdr:cNvGraphicFramePr>
            <a:graphicFrameLocks/>
          </xdr:cNvGraphicFramePr>
        </xdr:nvGraphicFramePr>
        <xdr:xfrm>
          <a:off x="3619500" y="5036820"/>
          <a:ext cx="4442460" cy="174498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13</xdr:col>
      <xdr:colOff>434340</xdr:colOff>
      <xdr:row>28</xdr:row>
      <xdr:rowOff>15240</xdr:rowOff>
    </xdr:from>
    <xdr:to>
      <xdr:col>21</xdr:col>
      <xdr:colOff>243840</xdr:colOff>
      <xdr:row>37</xdr:row>
      <xdr:rowOff>38100</xdr:rowOff>
    </xdr:to>
    <xdr:graphicFrame macro="">
      <xdr:nvGraphicFramePr>
        <xdr:cNvPr id="31" name="Chart 30">
          <a:extLst>
            <a:ext uri="{FF2B5EF4-FFF2-40B4-BE49-F238E27FC236}">
              <a16:creationId xmlns:a16="http://schemas.microsoft.com/office/drawing/2014/main" id="{A7C1076E-3ED6-4AAF-966B-06286F773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388620</xdr:colOff>
      <xdr:row>28</xdr:row>
      <xdr:rowOff>0</xdr:rowOff>
    </xdr:from>
    <xdr:to>
      <xdr:col>5</xdr:col>
      <xdr:colOff>411480</xdr:colOff>
      <xdr:row>36</xdr:row>
      <xdr:rowOff>160020</xdr:rowOff>
    </xdr:to>
    <xdr:graphicFrame macro="">
      <xdr:nvGraphicFramePr>
        <xdr:cNvPr id="32" name="Chart 31">
          <a:extLst>
            <a:ext uri="{FF2B5EF4-FFF2-40B4-BE49-F238E27FC236}">
              <a16:creationId xmlns:a16="http://schemas.microsoft.com/office/drawing/2014/main" id="{2B6F09EA-DCEA-4E9B-8B44-3030F74A2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525780</xdr:colOff>
      <xdr:row>5</xdr:row>
      <xdr:rowOff>30480</xdr:rowOff>
    </xdr:from>
    <xdr:to>
      <xdr:col>8</xdr:col>
      <xdr:colOff>236220</xdr:colOff>
      <xdr:row>11</xdr:row>
      <xdr:rowOff>121920</xdr:rowOff>
    </xdr:to>
    <xdr:grpSp>
      <xdr:nvGrpSpPr>
        <xdr:cNvPr id="35" name="Group 34">
          <a:extLst>
            <a:ext uri="{FF2B5EF4-FFF2-40B4-BE49-F238E27FC236}">
              <a16:creationId xmlns:a16="http://schemas.microsoft.com/office/drawing/2014/main" id="{472D8A13-ECA7-BE9F-DA6D-3C11B55FF415}"/>
            </a:ext>
          </a:extLst>
        </xdr:cNvPr>
        <xdr:cNvGrpSpPr/>
      </xdr:nvGrpSpPr>
      <xdr:grpSpPr>
        <a:xfrm>
          <a:off x="3979901" y="920178"/>
          <a:ext cx="1782912" cy="1159077"/>
          <a:chOff x="3573780" y="944880"/>
          <a:chExt cx="1539240" cy="1188720"/>
        </a:xfrm>
      </xdr:grpSpPr>
      <xdr:sp macro="" textlink="">
        <xdr:nvSpPr>
          <xdr:cNvPr id="17" name="Rectangle: Rounded Corners 16">
            <a:extLst>
              <a:ext uri="{FF2B5EF4-FFF2-40B4-BE49-F238E27FC236}">
                <a16:creationId xmlns:a16="http://schemas.microsoft.com/office/drawing/2014/main" id="{5B5E5070-68BC-4DE8-A12E-836AE2C8B66B}"/>
              </a:ext>
            </a:extLst>
          </xdr:cNvPr>
          <xdr:cNvSpPr/>
        </xdr:nvSpPr>
        <xdr:spPr>
          <a:xfrm>
            <a:off x="3611880" y="944880"/>
            <a:ext cx="1463040" cy="1188720"/>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TextBox 32">
            <a:extLst>
              <a:ext uri="{FF2B5EF4-FFF2-40B4-BE49-F238E27FC236}">
                <a16:creationId xmlns:a16="http://schemas.microsoft.com/office/drawing/2014/main" id="{1405CB1C-E4EA-0AFA-AC78-23573AA2C464}"/>
              </a:ext>
            </a:extLst>
          </xdr:cNvPr>
          <xdr:cNvSpPr txBox="1"/>
        </xdr:nvSpPr>
        <xdr:spPr>
          <a:xfrm>
            <a:off x="3573780" y="1066800"/>
            <a:ext cx="15392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rgbClr val="002060"/>
                </a:solidFill>
              </a:rPr>
              <a:t>Total Campaigns</a:t>
            </a:r>
          </a:p>
        </xdr:txBody>
      </xdr:sp>
      <xdr:sp macro="" textlink="Pivot_table!T21">
        <xdr:nvSpPr>
          <xdr:cNvPr id="34" name="TextBox 33">
            <a:extLst>
              <a:ext uri="{FF2B5EF4-FFF2-40B4-BE49-F238E27FC236}">
                <a16:creationId xmlns:a16="http://schemas.microsoft.com/office/drawing/2014/main" id="{9AEEBD73-25CE-0F8C-8336-0B614640ECFE}"/>
              </a:ext>
            </a:extLst>
          </xdr:cNvPr>
          <xdr:cNvSpPr txBox="1"/>
        </xdr:nvSpPr>
        <xdr:spPr>
          <a:xfrm>
            <a:off x="3836670" y="1554480"/>
            <a:ext cx="101346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5AF9A3-5DA0-4229-A54D-1914F3842FB5}" type="TxLink">
              <a:rPr lang="en-US" sz="2800" b="1" i="0" u="none" strike="noStrike">
                <a:solidFill>
                  <a:srgbClr val="002060"/>
                </a:solidFill>
                <a:latin typeface="Aptos Narrow"/>
              </a:rPr>
              <a:pPr algn="ctr"/>
              <a:t>2000</a:t>
            </a:fld>
            <a:endParaRPr lang="en-US" sz="2800" b="1">
              <a:solidFill>
                <a:srgbClr val="002060"/>
              </a:solidFill>
            </a:endParaRPr>
          </a:p>
        </xdr:txBody>
      </xdr:sp>
    </xdr:grpSp>
    <xdr:clientData/>
  </xdr:twoCellAnchor>
  <xdr:twoCellAnchor>
    <xdr:from>
      <xdr:col>0</xdr:col>
      <xdr:colOff>533400</xdr:colOff>
      <xdr:row>4</xdr:row>
      <xdr:rowOff>129540</xdr:rowOff>
    </xdr:from>
    <xdr:to>
      <xdr:col>5</xdr:col>
      <xdr:colOff>502920</xdr:colOff>
      <xdr:row>11</xdr:row>
      <xdr:rowOff>30480</xdr:rowOff>
    </xdr:to>
    <xdr:grpSp>
      <xdr:nvGrpSpPr>
        <xdr:cNvPr id="37" name="Group 36">
          <a:extLst>
            <a:ext uri="{FF2B5EF4-FFF2-40B4-BE49-F238E27FC236}">
              <a16:creationId xmlns:a16="http://schemas.microsoft.com/office/drawing/2014/main" id="{7C3AE905-AAC9-C0A1-90AB-0942B99FC224}"/>
            </a:ext>
          </a:extLst>
        </xdr:cNvPr>
        <xdr:cNvGrpSpPr/>
      </xdr:nvGrpSpPr>
      <xdr:grpSpPr>
        <a:xfrm>
          <a:off x="533400" y="841298"/>
          <a:ext cx="3423641" cy="1146517"/>
          <a:chOff x="533400" y="861060"/>
          <a:chExt cx="3017520" cy="1181100"/>
        </a:xfrm>
      </xdr:grpSpPr>
      <xdr:sp macro="" textlink="">
        <xdr:nvSpPr>
          <xdr:cNvPr id="15" name="Rectangle: Rounded Corners 14">
            <a:extLst>
              <a:ext uri="{FF2B5EF4-FFF2-40B4-BE49-F238E27FC236}">
                <a16:creationId xmlns:a16="http://schemas.microsoft.com/office/drawing/2014/main" id="{F1B98F5E-ECF7-48FB-83E7-0FC765E07A3C}"/>
              </a:ext>
            </a:extLst>
          </xdr:cNvPr>
          <xdr:cNvSpPr/>
        </xdr:nvSpPr>
        <xdr:spPr>
          <a:xfrm>
            <a:off x="533400" y="861060"/>
            <a:ext cx="3017520" cy="1181100"/>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6" name="Campaign_Type">
                <a:extLst>
                  <a:ext uri="{FF2B5EF4-FFF2-40B4-BE49-F238E27FC236}">
                    <a16:creationId xmlns:a16="http://schemas.microsoft.com/office/drawing/2014/main" id="{2B727F18-8776-449E-AA11-62D5BC7092AF}"/>
                  </a:ext>
                </a:extLst>
              </xdr:cNvPr>
              <xdr:cNvGraphicFramePr/>
            </xdr:nvGraphicFramePr>
            <xdr:xfrm>
              <a:off x="590550" y="922019"/>
              <a:ext cx="2903220" cy="1066801"/>
            </xdr:xfrm>
            <a:graphic>
              <a:graphicData uri="http://schemas.microsoft.com/office/drawing/2010/slicer">
                <sle:slicer xmlns:sle="http://schemas.microsoft.com/office/drawing/2010/slicer" name="Campaign_Type"/>
              </a:graphicData>
            </a:graphic>
          </xdr:graphicFrame>
        </mc:Choice>
        <mc:Fallback xmlns="">
          <xdr:sp macro="" textlink="">
            <xdr:nvSpPr>
              <xdr:cNvPr id="0" name=""/>
              <xdr:cNvSpPr>
                <a:spLocks noTextEdit="1"/>
              </xdr:cNvSpPr>
            </xdr:nvSpPr>
            <xdr:spPr>
              <a:xfrm>
                <a:off x="590550" y="922019"/>
                <a:ext cx="2903220" cy="1066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8</xdr:col>
      <xdr:colOff>352044</xdr:colOff>
      <xdr:row>5</xdr:row>
      <xdr:rowOff>30480</xdr:rowOff>
    </xdr:from>
    <xdr:to>
      <xdr:col>10</xdr:col>
      <xdr:colOff>605403</xdr:colOff>
      <xdr:row>11</xdr:row>
      <xdr:rowOff>121920</xdr:rowOff>
    </xdr:to>
    <xdr:grpSp>
      <xdr:nvGrpSpPr>
        <xdr:cNvPr id="9" name="Group 8">
          <a:extLst>
            <a:ext uri="{FF2B5EF4-FFF2-40B4-BE49-F238E27FC236}">
              <a16:creationId xmlns:a16="http://schemas.microsoft.com/office/drawing/2014/main" id="{B3FF5D21-4981-89B2-97F5-CF3C6B7C36F7}"/>
            </a:ext>
          </a:extLst>
        </xdr:cNvPr>
        <xdr:cNvGrpSpPr/>
      </xdr:nvGrpSpPr>
      <xdr:grpSpPr>
        <a:xfrm>
          <a:off x="5878637" y="920178"/>
          <a:ext cx="1635008" cy="1159077"/>
          <a:chOff x="5841027" y="918404"/>
          <a:chExt cx="1625605" cy="1156948"/>
        </a:xfrm>
      </xdr:grpSpPr>
      <xdr:sp macro="" textlink="">
        <xdr:nvSpPr>
          <xdr:cNvPr id="16" name="Rectangle: Rounded Corners 15">
            <a:extLst>
              <a:ext uri="{FF2B5EF4-FFF2-40B4-BE49-F238E27FC236}">
                <a16:creationId xmlns:a16="http://schemas.microsoft.com/office/drawing/2014/main" id="{2227F6CB-1C96-4017-AADB-1EAFC28F165E}"/>
              </a:ext>
            </a:extLst>
          </xdr:cNvPr>
          <xdr:cNvSpPr/>
        </xdr:nvSpPr>
        <xdr:spPr>
          <a:xfrm>
            <a:off x="5841027" y="918404"/>
            <a:ext cx="1616086" cy="1156948"/>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table!$V$21">
        <xdr:nvSpPr>
          <xdr:cNvPr id="2" name="TextBox 1">
            <a:extLst>
              <a:ext uri="{FF2B5EF4-FFF2-40B4-BE49-F238E27FC236}">
                <a16:creationId xmlns:a16="http://schemas.microsoft.com/office/drawing/2014/main" id="{0CDC7F34-F3A6-E7E3-CFC3-A0FFCA47C28B}"/>
              </a:ext>
            </a:extLst>
          </xdr:cNvPr>
          <xdr:cNvSpPr txBox="1"/>
        </xdr:nvSpPr>
        <xdr:spPr>
          <a:xfrm>
            <a:off x="5844153" y="1509470"/>
            <a:ext cx="1622479" cy="452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2CC321-7F89-4CDA-B141-53B1F0640C6C}" type="TxLink">
              <a:rPr lang="en-US" sz="2400" b="1" i="0" u="none" strike="noStrike">
                <a:solidFill>
                  <a:schemeClr val="tx2"/>
                </a:solidFill>
                <a:latin typeface="Aptos Narrow"/>
              </a:rPr>
              <a:pPr/>
              <a:t> $ 13.33M</a:t>
            </a:fld>
            <a:endParaRPr lang="en-US" sz="2400" b="1">
              <a:solidFill>
                <a:schemeClr val="tx2"/>
              </a:solidFill>
            </a:endParaRPr>
          </a:p>
        </xdr:txBody>
      </xdr:sp>
      <xdr:sp macro="" textlink="">
        <xdr:nvSpPr>
          <xdr:cNvPr id="3" name="TextBox 2">
            <a:extLst>
              <a:ext uri="{FF2B5EF4-FFF2-40B4-BE49-F238E27FC236}">
                <a16:creationId xmlns:a16="http://schemas.microsoft.com/office/drawing/2014/main" id="{7A8B335F-734C-281B-2E04-AD0C33618CC3}"/>
              </a:ext>
            </a:extLst>
          </xdr:cNvPr>
          <xdr:cNvSpPr txBox="1"/>
        </xdr:nvSpPr>
        <xdr:spPr>
          <a:xfrm>
            <a:off x="5949089" y="1017076"/>
            <a:ext cx="1420678" cy="371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tx2"/>
                </a:solidFill>
              </a:rPr>
              <a:t>Total</a:t>
            </a:r>
            <a:r>
              <a:rPr lang="en-US" sz="1800" b="1" baseline="0">
                <a:solidFill>
                  <a:schemeClr val="tx2"/>
                </a:solidFill>
              </a:rPr>
              <a:t> ROI</a:t>
            </a:r>
            <a:endParaRPr lang="en-US" sz="1800" b="1">
              <a:solidFill>
                <a:schemeClr val="tx2"/>
              </a:solidFill>
            </a:endParaRPr>
          </a:p>
        </xdr:txBody>
      </xdr:sp>
    </xdr:grpSp>
    <xdr:clientData/>
  </xdr:twoCellAnchor>
  <xdr:oneCellAnchor>
    <xdr:from>
      <xdr:col>12</xdr:col>
      <xdr:colOff>411673</xdr:colOff>
      <xdr:row>15</xdr:row>
      <xdr:rowOff>161441</xdr:rowOff>
    </xdr:from>
    <xdr:ext cx="184731" cy="264560"/>
    <xdr:sp macro="" textlink="">
      <xdr:nvSpPr>
        <xdr:cNvPr id="4" name="TextBox 3">
          <a:extLst>
            <a:ext uri="{FF2B5EF4-FFF2-40B4-BE49-F238E27FC236}">
              <a16:creationId xmlns:a16="http://schemas.microsoft.com/office/drawing/2014/main" id="{570883E6-7406-89E6-FA8B-4CCC1DA939CE}"/>
            </a:ext>
          </a:extLst>
        </xdr:cNvPr>
        <xdr:cNvSpPr txBox="1"/>
      </xdr:nvSpPr>
      <xdr:spPr>
        <a:xfrm>
          <a:off x="8645148" y="282521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11</xdr:col>
      <xdr:colOff>124968</xdr:colOff>
      <xdr:row>5</xdr:row>
      <xdr:rowOff>30480</xdr:rowOff>
    </xdr:from>
    <xdr:to>
      <xdr:col>13</xdr:col>
      <xdr:colOff>368808</xdr:colOff>
      <xdr:row>11</xdr:row>
      <xdr:rowOff>121920</xdr:rowOff>
    </xdr:to>
    <xdr:grpSp>
      <xdr:nvGrpSpPr>
        <xdr:cNvPr id="40" name="Group 39">
          <a:extLst>
            <a:ext uri="{FF2B5EF4-FFF2-40B4-BE49-F238E27FC236}">
              <a16:creationId xmlns:a16="http://schemas.microsoft.com/office/drawing/2014/main" id="{02AAF500-907F-F8F1-DDEB-769F377B4FE3}"/>
            </a:ext>
          </a:extLst>
        </xdr:cNvPr>
        <xdr:cNvGrpSpPr/>
      </xdr:nvGrpSpPr>
      <xdr:grpSpPr>
        <a:xfrm>
          <a:off x="7724034" y="920178"/>
          <a:ext cx="1625488" cy="1159077"/>
          <a:chOff x="7672320" y="918404"/>
          <a:chExt cx="1616085" cy="1156948"/>
        </a:xfrm>
      </xdr:grpSpPr>
      <xdr:sp macro="" textlink="">
        <xdr:nvSpPr>
          <xdr:cNvPr id="18" name="Rectangle: Rounded Corners 17">
            <a:extLst>
              <a:ext uri="{FF2B5EF4-FFF2-40B4-BE49-F238E27FC236}">
                <a16:creationId xmlns:a16="http://schemas.microsoft.com/office/drawing/2014/main" id="{25F379E5-7241-4021-B6E8-86A6D6854863}"/>
              </a:ext>
            </a:extLst>
          </xdr:cNvPr>
          <xdr:cNvSpPr/>
        </xdr:nvSpPr>
        <xdr:spPr>
          <a:xfrm>
            <a:off x="7672320" y="918404"/>
            <a:ext cx="1616085" cy="1156948"/>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table!M26">
        <xdr:nvSpPr>
          <xdr:cNvPr id="10" name="TextBox 9">
            <a:extLst>
              <a:ext uri="{FF2B5EF4-FFF2-40B4-BE49-F238E27FC236}">
                <a16:creationId xmlns:a16="http://schemas.microsoft.com/office/drawing/2014/main" id="{59F6EC0F-B0E0-2F51-E997-72394159474A}"/>
              </a:ext>
            </a:extLst>
          </xdr:cNvPr>
          <xdr:cNvSpPr txBox="1"/>
        </xdr:nvSpPr>
        <xdr:spPr>
          <a:xfrm>
            <a:off x="7708791" y="1477182"/>
            <a:ext cx="1461040" cy="419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EE9FFDD-61C5-45C7-A4A5-BEF70AFC516F}" type="TxLink">
              <a:rPr lang="en-US" sz="2800" b="1" i="0" u="none" strike="noStrike">
                <a:solidFill>
                  <a:srgbClr val="000000"/>
                </a:solidFill>
                <a:latin typeface="Aptos Narrow"/>
              </a:rPr>
              <a:pPr algn="ctr"/>
              <a:t>Fall</a:t>
            </a:fld>
            <a:endParaRPr lang="en-US" sz="2800" b="1"/>
          </a:p>
        </xdr:txBody>
      </xdr:sp>
      <xdr:sp macro="" textlink="">
        <xdr:nvSpPr>
          <xdr:cNvPr id="20" name="TextBox 19">
            <a:extLst>
              <a:ext uri="{FF2B5EF4-FFF2-40B4-BE49-F238E27FC236}">
                <a16:creationId xmlns:a16="http://schemas.microsoft.com/office/drawing/2014/main" id="{50541EA1-DF85-915D-552C-029C715AD941}"/>
              </a:ext>
            </a:extLst>
          </xdr:cNvPr>
          <xdr:cNvSpPr txBox="1"/>
        </xdr:nvSpPr>
        <xdr:spPr>
          <a:xfrm>
            <a:off x="7716864" y="960571"/>
            <a:ext cx="1517543" cy="62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a:t>Top Campaign Season</a:t>
            </a:r>
          </a:p>
        </xdr:txBody>
      </xdr:sp>
    </xdr:grpSp>
    <xdr:clientData/>
  </xdr:twoCellAnchor>
  <xdr:twoCellAnchor>
    <xdr:from>
      <xdr:col>13</xdr:col>
      <xdr:colOff>427818</xdr:colOff>
      <xdr:row>4</xdr:row>
      <xdr:rowOff>161442</xdr:rowOff>
    </xdr:from>
    <xdr:to>
      <xdr:col>16</xdr:col>
      <xdr:colOff>185656</xdr:colOff>
      <xdr:row>11</xdr:row>
      <xdr:rowOff>121920</xdr:rowOff>
    </xdr:to>
    <xdr:grpSp>
      <xdr:nvGrpSpPr>
        <xdr:cNvPr id="39" name="Group 38">
          <a:extLst>
            <a:ext uri="{FF2B5EF4-FFF2-40B4-BE49-F238E27FC236}">
              <a16:creationId xmlns:a16="http://schemas.microsoft.com/office/drawing/2014/main" id="{A5AAB20F-648E-85A6-F289-93F71B436FCC}"/>
            </a:ext>
          </a:extLst>
        </xdr:cNvPr>
        <xdr:cNvGrpSpPr/>
      </xdr:nvGrpSpPr>
      <xdr:grpSpPr>
        <a:xfrm>
          <a:off x="9408532" y="873200"/>
          <a:ext cx="1830311" cy="1206055"/>
          <a:chOff x="9347415" y="871781"/>
          <a:chExt cx="1816207" cy="1203571"/>
        </a:xfrm>
      </xdr:grpSpPr>
      <xdr:sp macro="" textlink="">
        <xdr:nvSpPr>
          <xdr:cNvPr id="19" name="Rectangle: Rounded Corners 18">
            <a:extLst>
              <a:ext uri="{FF2B5EF4-FFF2-40B4-BE49-F238E27FC236}">
                <a16:creationId xmlns:a16="http://schemas.microsoft.com/office/drawing/2014/main" id="{7106E5F4-E711-406E-BEA9-ADD05FE2AEE3}"/>
              </a:ext>
            </a:extLst>
          </xdr:cNvPr>
          <xdr:cNvSpPr/>
        </xdr:nvSpPr>
        <xdr:spPr>
          <a:xfrm>
            <a:off x="9427089" y="918404"/>
            <a:ext cx="1692609" cy="1156948"/>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table!L16">
        <xdr:nvSpPr>
          <xdr:cNvPr id="21" name="TextBox 20">
            <a:extLst>
              <a:ext uri="{FF2B5EF4-FFF2-40B4-BE49-F238E27FC236}">
                <a16:creationId xmlns:a16="http://schemas.microsoft.com/office/drawing/2014/main" id="{FC082BF0-01E0-8320-033F-02A53C99BA97}"/>
              </a:ext>
            </a:extLst>
          </xdr:cNvPr>
          <xdr:cNvSpPr txBox="1"/>
        </xdr:nvSpPr>
        <xdr:spPr>
          <a:xfrm>
            <a:off x="9557288" y="1549830"/>
            <a:ext cx="1404534" cy="38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234B3A-46AE-4713-9FE0-29C53A4A2C1B}" type="TxLink">
              <a:rPr lang="en-US" sz="2400" b="1" i="0" u="none" strike="noStrike">
                <a:solidFill>
                  <a:srgbClr val="000000"/>
                </a:solidFill>
                <a:latin typeface="Aptos Narrow"/>
              </a:rPr>
              <a:pPr algn="ctr"/>
              <a:t>Facebook</a:t>
            </a:fld>
            <a:endParaRPr lang="en-US" sz="2400" b="1"/>
          </a:p>
        </xdr:txBody>
      </xdr:sp>
      <xdr:sp macro="" textlink="">
        <xdr:nvSpPr>
          <xdr:cNvPr id="38" name="TextBox 37">
            <a:extLst>
              <a:ext uri="{FF2B5EF4-FFF2-40B4-BE49-F238E27FC236}">
                <a16:creationId xmlns:a16="http://schemas.microsoft.com/office/drawing/2014/main" id="{824E0EC0-B49F-435D-41DA-DBCE25B3C506}"/>
              </a:ext>
            </a:extLst>
          </xdr:cNvPr>
          <xdr:cNvSpPr txBox="1"/>
        </xdr:nvSpPr>
        <xdr:spPr>
          <a:xfrm>
            <a:off x="9347415" y="871781"/>
            <a:ext cx="1816207" cy="750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tx2"/>
                </a:solidFill>
              </a:rPr>
              <a:t> </a:t>
            </a:r>
            <a:r>
              <a:rPr lang="en-US" sz="1600" b="1">
                <a:solidFill>
                  <a:schemeClr val="tx2"/>
                </a:solidFill>
              </a:rPr>
              <a:t>Best</a:t>
            </a:r>
            <a:r>
              <a:rPr lang="en-US" sz="1600" b="1" baseline="0">
                <a:solidFill>
                  <a:schemeClr val="tx2"/>
                </a:solidFill>
              </a:rPr>
              <a:t> </a:t>
            </a:r>
            <a:r>
              <a:rPr lang="en-US" sz="1600" b="1">
                <a:solidFill>
                  <a:schemeClr val="tx2"/>
                </a:solidFill>
              </a:rPr>
              <a:t>Conversion Channel</a:t>
            </a:r>
            <a:endParaRPr lang="en-US" sz="2400" b="1">
              <a:solidFill>
                <a:schemeClr val="tx2"/>
              </a:solidFill>
            </a:endParaRPr>
          </a:p>
        </xdr:txBody>
      </xdr:sp>
    </xdr:grpSp>
    <xdr:clientData/>
  </xdr:twoCellAnchor>
  <xdr:twoCellAnchor>
    <xdr:from>
      <xdr:col>16</xdr:col>
      <xdr:colOff>280416</xdr:colOff>
      <xdr:row>5</xdr:row>
      <xdr:rowOff>30480</xdr:rowOff>
    </xdr:from>
    <xdr:to>
      <xdr:col>18</xdr:col>
      <xdr:colOff>524256</xdr:colOff>
      <xdr:row>11</xdr:row>
      <xdr:rowOff>121920</xdr:rowOff>
    </xdr:to>
    <xdr:grpSp>
      <xdr:nvGrpSpPr>
        <xdr:cNvPr id="46" name="Group 45">
          <a:extLst>
            <a:ext uri="{FF2B5EF4-FFF2-40B4-BE49-F238E27FC236}">
              <a16:creationId xmlns:a16="http://schemas.microsoft.com/office/drawing/2014/main" id="{340E36A0-0DC6-8A5A-7E92-89D29BD5F891}"/>
            </a:ext>
          </a:extLst>
        </xdr:cNvPr>
        <xdr:cNvGrpSpPr/>
      </xdr:nvGrpSpPr>
      <xdr:grpSpPr>
        <a:xfrm>
          <a:off x="11333603" y="920178"/>
          <a:ext cx="1625488" cy="1159077"/>
          <a:chOff x="11258382" y="918404"/>
          <a:chExt cx="1616086" cy="1156948"/>
        </a:xfrm>
      </xdr:grpSpPr>
      <xdr:sp macro="" textlink="">
        <xdr:nvSpPr>
          <xdr:cNvPr id="5" name="Rectangle: Rounded Corners 4">
            <a:extLst>
              <a:ext uri="{FF2B5EF4-FFF2-40B4-BE49-F238E27FC236}">
                <a16:creationId xmlns:a16="http://schemas.microsoft.com/office/drawing/2014/main" id="{88F1FE09-D7E3-F345-61F9-7730BC4E7C44}"/>
              </a:ext>
            </a:extLst>
          </xdr:cNvPr>
          <xdr:cNvSpPr/>
        </xdr:nvSpPr>
        <xdr:spPr>
          <a:xfrm>
            <a:off x="11258382" y="918404"/>
            <a:ext cx="1616086" cy="1156948"/>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table!$H$16">
        <xdr:nvSpPr>
          <xdr:cNvPr id="41" name="TextBox 40">
            <a:extLst>
              <a:ext uri="{FF2B5EF4-FFF2-40B4-BE49-F238E27FC236}">
                <a16:creationId xmlns:a16="http://schemas.microsoft.com/office/drawing/2014/main" id="{8DFF1168-9DB6-2B36-391A-2456B13D43D7}"/>
              </a:ext>
            </a:extLst>
          </xdr:cNvPr>
          <xdr:cNvSpPr txBox="1"/>
        </xdr:nvSpPr>
        <xdr:spPr>
          <a:xfrm>
            <a:off x="11349280" y="1614408"/>
            <a:ext cx="1444894" cy="347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FAE6C9-3CED-4535-A3A7-5936A61C7745}" type="TxLink">
              <a:rPr lang="en-US" sz="2000" b="1" i="0" u="none" strike="noStrike">
                <a:solidFill>
                  <a:srgbClr val="000000"/>
                </a:solidFill>
                <a:latin typeface="Aptos Narrow"/>
              </a:rPr>
              <a:pPr algn="ctr"/>
              <a:t>1182</a:t>
            </a:fld>
            <a:endParaRPr lang="en-US" sz="2000" b="1"/>
          </a:p>
        </xdr:txBody>
      </xdr:sp>
      <xdr:sp macro="" textlink="">
        <xdr:nvSpPr>
          <xdr:cNvPr id="42" name="TextBox 41">
            <a:extLst>
              <a:ext uri="{FF2B5EF4-FFF2-40B4-BE49-F238E27FC236}">
                <a16:creationId xmlns:a16="http://schemas.microsoft.com/office/drawing/2014/main" id="{23D1C009-B87D-19B8-3C65-7495AE176851}"/>
              </a:ext>
            </a:extLst>
          </xdr:cNvPr>
          <xdr:cNvSpPr txBox="1"/>
        </xdr:nvSpPr>
        <xdr:spPr>
          <a:xfrm>
            <a:off x="11268559" y="976716"/>
            <a:ext cx="1525615" cy="661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 Active</a:t>
            </a:r>
            <a:r>
              <a:rPr lang="en-US" sz="1600" b="1" baseline="0"/>
              <a:t> Campaigns</a:t>
            </a:r>
            <a:endParaRPr lang="en-US" sz="1600" b="1"/>
          </a:p>
        </xdr:txBody>
      </xdr:sp>
    </xdr:grpSp>
    <xdr:clientData/>
  </xdr:twoCellAnchor>
  <xdr:twoCellAnchor>
    <xdr:from>
      <xdr:col>19</xdr:col>
      <xdr:colOff>32288</xdr:colOff>
      <xdr:row>5</xdr:row>
      <xdr:rowOff>30480</xdr:rowOff>
    </xdr:from>
    <xdr:to>
      <xdr:col>21</xdr:col>
      <xdr:colOff>355169</xdr:colOff>
      <xdr:row>11</xdr:row>
      <xdr:rowOff>121920</xdr:rowOff>
    </xdr:to>
    <xdr:grpSp>
      <xdr:nvGrpSpPr>
        <xdr:cNvPr id="45" name="Group 44">
          <a:extLst>
            <a:ext uri="{FF2B5EF4-FFF2-40B4-BE49-F238E27FC236}">
              <a16:creationId xmlns:a16="http://schemas.microsoft.com/office/drawing/2014/main" id="{57EEE7CC-57FC-F289-ACF5-EE189D9228E1}"/>
            </a:ext>
          </a:extLst>
        </xdr:cNvPr>
        <xdr:cNvGrpSpPr/>
      </xdr:nvGrpSpPr>
      <xdr:grpSpPr>
        <a:xfrm>
          <a:off x="13157947" y="920178"/>
          <a:ext cx="1704530" cy="1159077"/>
          <a:chOff x="13068623" y="918404"/>
          <a:chExt cx="1695127" cy="1156948"/>
        </a:xfrm>
      </xdr:grpSpPr>
      <xdr:sp macro="" textlink="">
        <xdr:nvSpPr>
          <xdr:cNvPr id="24" name="Rectangle: Rounded Corners 23">
            <a:extLst>
              <a:ext uri="{FF2B5EF4-FFF2-40B4-BE49-F238E27FC236}">
                <a16:creationId xmlns:a16="http://schemas.microsoft.com/office/drawing/2014/main" id="{63828594-C8DD-460D-B5AD-8806BF1A53A0}"/>
              </a:ext>
            </a:extLst>
          </xdr:cNvPr>
          <xdr:cNvSpPr/>
        </xdr:nvSpPr>
        <xdr:spPr>
          <a:xfrm>
            <a:off x="13089675" y="918404"/>
            <a:ext cx="1616086" cy="1156948"/>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_table!$M$5">
        <xdr:nvSpPr>
          <xdr:cNvPr id="43" name="TextBox 42">
            <a:extLst>
              <a:ext uri="{FF2B5EF4-FFF2-40B4-BE49-F238E27FC236}">
                <a16:creationId xmlns:a16="http://schemas.microsoft.com/office/drawing/2014/main" id="{A085645A-049A-F28C-AECA-61B1E0D28A8F}"/>
              </a:ext>
            </a:extLst>
          </xdr:cNvPr>
          <xdr:cNvSpPr txBox="1"/>
        </xdr:nvSpPr>
        <xdr:spPr>
          <a:xfrm>
            <a:off x="13133198" y="1614407"/>
            <a:ext cx="1549832" cy="379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4BD113-8C56-44BB-B071-227E62BCA90D}" type="TxLink">
              <a:rPr lang="en-US" sz="1800" b="1" i="0" u="none" strike="noStrike">
                <a:solidFill>
                  <a:srgbClr val="000000"/>
                </a:solidFill>
                <a:latin typeface="Aptos Narrow"/>
              </a:rPr>
              <a:pPr algn="ctr"/>
              <a:t> $ 25.21M</a:t>
            </a:fld>
            <a:endParaRPr lang="en-US" sz="1800" b="1"/>
          </a:p>
        </xdr:txBody>
      </xdr:sp>
      <xdr:sp macro="" textlink="">
        <xdr:nvSpPr>
          <xdr:cNvPr id="44" name="TextBox 43">
            <a:extLst>
              <a:ext uri="{FF2B5EF4-FFF2-40B4-BE49-F238E27FC236}">
                <a16:creationId xmlns:a16="http://schemas.microsoft.com/office/drawing/2014/main" id="{A903A1AE-CBDC-CF81-AEFF-87162C3F4374}"/>
              </a:ext>
            </a:extLst>
          </xdr:cNvPr>
          <xdr:cNvSpPr txBox="1"/>
        </xdr:nvSpPr>
        <xdr:spPr>
          <a:xfrm>
            <a:off x="13068623" y="936356"/>
            <a:ext cx="1695127" cy="686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Winter</a:t>
            </a:r>
            <a:r>
              <a:rPr lang="en-US" sz="1600" b="1" baseline="0"/>
              <a:t> Impression</a:t>
            </a:r>
            <a:endParaRPr lang="en-US" sz="1600" b="1"/>
          </a:p>
        </xdr:txBody>
      </xdr:sp>
    </xdr:grpSp>
    <xdr:clientData/>
  </xdr:twoCellAnchor>
  <xdr:twoCellAnchor>
    <xdr:from>
      <xdr:col>0</xdr:col>
      <xdr:colOff>533400</xdr:colOff>
      <xdr:row>11</xdr:row>
      <xdr:rowOff>71120</xdr:rowOff>
    </xdr:from>
    <xdr:to>
      <xdr:col>5</xdr:col>
      <xdr:colOff>502920</xdr:colOff>
      <xdr:row>17</xdr:row>
      <xdr:rowOff>48260</xdr:rowOff>
    </xdr:to>
    <xdr:grpSp>
      <xdr:nvGrpSpPr>
        <xdr:cNvPr id="48" name="Group 47">
          <a:extLst>
            <a:ext uri="{FF2B5EF4-FFF2-40B4-BE49-F238E27FC236}">
              <a16:creationId xmlns:a16="http://schemas.microsoft.com/office/drawing/2014/main" id="{76515D3B-DD68-25BD-613D-ACB0C8E7471F}"/>
            </a:ext>
          </a:extLst>
        </xdr:cNvPr>
        <xdr:cNvGrpSpPr/>
      </xdr:nvGrpSpPr>
      <xdr:grpSpPr>
        <a:xfrm>
          <a:off x="533400" y="2028455"/>
          <a:ext cx="3423641" cy="1044778"/>
          <a:chOff x="533400" y="2115510"/>
          <a:chExt cx="3396197" cy="1092262"/>
        </a:xfrm>
      </xdr:grpSpPr>
      <xdr:sp macro="" textlink="">
        <xdr:nvSpPr>
          <xdr:cNvPr id="14" name="Rectangle: Rounded Corners 13">
            <a:extLst>
              <a:ext uri="{FF2B5EF4-FFF2-40B4-BE49-F238E27FC236}">
                <a16:creationId xmlns:a16="http://schemas.microsoft.com/office/drawing/2014/main" id="{51ADB38B-746E-4D2B-A716-C67D0DB6E4F7}"/>
              </a:ext>
            </a:extLst>
          </xdr:cNvPr>
          <xdr:cNvSpPr/>
        </xdr:nvSpPr>
        <xdr:spPr>
          <a:xfrm>
            <a:off x="533400" y="2115510"/>
            <a:ext cx="3396197" cy="1092262"/>
          </a:xfrm>
          <a:prstGeom prst="roundRect">
            <a:avLst>
              <a:gd name="adj" fmla="val 7806"/>
            </a:avLst>
          </a:prstGeom>
          <a:solidFill>
            <a:schemeClr val="bg2">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47" name="Active">
                <a:extLst>
                  <a:ext uri="{FF2B5EF4-FFF2-40B4-BE49-F238E27FC236}">
                    <a16:creationId xmlns:a16="http://schemas.microsoft.com/office/drawing/2014/main" id="{CD15BD13-FAD9-4751-86CD-5FC16CBCA659}"/>
                  </a:ext>
                </a:extLst>
              </xdr:cNvPr>
              <xdr:cNvGraphicFramePr/>
            </xdr:nvGraphicFramePr>
            <xdr:xfrm>
              <a:off x="637943" y="2187343"/>
              <a:ext cx="3148826" cy="914090"/>
            </xdr:xfrm>
            <a:graphic>
              <a:graphicData uri="http://schemas.microsoft.com/office/drawing/2010/slicer">
                <sle:slicer xmlns:sle="http://schemas.microsoft.com/office/drawing/2010/slicer" name="Active"/>
              </a:graphicData>
            </a:graphic>
          </xdr:graphicFrame>
        </mc:Choice>
        <mc:Fallback xmlns="">
          <xdr:sp macro="" textlink="">
            <xdr:nvSpPr>
              <xdr:cNvPr id="0" name=""/>
              <xdr:cNvSpPr>
                <a:spLocks noTextEdit="1"/>
              </xdr:cNvSpPr>
            </xdr:nvSpPr>
            <xdr:spPr>
              <a:xfrm>
                <a:off x="637943" y="2187343"/>
                <a:ext cx="3148826" cy="914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2.453529629631" createdVersion="8" refreshedVersion="8" minRefreshableVersion="3" recordCount="2000" xr:uid="{AA1A8524-2979-4CB6-B5A8-743748DC7382}">
  <cacheSource type="worksheet">
    <worksheetSource name="marketing_data"/>
  </cacheSource>
  <cacheFields count="21">
    <cacheField name=" Campaign_ID " numFmtId="0">
      <sharedItems/>
    </cacheField>
    <cacheField name="Campaign_Name" numFmtId="0">
      <sharedItems/>
    </cacheField>
    <cacheField name="Start_date" numFmtId="14">
      <sharedItems containsSemiMixedTypes="0" containsNonDate="0" containsDate="1" containsString="0" minDate="2023-01-01T00:00:00" maxDate="2024-01-02T00:00:00"/>
    </cacheField>
    <cacheField name="Month" numFmtId="0">
      <sharedItems count="12">
        <s v="Nov"/>
        <s v="May"/>
        <s v="Dec"/>
        <s v="Oct"/>
        <s v="Apr"/>
        <s v="Mar"/>
        <s v="Feb"/>
        <s v="Aug"/>
        <s v="Jul"/>
        <s v="Jun"/>
        <s v="Sep"/>
        <s v="Jan"/>
      </sharedItems>
    </cacheField>
    <cacheField name="Cleaned End_date" numFmtId="14">
      <sharedItems containsSemiMixedTypes="0" containsNonDate="0" containsDate="1" containsString="0" minDate="2023-01-05T00:00:00" maxDate="2024-01-31T00:00:00"/>
    </cacheField>
    <cacheField name="Channel" numFmtId="0">
      <sharedItems count="5">
        <s v="TikTok"/>
        <s v="Facebook"/>
        <s v="Email"/>
        <s v="Instagram"/>
        <s v="Google Ads"/>
      </sharedItems>
    </cacheField>
    <cacheField name="Impressions" numFmtId="0">
      <sharedItems containsSemiMixedTypes="0" containsString="0" containsNumber="1" containsInteger="1" minValue="1055" maxValue="99875"/>
    </cacheField>
    <cacheField name="Clicks " numFmtId="0">
      <sharedItems containsSemiMixedTypes="0" containsString="0" containsNumber="1" containsInteger="1" minValue="11" maxValue="4812"/>
    </cacheField>
    <cacheField name="Conversions" numFmtId="0">
      <sharedItems containsString="0" containsBlank="1" containsNumber="1" containsInteger="1" minValue="0" maxValue="943"/>
    </cacheField>
    <cacheField name="Active" numFmtId="0">
      <sharedItems count="2">
        <b v="1"/>
        <b v="0"/>
      </sharedItems>
    </cacheField>
    <cacheField name="Cleaned Spend" numFmtId="2">
      <sharedItems containsSemiMixedTypes="0" containsString="0" containsNumber="1" minValue="329.13249999999999" maxValue="3631.7599999999998" count="1470">
        <n v="329.13249999999999"/>
        <n v="1323.39"/>
        <n v="2180.38"/>
        <n v="2697.03"/>
        <n v="1232.76"/>
        <n v="865.7"/>
        <n v="1046.18"/>
        <n v="1623.56"/>
        <n v="523.13"/>
        <n v="1267.69"/>
        <n v="3631.7599999999998"/>
        <n v="1464.72"/>
        <n v="1552.9"/>
        <n v="3147.37"/>
        <n v="2933.59"/>
        <n v="353.99"/>
        <n v="1975.49"/>
        <n v="2428.4"/>
        <n v="1793.94"/>
        <n v="1293.01"/>
        <n v="1219.24"/>
        <n v="567.39"/>
        <n v="3514.38"/>
        <n v="2759.35"/>
        <n v="2393.02"/>
        <n v="1233.98"/>
        <n v="2546.46"/>
        <n v="2136.63"/>
        <n v="1118.1500000000001"/>
        <n v="418.96"/>
        <n v="973.67"/>
        <n v="670.24"/>
        <n v="531.19000000000005"/>
        <n v="2341.65"/>
        <n v="2928.86"/>
        <n v="1507.73"/>
        <n v="1547.16"/>
        <n v="640.98"/>
        <n v="919.99"/>
        <n v="563.30999999999995"/>
        <n v="3219.35"/>
        <n v="428.93"/>
        <n v="2634.34"/>
        <n v="3149.01"/>
        <n v="663.56"/>
        <n v="3502.47"/>
        <n v="1734.66"/>
        <n v="2360.81"/>
        <n v="2420.9499999999998"/>
        <n v="1772.36"/>
        <n v="839.07"/>
        <n v="2090.7399999999998"/>
        <n v="1808.48"/>
        <n v="2132.84"/>
        <n v="577.71"/>
        <n v="2581.4499999999998"/>
        <n v="1795.28"/>
        <n v="1748.61"/>
        <n v="2803.46"/>
        <n v="533.98"/>
        <n v="2298.8000000000002"/>
        <n v="1984.85"/>
        <n v="1787.74"/>
        <n v="1938.54"/>
        <n v="582.26"/>
        <n v="624.55999999999995"/>
        <n v="1061.2"/>
        <n v="497.4"/>
        <n v="1411.43"/>
        <n v="945"/>
        <n v="2301.6999999999998"/>
        <n v="950.5"/>
        <n v="850.8"/>
        <n v="3433"/>
        <n v="2471.4899999999998"/>
        <n v="2212.46"/>
        <n v="430.25"/>
        <n v="714.23"/>
        <n v="573.89"/>
        <n v="691.43"/>
        <n v="1582.97"/>
        <n v="1280.98"/>
        <n v="1201.8599999999999"/>
        <n v="1424.92"/>
        <n v="338.61"/>
        <n v="1369.32"/>
        <n v="1669.23"/>
        <n v="1854.54"/>
        <n v="1250.71"/>
        <n v="3535.88"/>
        <n v="2637.77"/>
        <n v="2348.14"/>
        <n v="1272.82"/>
        <n v="2579.0500000000002"/>
        <n v="444.9"/>
        <n v="1159.5999999999999"/>
        <n v="989.61"/>
        <n v="2313.94"/>
        <n v="1278.05"/>
        <n v="483.47"/>
        <n v="708.5"/>
        <n v="2926.3"/>
        <n v="1407.54"/>
        <n v="2444.54"/>
        <n v="3072.82"/>
        <n v="1643.35"/>
        <n v="3192.72"/>
        <n v="2350.11"/>
        <n v="1332.27"/>
        <n v="2990.68"/>
        <n v="908.84"/>
        <n v="1688.77"/>
        <n v="912.17"/>
        <n v="854.1"/>
        <n v="1863.31"/>
        <n v="2596.6799999999998"/>
        <n v="1981.44"/>
        <n v="2247.61"/>
        <n v="3137.17"/>
        <n v="2135.17"/>
        <n v="2284.7199999999998"/>
        <n v="1479.92"/>
        <n v="1865.02"/>
        <n v="1525.44"/>
        <n v="868.04"/>
        <n v="2615.5100000000002"/>
        <n v="562.48"/>
        <n v="1974.81"/>
        <n v="701.39"/>
        <n v="1725.78"/>
        <n v="2908.44"/>
        <n v="1379.66"/>
        <n v="1890.33"/>
        <n v="675.28"/>
        <n v="2955.25"/>
        <n v="1009.91"/>
        <n v="1866.9"/>
        <n v="2148.42"/>
        <n v="2284.81"/>
        <n v="364.28"/>
        <n v="2992.62"/>
        <n v="3422.33"/>
        <n v="1467.55"/>
        <n v="944.03"/>
        <n v="517.75"/>
        <n v="1492.88"/>
        <n v="1516.72"/>
        <n v="2564.17"/>
        <n v="1918.24"/>
        <n v="2888.28"/>
        <n v="1037.9100000000001"/>
        <n v="987.1"/>
        <n v="2326.23"/>
        <n v="1426.52"/>
        <n v="802.63"/>
        <n v="2733.66"/>
        <n v="1112.95"/>
        <n v="1094.26"/>
        <n v="364.49"/>
        <n v="2745.62"/>
        <n v="985.25"/>
        <n v="653.23"/>
        <n v="2243.08"/>
        <n v="1395.15"/>
        <n v="2851.02"/>
        <n v="2614.2800000000002"/>
        <n v="1293.58"/>
        <n v="693.6"/>
        <n v="734.78"/>
        <n v="2122.6"/>
        <n v="1346.17"/>
        <n v="2189.31"/>
        <n v="1081.6099999999999"/>
        <n v="2740.82"/>
        <n v="3117.63"/>
        <n v="1342.08"/>
        <n v="1912.13"/>
        <n v="625.45000000000005"/>
        <n v="2032.32"/>
        <n v="393.8"/>
        <n v="1166.69"/>
        <n v="3167.41"/>
        <n v="795.86"/>
        <n v="455.65"/>
        <n v="1325.72"/>
        <n v="1978.28"/>
        <n v="1699.66"/>
        <n v="3001.43"/>
        <n v="649.87"/>
        <n v="1816.85"/>
        <n v="1217.6600000000001"/>
        <n v="506.13"/>
        <n v="3576.14"/>
        <n v="2987.59"/>
        <n v="1151.3499999999999"/>
        <n v="396.04"/>
        <n v="3163.13"/>
        <n v="2060.37"/>
        <n v="896.08"/>
        <n v="1918.21"/>
        <n v="568.45000000000005"/>
        <n v="775.19"/>
        <n v="848.93"/>
        <n v="3139.81"/>
        <n v="833.49"/>
        <n v="1584.67"/>
        <n v="611.53"/>
        <n v="1099.02"/>
        <n v="1245.82"/>
        <n v="2373.98"/>
        <n v="530.28"/>
        <n v="647.24"/>
        <n v="1746.03"/>
        <n v="3393.83"/>
        <n v="1752.66"/>
        <n v="1883.34"/>
        <n v="679.25"/>
        <n v="2203.65"/>
        <n v="2006.8"/>
        <n v="971.96"/>
        <n v="2252.04"/>
        <n v="778.61"/>
        <n v="1654.14"/>
        <n v="606.64"/>
        <n v="2103.4899999999998"/>
        <n v="1623.7"/>
        <n v="1693.83"/>
        <n v="637.58000000000004"/>
        <n v="1327.02"/>
        <n v="1569.27"/>
        <n v="1525"/>
        <n v="557.51"/>
        <n v="738.21"/>
        <n v="2607.2800000000002"/>
        <n v="2046.01"/>
        <n v="1718.69"/>
        <n v="2787.16"/>
        <n v="464.77"/>
        <n v="2076.9699999999998"/>
        <n v="751.9"/>
        <n v="586.97"/>
        <n v="452.14"/>
        <n v="545.34"/>
        <n v="2278.66"/>
        <n v="333.09"/>
        <n v="1242.6300000000001"/>
        <n v="1390.78"/>
        <n v="2594.29"/>
        <n v="1427.52"/>
        <n v="2043.16"/>
        <n v="2629.55"/>
        <n v="1384.81"/>
        <n v="1475.53"/>
        <n v="1166.9100000000001"/>
        <n v="603.02"/>
        <n v="638.70000000000005"/>
        <n v="2795"/>
        <n v="755.78"/>
        <n v="1959.32"/>
        <n v="1470.43"/>
        <n v="2883.82"/>
        <n v="786.62"/>
        <n v="1508.6"/>
        <n v="905.87"/>
        <n v="598.49"/>
        <n v="1343.72"/>
        <n v="1912.37"/>
        <n v="599.36"/>
        <n v="1280.97"/>
        <n v="657.49"/>
        <n v="1366.41"/>
        <n v="1779.63"/>
        <n v="1050.98"/>
        <n v="1871.61"/>
        <n v="1342.23"/>
        <n v="1820.41"/>
        <n v="1094.67"/>
        <n v="2856.83"/>
        <n v="406.02"/>
        <n v="1827.06"/>
        <n v="2135.23"/>
        <n v="2060.96"/>
        <n v="2221.4299999999998"/>
        <n v="717.1"/>
        <n v="741.35"/>
        <n v="2271.88"/>
        <n v="896.21"/>
        <n v="1404.02"/>
        <n v="1372.09"/>
        <n v="503.95"/>
        <n v="350.6"/>
        <n v="1541.49"/>
        <n v="2178.9899999999998"/>
        <n v="1214.52"/>
        <n v="512.57000000000005"/>
        <n v="2524.71"/>
        <n v="2183.86"/>
        <n v="2063.0300000000002"/>
        <n v="1429.05"/>
        <n v="971.99"/>
        <n v="1336.7"/>
        <n v="1106.3599999999999"/>
        <n v="1458.56"/>
        <n v="575.17999999999995"/>
        <n v="3449.54"/>
        <n v="2826.77"/>
        <n v="3368.57"/>
        <n v="933.71"/>
        <n v="1344.95"/>
        <n v="1223.51"/>
        <n v="1339.67"/>
        <n v="665.89"/>
        <n v="1430.33"/>
        <n v="1207.33"/>
        <n v="3363.83"/>
        <n v="604.82000000000005"/>
        <n v="2135.64"/>
        <n v="2056.89"/>
        <n v="1227.0999999999999"/>
        <n v="3380.47"/>
        <n v="3203.32"/>
        <n v="2857.28"/>
        <n v="1517.03"/>
        <n v="906.33"/>
        <n v="895.49"/>
        <n v="601.70000000000005"/>
        <n v="2030.75"/>
        <n v="2313.63"/>
        <n v="1600.75"/>
        <n v="590.37"/>
        <n v="2503.4"/>
        <n v="2008.36"/>
        <n v="2199.62"/>
        <n v="3426.8"/>
        <n v="530.79999999999995"/>
        <n v="593.57000000000005"/>
        <n v="579.98"/>
        <n v="1668.87"/>
        <n v="1242.96"/>
        <n v="2907.72"/>
        <n v="1362.68"/>
        <n v="1128.44"/>
        <n v="466.85"/>
        <n v="1504.3"/>
        <n v="1156.0999999999999"/>
        <n v="1928.36"/>
        <n v="525.88"/>
        <n v="3367.69"/>
        <n v="786.85"/>
        <n v="1235.02"/>
        <n v="1514.03"/>
        <n v="1005.74"/>
        <n v="2648.29"/>
        <n v="2847.1"/>
        <n v="824.48"/>
        <n v="531.46"/>
        <n v="1361.35"/>
        <n v="1857.16"/>
        <n v="2626.42"/>
        <n v="609.54"/>
        <n v="2162.58"/>
        <n v="463.24"/>
        <n v="1456.14"/>
        <n v="2018.22"/>
        <n v="754.76"/>
        <n v="370.74"/>
        <n v="604.48"/>
        <n v="501.72"/>
        <n v="1257.83"/>
        <n v="3479.66"/>
        <n v="1714.77"/>
        <n v="595.64"/>
        <n v="2060.41"/>
        <n v="1634.61"/>
        <n v="399.27"/>
        <n v="3453.18"/>
        <n v="797.05"/>
        <n v="437.21"/>
        <n v="549.58000000000004"/>
        <n v="2148.5"/>
        <n v="609.65"/>
        <n v="2869.03"/>
        <n v="1668.18"/>
        <n v="1527.54"/>
        <n v="1643.83"/>
        <n v="1043.1400000000001"/>
        <n v="947.8"/>
        <n v="802.42"/>
        <n v="1777.25"/>
        <n v="663.02"/>
        <n v="1835.95"/>
        <n v="1732.65"/>
        <n v="807.27"/>
        <n v="342.01"/>
        <n v="3105.8"/>
        <n v="1636.3"/>
        <n v="3034.14"/>
        <n v="1103.69"/>
        <n v="361.7"/>
        <n v="351.54"/>
        <n v="2912.86"/>
        <n v="1359.93"/>
        <n v="888.3"/>
        <n v="1196.69"/>
        <n v="3466.67"/>
        <n v="684.34"/>
        <n v="1026.94"/>
        <n v="1342.66"/>
        <n v="1707.85"/>
        <n v="3546.81"/>
        <n v="525.63"/>
        <n v="758.92"/>
        <n v="1296.29"/>
        <n v="332.87"/>
        <n v="619.57000000000005"/>
        <n v="1879.83"/>
        <n v="3073.4"/>
        <n v="821.8"/>
        <n v="1670.01"/>
        <n v="2734.1"/>
        <n v="658.25"/>
        <n v="2929.76"/>
        <n v="1862.7"/>
        <n v="2044.76"/>
        <n v="743.17"/>
        <n v="1368.3"/>
        <n v="2511.6999999999998"/>
        <n v="1013.88"/>
        <n v="994.68"/>
        <n v="1049.42"/>
        <n v="400.37"/>
        <n v="1487.6"/>
        <n v="933.47"/>
        <n v="1585.1"/>
        <n v="1100.04"/>
        <n v="2552.84"/>
        <n v="1601.04"/>
        <n v="3100.07"/>
        <n v="849.75"/>
        <n v="350.74"/>
        <n v="942.8"/>
        <n v="1596.37"/>
        <n v="3291.35"/>
        <n v="1221.7"/>
        <n v="651.91999999999996"/>
        <n v="2306.65"/>
        <n v="1493.78"/>
        <n v="1139.5899999999999"/>
        <n v="473.06"/>
        <n v="2784.84"/>
        <n v="1263.6300000000001"/>
        <n v="668.45"/>
        <n v="899.08"/>
        <n v="2027.74"/>
        <n v="876.36"/>
        <n v="2856.94"/>
        <n v="799.71"/>
        <n v="2217.15"/>
        <n v="2257.1799999999998"/>
        <n v="824.2"/>
        <n v="2405.02"/>
        <n v="1704.64"/>
        <n v="2142.87"/>
        <n v="1495.63"/>
        <n v="2581.4299999999998"/>
        <n v="1713.6"/>
        <n v="393.36"/>
        <n v="623.39"/>
        <n v="1523.06"/>
        <n v="1219.6600000000001"/>
        <n v="2489.1"/>
        <n v="776.82"/>
        <n v="436.8"/>
        <n v="1102.8"/>
        <n v="788.23"/>
        <n v="782.14"/>
        <n v="1826.75"/>
        <n v="1678.67"/>
        <n v="3619.26"/>
        <n v="1538.11"/>
        <n v="1740.09"/>
        <n v="1371.07"/>
        <n v="2376.92"/>
        <n v="610.73"/>
        <n v="1063.08"/>
        <n v="1704.58"/>
        <n v="457.22"/>
        <n v="2558.8000000000002"/>
        <n v="360.62"/>
        <n v="961.4"/>
        <n v="408.89"/>
        <n v="468.22"/>
        <n v="1673.81"/>
        <n v="1640.88"/>
        <n v="1054.51"/>
        <n v="1316.12"/>
        <n v="453.41"/>
        <n v="340.18"/>
        <n v="1244.79"/>
        <n v="575.79"/>
        <n v="1166.6500000000001"/>
        <n v="2333.52"/>
        <n v="1281.5999999999999"/>
        <n v="1794.43"/>
        <n v="442.01"/>
        <n v="968.06"/>
        <n v="1940.3"/>
        <n v="471.3"/>
        <n v="721.59"/>
        <n v="959.82"/>
        <n v="642.97"/>
        <n v="422.04"/>
        <n v="2050.13"/>
        <n v="648.04"/>
        <n v="2250.7399999999998"/>
        <n v="732.7"/>
        <n v="549.37"/>
        <n v="1156.17"/>
        <n v="1093.9100000000001"/>
        <n v="589.97"/>
        <n v="3039.7"/>
        <n v="520.5"/>
        <n v="1088.96"/>
        <n v="975.43"/>
        <n v="3172.28"/>
        <n v="790.1"/>
        <n v="1141"/>
        <n v="2302.4499999999998"/>
        <n v="339.94"/>
        <n v="351.93"/>
        <n v="1903.49"/>
        <n v="332.92"/>
        <n v="2095.3000000000002"/>
        <n v="1349.99"/>
        <n v="2653.78"/>
        <n v="920.11"/>
        <n v="484.7"/>
        <n v="1734.44"/>
        <n v="1757.44"/>
        <n v="428.4"/>
        <n v="1411.94"/>
        <n v="344.91"/>
        <n v="1387.31"/>
        <n v="2591.9699999999998"/>
        <n v="729.12"/>
        <n v="1320.74"/>
        <n v="885.14"/>
        <n v="619.92999999999995"/>
        <n v="396.32"/>
        <n v="634.54999999999995"/>
        <n v="762.29"/>
        <n v="724.37"/>
        <n v="1095.6300000000001"/>
        <n v="358.03"/>
        <n v="1721.43"/>
        <n v="1229.99"/>
        <n v="1790.93"/>
        <n v="3482.51"/>
        <n v="1181.0999999999999"/>
        <n v="700.09"/>
        <n v="771.36"/>
        <n v="1572.35"/>
        <n v="488.36"/>
        <n v="1128.27"/>
        <n v="956.45"/>
        <n v="1100.33"/>
        <n v="2154.02"/>
        <n v="1999.15"/>
        <n v="1451.75"/>
        <n v="2748.38"/>
        <n v="1096.19"/>
        <n v="2304.35"/>
        <n v="2317.29"/>
        <n v="2294.23"/>
        <n v="667.64"/>
        <n v="1153"/>
        <n v="630.4"/>
        <n v="623.97"/>
        <n v="1195.8699999999999"/>
        <n v="2936.7"/>
        <n v="955.98"/>
        <n v="2873.3"/>
        <n v="1593.76"/>
        <n v="2064.5500000000002"/>
        <n v="596.07000000000005"/>
        <n v="1147.42"/>
        <n v="577.67999999999995"/>
        <n v="630.79999999999995"/>
        <n v="2577.2600000000002"/>
        <n v="942.12"/>
        <n v="489.89"/>
        <n v="1069.27"/>
        <n v="1346.88"/>
        <n v="1099.76"/>
        <n v="3384.84"/>
        <n v="2285.92"/>
        <n v="1261.81"/>
        <n v="1915.05"/>
        <n v="1625.83"/>
        <n v="721.66"/>
        <n v="2488.96"/>
        <n v="1305.96"/>
        <n v="731.23"/>
        <n v="553.05999999999995"/>
        <n v="834.87"/>
        <n v="2609.04"/>
        <n v="635.6"/>
        <n v="654.71"/>
        <n v="1128.9000000000001"/>
        <n v="1806.56"/>
        <n v="1607.57"/>
        <n v="2895.48"/>
        <n v="2093.16"/>
        <n v="3308.07"/>
        <n v="742.15"/>
        <n v="913.44"/>
        <n v="1220.07"/>
        <n v="388.86"/>
        <n v="614.72"/>
        <n v="1584.08"/>
        <n v="373.09"/>
        <n v="474.24"/>
        <n v="483.17"/>
        <n v="1070.96"/>
        <n v="698.88"/>
        <n v="2807.57"/>
        <n v="1245.3800000000001"/>
        <n v="3403.1"/>
        <n v="3341.47"/>
        <n v="2798.65"/>
        <n v="1620.23"/>
        <n v="1251.6099999999999"/>
        <n v="1654.96"/>
        <n v="1248.24"/>
        <n v="1252.98"/>
        <n v="821.43"/>
        <n v="3601.64"/>
        <n v="3629.86"/>
        <n v="1712.34"/>
        <n v="1403.49"/>
        <n v="1842.27"/>
        <n v="1945.59"/>
        <n v="2542.19"/>
        <n v="1746.06"/>
        <n v="757.48"/>
        <n v="1521.85"/>
        <n v="417.37"/>
        <n v="2601.7199999999998"/>
        <n v="1195.47"/>
        <n v="1514.8"/>
        <n v="454.83"/>
        <n v="2162.5"/>
        <n v="2506.44"/>
        <n v="522.91999999999996"/>
        <n v="1477.7"/>
        <n v="473.89"/>
        <n v="551.83000000000004"/>
        <n v="760.11"/>
        <n v="2936.53"/>
        <n v="918.39"/>
        <n v="659.08"/>
        <n v="1429.71"/>
        <n v="1603.86"/>
        <n v="1935.48"/>
        <n v="894.29"/>
        <n v="1734.73"/>
        <n v="455.6"/>
        <n v="1110.95"/>
        <n v="2640.22"/>
        <n v="3195.76"/>
        <n v="742.72"/>
        <n v="1276.43"/>
        <n v="714.88"/>
        <n v="686.83"/>
        <n v="1784.44"/>
        <n v="1705.8"/>
        <n v="3350.03"/>
        <n v="989.92"/>
        <n v="1299.6400000000001"/>
        <n v="648.29999999999995"/>
        <n v="1261.4100000000001"/>
        <n v="1410.68"/>
        <n v="1757.77"/>
        <n v="3051.17"/>
        <n v="664.87"/>
        <n v="1443.7"/>
        <n v="1696.22"/>
        <n v="3475.08"/>
        <n v="980.44"/>
        <n v="2810.25"/>
        <n v="1258.3399999999999"/>
        <n v="1214.48"/>
        <n v="342.08"/>
        <n v="499.22"/>
        <n v="422.25"/>
        <n v="1388.48"/>
        <n v="2156.27"/>
        <n v="436.28"/>
        <n v="2048.0700000000002"/>
        <n v="1631.39"/>
        <n v="695.63"/>
        <n v="1133.47"/>
        <n v="1282.75"/>
        <n v="2697.39"/>
        <n v="1736.12"/>
        <n v="525.1"/>
        <n v="2088.14"/>
        <n v="1119.98"/>
        <n v="570.35"/>
        <n v="1306.8499999999999"/>
        <n v="1981.71"/>
        <n v="1265.03"/>
        <n v="3449.51"/>
        <n v="1000.46"/>
        <n v="588.34"/>
        <n v="879.58"/>
        <n v="3511.44"/>
        <n v="363.1"/>
        <n v="1264.27"/>
        <n v="2869.27"/>
        <n v="1922.18"/>
        <n v="672.2"/>
        <n v="1923.45"/>
        <n v="2657.64"/>
        <n v="3019.12"/>
        <n v="518.32000000000005"/>
        <n v="2421.17"/>
        <n v="1213.6600000000001"/>
        <n v="1254.24"/>
        <n v="2339.5700000000002"/>
        <n v="919"/>
        <n v="796.21"/>
        <n v="694.93"/>
        <n v="2267.39"/>
        <n v="1634.48"/>
        <n v="1254.3900000000001"/>
        <n v="822.24"/>
        <n v="2293"/>
        <n v="684.26"/>
        <n v="1837.35"/>
        <n v="454.43"/>
        <n v="844.23"/>
        <n v="654.36"/>
        <n v="2740.42"/>
        <n v="2906.8"/>
        <n v="539.65"/>
        <n v="678.41"/>
        <n v="2594.79"/>
        <n v="377.21"/>
        <n v="2422.7600000000002"/>
        <n v="627.01"/>
        <n v="2117.09"/>
        <n v="3515.9"/>
        <n v="730.44"/>
        <n v="1470.92"/>
        <n v="3215.02"/>
        <n v="570.88"/>
        <n v="1030.94"/>
        <n v="3205.91"/>
        <n v="417.53"/>
        <n v="2441.98"/>
        <n v="2028.15"/>
        <n v="870.6"/>
        <n v="883.82"/>
        <n v="1115.93"/>
        <n v="910.97"/>
        <n v="2935.17"/>
        <n v="2471.91"/>
        <n v="397.37"/>
        <n v="678.35"/>
        <n v="1516.71"/>
        <n v="511.39"/>
        <n v="1371.03"/>
        <n v="852"/>
        <n v="1104.1099999999999"/>
        <n v="766.45"/>
        <n v="2177.86"/>
        <n v="749.07"/>
        <n v="3513.91"/>
        <n v="334.85"/>
        <n v="2960.04"/>
        <n v="3406.22"/>
        <n v="1369.57"/>
        <n v="1128.55"/>
        <n v="1881.21"/>
        <n v="414.6"/>
        <n v="2197.77"/>
        <n v="357.82"/>
        <n v="1527.27"/>
        <n v="1076.3699999999999"/>
        <n v="1494.38"/>
        <n v="1659.61"/>
        <n v="1303.6099999999999"/>
        <n v="347.1"/>
        <n v="1162.95"/>
        <n v="404.28"/>
        <n v="621.86"/>
        <n v="1892.01"/>
        <n v="941.98"/>
        <n v="812.36"/>
        <n v="561.61"/>
        <n v="1533.88"/>
        <n v="2923.25"/>
        <n v="935.79"/>
        <n v="3610.86"/>
        <n v="3257.85"/>
        <n v="2349.9699999999998"/>
        <n v="480.34"/>
        <n v="640.61"/>
        <n v="783.84"/>
        <n v="705.09"/>
        <n v="2419.14"/>
        <n v="652.64"/>
        <n v="1159.67"/>
        <n v="1761.34"/>
        <n v="1642.51"/>
        <n v="2124.39"/>
        <n v="1435.06"/>
        <n v="2912.64"/>
        <n v="1199.9000000000001"/>
        <n v="3494.03"/>
        <n v="1359.04"/>
        <n v="555.97"/>
        <n v="1834.12"/>
        <n v="1208.3"/>
        <n v="2480.67"/>
        <n v="418.11"/>
        <n v="2702.72"/>
        <n v="624.21"/>
        <n v="950.15"/>
        <n v="2416.14"/>
        <n v="612.79"/>
        <n v="1072.6099999999999"/>
        <n v="1671.91"/>
        <n v="2016.31"/>
        <n v="1400.3"/>
        <n v="2242.64"/>
        <n v="2023.56"/>
        <n v="1130.93"/>
        <n v="1251.99"/>
        <n v="1120.17"/>
        <n v="696.49"/>
        <n v="354.24"/>
        <n v="916.91"/>
        <n v="1059.01"/>
        <n v="3170.56"/>
        <n v="2359.9899999999998"/>
        <n v="498.74"/>
        <n v="487.06"/>
        <n v="811.41"/>
        <n v="2356.86"/>
        <n v="1094.5899999999999"/>
        <n v="1509.5"/>
        <n v="2012.58"/>
        <n v="654.15"/>
        <n v="1126.6099999999999"/>
        <n v="593.65"/>
        <n v="600.64"/>
        <n v="1425.13"/>
        <n v="2355.14"/>
        <n v="3271.05"/>
        <n v="1800.43"/>
        <n v="1991.67"/>
        <n v="717.8"/>
        <n v="1099.75"/>
        <n v="1519.12"/>
        <n v="609.64"/>
        <n v="1181.69"/>
        <n v="1491.23"/>
        <n v="3416.9"/>
        <n v="871.91"/>
        <n v="534.66"/>
        <n v="2414.94"/>
        <n v="1647.82"/>
        <n v="1936.38"/>
        <n v="1310.07"/>
        <n v="1108.92"/>
        <n v="1242.27"/>
        <n v="2585.12"/>
        <n v="425.74"/>
        <n v="1346.51"/>
        <n v="1989.48"/>
        <n v="446.63"/>
        <n v="2530.59"/>
        <n v="1505.8"/>
        <n v="1405.2"/>
        <n v="3291.97"/>
        <n v="2923.87"/>
        <n v="417.68"/>
        <n v="1318.35"/>
        <n v="1167.6400000000001"/>
        <n v="2802.68"/>
        <n v="2837.9"/>
        <n v="434.91"/>
        <n v="996.21"/>
        <n v="805.12"/>
        <n v="1677.38"/>
        <n v="2910.8"/>
        <n v="1333.67"/>
        <n v="449.72"/>
        <n v="2363.2800000000002"/>
        <n v="2145.69"/>
        <n v="963.4"/>
        <n v="1799.62"/>
        <n v="1641"/>
        <n v="537.14"/>
        <n v="916.39"/>
        <n v="1475.19"/>
        <n v="1132.68"/>
        <n v="1155.05"/>
        <n v="1125.1400000000001"/>
        <n v="1724.6"/>
        <n v="888.34"/>
        <n v="3339.36"/>
        <n v="2889.62"/>
        <n v="2403.41"/>
        <n v="825.93"/>
        <n v="1371.78"/>
        <n v="2369.7399999999998"/>
        <n v="1152.17"/>
        <n v="827.68"/>
        <n v="1022.06"/>
        <n v="518.97"/>
        <n v="1903.1"/>
        <n v="1687.65"/>
        <n v="2786.28"/>
        <n v="362.4"/>
        <n v="1483.75"/>
        <n v="2331"/>
        <n v="1297.53"/>
        <n v="382.88"/>
        <n v="632.04"/>
        <n v="2342.4699999999998"/>
        <n v="458.41"/>
        <n v="336.2"/>
        <n v="466.25"/>
        <n v="1825.11"/>
        <n v="2294.06"/>
        <n v="2245.1799999999998"/>
        <n v="497.7"/>
        <n v="509.23"/>
        <n v="830.58"/>
        <n v="1726.67"/>
        <n v="1074.47"/>
        <n v="1942.18"/>
        <n v="1594.61"/>
        <n v="3382.46"/>
        <n v="3134.09"/>
        <n v="1529.45"/>
        <n v="1197.93"/>
        <n v="2802.31"/>
        <n v="1374.45"/>
        <n v="1196.0899999999999"/>
        <n v="342.2"/>
        <n v="705.57"/>
        <n v="1195.6199999999999"/>
        <n v="2658.77"/>
        <n v="983.6"/>
        <n v="1237.8499999999999"/>
        <n v="3319.13"/>
        <n v="2733.35"/>
        <n v="1217.6199999999999"/>
        <n v="1126.76"/>
        <n v="346.64"/>
        <n v="790.59"/>
        <n v="630.1"/>
        <n v="468.73"/>
        <n v="1636.44"/>
        <n v="3173.13"/>
        <n v="400.17"/>
        <n v="1110.8"/>
        <n v="1756.44"/>
        <n v="341.09"/>
        <n v="1422.71"/>
        <n v="2074.54"/>
        <n v="343.58"/>
        <n v="3148.5"/>
        <n v="1056.31"/>
        <n v="636.97"/>
        <n v="922.02"/>
        <n v="2355.5"/>
        <n v="893.03"/>
        <n v="904.59"/>
        <n v="594.49"/>
        <n v="380.6"/>
        <n v="959.34"/>
        <n v="910.68"/>
        <n v="1045.0899999999999"/>
        <n v="1539.87"/>
        <n v="2649.14"/>
        <n v="1063.6099999999999"/>
        <n v="1576.24"/>
        <n v="1490.65"/>
        <n v="1530.68"/>
        <n v="1031.55"/>
        <n v="1374.79"/>
        <n v="738.12"/>
        <n v="1206.3800000000001"/>
        <n v="3313.59"/>
        <n v="576.54999999999995"/>
        <n v="1874.87"/>
        <n v="1247.6199999999999"/>
        <n v="3472.8"/>
        <n v="1505.52"/>
        <n v="3225.81"/>
        <n v="659.42"/>
        <n v="1913.09"/>
        <n v="2556.0300000000002"/>
        <n v="1930.94"/>
        <n v="1303.42"/>
        <n v="810.84"/>
        <n v="1549.4"/>
        <n v="3339.33"/>
        <n v="1493.29"/>
        <n v="1300.07"/>
        <n v="386.43"/>
        <n v="3270.87"/>
        <n v="3360.15"/>
        <n v="1273.3699999999999"/>
        <n v="1983.74"/>
        <n v="1757.05"/>
        <n v="938.2"/>
        <n v="1817.99"/>
        <n v="3272.15"/>
        <n v="336.21"/>
        <n v="2005.53"/>
        <n v="2640.72"/>
        <n v="1457.28"/>
        <n v="685.57"/>
        <n v="1004.19"/>
        <n v="423.53"/>
        <n v="1426.18"/>
        <n v="580.79999999999995"/>
        <n v="3549.91"/>
        <n v="1405.41"/>
        <n v="1069.53"/>
        <n v="2848.93"/>
        <n v="1308.77"/>
        <n v="1596.79"/>
        <n v="2233.39"/>
        <n v="414.32"/>
        <n v="912.42"/>
        <n v="770.32"/>
        <n v="1183.03"/>
        <n v="375.7"/>
        <n v="1865.42"/>
        <n v="1366.47"/>
        <n v="1728.12"/>
        <n v="1334.13"/>
        <n v="2013.86"/>
        <n v="856.78"/>
        <n v="451.4"/>
        <n v="551.19000000000005"/>
        <n v="705.88"/>
        <n v="2817.62"/>
        <n v="2297.79"/>
        <n v="1057.42"/>
        <n v="905.76"/>
        <n v="1641.61"/>
        <n v="1001.81"/>
        <n v="1831.83"/>
        <n v="689.53"/>
        <n v="3022.4"/>
        <n v="3285.87"/>
        <n v="723.94"/>
        <n v="892.88"/>
        <n v="368.93"/>
        <n v="961.39"/>
        <n v="682.03"/>
        <n v="1371.66"/>
        <n v="482.6"/>
        <n v="3118.23"/>
        <n v="811.88"/>
        <n v="1710.28"/>
        <n v="2720.34"/>
        <n v="1835.18"/>
        <n v="1783.65"/>
        <n v="1506.68"/>
        <n v="1327"/>
        <n v="1483.31"/>
        <n v="1936.72"/>
        <n v="1681.27"/>
        <n v="603.67999999999995"/>
        <n v="3586.65"/>
        <n v="609.6"/>
        <n v="1777.83"/>
        <n v="401.16"/>
        <n v="3197.54"/>
        <n v="1833.4"/>
        <n v="952.88"/>
        <n v="2022.83"/>
        <n v="570.33000000000004"/>
        <n v="1662.5"/>
        <n v="1147.71"/>
        <n v="1676.25"/>
        <n v="1021.1"/>
        <n v="2838.76"/>
        <n v="3290.41"/>
        <n v="689.17"/>
        <n v="2513.6"/>
        <n v="3089.16"/>
        <n v="1583.29"/>
        <n v="3332.33"/>
        <n v="2064.09"/>
        <n v="1531.52"/>
        <n v="401.5"/>
        <n v="1816.07"/>
        <n v="2826.64"/>
        <n v="1730.22"/>
        <n v="2006.48"/>
        <n v="492.16"/>
        <n v="1381.02"/>
        <n v="749.74"/>
        <n v="3352.07"/>
        <n v="1596.39"/>
        <n v="2283.04"/>
        <n v="1924.15"/>
        <n v="2737.9"/>
        <n v="2213.64"/>
        <n v="1315.59"/>
        <n v="2576.5500000000002"/>
        <n v="602.24"/>
        <n v="1239.46"/>
        <n v="1796.19"/>
        <n v="647.64"/>
        <n v="1515.56"/>
        <n v="1542.32"/>
        <n v="530.58000000000004"/>
        <n v="2961.49"/>
        <n v="1394.39"/>
        <n v="442.06"/>
        <n v="1065.1300000000001"/>
        <n v="911.91"/>
        <n v="2280.56"/>
        <n v="3036.23"/>
        <n v="2620.31"/>
        <n v="1450.1"/>
        <n v="383.39"/>
        <n v="1250.3900000000001"/>
        <n v="1518.29"/>
        <n v="2386.5100000000002"/>
        <n v="1411.7"/>
        <n v="2254.38"/>
        <n v="555.37"/>
        <n v="1644.29"/>
        <n v="1144.54"/>
        <n v="2600.85"/>
        <n v="1343.18"/>
        <n v="1460.36"/>
        <n v="1821.88"/>
        <n v="2389.21"/>
        <n v="2416.6799999999998"/>
        <n v="520.1"/>
        <n v="3186.93"/>
        <n v="552.66"/>
        <n v="348.76"/>
        <n v="460.42"/>
        <n v="828.51"/>
        <n v="1951.28"/>
        <n v="2445.1999999999998"/>
        <n v="1299.95"/>
        <n v="1462.04"/>
        <n v="1114.9000000000001"/>
        <n v="1365.23"/>
        <n v="1178.4100000000001"/>
        <n v="2283.06"/>
        <n v="1094.19"/>
        <n v="3497.62"/>
        <n v="1681.67"/>
        <n v="2702.43"/>
        <n v="1987.59"/>
        <n v="1306.8699999999999"/>
        <n v="419.79"/>
        <n v="815.83"/>
        <n v="1756.95"/>
        <n v="1033.6099999999999"/>
        <n v="1933.18"/>
        <n v="1033.71"/>
        <n v="1359.72"/>
        <n v="493.07"/>
        <n v="2104.5300000000002"/>
        <n v="2838.13"/>
        <n v="491.13"/>
        <n v="915.47"/>
        <n v="2206.3000000000002"/>
        <n v="1872.92"/>
        <n v="1283.96"/>
        <n v="2984.27"/>
        <n v="1349.64"/>
        <n v="2173.41"/>
        <n v="2413.4"/>
        <n v="2081.61"/>
        <n v="457.82"/>
        <n v="3501.23"/>
        <n v="1044.6300000000001"/>
        <n v="1743.33"/>
        <n v="1062.8699999999999"/>
        <n v="2177.0700000000002"/>
        <n v="1546.61"/>
        <n v="2107.8000000000002"/>
        <n v="3200.04"/>
        <n v="1089.1199999999999"/>
        <n v="1629.49"/>
        <n v="751.8"/>
        <n v="1993.42"/>
        <n v="982.44"/>
        <n v="2535.67"/>
        <n v="620.20000000000005"/>
        <n v="1678.2"/>
        <n v="1532.41"/>
        <n v="3395.85"/>
        <n v="1461.35"/>
        <n v="1817"/>
        <n v="1051.93"/>
        <n v="1880.83"/>
        <n v="1371.35"/>
        <n v="576.28"/>
        <n v="3070.36"/>
        <n v="752.69"/>
        <n v="671.54"/>
        <n v="3007.59"/>
        <n v="1147.79"/>
        <n v="801.36"/>
        <n v="1075.68"/>
        <n v="506.1"/>
        <n v="1048.51"/>
        <n v="3479.24"/>
        <n v="2612.89"/>
        <n v="2034.35"/>
        <n v="2740.91"/>
        <n v="1096.73"/>
        <n v="1838.21"/>
        <n v="884.16"/>
        <n v="690.3"/>
        <n v="1015.84"/>
        <n v="1310.0999999999999"/>
        <n v="1455.43"/>
        <n v="355.15"/>
        <n v="1842.1"/>
        <n v="1058.27"/>
        <n v="551.76"/>
        <n v="1615.96"/>
        <n v="3122.28"/>
        <n v="2848.54"/>
        <n v="449.2"/>
        <n v="599.52"/>
        <n v="1250.51"/>
        <n v="687.01"/>
        <n v="2706.14"/>
        <n v="2319.23"/>
        <n v="1176.46"/>
        <n v="2498.64"/>
        <n v="2772.34"/>
        <n v="1498.19"/>
        <n v="2513.6999999999998"/>
        <n v="2330.1999999999998"/>
        <n v="2750.96"/>
        <n v="962.76"/>
        <n v="1705.23"/>
        <n v="1082.3599999999999"/>
        <n v="2858.28"/>
        <n v="2576.2199999999998"/>
        <n v="2221.12"/>
        <n v="1009.96"/>
        <n v="783.03"/>
        <n v="731.3"/>
        <n v="2358.7800000000002"/>
        <n v="380.23"/>
        <n v="567.82000000000005"/>
        <n v="1262.25"/>
        <n v="656.06"/>
        <n v="2085.2800000000002"/>
        <n v="1826.88"/>
        <n v="1127.1500000000001"/>
        <n v="1802.59"/>
        <n v="1943.55"/>
        <n v="2024.16"/>
        <n v="2301.5"/>
        <n v="1915.77"/>
        <n v="1730.23"/>
        <n v="1574.2"/>
        <n v="585.51"/>
        <n v="2097.98"/>
        <n v="1703.13"/>
        <n v="2308.38"/>
        <n v="1401.27"/>
        <n v="3342.7"/>
        <n v="1594.65"/>
        <n v="2470.06"/>
        <n v="1202.77"/>
        <n v="2705.2"/>
        <n v="650.04"/>
        <n v="2329.35"/>
        <n v="1054.6500000000001"/>
        <n v="702.49"/>
        <n v="1238.3399999999999"/>
        <n v="3523.28"/>
        <n v="2223.59"/>
        <n v="730"/>
        <n v="1411.36"/>
        <n v="598.42999999999995"/>
        <n v="1150.1500000000001"/>
        <n v="1262.8499999999999"/>
        <n v="1408.88"/>
        <n v="610.29999999999995"/>
        <n v="975.45"/>
        <n v="520.15"/>
        <n v="538.79999999999995"/>
        <n v="1519.78"/>
        <n v="1460.69"/>
        <n v="1084.02"/>
        <n v="1113.75"/>
        <n v="1963.15"/>
        <n v="2464.42"/>
        <n v="832.03"/>
        <n v="2223.73"/>
        <n v="2035.79"/>
        <n v="834.39"/>
        <n v="980.71"/>
        <n v="3097.66"/>
        <n v="505.81"/>
        <n v="892.77"/>
        <n v="852.83"/>
        <n v="534.22"/>
        <n v="1623.06"/>
        <n v="2544.9299999999998"/>
        <n v="3013.13"/>
        <n v="2794.1"/>
        <n v="2544.81"/>
        <n v="549.27"/>
        <n v="553.71"/>
        <n v="1573.68"/>
        <n v="1745"/>
        <n v="1947.65"/>
        <n v="3406.93"/>
        <n v="2814.49"/>
        <n v="909.77"/>
        <n v="1246.1300000000001"/>
        <n v="1521.67"/>
        <n v="1864.76"/>
        <n v="1471.59"/>
        <n v="1422.97"/>
        <n v="2116.75"/>
        <n v="831.06"/>
        <n v="2380.87"/>
        <n v="767.81"/>
        <n v="784.63"/>
        <n v="2865.44"/>
        <n v="1508.15"/>
        <n v="411.38"/>
        <n v="658.31"/>
        <n v="847.87"/>
        <n v="593.1"/>
        <n v="3225.77"/>
        <n v="2082.38"/>
        <n v="1869.2"/>
        <n v="331.56"/>
        <n v="1232.1199999999999"/>
        <n v="1220.57"/>
        <n v="1327.07"/>
        <n v="1377.79"/>
        <n v="3152.55"/>
        <n v="477.11"/>
        <n v="511.92"/>
        <n v="1244.23"/>
        <n v="1882.05"/>
        <n v="3344.76"/>
        <n v="913.13"/>
        <n v="2642.74"/>
        <n v="1802.67"/>
        <n v="1105.04"/>
        <n v="3532.8"/>
        <n v="2001.66"/>
        <n v="1883.52"/>
        <n v="2119.29"/>
        <n v="992.65"/>
        <n v="570.4"/>
        <n v="2729.82"/>
        <n v="1729.05"/>
        <n v="441.89"/>
        <n v="1077.1400000000001"/>
        <n v="1523.94"/>
        <n v="1780.33"/>
        <n v="1482.25"/>
        <n v="571.6"/>
        <n v="2336.34"/>
        <n v="1546.48"/>
        <n v="1788.75"/>
        <n v="2503.31"/>
        <n v="1759.18"/>
        <n v="3266.9"/>
        <n v="481.94"/>
        <n v="460.85"/>
        <n v="938.19"/>
        <n v="1165.28"/>
        <n v="970.57"/>
        <n v="738.58"/>
        <n v="1015.12"/>
        <n v="1188.3800000000001"/>
        <n v="3257.02"/>
        <n v="931.41"/>
        <n v="2080.92"/>
        <n v="1772.8"/>
        <n v="3377.7"/>
        <n v="1079.0899999999999"/>
        <n v="2933.69"/>
        <n v="1115.1199999999999"/>
        <n v="2776.99"/>
        <n v="1648.96"/>
        <n v="2551.42"/>
        <n v="545.66"/>
        <n v="2294.15"/>
        <n v="2737.43"/>
        <n v="2046.82"/>
        <n v="1533.47"/>
        <n v="601.28"/>
        <n v="1512.39"/>
        <n v="2192.36"/>
        <n v="1777.79"/>
        <n v="1697.64"/>
        <n v="1969.93"/>
        <n v="3455.38"/>
        <n v="2959.74"/>
        <n v="1421.63"/>
        <n v="2926.28"/>
        <n v="2835.67"/>
        <n v="1215.18"/>
        <n v="1763.84"/>
        <n v="1916.85"/>
        <n v="772.93"/>
        <n v="1069.0999999999999"/>
        <n v="372.13"/>
        <n v="414.7"/>
        <n v="2297.9"/>
        <n v="2214.29"/>
        <n v="1100.1500000000001"/>
        <n v="2025.14"/>
        <n v="471.94"/>
        <n v="366.75"/>
        <n v="500.11"/>
        <n v="2342.1999999999998"/>
        <n v="1558.54"/>
        <n v="1312.45"/>
        <n v="604.25"/>
        <n v="339.73"/>
        <n v="1558.55"/>
        <n v="1426.69"/>
        <n v="1473.49"/>
        <n v="3611.31"/>
        <n v="2185.9899999999998"/>
        <n v="2573"/>
        <n v="2147.9699999999998"/>
        <n v="1090.23"/>
        <n v="1790.96"/>
        <n v="1042.81"/>
        <n v="2671.97"/>
        <n v="926.14"/>
        <n v="1396.08"/>
        <n v="1741.6"/>
        <n v="450.52"/>
        <n v="1835.53"/>
        <n v="652.54999999999995"/>
        <n v="2527.5700000000002"/>
        <n v="1405.34"/>
        <n v="386.71"/>
        <n v="755.86"/>
        <n v="1211.3599999999999"/>
        <n v="2263.9499999999998"/>
        <n v="3144.16"/>
        <n v="767.32"/>
      </sharedItems>
      <fieldGroup base="10">
        <rangePr autoStart="0" autoEnd="0" startNum="0" endNum="4000" groupInterval="500"/>
        <groupItems count="10">
          <s v="&lt;0"/>
          <s v="0-500"/>
          <s v="500-1000"/>
          <s v="1000-1500"/>
          <s v="1500-2000"/>
          <s v="2000-2500"/>
          <s v="2500-3000"/>
          <s v="3000-3500"/>
          <s v="3500-4000"/>
          <s v="&gt;4000"/>
        </groupItems>
      </fieldGroup>
    </cacheField>
    <cacheField name="CTR" numFmtId="164">
      <sharedItems containsSemiMixedTypes="0" containsString="0" containsNumber="1" minValue="9.8397526005060444E-3" maxValue="4.997983727494841E-2"/>
    </cacheField>
    <cacheField name="CPC" numFmtId="0">
      <sharedItems containsSemiMixedTypes="0" containsString="0" containsNumber="1" minValue="0.50027840481565089" maxValue="29.921136363636364"/>
    </cacheField>
    <cacheField name="CPA" numFmtId="0">
      <sharedItems containsSemiMixedTypes="0" containsString="0" containsNumber="1" minValue="0" maxValue="329.13249999999999"/>
    </cacheField>
    <cacheField name="ROI" numFmtId="0">
      <sharedItems containsSemiMixedTypes="0" containsString="0" containsNumber="1" minValue="-3631.7599999999998" maxValue="44447.57"/>
    </cacheField>
    <cacheField name="Conversion Rate" numFmtId="0">
      <sharedItems containsSemiMixedTypes="0" containsString="0" containsNumber="1" minValue="0" maxValue="0.19972640218878249"/>
    </cacheField>
    <cacheField name="Season" numFmtId="0">
      <sharedItems count="4">
        <s v="Fall"/>
        <s v="Spring"/>
        <s v="Winter"/>
        <s v="Summer"/>
      </sharedItems>
    </cacheField>
    <cacheField name="Campaign_Type" numFmtId="0">
      <sharedItems count="4">
        <s v="Summer"/>
        <s v="Launch"/>
        <s v="Winter"/>
        <s v="BlackFriday"/>
      </sharedItems>
    </cacheField>
    <cacheField name="year" numFmtId="0">
      <sharedItems containsSemiMixedTypes="0" containsString="0" containsNumber="1" containsInteger="1" minValue="2023" maxValue="2024"/>
    </cacheField>
    <cacheField name="day" numFmtId="0">
      <sharedItems/>
    </cacheField>
    <cacheField name="duration" numFmtId="0">
      <sharedItems containsSemiMixedTypes="0" containsString="0" containsNumber="1" containsInteger="1" minValue="1" maxValue="323"/>
    </cacheField>
  </cacheFields>
  <extLst>
    <ext xmlns:x14="http://schemas.microsoft.com/office/spreadsheetml/2009/9/main" uri="{725AE2AE-9491-48be-B2B4-4EB974FC3084}">
      <x14:pivotCacheDefinition pivotCacheId="114588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CMP-00001"/>
    <s v="Q4_Summer_CMP-00001"/>
    <d v="2023-11-24T00:00:00"/>
    <x v="0"/>
    <d v="2023-12-13T00:00:00"/>
    <x v="0"/>
    <n v="16795"/>
    <n v="197"/>
    <n v="20"/>
    <x v="0"/>
    <x v="0"/>
    <n v="1.1729681452813338E-2"/>
    <n v="1.670723350253807"/>
    <n v="16.456624999999999"/>
    <n v="670.86750000000006"/>
    <n v="0.10152284263959391"/>
    <x v="0"/>
    <x v="0"/>
    <n v="2023"/>
    <s v="Fri"/>
    <n v="19"/>
  </r>
  <r>
    <s v="CMP-00002"/>
    <s v="Q1_Launch_CMP-00002"/>
    <d v="2023-05-06T00:00:00"/>
    <x v="1"/>
    <d v="2023-05-12T00:00:00"/>
    <x v="1"/>
    <n v="1860"/>
    <n v="30"/>
    <n v="1"/>
    <x v="1"/>
    <x v="0"/>
    <n v="1.6129032258064516E-2"/>
    <n v="10.971083333333333"/>
    <n v="329.13249999999999"/>
    <n v="-279.13249999999999"/>
    <n v="3.3333333333333333E-2"/>
    <x v="1"/>
    <x v="1"/>
    <n v="2023"/>
    <s v="Sat"/>
    <n v="6"/>
  </r>
  <r>
    <s v="CMP-00003"/>
    <s v="Q3_Winter_CMP-00003"/>
    <d v="2023-12-13T00:00:00"/>
    <x v="2"/>
    <d v="2023-12-20T00:00:00"/>
    <x v="2"/>
    <n v="77820"/>
    <n v="843"/>
    <n v="51"/>
    <x v="1"/>
    <x v="1"/>
    <n v="1.0832690824980725E-2"/>
    <n v="1.5698576512455518"/>
    <n v="25.948823529411765"/>
    <n v="1226.6099999999999"/>
    <n v="6.0498220640569395E-2"/>
    <x v="2"/>
    <x v="2"/>
    <n v="2023"/>
    <s v="Wed"/>
    <n v="7"/>
  </r>
  <r>
    <s v="CMP-00004"/>
    <s v="Q1_BlackFriday_CMP-00004"/>
    <d v="2023-10-30T00:00:00"/>
    <x v="3"/>
    <d v="2023-11-03T00:00:00"/>
    <x v="0"/>
    <n v="55886"/>
    <n v="2019"/>
    <n v="135"/>
    <x v="0"/>
    <x v="2"/>
    <n v="3.6127115914540313E-2"/>
    <n v="1.0799306587419515"/>
    <n v="16.150962962962964"/>
    <n v="4569.62"/>
    <n v="6.6864784546805348E-2"/>
    <x v="0"/>
    <x v="3"/>
    <n v="2023"/>
    <s v="Mon"/>
    <n v="4"/>
  </r>
  <r>
    <s v="CMP-00005"/>
    <s v="Q2_Winter_CMP-00005"/>
    <d v="2023-04-22T00:00:00"/>
    <x v="4"/>
    <d v="2023-04-23T00:00:00"/>
    <x v="1"/>
    <n v="7265"/>
    <n v="169"/>
    <n v="30"/>
    <x v="0"/>
    <x v="0"/>
    <n v="2.3262216104611148E-2"/>
    <n v="1.9475295857988166"/>
    <n v="10.971083333333333"/>
    <n v="1170.8675000000001"/>
    <n v="0.17751479289940827"/>
    <x v="1"/>
    <x v="2"/>
    <n v="2023"/>
    <s v="Sat"/>
    <n v="1"/>
  </r>
  <r>
    <s v="CMP-00006"/>
    <s v="Q4_BlackFriday_CMP-00006"/>
    <d v="2023-10-15T00:00:00"/>
    <x v="3"/>
    <d v="2023-10-28T00:00:00"/>
    <x v="3"/>
    <n v="83386"/>
    <n v="2643"/>
    <m/>
    <x v="0"/>
    <x v="3"/>
    <n v="3.1695968148130381E-2"/>
    <n v="1.0204426787741203"/>
    <n v="0"/>
    <n v="-2697.03"/>
    <n v="0"/>
    <x v="0"/>
    <x v="3"/>
    <n v="2023"/>
    <s v="Sun"/>
    <n v="13"/>
  </r>
  <r>
    <s v="CMP-00007"/>
    <s v="Q3_Launch_CMP-00007"/>
    <d v="2023-10-07T00:00:00"/>
    <x v="3"/>
    <d v="2023-10-23T00:00:00"/>
    <x v="1"/>
    <n v="38194"/>
    <n v="1135"/>
    <n v="178"/>
    <x v="0"/>
    <x v="4"/>
    <n v="2.9716709430800649E-2"/>
    <n v="1.0861321585903083"/>
    <n v="6.9256179775280895"/>
    <n v="7667.24"/>
    <n v="0.15682819383259911"/>
    <x v="0"/>
    <x v="1"/>
    <n v="2023"/>
    <s v="Sat"/>
    <n v="16"/>
  </r>
  <r>
    <s v="CMP-00008"/>
    <s v="Q4_Launch_CMP-00008"/>
    <d v="2023-05-23T00:00:00"/>
    <x v="1"/>
    <d v="2023-05-28T00:00:00"/>
    <x v="3"/>
    <n v="88498"/>
    <n v="1173"/>
    <n v="127"/>
    <x v="0"/>
    <x v="5"/>
    <n v="1.3254536825690976E-2"/>
    <n v="0.73802216538789434"/>
    <n v="6.8165354330708663"/>
    <n v="5484.3"/>
    <n v="0.1082693947144075"/>
    <x v="1"/>
    <x v="1"/>
    <n v="2023"/>
    <s v="Tue"/>
    <n v="5"/>
  </r>
  <r>
    <s v="CMP-00009"/>
    <s v="Q4_BlackFriday_CMP-00009"/>
    <d v="2023-03-23T00:00:00"/>
    <x v="5"/>
    <d v="2023-04-01T00:00:00"/>
    <x v="4"/>
    <n v="45131"/>
    <n v="1179"/>
    <n v="104"/>
    <x v="0"/>
    <x v="6"/>
    <n v="2.6123950278079369E-2"/>
    <n v="0.88734520780322312"/>
    <n v="10.059423076923078"/>
    <n v="4153.82"/>
    <n v="8.8210347752332482E-2"/>
    <x v="1"/>
    <x v="3"/>
    <n v="2023"/>
    <s v="Thu"/>
    <n v="9"/>
  </r>
  <r>
    <s v="CMP-00010"/>
    <s v="Q2_Winter_CMP-00010"/>
    <d v="2023-03-21T00:00:00"/>
    <x v="5"/>
    <d v="2023-04-01T00:00:00"/>
    <x v="2"/>
    <n v="61263"/>
    <n v="1153"/>
    <m/>
    <x v="1"/>
    <x v="7"/>
    <n v="1.8820495241826225E-2"/>
    <n v="1.4081179531656547"/>
    <n v="0"/>
    <n v="-1623.56"/>
    <n v="0"/>
    <x v="1"/>
    <x v="2"/>
    <n v="2023"/>
    <s v="Tue"/>
    <n v="11"/>
  </r>
  <r>
    <s v="CMP-00011"/>
    <s v="Q4_Launch_CMP-00011"/>
    <d v="2023-02-22T00:00:00"/>
    <x v="6"/>
    <d v="2023-03-01T00:00:00"/>
    <x v="3"/>
    <n v="17023"/>
    <n v="455"/>
    <n v="76"/>
    <x v="0"/>
    <x v="8"/>
    <n v="2.6728543734946836E-2"/>
    <n v="1.1497362637362638"/>
    <n v="6.8832894736842105"/>
    <n v="3276.87"/>
    <n v="0.16703296703296702"/>
    <x v="2"/>
    <x v="1"/>
    <n v="2023"/>
    <s v="Wed"/>
    <n v="7"/>
  </r>
  <r>
    <s v="CMP-00012"/>
    <s v="Q4_Launch_CMP-00012"/>
    <d v="2023-02-19T00:00:00"/>
    <x v="6"/>
    <d v="2023-02-20T00:00:00"/>
    <x v="4"/>
    <n v="42090"/>
    <n v="763"/>
    <n v="109"/>
    <x v="1"/>
    <x v="9"/>
    <n v="1.8127821335234023E-2"/>
    <n v="1.6614547837483618"/>
    <n v="11.630183486238533"/>
    <n v="4182.3099999999995"/>
    <n v="0.14285714285714285"/>
    <x v="2"/>
    <x v="1"/>
    <n v="2023"/>
    <s v="Sun"/>
    <n v="1"/>
  </r>
  <r>
    <s v="CMP-00013"/>
    <s v="Q2_Launch_CMP-00013"/>
    <d v="2023-05-16T00:00:00"/>
    <x v="1"/>
    <d v="2023-06-01T00:00:00"/>
    <x v="4"/>
    <n v="68221"/>
    <n v="2975"/>
    <n v="567"/>
    <x v="1"/>
    <x v="10"/>
    <n v="4.360827311238475E-2"/>
    <n v="1.2207596638655462"/>
    <n v="6.4052204585537913"/>
    <n v="24718.240000000002"/>
    <n v="0.19058823529411764"/>
    <x v="1"/>
    <x v="1"/>
    <n v="2023"/>
    <s v="Tue"/>
    <n v="16"/>
  </r>
  <r>
    <s v="CMP-00014"/>
    <s v="Q1_Launch_CMP-00014"/>
    <d v="2023-10-02T00:00:00"/>
    <x v="3"/>
    <d v="2023-10-15T00:00:00"/>
    <x v="0"/>
    <n v="65820"/>
    <n v="1116"/>
    <n v="169"/>
    <x v="0"/>
    <x v="11"/>
    <n v="1.6955332725615314E-2"/>
    <n v="1.3124731182795699"/>
    <n v="8.6669822485207106"/>
    <n v="6985.28"/>
    <n v="0.15143369175627241"/>
    <x v="0"/>
    <x v="1"/>
    <n v="2023"/>
    <s v="Mon"/>
    <n v="13"/>
  </r>
  <r>
    <s v="CMP-00015"/>
    <s v="Q2_Summer_CMP-00015"/>
    <d v="2023-02-10T00:00:00"/>
    <x v="6"/>
    <d v="2023-02-16T00:00:00"/>
    <x v="4"/>
    <n v="1769"/>
    <n v="85"/>
    <n v="11"/>
    <x v="0"/>
    <x v="0"/>
    <n v="4.8049745618993785E-2"/>
    <n v="3.8721470588235292"/>
    <n v="29.921136363636364"/>
    <n v="220.86750000000001"/>
    <n v="0.12941176470588237"/>
    <x v="2"/>
    <x v="0"/>
    <n v="2023"/>
    <s v="Fri"/>
    <n v="6"/>
  </r>
  <r>
    <s v="CMP-00016"/>
    <s v="Q2_BlackFriday_CMP-00016"/>
    <d v="2023-11-13T00:00:00"/>
    <x v="0"/>
    <d v="2023-11-23T00:00:00"/>
    <x v="2"/>
    <n v="60735"/>
    <n v="1617"/>
    <n v="228"/>
    <x v="0"/>
    <x v="12"/>
    <n v="2.6623857742652506E-2"/>
    <n v="0.96035868893011755"/>
    <n v="6.8109649122807019"/>
    <n v="9847.1"/>
    <n v="0.14100185528756956"/>
    <x v="0"/>
    <x v="3"/>
    <n v="2023"/>
    <s v="Mon"/>
    <n v="10"/>
  </r>
  <r>
    <s v="CMP-00017"/>
    <s v="Q1_Winter_CMP-00017"/>
    <d v="2023-04-09T00:00:00"/>
    <x v="4"/>
    <d v="2023-10-01T00:00:00"/>
    <x v="2"/>
    <n v="63955"/>
    <n v="2804"/>
    <n v="536"/>
    <x v="1"/>
    <x v="13"/>
    <n v="4.3843327339535609E-2"/>
    <n v="1.1224572039942937"/>
    <n v="5.8719589552238807"/>
    <n v="23652.63"/>
    <n v="0.19115549215406563"/>
    <x v="1"/>
    <x v="2"/>
    <n v="2023"/>
    <s v="Sun"/>
    <n v="175"/>
  </r>
  <r>
    <s v="CMP-00018"/>
    <s v="Q1_BlackFriday_CMP-00018"/>
    <d v="2023-04-27T00:00:00"/>
    <x v="4"/>
    <d v="2023-05-25T00:00:00"/>
    <x v="3"/>
    <n v="65925"/>
    <n v="2317"/>
    <n v="389"/>
    <x v="0"/>
    <x v="10"/>
    <n v="3.5145999241562378E-2"/>
    <n v="1.5674406560207164"/>
    <n v="9.3361439588688935"/>
    <n v="15818.24"/>
    <n v="0.16788951230038843"/>
    <x v="1"/>
    <x v="3"/>
    <n v="2023"/>
    <s v="Thu"/>
    <n v="28"/>
  </r>
  <r>
    <s v="CMP-00019"/>
    <s v="Q4_Winter_CMP-00019"/>
    <d v="2023-04-30T00:00:00"/>
    <x v="4"/>
    <d v="2023-05-18T00:00:00"/>
    <x v="1"/>
    <n v="68969"/>
    <n v="2718"/>
    <n v="145"/>
    <x v="1"/>
    <x v="14"/>
    <n v="3.9409009845002826E-2"/>
    <n v="1.079319352465048"/>
    <n v="20.231655172413795"/>
    <n v="4316.41"/>
    <n v="5.3348050036791758E-2"/>
    <x v="1"/>
    <x v="2"/>
    <n v="2023"/>
    <s v="Sun"/>
    <n v="18"/>
  </r>
  <r>
    <s v="CMP-00020"/>
    <s v="Q1_Summer_CMP-00020"/>
    <d v="2023-08-21T00:00:00"/>
    <x v="7"/>
    <d v="2023-08-30T00:00:00"/>
    <x v="2"/>
    <n v="6311"/>
    <n v="256"/>
    <m/>
    <x v="0"/>
    <x v="15"/>
    <n v="4.0564094438282364E-2"/>
    <n v="1.3827734375"/>
    <n v="0"/>
    <n v="-353.99"/>
    <n v="0"/>
    <x v="3"/>
    <x v="0"/>
    <n v="2023"/>
    <s v="Mon"/>
    <n v="9"/>
  </r>
  <r>
    <s v="CMP-00021"/>
    <s v="Q3_BlackFriday_CMP-00021"/>
    <d v="2023-07-09T00:00:00"/>
    <x v="8"/>
    <d v="2023-07-17T00:00:00"/>
    <x v="1"/>
    <n v="84104"/>
    <n v="2539"/>
    <m/>
    <x v="0"/>
    <x v="16"/>
    <n v="3.0188813849519644E-2"/>
    <n v="0.77805829066561638"/>
    <n v="0"/>
    <n v="-1975.49"/>
    <n v="0"/>
    <x v="3"/>
    <x v="3"/>
    <n v="2023"/>
    <s v="Sun"/>
    <n v="8"/>
  </r>
  <r>
    <s v="CMP-00022"/>
    <s v="Q2_BlackFriday_CMP-00022"/>
    <d v="2023-12-26T00:00:00"/>
    <x v="2"/>
    <d v="2024-01-02T00:00:00"/>
    <x v="4"/>
    <n v="54707"/>
    <n v="1735"/>
    <m/>
    <x v="0"/>
    <x v="17"/>
    <n v="3.1714405834719503E-2"/>
    <n v="1.3996541786743517"/>
    <n v="0"/>
    <n v="-2428.4"/>
    <n v="0"/>
    <x v="2"/>
    <x v="3"/>
    <n v="2023"/>
    <s v="Tue"/>
    <n v="7"/>
  </r>
  <r>
    <s v="CMP-00023"/>
    <s v="Q4_Winter_CMP-00023"/>
    <d v="2023-11-08T00:00:00"/>
    <x v="0"/>
    <d v="2023-11-24T00:00:00"/>
    <x v="4"/>
    <n v="86305"/>
    <n v="2637"/>
    <n v="216"/>
    <x v="1"/>
    <x v="10"/>
    <n v="3.0554429059730027E-2"/>
    <n v="1.3772317026924534"/>
    <n v="16.813703703703702"/>
    <n v="7168.24"/>
    <n v="8.191126279863481E-2"/>
    <x v="0"/>
    <x v="2"/>
    <n v="2023"/>
    <s v="Wed"/>
    <n v="16"/>
  </r>
  <r>
    <s v="CMP-00024"/>
    <s v="Q4_Winter_CMP-00024"/>
    <d v="2023-05-06T00:00:00"/>
    <x v="1"/>
    <d v="2023-06-05T00:00:00"/>
    <x v="3"/>
    <n v="29693"/>
    <n v="995"/>
    <n v="179"/>
    <x v="1"/>
    <x v="18"/>
    <n v="3.3509581382817497E-2"/>
    <n v="1.8029547738693468"/>
    <n v="10.022011173184358"/>
    <n v="7156.0599999999995"/>
    <n v="0.17989949748743719"/>
    <x v="1"/>
    <x v="2"/>
    <n v="2023"/>
    <s v="Sat"/>
    <n v="30"/>
  </r>
  <r>
    <s v="CMP-00025"/>
    <s v="Q2_Winter_CMP-00025"/>
    <d v="2023-11-24T00:00:00"/>
    <x v="0"/>
    <d v="2023-12-18T00:00:00"/>
    <x v="2"/>
    <n v="72932"/>
    <n v="815"/>
    <n v="157"/>
    <x v="1"/>
    <x v="19"/>
    <n v="1.1174792957823726E-2"/>
    <n v="1.586515337423313"/>
    <n v="8.2357324840764328"/>
    <n v="6556.99"/>
    <n v="0.19263803680981595"/>
    <x v="0"/>
    <x v="2"/>
    <n v="2023"/>
    <s v="Fri"/>
    <n v="24"/>
  </r>
  <r>
    <s v="CMP-00026"/>
    <s v="Q1_Winter_CMP-00026"/>
    <d v="2023-06-16T00:00:00"/>
    <x v="9"/>
    <d v="2023-07-02T00:00:00"/>
    <x v="4"/>
    <n v="94016"/>
    <n v="2427"/>
    <n v="207"/>
    <x v="1"/>
    <x v="10"/>
    <n v="2.5814754935330156E-2"/>
    <n v="1.4963988463123197"/>
    <n v="17.544734299516907"/>
    <n v="6718.24"/>
    <n v="8.5290482076637822E-2"/>
    <x v="3"/>
    <x v="2"/>
    <n v="2023"/>
    <s v="Fri"/>
    <n v="16"/>
  </r>
  <r>
    <s v="CMP-00027"/>
    <s v="Q1_Winter_CMP-00027"/>
    <d v="2023-04-28T00:00:00"/>
    <x v="4"/>
    <d v="2023-05-12T00:00:00"/>
    <x v="0"/>
    <n v="26658"/>
    <n v="912"/>
    <n v="166"/>
    <x v="0"/>
    <x v="20"/>
    <n v="3.4211118613549404E-2"/>
    <n v="1.3368859649122806"/>
    <n v="7.3448192771084342"/>
    <n v="7080.76"/>
    <n v="0.18201754385964913"/>
    <x v="1"/>
    <x v="2"/>
    <n v="2023"/>
    <s v="Fri"/>
    <n v="14"/>
  </r>
  <r>
    <s v="CMP-00028"/>
    <s v="Q4_Summer_CMP-00028"/>
    <d v="2023-07-25T00:00:00"/>
    <x v="8"/>
    <d v="2023-08-08T00:00:00"/>
    <x v="2"/>
    <n v="85478"/>
    <n v="2898"/>
    <n v="187"/>
    <x v="0"/>
    <x v="10"/>
    <n v="3.3903460539554037E-2"/>
    <n v="1.2531953071083506"/>
    <n v="19.421176470588232"/>
    <n v="5718.24"/>
    <n v="6.4527260179434096E-2"/>
    <x v="3"/>
    <x v="0"/>
    <n v="2023"/>
    <s v="Tue"/>
    <n v="14"/>
  </r>
  <r>
    <s v="CMP-00029"/>
    <s v="Q4_BlackFriday_CMP-00029"/>
    <d v="2023-10-18T00:00:00"/>
    <x v="3"/>
    <d v="2023-11-15T00:00:00"/>
    <x v="3"/>
    <n v="19431"/>
    <n v="810"/>
    <n v="47"/>
    <x v="0"/>
    <x v="21"/>
    <n v="4.1685965724872626E-2"/>
    <n v="0.70048148148148148"/>
    <n v="12.072127659574468"/>
    <n v="1782.6100000000001"/>
    <n v="5.802469135802469E-2"/>
    <x v="0"/>
    <x v="3"/>
    <n v="2023"/>
    <s v="Wed"/>
    <n v="28"/>
  </r>
  <r>
    <s v="CMP-00030"/>
    <s v="Q1_Summer_CMP-00030"/>
    <d v="2023-12-02T00:00:00"/>
    <x v="2"/>
    <d v="2023-12-08T00:00:00"/>
    <x v="3"/>
    <n v="3747"/>
    <n v="135"/>
    <n v="9"/>
    <x v="1"/>
    <x v="0"/>
    <n v="3.6028823058446756E-2"/>
    <n v="2.4380185185185184"/>
    <n v="36.570277777777775"/>
    <n v="120.86750000000001"/>
    <n v="6.6666666666666666E-2"/>
    <x v="2"/>
    <x v="0"/>
    <n v="2023"/>
    <s v="Sat"/>
    <n v="6"/>
  </r>
  <r>
    <s v="CMP-00031"/>
    <s v="Q1_Launch_CMP-00031"/>
    <d v="2023-11-26T00:00:00"/>
    <x v="0"/>
    <d v="2023-12-12T00:00:00"/>
    <x v="4"/>
    <n v="60150"/>
    <n v="2988"/>
    <n v="175"/>
    <x v="0"/>
    <x v="22"/>
    <n v="4.967581047381546E-2"/>
    <n v="1.1761646586345382"/>
    <n v="20.082171428571428"/>
    <n v="5235.62"/>
    <n v="5.856760374832664E-2"/>
    <x v="0"/>
    <x v="1"/>
    <n v="2023"/>
    <s v="Sun"/>
    <n v="16"/>
  </r>
  <r>
    <s v="CMP-00032"/>
    <s v="Q2_Summer_CMP-00032"/>
    <d v="2023-05-07T00:00:00"/>
    <x v="1"/>
    <d v="2023-05-29T00:00:00"/>
    <x v="3"/>
    <n v="66725"/>
    <n v="1424"/>
    <n v="251"/>
    <x v="0"/>
    <x v="23"/>
    <n v="2.134132633945298E-2"/>
    <n v="1.9377457865168539"/>
    <n v="10.993426294820717"/>
    <n v="9790.65"/>
    <n v="0.17626404494382023"/>
    <x v="1"/>
    <x v="0"/>
    <n v="2023"/>
    <s v="Sun"/>
    <n v="22"/>
  </r>
  <r>
    <s v="CMP-00033"/>
    <s v="Q2_BlackFriday_CMP-00033"/>
    <d v="2023-10-27T00:00:00"/>
    <x v="3"/>
    <d v="2023-10-29T00:00:00"/>
    <x v="3"/>
    <n v="85654"/>
    <n v="2087"/>
    <n v="122"/>
    <x v="1"/>
    <x v="24"/>
    <n v="2.436547038083452E-2"/>
    <n v="1.1466315285098228"/>
    <n v="19.614918032786886"/>
    <n v="3706.98"/>
    <n v="5.8457115476760899E-2"/>
    <x v="0"/>
    <x v="3"/>
    <n v="2023"/>
    <s v="Fri"/>
    <n v="2"/>
  </r>
  <r>
    <s v="CMP-00034"/>
    <s v="Q2_Summer_CMP-00034"/>
    <d v="2023-07-05T00:00:00"/>
    <x v="8"/>
    <d v="2023-07-17T00:00:00"/>
    <x v="1"/>
    <n v="36773"/>
    <n v="932"/>
    <n v="84"/>
    <x v="1"/>
    <x v="25"/>
    <n v="2.5344682239686726E-2"/>
    <n v="1.3240128755364806"/>
    <n v="14.690238095238096"/>
    <n v="2966.02"/>
    <n v="9.012875536480687E-2"/>
    <x v="3"/>
    <x v="0"/>
    <n v="2023"/>
    <s v="Wed"/>
    <n v="12"/>
  </r>
  <r>
    <s v="CMP-00035"/>
    <s v="Q2_Summer_CMP-00035"/>
    <d v="2023-09-18T00:00:00"/>
    <x v="10"/>
    <d v="2023-09-22T00:00:00"/>
    <x v="3"/>
    <n v="68435"/>
    <n v="1959"/>
    <n v="128"/>
    <x v="0"/>
    <x v="26"/>
    <n v="2.8625703222035507E-2"/>
    <n v="1.2998774885145483"/>
    <n v="19.89421875"/>
    <n v="3853.54"/>
    <n v="6.5339458907605924E-2"/>
    <x v="0"/>
    <x v="0"/>
    <n v="2023"/>
    <s v="Mon"/>
    <n v="4"/>
  </r>
  <r>
    <s v="CMP-00036"/>
    <s v="Q1_Launch_CMP-00036"/>
    <d v="2023-02-26T00:00:00"/>
    <x v="6"/>
    <d v="2023-03-01T00:00:00"/>
    <x v="0"/>
    <n v="57886"/>
    <n v="2514"/>
    <n v="237"/>
    <x v="0"/>
    <x v="10"/>
    <n v="4.343019037418374E-2"/>
    <n v="1.4446141607000795"/>
    <n v="15.323881856540083"/>
    <n v="8218.24"/>
    <n v="9.4272076372315036E-2"/>
    <x v="2"/>
    <x v="1"/>
    <n v="2023"/>
    <s v="Sun"/>
    <n v="3"/>
  </r>
  <r>
    <s v="CMP-00037"/>
    <s v="Q2_Winter_CMP-00037"/>
    <d v="2023-12-15T00:00:00"/>
    <x v="2"/>
    <d v="2023-12-26T00:00:00"/>
    <x v="3"/>
    <n v="67803"/>
    <n v="1317"/>
    <n v="83"/>
    <x v="0"/>
    <x v="27"/>
    <n v="1.9423919295606388E-2"/>
    <n v="1.6223462414578589"/>
    <n v="25.742530120481931"/>
    <n v="2013.37"/>
    <n v="6.3022019741837507E-2"/>
    <x v="2"/>
    <x v="2"/>
    <n v="2023"/>
    <s v="Fri"/>
    <n v="11"/>
  </r>
  <r>
    <s v="CMP-00038"/>
    <s v="Q4_Winter_CMP-00038"/>
    <d v="2023-07-15T00:00:00"/>
    <x v="8"/>
    <d v="2023-08-07T00:00:00"/>
    <x v="0"/>
    <n v="32551"/>
    <n v="1335"/>
    <n v="200"/>
    <x v="0"/>
    <x v="28"/>
    <n v="4.1012564898159812E-2"/>
    <n v="0.83756554307116116"/>
    <n v="5.5907500000000008"/>
    <n v="8881.85"/>
    <n v="0.14981273408239701"/>
    <x v="3"/>
    <x v="2"/>
    <n v="2023"/>
    <s v="Sat"/>
    <n v="23"/>
  </r>
  <r>
    <s v="CMP-00039"/>
    <s v="Q3_Launch_CMP-00039"/>
    <d v="2023-05-09T00:00:00"/>
    <x v="1"/>
    <d v="2023-05-25T00:00:00"/>
    <x v="2"/>
    <n v="12394"/>
    <n v="324"/>
    <n v="22"/>
    <x v="0"/>
    <x v="29"/>
    <n v="2.6141681458770372E-2"/>
    <n v="1.2930864197530862"/>
    <n v="19.043636363636363"/>
    <n v="681.04"/>
    <n v="6.7901234567901231E-2"/>
    <x v="1"/>
    <x v="1"/>
    <n v="2023"/>
    <s v="Tue"/>
    <n v="16"/>
  </r>
  <r>
    <s v="CMP-00040"/>
    <s v="Q4_BlackFriday_CMP-00040"/>
    <d v="2023-01-06T00:00:00"/>
    <x v="11"/>
    <d v="2023-01-26T00:00:00"/>
    <x v="2"/>
    <n v="70092"/>
    <n v="2388"/>
    <n v="424"/>
    <x v="1"/>
    <x v="10"/>
    <n v="3.4069508645779831E-2"/>
    <n v="1.5208375209380234"/>
    <n v="8.5654716981132069"/>
    <n v="17568.240000000002"/>
    <n v="0.17755443886097153"/>
    <x v="2"/>
    <x v="3"/>
    <n v="2023"/>
    <s v="Fri"/>
    <n v="20"/>
  </r>
  <r>
    <s v="CMP-00041"/>
    <s v="Q4_Summer_CMP-00041"/>
    <d v="2023-10-02T00:00:00"/>
    <x v="3"/>
    <d v="2023-10-12T00:00:00"/>
    <x v="2"/>
    <n v="4890"/>
    <n v="172"/>
    <n v="29"/>
    <x v="0"/>
    <x v="0"/>
    <n v="3.5173824130879348E-2"/>
    <n v="1.9135610465116279"/>
    <n v="11.349396551724137"/>
    <n v="1120.8675000000001"/>
    <n v="0.16860465116279069"/>
    <x v="0"/>
    <x v="0"/>
    <n v="2023"/>
    <s v="Mon"/>
    <n v="10"/>
  </r>
  <r>
    <s v="CMP-00042"/>
    <s v="Q3_Summer_CMP-00042"/>
    <d v="2023-06-24T00:00:00"/>
    <x v="9"/>
    <d v="2023-06-29T00:00:00"/>
    <x v="0"/>
    <n v="42606"/>
    <n v="1061"/>
    <n v="55"/>
    <x v="0"/>
    <x v="30"/>
    <n v="2.4902595878514764E-2"/>
    <n v="0.91769085768143255"/>
    <n v="17.703090909090907"/>
    <n v="1776.33"/>
    <n v="5.1837888784165884E-2"/>
    <x v="3"/>
    <x v="0"/>
    <n v="2023"/>
    <s v="Sat"/>
    <n v="5"/>
  </r>
  <r>
    <s v="CMP-00043"/>
    <s v="Q2_Summer_CMP-00043"/>
    <d v="2023-08-21T00:00:00"/>
    <x v="7"/>
    <d v="2023-08-29T00:00:00"/>
    <x v="3"/>
    <n v="97276"/>
    <n v="2967"/>
    <n v="546"/>
    <x v="0"/>
    <x v="10"/>
    <n v="3.0500842962292857E-2"/>
    <n v="1.224051230198854"/>
    <n v="6.6515750915750909"/>
    <n v="23668.240000000002"/>
    <n v="0.18402426693629928"/>
    <x v="3"/>
    <x v="0"/>
    <n v="2023"/>
    <s v="Mon"/>
    <n v="8"/>
  </r>
  <r>
    <s v="CMP-00044"/>
    <s v="Q1_Winter_CMP-00044"/>
    <d v="2023-05-15T00:00:00"/>
    <x v="1"/>
    <d v="2023-06-01T00:00:00"/>
    <x v="2"/>
    <n v="81038"/>
    <n v="2149"/>
    <n v="116"/>
    <x v="0"/>
    <x v="10"/>
    <n v="2.6518423455662774E-2"/>
    <n v="1.6899767333643554"/>
    <n v="31.308275862068964"/>
    <n v="2168.2400000000002"/>
    <n v="5.397859469520707E-2"/>
    <x v="1"/>
    <x v="2"/>
    <n v="2023"/>
    <s v="Mon"/>
    <n v="17"/>
  </r>
  <r>
    <s v="CMP-00045"/>
    <s v="Q2_Summer_CMP-00045"/>
    <d v="2023-09-17T00:00:00"/>
    <x v="10"/>
    <d v="2023-10-03T00:00:00"/>
    <x v="0"/>
    <n v="88313"/>
    <n v="1127"/>
    <n v="96"/>
    <x v="1"/>
    <x v="31"/>
    <n v="1.2761428102317892E-2"/>
    <n v="0.5947116237799468"/>
    <n v="6.9816666666666665"/>
    <n v="4129.76"/>
    <n v="8.5181898846495116E-2"/>
    <x v="0"/>
    <x v="0"/>
    <n v="2023"/>
    <s v="Sun"/>
    <n v="16"/>
  </r>
  <r>
    <s v="CMP-00046"/>
    <s v="Q4_Launch_CMP-00046"/>
    <d v="2023-06-02T00:00:00"/>
    <x v="9"/>
    <d v="2023-06-28T00:00:00"/>
    <x v="3"/>
    <n v="11627"/>
    <n v="319"/>
    <n v="17"/>
    <x v="0"/>
    <x v="32"/>
    <n v="2.7436140018921477E-2"/>
    <n v="1.6651724137931037"/>
    <n v="31.246470588235297"/>
    <n v="318.80999999999995"/>
    <n v="5.329153605015674E-2"/>
    <x v="3"/>
    <x v="1"/>
    <n v="2023"/>
    <s v="Fri"/>
    <n v="26"/>
  </r>
  <r>
    <s v="CMP-00047"/>
    <s v="Q4_BlackFriday_CMP-00047"/>
    <d v="2023-04-12T00:00:00"/>
    <x v="4"/>
    <d v="2023-04-19T00:00:00"/>
    <x v="4"/>
    <n v="9792"/>
    <n v="136"/>
    <n v="13"/>
    <x v="0"/>
    <x v="0"/>
    <n v="1.3888888888888888E-2"/>
    <n v="2.4200919117647057"/>
    <n v="25.317884615384614"/>
    <n v="320.86750000000001"/>
    <n v="9.5588235294117641E-2"/>
    <x v="1"/>
    <x v="3"/>
    <n v="2023"/>
    <s v="Wed"/>
    <n v="7"/>
  </r>
  <r>
    <s v="CMP-00048"/>
    <s v="Q3_Winter_CMP-00048"/>
    <d v="2023-10-04T00:00:00"/>
    <x v="3"/>
    <d v="2023-10-18T00:00:00"/>
    <x v="2"/>
    <n v="74969"/>
    <n v="1964"/>
    <n v="249"/>
    <x v="0"/>
    <x v="33"/>
    <n v="2.6197494964585361E-2"/>
    <n v="1.1922861507128311"/>
    <n v="9.4042168674698807"/>
    <n v="10108.35"/>
    <n v="0.12678207739307534"/>
    <x v="0"/>
    <x v="2"/>
    <n v="2023"/>
    <s v="Wed"/>
    <n v="14"/>
  </r>
  <r>
    <s v="CMP-00049"/>
    <s v="Q4_Winter_CMP-00049"/>
    <d v="2023-01-01T00:00:00"/>
    <x v="11"/>
    <d v="2023-01-17T00:00:00"/>
    <x v="1"/>
    <n v="44001"/>
    <n v="1483"/>
    <m/>
    <x v="1"/>
    <x v="34"/>
    <n v="3.3703779459557735E-2"/>
    <n v="1.974956169925826"/>
    <n v="0"/>
    <n v="-2928.86"/>
    <n v="0"/>
    <x v="2"/>
    <x v="2"/>
    <n v="2023"/>
    <s v="Sun"/>
    <n v="16"/>
  </r>
  <r>
    <s v="CMP-00050"/>
    <s v="Q3_Summer_CMP-00050"/>
    <d v="2023-02-27T00:00:00"/>
    <x v="6"/>
    <d v="2023-02-28T00:00:00"/>
    <x v="2"/>
    <n v="77552"/>
    <n v="2572"/>
    <n v="258"/>
    <x v="0"/>
    <x v="10"/>
    <n v="3.3164844233546521E-2"/>
    <n v="1.4120373250388802"/>
    <n v="14.076589147286821"/>
    <n v="9268.24"/>
    <n v="0.10031104199066875"/>
    <x v="2"/>
    <x v="0"/>
    <n v="2023"/>
    <s v="Mon"/>
    <n v="1"/>
  </r>
  <r>
    <s v="CMP-00051"/>
    <s v="Q4_Winter_CMP-00051"/>
    <d v="2023-06-07T00:00:00"/>
    <x v="9"/>
    <d v="2023-06-17T00:00:00"/>
    <x v="4"/>
    <n v="24897"/>
    <n v="908"/>
    <n v="141"/>
    <x v="0"/>
    <x v="35"/>
    <n v="3.6470257460738238E-2"/>
    <n v="1.6604955947136564"/>
    <n v="10.693120567375887"/>
    <n v="5542.27"/>
    <n v="0.15528634361233482"/>
    <x v="3"/>
    <x v="2"/>
    <n v="2023"/>
    <s v="Wed"/>
    <n v="10"/>
  </r>
  <r>
    <s v="CMP-00052"/>
    <s v="Q2_Launch_CMP-00052"/>
    <d v="2023-10-18T00:00:00"/>
    <x v="3"/>
    <d v="2023-11-08T00:00:00"/>
    <x v="0"/>
    <n v="69148"/>
    <n v="954"/>
    <n v="74"/>
    <x v="1"/>
    <x v="36"/>
    <n v="1.3796494475617515E-2"/>
    <n v="1.6217610062893082"/>
    <n v="20.907567567567568"/>
    <n v="2152.84"/>
    <n v="7.7568134171907763E-2"/>
    <x v="0"/>
    <x v="1"/>
    <n v="2023"/>
    <s v="Wed"/>
    <n v="21"/>
  </r>
  <r>
    <s v="CMP-00053"/>
    <s v="Q1_Winter_CMP-00053"/>
    <d v="2023-09-06T00:00:00"/>
    <x v="10"/>
    <d v="2023-09-12T00:00:00"/>
    <x v="1"/>
    <n v="24483"/>
    <n v="883"/>
    <m/>
    <x v="1"/>
    <x v="37"/>
    <n v="3.6065841604378548E-2"/>
    <n v="0.72591166477916191"/>
    <n v="0"/>
    <n v="-640.98"/>
    <n v="0"/>
    <x v="0"/>
    <x v="2"/>
    <n v="2023"/>
    <s v="Wed"/>
    <n v="6"/>
  </r>
  <r>
    <s v="CMP-00054"/>
    <s v="Q4_Winter_CMP-00054"/>
    <d v="2023-09-30T00:00:00"/>
    <x v="10"/>
    <d v="2023-10-11T00:00:00"/>
    <x v="1"/>
    <n v="49555"/>
    <n v="1114"/>
    <n v="95"/>
    <x v="1"/>
    <x v="38"/>
    <n v="2.2480072646554335E-2"/>
    <n v="0.82584380610412922"/>
    <n v="9.6841052631578943"/>
    <n v="3830.01"/>
    <n v="8.527827648114901E-2"/>
    <x v="0"/>
    <x v="2"/>
    <n v="2023"/>
    <s v="Sat"/>
    <n v="11"/>
  </r>
  <r>
    <s v="CMP-00055"/>
    <s v="Q1_Launch_CMP-00055"/>
    <d v="2023-09-01T00:00:00"/>
    <x v="10"/>
    <d v="2023-10-01T00:00:00"/>
    <x v="4"/>
    <n v="18159"/>
    <n v="471"/>
    <n v="33"/>
    <x v="1"/>
    <x v="39"/>
    <n v="2.5937551627292253E-2"/>
    <n v="1.1959872611464968"/>
    <n v="17.069999999999997"/>
    <n v="1086.69"/>
    <n v="7.0063694267515922E-2"/>
    <x v="0"/>
    <x v="1"/>
    <n v="2023"/>
    <s v="Fri"/>
    <n v="30"/>
  </r>
  <r>
    <s v="CMP-00056"/>
    <s v="Q4_BlackFriday_CMP-00056"/>
    <d v="2023-09-28T00:00:00"/>
    <x v="10"/>
    <d v="2023-10-08T00:00:00"/>
    <x v="1"/>
    <n v="81077"/>
    <n v="3593"/>
    <n v="279"/>
    <x v="1"/>
    <x v="40"/>
    <n v="4.4315897233494085E-2"/>
    <n v="0.89600612301697746"/>
    <n v="11.538888888888888"/>
    <n v="10730.65"/>
    <n v="7.7650988032284998E-2"/>
    <x v="0"/>
    <x v="3"/>
    <n v="2023"/>
    <s v="Thu"/>
    <n v="10"/>
  </r>
  <r>
    <s v="CMP-00057"/>
    <s v="Q4_Launch_CMP-00057"/>
    <d v="2023-04-19T00:00:00"/>
    <x v="4"/>
    <d v="2023-05-11T00:00:00"/>
    <x v="2"/>
    <n v="36920"/>
    <n v="382"/>
    <n v="29"/>
    <x v="0"/>
    <x v="41"/>
    <n v="1.0346695557963163E-2"/>
    <n v="1.1228534031413613"/>
    <n v="14.790689655172415"/>
    <n v="1021.0699999999999"/>
    <n v="7.5916230366492143E-2"/>
    <x v="1"/>
    <x v="1"/>
    <n v="2023"/>
    <s v="Wed"/>
    <n v="22"/>
  </r>
  <r>
    <s v="CMP-00058"/>
    <s v="Q2_Summer_CMP-00058"/>
    <d v="2023-12-20T00:00:00"/>
    <x v="2"/>
    <d v="2024-01-09T00:00:00"/>
    <x v="0"/>
    <n v="93067"/>
    <n v="3121"/>
    <n v="396"/>
    <x v="0"/>
    <x v="10"/>
    <n v="3.3534980175572437E-2"/>
    <n v="1.1636526754245433"/>
    <n v="9.1711111111111112"/>
    <n v="16168.24"/>
    <n v="0.1268824094841397"/>
    <x v="2"/>
    <x v="0"/>
    <n v="2023"/>
    <s v="Wed"/>
    <n v="20"/>
  </r>
  <r>
    <s v="CMP-00059"/>
    <s v="Q3_Launch_CMP-00059"/>
    <d v="2023-12-10T00:00:00"/>
    <x v="2"/>
    <d v="2023-12-24T00:00:00"/>
    <x v="1"/>
    <n v="68121"/>
    <n v="2312"/>
    <n v="408"/>
    <x v="0"/>
    <x v="10"/>
    <n v="3.3939607463190496E-2"/>
    <n v="1.5708304498269896"/>
    <n v="8.901372549019607"/>
    <n v="16768.240000000002"/>
    <n v="0.17647058823529413"/>
    <x v="2"/>
    <x v="1"/>
    <n v="2023"/>
    <s v="Sun"/>
    <n v="14"/>
  </r>
  <r>
    <s v="CMP-00060"/>
    <s v="Q2_BlackFriday_CMP-00060"/>
    <d v="2023-09-22T00:00:00"/>
    <x v="10"/>
    <d v="2023-10-12T00:00:00"/>
    <x v="2"/>
    <n v="70479"/>
    <n v="1823"/>
    <n v="112"/>
    <x v="0"/>
    <x v="42"/>
    <n v="2.5865860752848364E-2"/>
    <n v="1.4450575973669777"/>
    <n v="23.520892857142858"/>
    <n v="2965.66"/>
    <n v="6.1437191442676904E-2"/>
    <x v="0"/>
    <x v="3"/>
    <n v="2023"/>
    <s v="Fri"/>
    <n v="20"/>
  </r>
  <r>
    <s v="CMP-00061"/>
    <s v="Q1_Summer_CMP-00061"/>
    <d v="2023-02-02T00:00:00"/>
    <x v="6"/>
    <d v="2023-02-06T00:00:00"/>
    <x v="4"/>
    <n v="90475"/>
    <n v="1762"/>
    <n v="274"/>
    <x v="0"/>
    <x v="43"/>
    <n v="1.9474993092014368E-2"/>
    <n v="1.7871793416572079"/>
    <n v="11.492737226277374"/>
    <n v="10550.99"/>
    <n v="0.15550510783200908"/>
    <x v="2"/>
    <x v="0"/>
    <n v="2023"/>
    <s v="Thu"/>
    <n v="4"/>
  </r>
  <r>
    <s v="CMP-00062"/>
    <s v="Q1_BlackFriday_CMP-00062"/>
    <d v="2023-04-28T00:00:00"/>
    <x v="4"/>
    <d v="2023-05-18T00:00:00"/>
    <x v="4"/>
    <n v="20457"/>
    <n v="396"/>
    <n v="58"/>
    <x v="0"/>
    <x v="44"/>
    <n v="1.9357677078750551E-2"/>
    <n v="1.6756565656565656"/>
    <n v="11.440689655172413"/>
    <n v="2236.44"/>
    <n v="0.14646464646464646"/>
    <x v="1"/>
    <x v="3"/>
    <n v="2023"/>
    <s v="Fri"/>
    <n v="20"/>
  </r>
  <r>
    <s v="CMP-00063"/>
    <s v="Q3_Summer_CMP-00063"/>
    <d v="2023-12-29T00:00:00"/>
    <x v="2"/>
    <d v="2024-01-03T00:00:00"/>
    <x v="1"/>
    <n v="67557"/>
    <n v="3063"/>
    <n v="554"/>
    <x v="1"/>
    <x v="45"/>
    <n v="4.5339491096407475E-2"/>
    <n v="1.1434769833496572"/>
    <n v="6.3221480144404332"/>
    <n v="24197.53"/>
    <n v="0.18086842964413974"/>
    <x v="2"/>
    <x v="0"/>
    <n v="2023"/>
    <s v="Fri"/>
    <n v="5"/>
  </r>
  <r>
    <s v="CMP-00064"/>
    <s v="Q2_BlackFriday_CMP-00064"/>
    <d v="2023-01-17T00:00:00"/>
    <x v="11"/>
    <d v="2023-02-03T00:00:00"/>
    <x v="2"/>
    <n v="78189"/>
    <n v="2164"/>
    <n v="187"/>
    <x v="0"/>
    <x v="46"/>
    <n v="2.7676527388763125E-2"/>
    <n v="0.80159889094269876"/>
    <n v="9.2762566844919796"/>
    <n v="7615.34"/>
    <n v="8.641404805914972E-2"/>
    <x v="2"/>
    <x v="3"/>
    <n v="2023"/>
    <s v="Tue"/>
    <n v="17"/>
  </r>
  <r>
    <s v="CMP-00065"/>
    <s v="Q2_Summer_CMP-00065"/>
    <d v="2023-05-02T00:00:00"/>
    <x v="1"/>
    <d v="2023-05-12T00:00:00"/>
    <x v="2"/>
    <n v="79953"/>
    <n v="1857"/>
    <n v="218"/>
    <x v="1"/>
    <x v="47"/>
    <n v="2.3226145360399235E-2"/>
    <n v="1.2713031771674743"/>
    <n v="10.829403669724771"/>
    <n v="8539.19"/>
    <n v="0.11739364566505116"/>
    <x v="1"/>
    <x v="0"/>
    <n v="2023"/>
    <s v="Tue"/>
    <n v="10"/>
  </r>
  <r>
    <s v="CMP-00066"/>
    <s v="Q1_Winter_CMP-00066"/>
    <d v="2023-10-04T00:00:00"/>
    <x v="3"/>
    <d v="2023-10-15T00:00:00"/>
    <x v="0"/>
    <n v="53995"/>
    <n v="1509"/>
    <n v="285"/>
    <x v="0"/>
    <x v="48"/>
    <n v="2.7947032132604872E-2"/>
    <n v="1.604340622929092"/>
    <n v="8.4945614035087704"/>
    <n v="11829.05"/>
    <n v="0.18886679920477137"/>
    <x v="0"/>
    <x v="2"/>
    <n v="2023"/>
    <s v="Wed"/>
    <n v="11"/>
  </r>
  <r>
    <s v="CMP-00067"/>
    <s v="Q1_BlackFriday_CMP-00067"/>
    <d v="2023-10-20T00:00:00"/>
    <x v="3"/>
    <d v="2023-11-13T00:00:00"/>
    <x v="4"/>
    <n v="41757"/>
    <n v="1535"/>
    <m/>
    <x v="0"/>
    <x v="49"/>
    <n v="3.6760303661661518E-2"/>
    <n v="1.1546319218241041"/>
    <n v="0"/>
    <n v="-1772.36"/>
    <n v="0"/>
    <x v="0"/>
    <x v="3"/>
    <n v="2023"/>
    <s v="Fri"/>
    <n v="24"/>
  </r>
  <r>
    <s v="CMP-00068"/>
    <s v="Q2_Winter_CMP-00068"/>
    <d v="2023-08-31T00:00:00"/>
    <x v="7"/>
    <d v="2023-09-12T00:00:00"/>
    <x v="1"/>
    <n v="10692"/>
    <n v="169"/>
    <n v="18"/>
    <x v="0"/>
    <x v="0"/>
    <n v="1.5806210250654696E-2"/>
    <n v="1.9475295857988166"/>
    <n v="18.285138888888888"/>
    <n v="570.86750000000006"/>
    <n v="0.10650887573964497"/>
    <x v="3"/>
    <x v="2"/>
    <n v="2023"/>
    <s v="Thu"/>
    <n v="12"/>
  </r>
  <r>
    <s v="CMP-00069"/>
    <s v="Q1_Winter_CMP-00069"/>
    <d v="2023-02-19T00:00:00"/>
    <x v="6"/>
    <d v="2023-03-17T00:00:00"/>
    <x v="2"/>
    <n v="46758"/>
    <n v="1308"/>
    <n v="91"/>
    <x v="0"/>
    <x v="50"/>
    <n v="2.7973822661362762E-2"/>
    <n v="0.64149082568807347"/>
    <n v="9.2205494505494503"/>
    <n v="3710.93"/>
    <n v="6.9571865443425071E-2"/>
    <x v="2"/>
    <x v="2"/>
    <n v="2023"/>
    <s v="Sun"/>
    <n v="26"/>
  </r>
  <r>
    <s v="CMP-00070"/>
    <s v="Q3_Summer_CMP-00070"/>
    <d v="2023-07-30T00:00:00"/>
    <x v="8"/>
    <d v="2023-08-22T00:00:00"/>
    <x v="2"/>
    <n v="73409"/>
    <n v="2460"/>
    <n v="219"/>
    <x v="0"/>
    <x v="10"/>
    <n v="3.3510877412851282E-2"/>
    <n v="1.4763252032520324"/>
    <n v="16.58337899543379"/>
    <n v="7318.24"/>
    <n v="8.9024390243902435E-2"/>
    <x v="3"/>
    <x v="0"/>
    <n v="2023"/>
    <s v="Sun"/>
    <n v="23"/>
  </r>
  <r>
    <s v="CMP-00071"/>
    <s v="Q1_Launch_CMP-00071"/>
    <d v="2023-12-11T00:00:00"/>
    <x v="2"/>
    <d v="2024-01-08T00:00:00"/>
    <x v="0"/>
    <n v="72211"/>
    <n v="3462"/>
    <n v="474"/>
    <x v="0"/>
    <x v="10"/>
    <n v="4.7942834194236332E-2"/>
    <n v="1.0490352397458116"/>
    <n v="7.6619409282700417"/>
    <n v="20068.240000000002"/>
    <n v="0.1369150779896014"/>
    <x v="2"/>
    <x v="1"/>
    <n v="2023"/>
    <s v="Mon"/>
    <n v="28"/>
  </r>
  <r>
    <s v="CMP-00072"/>
    <s v="Q1_Summer_CMP-00072"/>
    <d v="2023-02-01T00:00:00"/>
    <x v="6"/>
    <d v="2023-03-03T00:00:00"/>
    <x v="2"/>
    <n v="66697"/>
    <n v="1340"/>
    <m/>
    <x v="0"/>
    <x v="51"/>
    <n v="2.0090858659310012E-2"/>
    <n v="1.5602537313432834"/>
    <n v="0"/>
    <n v="-2090.7399999999998"/>
    <n v="0"/>
    <x v="2"/>
    <x v="0"/>
    <n v="2023"/>
    <s v="Wed"/>
    <n v="30"/>
  </r>
  <r>
    <s v="CMP-00073"/>
    <s v="Q3_Summer_CMP-00073"/>
    <d v="2023-02-25T00:00:00"/>
    <x v="6"/>
    <d v="2023-03-09T00:00:00"/>
    <x v="4"/>
    <n v="38065"/>
    <n v="927"/>
    <m/>
    <x v="1"/>
    <x v="52"/>
    <n v="2.4353080257454356E-2"/>
    <n v="1.9508953613807982"/>
    <n v="0"/>
    <n v="-1808.48"/>
    <n v="0"/>
    <x v="2"/>
    <x v="0"/>
    <n v="2023"/>
    <s v="Sat"/>
    <n v="12"/>
  </r>
  <r>
    <s v="CMP-00074"/>
    <s v="Q3_Summer_CMP-00074"/>
    <d v="2023-08-18T00:00:00"/>
    <x v="7"/>
    <d v="2023-09-06T00:00:00"/>
    <x v="2"/>
    <n v="93093"/>
    <n v="2343"/>
    <n v="327"/>
    <x v="1"/>
    <x v="10"/>
    <n v="2.5168380007089684E-2"/>
    <n v="1.5500469483568073"/>
    <n v="11.106299694189602"/>
    <n v="12718.24"/>
    <n v="0.13956466069142126"/>
    <x v="3"/>
    <x v="0"/>
    <n v="2023"/>
    <s v="Fri"/>
    <n v="19"/>
  </r>
  <r>
    <s v="CMP-00075"/>
    <s v="Q3_BlackFriday_CMP-00075"/>
    <d v="2023-08-25T00:00:00"/>
    <x v="7"/>
    <d v="2023-09-10T00:00:00"/>
    <x v="0"/>
    <n v="33606"/>
    <n v="1150"/>
    <n v="152"/>
    <x v="0"/>
    <x v="53"/>
    <n v="3.4220079747664105E-2"/>
    <n v="1.8546434782608696"/>
    <n v="14.031842105263159"/>
    <n v="5467.16"/>
    <n v="0.13217391304347825"/>
    <x v="3"/>
    <x v="3"/>
    <n v="2023"/>
    <s v="Fri"/>
    <n v="16"/>
  </r>
  <r>
    <s v="CMP-00076"/>
    <s v="Q4_Winter_CMP-00076"/>
    <d v="2023-08-15T00:00:00"/>
    <x v="7"/>
    <d v="2023-08-18T00:00:00"/>
    <x v="2"/>
    <n v="12534"/>
    <n v="304"/>
    <n v="38"/>
    <x v="0"/>
    <x v="54"/>
    <n v="2.4254029041008457E-2"/>
    <n v="1.9003618421052633"/>
    <n v="15.202894736842106"/>
    <n v="1322.29"/>
    <n v="0.125"/>
    <x v="3"/>
    <x v="2"/>
    <n v="2023"/>
    <s v="Tue"/>
    <n v="3"/>
  </r>
  <r>
    <s v="CMP-00077"/>
    <s v="Q3_Launch_CMP-00077"/>
    <d v="2023-02-20T00:00:00"/>
    <x v="6"/>
    <d v="2023-02-21T00:00:00"/>
    <x v="4"/>
    <n v="95663"/>
    <n v="2998"/>
    <n v="460"/>
    <x v="1"/>
    <x v="10"/>
    <n v="3.1339180247326549E-2"/>
    <n v="1.2113942628418946"/>
    <n v="7.8951304347826081"/>
    <n v="19368.240000000002"/>
    <n v="0.15343562374916611"/>
    <x v="2"/>
    <x v="1"/>
    <n v="2023"/>
    <s v="Mon"/>
    <n v="1"/>
  </r>
  <r>
    <s v="CMP-00078"/>
    <s v="Q3_Winter_CMP-00078"/>
    <d v="2023-10-04T00:00:00"/>
    <x v="3"/>
    <d v="2023-10-19T00:00:00"/>
    <x v="2"/>
    <n v="41397"/>
    <n v="1708"/>
    <n v="299"/>
    <x v="1"/>
    <x v="55"/>
    <n v="4.1259028432011985E-2"/>
    <n v="1.511387587822014"/>
    <n v="8.6336120401337784"/>
    <n v="12368.55"/>
    <n v="0.17505854800936768"/>
    <x v="0"/>
    <x v="2"/>
    <n v="2023"/>
    <s v="Wed"/>
    <n v="15"/>
  </r>
  <r>
    <s v="CMP-00079"/>
    <s v="Q1_BlackFriday_CMP-00079"/>
    <d v="2023-05-02T00:00:00"/>
    <x v="1"/>
    <d v="2023-05-14T00:00:00"/>
    <x v="4"/>
    <n v="92387"/>
    <n v="3530"/>
    <n v="347"/>
    <x v="0"/>
    <x v="56"/>
    <n v="3.8208838905906678E-2"/>
    <n v="0.50857790368271949"/>
    <n v="5.1737175792507202"/>
    <n v="15554.72"/>
    <n v="9.8300283286118978E-2"/>
    <x v="1"/>
    <x v="3"/>
    <n v="2023"/>
    <s v="Tue"/>
    <n v="12"/>
  </r>
  <r>
    <s v="CMP-00080"/>
    <s v="Q4_Summer_CMP-00080"/>
    <d v="2023-04-20T00:00:00"/>
    <x v="4"/>
    <d v="2023-05-04T00:00:00"/>
    <x v="1"/>
    <n v="2016"/>
    <n v="56"/>
    <n v="10"/>
    <x v="0"/>
    <x v="0"/>
    <n v="2.7777777777777776E-2"/>
    <n v="5.8773660714285709"/>
    <n v="32.913249999999998"/>
    <n v="170.86750000000001"/>
    <n v="0.17857142857142858"/>
    <x v="1"/>
    <x v="0"/>
    <n v="2023"/>
    <s v="Thu"/>
    <n v="14"/>
  </r>
  <r>
    <s v="CMP-00081"/>
    <s v="Q2_Summer_CMP-00081"/>
    <d v="2023-03-26T00:00:00"/>
    <x v="5"/>
    <d v="2023-04-03T00:00:00"/>
    <x v="2"/>
    <n v="90789"/>
    <n v="4046"/>
    <n v="299"/>
    <x v="0"/>
    <x v="10"/>
    <n v="4.4564870193525646E-2"/>
    <n v="0.89761739990113687"/>
    <n v="12.146354515050167"/>
    <n v="11318.24"/>
    <n v="7.3900148294611959E-2"/>
    <x v="1"/>
    <x v="0"/>
    <n v="2023"/>
    <s v="Sun"/>
    <n v="8"/>
  </r>
  <r>
    <s v="CMP-00082"/>
    <s v="Q4_Launch_CMP-00082"/>
    <d v="2023-05-16T00:00:00"/>
    <x v="1"/>
    <d v="2023-05-23T00:00:00"/>
    <x v="0"/>
    <n v="56591"/>
    <n v="1829"/>
    <n v="138"/>
    <x v="1"/>
    <x v="57"/>
    <n v="3.2319626795780244E-2"/>
    <n v="0.95604702022963362"/>
    <n v="12.671086956521739"/>
    <n v="5151.3900000000003"/>
    <n v="7.5451066156369595E-2"/>
    <x v="1"/>
    <x v="1"/>
    <n v="2023"/>
    <s v="Tue"/>
    <n v="7"/>
  </r>
  <r>
    <s v="CMP-00083"/>
    <s v="Q1_BlackFriday_CMP-00083"/>
    <d v="2023-05-27T00:00:00"/>
    <x v="1"/>
    <d v="2023-06-07T00:00:00"/>
    <x v="3"/>
    <n v="90812"/>
    <n v="2869"/>
    <n v="258"/>
    <x v="0"/>
    <x v="58"/>
    <n v="3.1592741047438665E-2"/>
    <n v="0.97715580341582431"/>
    <n v="10.866124031007752"/>
    <n v="10096.540000000001"/>
    <n v="8.9926803764377838E-2"/>
    <x v="1"/>
    <x v="3"/>
    <n v="2023"/>
    <s v="Sat"/>
    <n v="11"/>
  </r>
  <r>
    <s v="CMP-00084"/>
    <s v="Q2_Winter_CMP-00084"/>
    <d v="2023-10-12T00:00:00"/>
    <x v="3"/>
    <d v="2023-11-04T00:00:00"/>
    <x v="3"/>
    <n v="24247"/>
    <n v="275"/>
    <n v="18"/>
    <x v="1"/>
    <x v="59"/>
    <n v="1.1341609271250051E-2"/>
    <n v="1.9417454545454547"/>
    <n v="29.665555555555557"/>
    <n v="366.02"/>
    <n v="6.545454545454546E-2"/>
    <x v="0"/>
    <x v="2"/>
    <n v="2023"/>
    <s v="Thu"/>
    <n v="23"/>
  </r>
  <r>
    <s v="CMP-00085"/>
    <s v="Q4_Summer_CMP-00085"/>
    <d v="2023-04-08T00:00:00"/>
    <x v="4"/>
    <d v="2023-04-16T00:00:00"/>
    <x v="2"/>
    <n v="25300"/>
    <n v="1251"/>
    <n v="105"/>
    <x v="0"/>
    <x v="60"/>
    <n v="4.9446640316205534E-2"/>
    <n v="1.8375699440447644"/>
    <n v="21.893333333333334"/>
    <n v="2951.2"/>
    <n v="8.3932853717026384E-2"/>
    <x v="1"/>
    <x v="0"/>
    <n v="2023"/>
    <s v="Sat"/>
    <n v="8"/>
  </r>
  <r>
    <s v="CMP-00086"/>
    <s v="Q1_Winter_CMP-00086"/>
    <d v="2023-10-24T00:00:00"/>
    <x v="3"/>
    <d v="2023-11-23T00:00:00"/>
    <x v="4"/>
    <n v="75065"/>
    <n v="1119"/>
    <n v="73"/>
    <x v="0"/>
    <x v="61"/>
    <n v="1.4907080530207154E-2"/>
    <n v="1.7737712243074173"/>
    <n v="27.18972602739726"/>
    <n v="1665.15"/>
    <n v="6.523681858802502E-2"/>
    <x v="0"/>
    <x v="2"/>
    <n v="2023"/>
    <s v="Tue"/>
    <n v="30"/>
  </r>
  <r>
    <s v="CMP-00087"/>
    <s v="Q2_Winter_CMP-00087"/>
    <d v="2023-10-06T00:00:00"/>
    <x v="3"/>
    <d v="2023-11-05T00:00:00"/>
    <x v="3"/>
    <n v="83798"/>
    <n v="1612"/>
    <n v="279"/>
    <x v="0"/>
    <x v="62"/>
    <n v="1.923673596028545E-2"/>
    <n v="1.1090198511166254"/>
    <n v="6.4076702508960572"/>
    <n v="12162.26"/>
    <n v="0.17307692307692307"/>
    <x v="0"/>
    <x v="2"/>
    <n v="2023"/>
    <s v="Fri"/>
    <n v="30"/>
  </r>
  <r>
    <s v="CMP-00088"/>
    <s v="Q2_BlackFriday_CMP-00088"/>
    <d v="2023-10-27T00:00:00"/>
    <x v="3"/>
    <d v="2023-11-25T00:00:00"/>
    <x v="3"/>
    <n v="10268"/>
    <n v="123"/>
    <n v="8"/>
    <x v="1"/>
    <x v="0"/>
    <n v="1.1978963770938839E-2"/>
    <n v="2.6758739837398373"/>
    <n v="41.141562499999999"/>
    <n v="70.867500000000007"/>
    <n v="6.5040650406504072E-2"/>
    <x v="0"/>
    <x v="3"/>
    <n v="2023"/>
    <s v="Fri"/>
    <n v="29"/>
  </r>
  <r>
    <s v="CMP-00089"/>
    <s v="Q4_Winter_CMP-00089"/>
    <d v="2023-09-29T00:00:00"/>
    <x v="10"/>
    <d v="2023-10-10T00:00:00"/>
    <x v="3"/>
    <n v="87807"/>
    <n v="3125"/>
    <n v="506"/>
    <x v="0"/>
    <x v="63"/>
    <n v="3.5589417700183354E-2"/>
    <n v="0.62033280000000002"/>
    <n v="3.8311067193675887"/>
    <n v="23361.46"/>
    <n v="0.16192000000000001"/>
    <x v="0"/>
    <x v="2"/>
    <n v="2023"/>
    <s v="Fri"/>
    <n v="11"/>
  </r>
  <r>
    <s v="CMP-00090"/>
    <s v="Q3_BlackFriday_CMP-00090"/>
    <d v="2023-02-11T00:00:00"/>
    <x v="6"/>
    <d v="2023-11-23T00:00:00"/>
    <x v="3"/>
    <n v="13185"/>
    <n v="250"/>
    <n v="14"/>
    <x v="0"/>
    <x v="0"/>
    <n v="1.8960940462646948E-2"/>
    <n v="1.31653"/>
    <n v="23.509464285714284"/>
    <n v="370.86750000000001"/>
    <n v="5.6000000000000001E-2"/>
    <x v="2"/>
    <x v="3"/>
    <n v="2023"/>
    <s v="Sat"/>
    <n v="285"/>
  </r>
  <r>
    <s v="CMP-00091"/>
    <s v="Q3_Launch_CMP-00091"/>
    <d v="2023-02-04T00:00:00"/>
    <x v="6"/>
    <d v="2023-03-06T00:00:00"/>
    <x v="3"/>
    <n v="64704"/>
    <n v="1112"/>
    <n v="213"/>
    <x v="0"/>
    <x v="64"/>
    <n v="1.7185954500494559E-2"/>
    <n v="0.52361510791366905"/>
    <n v="2.7336150234741785"/>
    <n v="10067.74"/>
    <n v="0.19154676258992806"/>
    <x v="2"/>
    <x v="1"/>
    <n v="2023"/>
    <s v="Sat"/>
    <n v="30"/>
  </r>
  <r>
    <s v="CMP-00092"/>
    <s v="Q1_Launch_CMP-00092"/>
    <d v="2023-03-03T00:00:00"/>
    <x v="5"/>
    <d v="2023-04-01T00:00:00"/>
    <x v="4"/>
    <n v="87779"/>
    <n v="1188"/>
    <n v="186"/>
    <x v="1"/>
    <x v="65"/>
    <n v="1.3533988767245013E-2"/>
    <n v="0.5257239057239057"/>
    <n v="3.357849462365591"/>
    <n v="8675.44"/>
    <n v="0.15656565656565657"/>
    <x v="1"/>
    <x v="1"/>
    <n v="2023"/>
    <s v="Fri"/>
    <n v="29"/>
  </r>
  <r>
    <s v="CMP-00093"/>
    <s v="Q2_Winter_CMP-00093"/>
    <d v="2023-10-24T00:00:00"/>
    <x v="3"/>
    <d v="2023-11-09T00:00:00"/>
    <x v="4"/>
    <n v="40099"/>
    <n v="566"/>
    <n v="28"/>
    <x v="1"/>
    <x v="66"/>
    <n v="1.4115065213596348E-2"/>
    <n v="1.8749116607773852"/>
    <n v="37.9"/>
    <n v="338.79999999999995"/>
    <n v="4.9469964664310952E-2"/>
    <x v="0"/>
    <x v="2"/>
    <n v="2023"/>
    <s v="Tue"/>
    <n v="16"/>
  </r>
  <r>
    <s v="CMP-00094"/>
    <s v="Q1_Winter_CMP-00094"/>
    <d v="2023-08-03T00:00:00"/>
    <x v="7"/>
    <d v="2023-08-29T00:00:00"/>
    <x v="4"/>
    <n v="9571"/>
    <n v="319"/>
    <n v="52"/>
    <x v="1"/>
    <x v="67"/>
    <n v="3.3329850590324943E-2"/>
    <n v="1.5592476489028213"/>
    <n v="9.5653846153846143"/>
    <n v="2102.6"/>
    <n v="0.16300940438871472"/>
    <x v="3"/>
    <x v="2"/>
    <n v="2023"/>
    <s v="Thu"/>
    <n v="26"/>
  </r>
  <r>
    <s v="CMP-00095"/>
    <s v="Q4_Summer_CMP-00095"/>
    <d v="2023-06-11T00:00:00"/>
    <x v="9"/>
    <d v="2023-06-20T00:00:00"/>
    <x v="0"/>
    <n v="39044"/>
    <n v="1465"/>
    <n v="186"/>
    <x v="0"/>
    <x v="68"/>
    <n v="3.7521770310419013E-2"/>
    <n v="0.96343344709897616"/>
    <n v="7.5883333333333338"/>
    <n v="7888.57"/>
    <n v="0.12696245733788397"/>
    <x v="3"/>
    <x v="0"/>
    <n v="2023"/>
    <s v="Sun"/>
    <n v="9"/>
  </r>
  <r>
    <s v="CMP-00096"/>
    <s v="Q1_Winter_CMP-00096"/>
    <d v="2023-06-10T00:00:00"/>
    <x v="9"/>
    <d v="2023-06-28T00:00:00"/>
    <x v="4"/>
    <n v="52214"/>
    <n v="1352"/>
    <n v="225"/>
    <x v="1"/>
    <x v="69"/>
    <n v="2.5893438541387367E-2"/>
    <n v="0.69896449704142016"/>
    <n v="4.2"/>
    <n v="10305"/>
    <n v="0.16642011834319526"/>
    <x v="3"/>
    <x v="2"/>
    <n v="2023"/>
    <s v="Sat"/>
    <n v="18"/>
  </r>
  <r>
    <s v="CMP-00097"/>
    <s v="Q3_Summer_CMP-00097"/>
    <d v="2023-12-10T00:00:00"/>
    <x v="2"/>
    <d v="2023-12-21T00:00:00"/>
    <x v="2"/>
    <n v="62228"/>
    <n v="1816"/>
    <n v="233"/>
    <x v="1"/>
    <x v="70"/>
    <n v="2.9183004435302435E-2"/>
    <n v="1.2674559471365638"/>
    <n v="9.8785407725321885"/>
    <n v="9348.2999999999993"/>
    <n v="0.12830396475770925"/>
    <x v="2"/>
    <x v="0"/>
    <n v="2023"/>
    <s v="Sun"/>
    <n v="11"/>
  </r>
  <r>
    <s v="CMP-00098"/>
    <s v="Q4_Summer_CMP-00098"/>
    <d v="2023-07-02T00:00:00"/>
    <x v="8"/>
    <d v="2023-08-01T00:00:00"/>
    <x v="2"/>
    <n v="49984"/>
    <n v="1871"/>
    <n v="273"/>
    <x v="1"/>
    <x v="71"/>
    <n v="3.7431978233034569E-2"/>
    <n v="0.50801710315339388"/>
    <n v="3.4816849816849818"/>
    <n v="12699.5"/>
    <n v="0.1459112773917691"/>
    <x v="3"/>
    <x v="0"/>
    <n v="2023"/>
    <s v="Sun"/>
    <n v="30"/>
  </r>
  <r>
    <s v="CMP-00099"/>
    <s v="Q4_BlackFriday_CMP-00099"/>
    <d v="2023-11-15T00:00:00"/>
    <x v="0"/>
    <d v="2023-12-11T00:00:00"/>
    <x v="3"/>
    <n v="41774"/>
    <n v="446"/>
    <n v="74"/>
    <x v="1"/>
    <x v="72"/>
    <n v="1.0676497342844832E-2"/>
    <n v="1.9076233183856501"/>
    <n v="11.497297297297298"/>
    <n v="2849.2"/>
    <n v="0.16591928251121077"/>
    <x v="0"/>
    <x v="3"/>
    <n v="2023"/>
    <s v="Wed"/>
    <n v="26"/>
  </r>
  <r>
    <s v="CMP-00100"/>
    <s v="Q2_BlackFriday_CMP-00100"/>
    <d v="2023-02-07T00:00:00"/>
    <x v="6"/>
    <d v="2023-02-18T00:00:00"/>
    <x v="0"/>
    <n v="3568"/>
    <n v="81"/>
    <n v="8"/>
    <x v="0"/>
    <x v="0"/>
    <n v="2.2701793721973094E-2"/>
    <n v="4.0633641975308645"/>
    <n v="41.141562499999999"/>
    <n v="70.867500000000007"/>
    <n v="9.8765432098765427E-2"/>
    <x v="2"/>
    <x v="3"/>
    <n v="2023"/>
    <s v="Tue"/>
    <n v="11"/>
  </r>
  <r>
    <s v="CMP-00101"/>
    <s v="Q2_Summer_CMP-00101"/>
    <d v="2023-03-09T00:00:00"/>
    <x v="5"/>
    <d v="2023-04-01T00:00:00"/>
    <x v="0"/>
    <n v="63592"/>
    <n v="3111"/>
    <n v="156"/>
    <x v="1"/>
    <x v="73"/>
    <n v="4.89212479557177E-2"/>
    <n v="1.1035036965605916"/>
    <n v="22.006410256410255"/>
    <n v="4367"/>
    <n v="5.0144648023143681E-2"/>
    <x v="1"/>
    <x v="0"/>
    <n v="2023"/>
    <s v="Thu"/>
    <n v="23"/>
  </r>
  <r>
    <s v="CMP-00102"/>
    <s v="Q3_BlackFriday_CMP-00102"/>
    <d v="2023-05-06T00:00:00"/>
    <x v="1"/>
    <d v="2023-05-13T00:00:00"/>
    <x v="4"/>
    <n v="68563"/>
    <n v="2276"/>
    <n v="403"/>
    <x v="0"/>
    <x v="74"/>
    <n v="3.3195746977232619E-2"/>
    <n v="1.0858919156414761"/>
    <n v="6.1327295285359797"/>
    <n v="17678.510000000002"/>
    <n v="0.17706502636203866"/>
    <x v="1"/>
    <x v="3"/>
    <n v="2023"/>
    <s v="Sat"/>
    <n v="7"/>
  </r>
  <r>
    <s v="CMP-00103"/>
    <s v="Q3_Summer_CMP-00103"/>
    <d v="2023-10-06T00:00:00"/>
    <x v="3"/>
    <d v="2023-11-04T00:00:00"/>
    <x v="4"/>
    <n v="3695"/>
    <n v="74"/>
    <n v="7"/>
    <x v="1"/>
    <x v="0"/>
    <n v="2.0027063599458727E-2"/>
    <n v="4.4477364864864866"/>
    <n v="47.018928571428567"/>
    <n v="20.867500000000007"/>
    <n v="9.45945945945946E-2"/>
    <x v="0"/>
    <x v="0"/>
    <n v="2023"/>
    <s v="Fri"/>
    <n v="29"/>
  </r>
  <r>
    <s v="CMP-00104"/>
    <s v="Q1_Winter_CMP-00104"/>
    <d v="2023-12-01T00:00:00"/>
    <x v="2"/>
    <d v="2023-12-06T00:00:00"/>
    <x v="2"/>
    <n v="49190"/>
    <n v="1518"/>
    <n v="188"/>
    <x v="0"/>
    <x v="75"/>
    <n v="3.0859930880260216E-2"/>
    <n v="1.457483530961792"/>
    <n v="11.768404255319149"/>
    <n v="7187.54"/>
    <n v="0.12384716732542819"/>
    <x v="2"/>
    <x v="2"/>
    <n v="2023"/>
    <s v="Fri"/>
    <n v="5"/>
  </r>
  <r>
    <s v="CMP-00105"/>
    <s v="Q4_BlackFriday_CMP-00105"/>
    <d v="2023-10-11T00:00:00"/>
    <x v="3"/>
    <d v="2023-10-22T00:00:00"/>
    <x v="0"/>
    <n v="6258"/>
    <n v="148"/>
    <n v="7"/>
    <x v="0"/>
    <x v="0"/>
    <n v="2.3649728347714925E-2"/>
    <n v="2.2238682432432433"/>
    <n v="47.018928571428567"/>
    <n v="20.867500000000007"/>
    <n v="4.72972972972973E-2"/>
    <x v="0"/>
    <x v="3"/>
    <n v="2023"/>
    <s v="Wed"/>
    <n v="11"/>
  </r>
  <r>
    <s v="CMP-00106"/>
    <s v="Q4_BlackFriday_CMP-00106"/>
    <d v="2023-03-10T00:00:00"/>
    <x v="5"/>
    <d v="2023-04-05T00:00:00"/>
    <x v="4"/>
    <n v="88538"/>
    <n v="2770"/>
    <n v="342"/>
    <x v="1"/>
    <x v="10"/>
    <n v="3.1286001490885271E-2"/>
    <n v="1.3111046931407941"/>
    <n v="10.619181286549708"/>
    <n v="13468.24"/>
    <n v="0.12346570397111914"/>
    <x v="1"/>
    <x v="3"/>
    <n v="2023"/>
    <s v="Fri"/>
    <n v="26"/>
  </r>
  <r>
    <s v="CMP-00107"/>
    <s v="Q4_Winter_CMP-00107"/>
    <d v="2023-10-11T00:00:00"/>
    <x v="3"/>
    <d v="2023-11-01T00:00:00"/>
    <x v="4"/>
    <n v="40504"/>
    <n v="608"/>
    <n v="120"/>
    <x v="1"/>
    <x v="76"/>
    <n v="1.5010863124629667E-2"/>
    <n v="0.70764802631578949"/>
    <n v="3.5854166666666667"/>
    <n v="5569.75"/>
    <n v="0.19736842105263158"/>
    <x v="0"/>
    <x v="2"/>
    <n v="2023"/>
    <s v="Wed"/>
    <n v="21"/>
  </r>
  <r>
    <s v="CMP-00108"/>
    <s v="Q1_Launch_CMP-00108"/>
    <d v="2023-04-18T00:00:00"/>
    <x v="4"/>
    <d v="2023-05-07T00:00:00"/>
    <x v="4"/>
    <n v="34159"/>
    <n v="522"/>
    <n v="47"/>
    <x v="1"/>
    <x v="77"/>
    <n v="1.5281477795017418E-2"/>
    <n v="1.368256704980843"/>
    <n v="15.196382978723404"/>
    <n v="1635.77"/>
    <n v="9.0038314176245207E-2"/>
    <x v="1"/>
    <x v="1"/>
    <n v="2023"/>
    <s v="Tue"/>
    <n v="19"/>
  </r>
  <r>
    <s v="CMP-00109"/>
    <s v="Q1_BlackFriday_CMP-00109"/>
    <d v="2023-11-21T00:00:00"/>
    <x v="0"/>
    <d v="2023-12-21T00:00:00"/>
    <x v="0"/>
    <n v="14986"/>
    <n v="235"/>
    <n v="25"/>
    <x v="0"/>
    <x v="0"/>
    <n v="1.5681302549045775E-2"/>
    <n v="1.400563829787234"/>
    <n v="13.1653"/>
    <n v="920.86750000000006"/>
    <n v="0.10638297872340426"/>
    <x v="0"/>
    <x v="3"/>
    <n v="2023"/>
    <s v="Tue"/>
    <n v="30"/>
  </r>
  <r>
    <s v="CMP-00110"/>
    <s v="Q3_Launch_CMP-00110"/>
    <d v="2023-05-09T00:00:00"/>
    <x v="1"/>
    <d v="2023-05-17T00:00:00"/>
    <x v="3"/>
    <n v="62858"/>
    <n v="2991"/>
    <n v="457"/>
    <x v="1"/>
    <x v="10"/>
    <n v="4.7583442043972128E-2"/>
    <n v="1.2142293547308591"/>
    <n v="7.9469584245076579"/>
    <n v="19218.240000000002"/>
    <n v="0.15279170845870946"/>
    <x v="1"/>
    <x v="1"/>
    <n v="2023"/>
    <s v="Tue"/>
    <n v="8"/>
  </r>
  <r>
    <s v="CMP-00111"/>
    <s v="Q4_Winter_CMP-00111"/>
    <d v="2023-02-17T00:00:00"/>
    <x v="6"/>
    <d v="2023-03-12T00:00:00"/>
    <x v="2"/>
    <n v="13666"/>
    <n v="537"/>
    <n v="92"/>
    <x v="1"/>
    <x v="78"/>
    <n v="3.9294599736572518E-2"/>
    <n v="1.0686964618249535"/>
    <n v="6.2379347826086953"/>
    <n v="4026.11"/>
    <n v="0.17132216014897581"/>
    <x v="2"/>
    <x v="2"/>
    <n v="2023"/>
    <s v="Fri"/>
    <n v="23"/>
  </r>
  <r>
    <s v="CMP-00112"/>
    <s v="Q4_BlackFriday_CMP-00112"/>
    <d v="2023-01-23T00:00:00"/>
    <x v="11"/>
    <d v="2023-02-11T00:00:00"/>
    <x v="2"/>
    <n v="39660"/>
    <n v="654"/>
    <n v="73"/>
    <x v="1"/>
    <x v="79"/>
    <n v="1.6490166414523451E-2"/>
    <n v="1.0572324159021407"/>
    <n v="9.4716438356164385"/>
    <n v="2958.57"/>
    <n v="0.11162079510703364"/>
    <x v="2"/>
    <x v="3"/>
    <n v="2023"/>
    <s v="Mon"/>
    <n v="19"/>
  </r>
  <r>
    <s v="CMP-00113"/>
    <s v="Q3_BlackFriday_CMP-00113"/>
    <d v="2023-03-08T00:00:00"/>
    <x v="5"/>
    <d v="2023-03-28T00:00:00"/>
    <x v="3"/>
    <n v="4561"/>
    <n v="79"/>
    <n v="7"/>
    <x v="1"/>
    <x v="0"/>
    <n v="1.7320762990572242E-2"/>
    <n v="4.1662341772151894"/>
    <n v="47.018928571428567"/>
    <n v="20.867500000000007"/>
    <n v="8.8607594936708861E-2"/>
    <x v="1"/>
    <x v="3"/>
    <n v="2023"/>
    <s v="Wed"/>
    <n v="20"/>
  </r>
  <r>
    <s v="CMP-00114"/>
    <s v="Q1_Launch_CMP-00114"/>
    <d v="2023-08-15T00:00:00"/>
    <x v="7"/>
    <d v="2023-08-23T00:00:00"/>
    <x v="1"/>
    <n v="27854"/>
    <n v="1092"/>
    <n v="208"/>
    <x v="0"/>
    <x v="80"/>
    <n v="3.9204423063114814E-2"/>
    <n v="1.4496062271062271"/>
    <n v="7.6104326923076924"/>
    <n v="8817.0300000000007"/>
    <n v="0.19047619047619047"/>
    <x v="3"/>
    <x v="1"/>
    <n v="2023"/>
    <s v="Tue"/>
    <n v="8"/>
  </r>
  <r>
    <s v="CMP-00115"/>
    <s v="Q4_BlackFriday_CMP-00115"/>
    <d v="2023-01-05T00:00:00"/>
    <x v="11"/>
    <d v="2023-02-01T00:00:00"/>
    <x v="1"/>
    <n v="65505"/>
    <n v="1064"/>
    <n v="161"/>
    <x v="0"/>
    <x v="81"/>
    <n v="1.6243034882833372E-2"/>
    <n v="1.2039285714285715"/>
    <n v="7.95639751552795"/>
    <n v="6769.02"/>
    <n v="0.15131578947368421"/>
    <x v="2"/>
    <x v="3"/>
    <n v="2023"/>
    <s v="Thu"/>
    <n v="27"/>
  </r>
  <r>
    <s v="CMP-00116"/>
    <s v="Q1_Summer_CMP-00116"/>
    <d v="2023-12-20T00:00:00"/>
    <x v="2"/>
    <d v="2024-01-16T00:00:00"/>
    <x v="1"/>
    <n v="53251"/>
    <n v="1032"/>
    <n v="70"/>
    <x v="0"/>
    <x v="82"/>
    <n v="1.9379917748023511E-2"/>
    <n v="1.1645930232558139"/>
    <n v="17.169428571428568"/>
    <n v="2298.1400000000003"/>
    <n v="6.7829457364341081E-2"/>
    <x v="2"/>
    <x v="0"/>
    <n v="2023"/>
    <s v="Wed"/>
    <n v="27"/>
  </r>
  <r>
    <s v="CMP-00117"/>
    <s v="Q2_Summer_CMP-00117"/>
    <d v="2023-07-09T00:00:00"/>
    <x v="8"/>
    <d v="2023-07-17T00:00:00"/>
    <x v="0"/>
    <n v="23662"/>
    <n v="1148"/>
    <m/>
    <x v="0"/>
    <x v="83"/>
    <n v="4.8516608908798921E-2"/>
    <n v="1.2412195121951219"/>
    <n v="0"/>
    <n v="-1424.92"/>
    <n v="0"/>
    <x v="3"/>
    <x v="0"/>
    <n v="2023"/>
    <s v="Sun"/>
    <n v="8"/>
  </r>
  <r>
    <s v="CMP-00118"/>
    <s v="Q2_Summer_CMP-00118"/>
    <d v="2023-07-03T00:00:00"/>
    <x v="8"/>
    <d v="2023-08-02T00:00:00"/>
    <x v="4"/>
    <n v="9392"/>
    <n v="189"/>
    <n v="23"/>
    <x v="0"/>
    <x v="84"/>
    <n v="2.0123509369676319E-2"/>
    <n v="1.7915873015873016"/>
    <n v="14.722173913043479"/>
    <n v="811.39"/>
    <n v="0.12169312169312169"/>
    <x v="3"/>
    <x v="0"/>
    <n v="2023"/>
    <s v="Mon"/>
    <n v="30"/>
  </r>
  <r>
    <s v="CMP-00119"/>
    <s v="Q3_Launch_CMP-00119"/>
    <d v="2023-07-06T00:00:00"/>
    <x v="8"/>
    <d v="2023-07-25T00:00:00"/>
    <x v="1"/>
    <n v="31535"/>
    <n v="1149"/>
    <n v="95"/>
    <x v="0"/>
    <x v="85"/>
    <n v="3.6435706358014901E-2"/>
    <n v="1.1917493472584857"/>
    <n v="14.413894736842105"/>
    <n v="3380.6800000000003"/>
    <n v="8.2680591818973026E-2"/>
    <x v="3"/>
    <x v="1"/>
    <n v="2023"/>
    <s v="Thu"/>
    <n v="19"/>
  </r>
  <r>
    <s v="CMP-00120"/>
    <s v="Q2_Launch_CMP-00120"/>
    <d v="2023-01-21T00:00:00"/>
    <x v="11"/>
    <d v="2023-02-06T00:00:00"/>
    <x v="1"/>
    <n v="79603"/>
    <n v="3912"/>
    <n v="344"/>
    <x v="1"/>
    <x v="10"/>
    <n v="4.914387648706707E-2"/>
    <n v="0.92836400817995901"/>
    <n v="10.557441860465115"/>
    <n v="13568.24"/>
    <n v="8.7934560327198361E-2"/>
    <x v="2"/>
    <x v="1"/>
    <n v="2023"/>
    <s v="Sat"/>
    <n v="16"/>
  </r>
  <r>
    <s v="CMP-00121"/>
    <s v="Q1_Winter_CMP-00121"/>
    <d v="2023-05-08T00:00:00"/>
    <x v="1"/>
    <d v="2023-06-06T00:00:00"/>
    <x v="2"/>
    <n v="53256"/>
    <n v="1329"/>
    <n v="241"/>
    <x v="1"/>
    <x v="86"/>
    <n v="2.4954934655250113E-2"/>
    <n v="1.2560045146726861"/>
    <n v="6.9262655601659748"/>
    <n v="10380.77"/>
    <n v="0.18133935289691497"/>
    <x v="1"/>
    <x v="2"/>
    <n v="2023"/>
    <s v="Mon"/>
    <n v="29"/>
  </r>
  <r>
    <s v="CMP-00122"/>
    <s v="Q4_Launch_CMP-00122"/>
    <d v="2023-10-14T00:00:00"/>
    <x v="3"/>
    <d v="2023-10-15T00:00:00"/>
    <x v="3"/>
    <n v="90135"/>
    <n v="964"/>
    <n v="61"/>
    <x v="0"/>
    <x v="87"/>
    <n v="1.0695068508348587E-2"/>
    <n v="1.9237966804979252"/>
    <n v="30.402295081967214"/>
    <n v="1195.46"/>
    <n v="6.3278008298755184E-2"/>
    <x v="0"/>
    <x v="1"/>
    <n v="2023"/>
    <s v="Sat"/>
    <n v="1"/>
  </r>
  <r>
    <s v="CMP-00123"/>
    <s v="Q1_BlackFriday_CMP-00123"/>
    <d v="2023-11-14T00:00:00"/>
    <x v="0"/>
    <d v="2023-11-25T00:00:00"/>
    <x v="1"/>
    <n v="36222"/>
    <n v="715"/>
    <n v="112"/>
    <x v="0"/>
    <x v="88"/>
    <n v="1.9739384904201865E-2"/>
    <n v="1.7492447552447552"/>
    <n v="11.167053571428571"/>
    <n v="4349.29"/>
    <n v="0.15664335664335666"/>
    <x v="0"/>
    <x v="3"/>
    <n v="2023"/>
    <s v="Tue"/>
    <n v="11"/>
  </r>
  <r>
    <s v="CMP-00124"/>
    <s v="Q4_Launch_CMP-00124"/>
    <d v="2023-05-02T00:00:00"/>
    <x v="1"/>
    <d v="2023-05-19T00:00:00"/>
    <x v="1"/>
    <n v="78373"/>
    <n v="3388"/>
    <n v="307"/>
    <x v="0"/>
    <x v="89"/>
    <n v="4.3229173312237634E-2"/>
    <n v="1.0436481700118063"/>
    <n v="11.517524429967427"/>
    <n v="11814.119999999999"/>
    <n v="9.0613931523022426E-2"/>
    <x v="1"/>
    <x v="1"/>
    <n v="2023"/>
    <s v="Tue"/>
    <n v="17"/>
  </r>
  <r>
    <s v="CMP-00125"/>
    <s v="Q4_Summer_CMP-00125"/>
    <d v="2023-04-01T00:00:00"/>
    <x v="4"/>
    <d v="2023-05-01T00:00:00"/>
    <x v="2"/>
    <n v="80575"/>
    <n v="3592"/>
    <n v="589"/>
    <x v="1"/>
    <x v="10"/>
    <n v="4.4579584238287312E-2"/>
    <n v="1.0110690423162583"/>
    <n v="6.1659762308998296"/>
    <n v="25818.240000000002"/>
    <n v="0.16397550111358575"/>
    <x v="1"/>
    <x v="0"/>
    <n v="2023"/>
    <s v="Sat"/>
    <n v="30"/>
  </r>
  <r>
    <s v="CMP-00126"/>
    <s v="Q1_Winter_CMP-00126"/>
    <d v="2023-06-20T00:00:00"/>
    <x v="9"/>
    <d v="2023-06-24T00:00:00"/>
    <x v="2"/>
    <n v="97354"/>
    <n v="3966"/>
    <n v="628"/>
    <x v="0"/>
    <x v="90"/>
    <n v="4.0737925508967272E-2"/>
    <n v="0.66509581442259202"/>
    <n v="4.2002707006369429"/>
    <n v="28762.23"/>
    <n v="0.1583459404942007"/>
    <x v="3"/>
    <x v="2"/>
    <n v="2023"/>
    <s v="Tue"/>
    <n v="4"/>
  </r>
  <r>
    <s v="CMP-00127"/>
    <s v="Q1_Launch_CMP-00127"/>
    <d v="2023-12-09T00:00:00"/>
    <x v="2"/>
    <d v="2023-12-22T00:00:00"/>
    <x v="3"/>
    <n v="85651"/>
    <n v="1244"/>
    <n v="63"/>
    <x v="1"/>
    <x v="91"/>
    <n v="1.4524056928699023E-2"/>
    <n v="1.8875723472668808"/>
    <n v="37.272063492063488"/>
    <n v="801.86000000000013"/>
    <n v="5.0643086816720258E-2"/>
    <x v="2"/>
    <x v="1"/>
    <n v="2023"/>
    <s v="Sat"/>
    <n v="13"/>
  </r>
  <r>
    <s v="CMP-00128"/>
    <s v="Q4_Winter_CMP-00128"/>
    <d v="2023-05-17T00:00:00"/>
    <x v="1"/>
    <d v="2023-06-11T00:00:00"/>
    <x v="3"/>
    <n v="64335"/>
    <n v="2690"/>
    <m/>
    <x v="0"/>
    <x v="10"/>
    <n v="4.1812388280096369E-2"/>
    <n v="1.350096654275093"/>
    <n v="0"/>
    <n v="-3631.7599999999998"/>
    <n v="0"/>
    <x v="1"/>
    <x v="2"/>
    <n v="2023"/>
    <s v="Wed"/>
    <n v="25"/>
  </r>
  <r>
    <s v="CMP-00129"/>
    <s v="Q4_BlackFriday_CMP-00129"/>
    <d v="2023-07-15T00:00:00"/>
    <x v="8"/>
    <d v="2023-07-20T00:00:00"/>
    <x v="0"/>
    <n v="11965"/>
    <n v="559"/>
    <n v="39"/>
    <x v="1"/>
    <x v="0"/>
    <n v="4.6719598829920599E-2"/>
    <n v="0.58878801431127015"/>
    <n v="8.4392948717948713"/>
    <n v="1620.8675000000001"/>
    <n v="6.9767441860465115E-2"/>
    <x v="3"/>
    <x v="3"/>
    <n v="2023"/>
    <s v="Sat"/>
    <n v="5"/>
  </r>
  <r>
    <s v="CMP-00130"/>
    <s v="Q1_BlackFriday_CMP-00130"/>
    <d v="2023-04-24T00:00:00"/>
    <x v="4"/>
    <d v="2023-05-14T00:00:00"/>
    <x v="1"/>
    <n v="25538"/>
    <n v="868"/>
    <n v="156"/>
    <x v="1"/>
    <x v="92"/>
    <n v="3.3988566058422744E-2"/>
    <n v="1.4663824884792627"/>
    <n v="8.1591025641025645"/>
    <n v="6527.18"/>
    <n v="0.17972350230414746"/>
    <x v="1"/>
    <x v="3"/>
    <n v="2023"/>
    <s v="Mon"/>
    <n v="20"/>
  </r>
  <r>
    <s v="CMP-00131"/>
    <s v="Q3_Launch_CMP-00131"/>
    <d v="2023-06-29T00:00:00"/>
    <x v="9"/>
    <d v="2023-07-10T00:00:00"/>
    <x v="4"/>
    <n v="71592"/>
    <n v="3410"/>
    <n v="616"/>
    <x v="1"/>
    <x v="10"/>
    <n v="4.7631020225723547E-2"/>
    <n v="1.065032258064516"/>
    <n v="5.895714285714285"/>
    <n v="27168.240000000002"/>
    <n v="0.18064516129032257"/>
    <x v="3"/>
    <x v="1"/>
    <n v="2023"/>
    <s v="Thu"/>
    <n v="11"/>
  </r>
  <r>
    <s v="CMP-00132"/>
    <s v="Q2_Launch_CMP-00132"/>
    <d v="2023-04-27T00:00:00"/>
    <x v="4"/>
    <d v="2023-04-30T00:00:00"/>
    <x v="4"/>
    <n v="99018"/>
    <n v="4265"/>
    <n v="480"/>
    <x v="1"/>
    <x v="93"/>
    <n v="4.3072976630511621E-2"/>
    <n v="0.60470105509964833"/>
    <n v="5.3730208333333334"/>
    <n v="21420.95"/>
    <n v="0.11254396248534584"/>
    <x v="1"/>
    <x v="1"/>
    <n v="2023"/>
    <s v="Thu"/>
    <n v="3"/>
  </r>
  <r>
    <s v="CMP-00133"/>
    <s v="Q1_BlackFriday_CMP-00133"/>
    <d v="2023-07-24T00:00:00"/>
    <x v="8"/>
    <d v="2023-08-10T00:00:00"/>
    <x v="1"/>
    <n v="9110"/>
    <n v="334"/>
    <n v="38"/>
    <x v="0"/>
    <x v="94"/>
    <n v="3.6663007683863887E-2"/>
    <n v="1.3320359281437124"/>
    <n v="11.707894736842105"/>
    <n v="1455.1"/>
    <n v="0.11377245508982035"/>
    <x v="3"/>
    <x v="3"/>
    <n v="2023"/>
    <s v="Mon"/>
    <n v="17"/>
  </r>
  <r>
    <s v="CMP-00134"/>
    <s v="Q4_Summer_CMP-00134"/>
    <d v="2023-05-23T00:00:00"/>
    <x v="1"/>
    <d v="2023-06-08T00:00:00"/>
    <x v="1"/>
    <n v="80309"/>
    <n v="2657"/>
    <n v="253"/>
    <x v="0"/>
    <x v="10"/>
    <n v="3.3084710306441369E-2"/>
    <n v="1.3668648852088821"/>
    <n v="14.35478260869565"/>
    <n v="9018.24"/>
    <n v="9.5220173127587501E-2"/>
    <x v="1"/>
    <x v="0"/>
    <n v="2023"/>
    <s v="Tue"/>
    <n v="16"/>
  </r>
  <r>
    <s v="CMP-00135"/>
    <s v="Q2_Launch_CMP-00135"/>
    <d v="2023-12-14T00:00:00"/>
    <x v="2"/>
    <d v="2023-12-29T00:00:00"/>
    <x v="4"/>
    <n v="28266"/>
    <n v="676"/>
    <m/>
    <x v="0"/>
    <x v="95"/>
    <n v="2.3915658388169531E-2"/>
    <n v="1.7153846153846153"/>
    <n v="0"/>
    <n v="-1159.5999999999999"/>
    <n v="0"/>
    <x v="2"/>
    <x v="1"/>
    <n v="2023"/>
    <s v="Thu"/>
    <n v="15"/>
  </r>
  <r>
    <s v="CMP-00136"/>
    <s v="Q2_Winter_CMP-00136"/>
    <d v="2023-01-15T00:00:00"/>
    <x v="11"/>
    <d v="2023-02-04T00:00:00"/>
    <x v="4"/>
    <n v="53992"/>
    <n v="883"/>
    <n v="91"/>
    <x v="0"/>
    <x v="96"/>
    <n v="1.6354274707364055E-2"/>
    <n v="1.1207361268403171"/>
    <n v="10.874835164835165"/>
    <n v="3560.39"/>
    <n v="0.10305775764439411"/>
    <x v="2"/>
    <x v="2"/>
    <n v="2023"/>
    <s v="Sun"/>
    <n v="20"/>
  </r>
  <r>
    <s v="CMP-00137"/>
    <s v="Q3_Summer_CMP-00137"/>
    <d v="2023-04-02T00:00:00"/>
    <x v="4"/>
    <d v="2023-05-01T00:00:00"/>
    <x v="4"/>
    <n v="83948"/>
    <n v="2870"/>
    <n v="258"/>
    <x v="0"/>
    <x v="97"/>
    <n v="3.4187830561776336E-2"/>
    <n v="0.80625087108013938"/>
    <n v="8.9687596899224804"/>
    <n v="10586.06"/>
    <n v="8.9895470383275264E-2"/>
    <x v="1"/>
    <x v="0"/>
    <n v="2023"/>
    <s v="Sun"/>
    <n v="29"/>
  </r>
  <r>
    <s v="CMP-00138"/>
    <s v="Q4_Summer_CMP-00138"/>
    <d v="2023-01-20T00:00:00"/>
    <x v="11"/>
    <d v="2023-02-18T00:00:00"/>
    <x v="1"/>
    <n v="99806"/>
    <n v="2268"/>
    <n v="260"/>
    <x v="0"/>
    <x v="98"/>
    <n v="2.2724084724365268E-2"/>
    <n v="0.56351410934744262"/>
    <n v="4.9155769230769231"/>
    <n v="11721.95"/>
    <n v="0.1146384479717813"/>
    <x v="2"/>
    <x v="0"/>
    <n v="2023"/>
    <s v="Fri"/>
    <n v="29"/>
  </r>
  <r>
    <s v="CMP-00139"/>
    <s v="Q3_Launch_CMP-00139"/>
    <d v="2023-06-10T00:00:00"/>
    <x v="9"/>
    <d v="2023-07-04T00:00:00"/>
    <x v="3"/>
    <n v="7910"/>
    <n v="353"/>
    <n v="22"/>
    <x v="1"/>
    <x v="99"/>
    <n v="4.4627054361567636E-2"/>
    <n v="1.3696033994334278"/>
    <n v="21.975909090909092"/>
    <n v="616.53"/>
    <n v="6.2322946175637391E-2"/>
    <x v="3"/>
    <x v="1"/>
    <n v="2023"/>
    <s v="Sat"/>
    <n v="24"/>
  </r>
  <r>
    <s v="CMP-00140"/>
    <s v="Q4_Winter_CMP-00140"/>
    <d v="2023-03-01T00:00:00"/>
    <x v="5"/>
    <d v="2023-03-10T00:00:00"/>
    <x v="3"/>
    <n v="91982"/>
    <n v="4574"/>
    <m/>
    <x v="1"/>
    <x v="10"/>
    <n v="4.9727120523580699E-2"/>
    <n v="0.79400087450808909"/>
    <n v="0"/>
    <n v="-3631.7599999999998"/>
    <n v="0"/>
    <x v="1"/>
    <x v="2"/>
    <n v="2023"/>
    <s v="Wed"/>
    <n v="9"/>
  </r>
  <r>
    <s v="CMP-00141"/>
    <s v="Q1_Winter_CMP-00141"/>
    <d v="2023-11-05T00:00:00"/>
    <x v="0"/>
    <d v="2023-12-05T00:00:00"/>
    <x v="1"/>
    <n v="1206"/>
    <n v="48"/>
    <n v="2"/>
    <x v="0"/>
    <x v="0"/>
    <n v="3.9800995024875621E-2"/>
    <n v="6.8569270833333329"/>
    <n v="164.56625"/>
    <n v="-229.13249999999999"/>
    <n v="4.1666666666666664E-2"/>
    <x v="0"/>
    <x v="2"/>
    <n v="2023"/>
    <s v="Sun"/>
    <n v="30"/>
  </r>
  <r>
    <s v="CMP-00142"/>
    <s v="Q1_Launch_CMP-00142"/>
    <d v="2023-12-08T00:00:00"/>
    <x v="2"/>
    <d v="2024-01-07T00:00:00"/>
    <x v="0"/>
    <n v="88054"/>
    <n v="1199"/>
    <n v="175"/>
    <x v="0"/>
    <x v="100"/>
    <n v="1.3616644331887251E-2"/>
    <n v="0.59090909090909094"/>
    <n v="4.0485714285714289"/>
    <n v="8041.5"/>
    <n v="0.14595496246872394"/>
    <x v="2"/>
    <x v="1"/>
    <n v="2023"/>
    <s v="Fri"/>
    <n v="30"/>
  </r>
  <r>
    <s v="CMP-00143"/>
    <s v="Q3_BlackFriday_CMP-00143"/>
    <d v="2023-10-03T00:00:00"/>
    <x v="3"/>
    <d v="2023-10-16T00:00:00"/>
    <x v="1"/>
    <n v="88897"/>
    <n v="1915"/>
    <n v="148"/>
    <x v="1"/>
    <x v="101"/>
    <n v="2.1541784312181515E-2"/>
    <n v="1.5280939947780681"/>
    <n v="19.7722972972973"/>
    <n v="4473.7"/>
    <n v="7.7284595300261091E-2"/>
    <x v="0"/>
    <x v="3"/>
    <n v="2023"/>
    <s v="Tue"/>
    <n v="13"/>
  </r>
  <r>
    <s v="CMP-00144"/>
    <s v="Q2_Summer_CMP-00144"/>
    <d v="2023-12-10T00:00:00"/>
    <x v="2"/>
    <d v="2024-01-04T00:00:00"/>
    <x v="4"/>
    <n v="24419"/>
    <n v="350"/>
    <n v="29"/>
    <x v="1"/>
    <x v="0"/>
    <n v="1.4333101273598428E-2"/>
    <n v="0.9403785714285714"/>
    <n v="11.349396551724137"/>
    <n v="1120.8675000000001"/>
    <n v="8.2857142857142851E-2"/>
    <x v="2"/>
    <x v="0"/>
    <n v="2023"/>
    <s v="Sun"/>
    <n v="25"/>
  </r>
  <r>
    <s v="CMP-00145"/>
    <s v="Q2_Summer_CMP-00145"/>
    <d v="2023-12-07T00:00:00"/>
    <x v="2"/>
    <d v="2023-12-14T00:00:00"/>
    <x v="1"/>
    <n v="51636"/>
    <n v="1859"/>
    <n v="270"/>
    <x v="0"/>
    <x v="102"/>
    <n v="3.6002014098690839E-2"/>
    <n v="0.75714900484131253"/>
    <n v="5.213111111111111"/>
    <n v="12092.46"/>
    <n v="0.14523937600860679"/>
    <x v="2"/>
    <x v="0"/>
    <n v="2023"/>
    <s v="Thu"/>
    <n v="7"/>
  </r>
  <r>
    <s v="CMP-00146"/>
    <s v="Q3_Launch_CMP-00146"/>
    <d v="2023-12-06T00:00:00"/>
    <x v="2"/>
    <d v="2024-01-01T00:00:00"/>
    <x v="4"/>
    <n v="51015"/>
    <n v="2071"/>
    <m/>
    <x v="1"/>
    <x v="103"/>
    <n v="4.0595903165735567E-2"/>
    <n v="1.1803669724770642"/>
    <n v="0"/>
    <n v="-2444.54"/>
    <n v="0"/>
    <x v="2"/>
    <x v="1"/>
    <n v="2023"/>
    <s v="Wed"/>
    <n v="26"/>
  </r>
  <r>
    <s v="CMP-00147"/>
    <s v="Q1_BlackFriday_CMP-00147"/>
    <d v="2023-06-03T00:00:00"/>
    <x v="9"/>
    <d v="2023-06-28T00:00:00"/>
    <x v="1"/>
    <n v="55268"/>
    <n v="2599"/>
    <n v="433"/>
    <x v="0"/>
    <x v="104"/>
    <n v="4.7025403488456248E-2"/>
    <n v="1.1823085802231628"/>
    <n v="7.0965819861431871"/>
    <n v="18577.18"/>
    <n v="0.16660253943824549"/>
    <x v="3"/>
    <x v="3"/>
    <n v="2023"/>
    <s v="Sat"/>
    <n v="25"/>
  </r>
  <r>
    <s v="CMP-00148"/>
    <s v="Q4_Launch_CMP-00148"/>
    <d v="2023-06-17T00:00:00"/>
    <x v="9"/>
    <d v="2023-06-26T00:00:00"/>
    <x v="3"/>
    <n v="88939"/>
    <n v="2448"/>
    <n v="205"/>
    <x v="0"/>
    <x v="10"/>
    <n v="2.7524483072667784E-2"/>
    <n v="1.4835620915032679"/>
    <n v="17.71590243902439"/>
    <n v="6618.24"/>
    <n v="8.3741830065359471E-2"/>
    <x v="3"/>
    <x v="1"/>
    <n v="2023"/>
    <s v="Sat"/>
    <n v="9"/>
  </r>
  <r>
    <s v="CMP-00149"/>
    <s v="Q2_BlackFriday_CMP-00149"/>
    <d v="2023-03-07T00:00:00"/>
    <x v="5"/>
    <d v="2023-03-30T00:00:00"/>
    <x v="1"/>
    <n v="19141"/>
    <n v="881"/>
    <n v="67"/>
    <x v="0"/>
    <x v="105"/>
    <n v="4.6026853351444547E-2"/>
    <n v="1.8653234960272416"/>
    <n v="24.527611940298506"/>
    <n v="1706.65"/>
    <n v="7.6049943246311008E-2"/>
    <x v="1"/>
    <x v="3"/>
    <n v="2023"/>
    <s v="Tue"/>
    <n v="23"/>
  </r>
  <r>
    <s v="CMP-00150"/>
    <s v="Q2_Summer_CMP-00150"/>
    <d v="2023-07-14T00:00:00"/>
    <x v="8"/>
    <d v="2023-07-19T00:00:00"/>
    <x v="1"/>
    <n v="81356"/>
    <n v="3670"/>
    <n v="660"/>
    <x v="0"/>
    <x v="10"/>
    <n v="4.5110379074684105E-2"/>
    <n v="0.9895803814713896"/>
    <n v="5.5026666666666664"/>
    <n v="29368.240000000002"/>
    <n v="0.17983651226158037"/>
    <x v="3"/>
    <x v="0"/>
    <n v="2023"/>
    <s v="Fri"/>
    <n v="5"/>
  </r>
  <r>
    <s v="CMP-00151"/>
    <s v="Q1_Launch_CMP-00151"/>
    <d v="2023-11-12T00:00:00"/>
    <x v="0"/>
    <d v="2023-11-24T00:00:00"/>
    <x v="4"/>
    <n v="72910"/>
    <n v="1654"/>
    <n v="192"/>
    <x v="0"/>
    <x v="106"/>
    <n v="2.2685502674530244E-2"/>
    <n v="1.9303022974607011"/>
    <n v="16.62875"/>
    <n v="6407.2800000000007"/>
    <n v="0.11608222490931076"/>
    <x v="0"/>
    <x v="1"/>
    <n v="2023"/>
    <s v="Sun"/>
    <n v="12"/>
  </r>
  <r>
    <s v="CMP-00152"/>
    <s v="Q3_BlackFriday_CMP-00152"/>
    <d v="2023-01-01T00:00:00"/>
    <x v="11"/>
    <d v="2023-01-29T00:00:00"/>
    <x v="2"/>
    <n v="57044"/>
    <n v="2553"/>
    <n v="180"/>
    <x v="0"/>
    <x v="10"/>
    <n v="4.4754926022018089E-2"/>
    <n v="1.4225460242851546"/>
    <n v="20.176444444444442"/>
    <n v="5368.24"/>
    <n v="7.0505287896592245E-2"/>
    <x v="2"/>
    <x v="3"/>
    <n v="2023"/>
    <s v="Sun"/>
    <n v="28"/>
  </r>
  <r>
    <s v="CMP-00153"/>
    <s v="Q2_Winter_CMP-00153"/>
    <d v="2023-10-24T00:00:00"/>
    <x v="3"/>
    <d v="2023-11-18T00:00:00"/>
    <x v="0"/>
    <n v="68214"/>
    <n v="1707"/>
    <n v="306"/>
    <x v="0"/>
    <x v="107"/>
    <n v="2.502418858298883E-2"/>
    <n v="1.3767486818980668"/>
    <n v="7.6800980392156868"/>
    <n v="12949.89"/>
    <n v="0.17926186291739896"/>
    <x v="0"/>
    <x v="2"/>
    <n v="2023"/>
    <s v="Tue"/>
    <n v="25"/>
  </r>
  <r>
    <s v="CMP-00154"/>
    <s v="Q3_Launch_CMP-00154"/>
    <d v="2023-08-15T00:00:00"/>
    <x v="7"/>
    <d v="2023-08-17T00:00:00"/>
    <x v="0"/>
    <n v="34827"/>
    <n v="761"/>
    <n v="131"/>
    <x v="1"/>
    <x v="108"/>
    <n v="2.1850862836305166E-2"/>
    <n v="1.7506833114323259"/>
    <n v="10.17"/>
    <n v="5217.7299999999996"/>
    <n v="0.17214191852825231"/>
    <x v="3"/>
    <x v="1"/>
    <n v="2023"/>
    <s v="Tue"/>
    <n v="2"/>
  </r>
  <r>
    <s v="CMP-00155"/>
    <s v="Q4_Launch_CMP-00155"/>
    <d v="2023-08-31T00:00:00"/>
    <x v="7"/>
    <d v="2023-09-16T00:00:00"/>
    <x v="1"/>
    <n v="56820"/>
    <n v="2043"/>
    <n v="403"/>
    <x v="0"/>
    <x v="109"/>
    <n v="3.5955649419218583E-2"/>
    <n v="1.4638668624571707"/>
    <n v="7.421042183622828"/>
    <n v="17159.32"/>
    <n v="0.19725893294175231"/>
    <x v="3"/>
    <x v="1"/>
    <n v="2023"/>
    <s v="Thu"/>
    <n v="16"/>
  </r>
  <r>
    <s v="CMP-00156"/>
    <s v="Q2_Launch_CMP-00156"/>
    <d v="2023-03-28T00:00:00"/>
    <x v="5"/>
    <d v="2023-04-05T00:00:00"/>
    <x v="1"/>
    <n v="63623"/>
    <n v="1471"/>
    <n v="274"/>
    <x v="0"/>
    <x v="110"/>
    <n v="2.3120569605331404E-2"/>
    <n v="0.61783820530251532"/>
    <n v="3.3169343065693431"/>
    <n v="12791.16"/>
    <n v="0.18626784500339905"/>
    <x v="1"/>
    <x v="1"/>
    <n v="2023"/>
    <s v="Tue"/>
    <n v="8"/>
  </r>
  <r>
    <s v="CMP-00157"/>
    <s v="Q3_Launch_CMP-00157"/>
    <d v="2023-12-06T00:00:00"/>
    <x v="2"/>
    <d v="2024-01-05T00:00:00"/>
    <x v="0"/>
    <n v="82734"/>
    <n v="2912"/>
    <m/>
    <x v="0"/>
    <x v="10"/>
    <n v="3.5197137815166681E-2"/>
    <n v="1.2471703296703296"/>
    <n v="0"/>
    <n v="-3631.7599999999998"/>
    <n v="0"/>
    <x v="2"/>
    <x v="1"/>
    <n v="2023"/>
    <s v="Wed"/>
    <n v="30"/>
  </r>
  <r>
    <s v="CMP-00158"/>
    <s v="Q1_Winter_CMP-00158"/>
    <d v="2023-05-01T00:00:00"/>
    <x v="1"/>
    <d v="2023-05-22T00:00:00"/>
    <x v="2"/>
    <n v="76450"/>
    <n v="2629"/>
    <m/>
    <x v="0"/>
    <x v="111"/>
    <n v="3.4388489208633091E-2"/>
    <n v="0.64236211487257511"/>
    <n v="0"/>
    <n v="-1688.77"/>
    <n v="0"/>
    <x v="1"/>
    <x v="2"/>
    <n v="2023"/>
    <s v="Mon"/>
    <n v="21"/>
  </r>
  <r>
    <s v="CMP-00159"/>
    <s v="Q1_Winter_CMP-00159"/>
    <d v="2023-04-12T00:00:00"/>
    <x v="4"/>
    <d v="2023-12-05T00:00:00"/>
    <x v="4"/>
    <n v="94426"/>
    <n v="3072"/>
    <n v="201"/>
    <x v="0"/>
    <x v="10"/>
    <n v="3.2533412407599605E-2"/>
    <n v="1.1822135416666666"/>
    <n v="18.068457711442786"/>
    <n v="6418.24"/>
    <n v="6.54296875E-2"/>
    <x v="1"/>
    <x v="2"/>
    <n v="2023"/>
    <s v="Wed"/>
    <n v="237"/>
  </r>
  <r>
    <s v="CMP-00160"/>
    <s v="Q3_BlackFriday_CMP-00160"/>
    <d v="2023-09-01T00:00:00"/>
    <x v="10"/>
    <d v="2023-09-12T00:00:00"/>
    <x v="4"/>
    <n v="23299"/>
    <n v="587"/>
    <n v="79"/>
    <x v="0"/>
    <x v="112"/>
    <n v="2.519421434396326E-2"/>
    <n v="1.5539522998296422"/>
    <n v="11.546455696202532"/>
    <n v="3037.83"/>
    <n v="0.13458262350936967"/>
    <x v="0"/>
    <x v="3"/>
    <n v="2023"/>
    <s v="Fri"/>
    <n v="11"/>
  </r>
  <r>
    <s v="CMP-00161"/>
    <s v="Q1_Winter_CMP-00161"/>
    <d v="2023-08-22T00:00:00"/>
    <x v="7"/>
    <d v="2023-09-03T00:00:00"/>
    <x v="1"/>
    <n v="44585"/>
    <n v="1424"/>
    <n v="184"/>
    <x v="1"/>
    <x v="113"/>
    <n v="3.1938992934843556E-2"/>
    <n v="0.59978932584269662"/>
    <n v="4.6418478260869565"/>
    <n v="8345.9"/>
    <n v="0.12921348314606743"/>
    <x v="3"/>
    <x v="2"/>
    <n v="2023"/>
    <s v="Tue"/>
    <n v="12"/>
  </r>
  <r>
    <s v="CMP-00162"/>
    <s v="Q4_Winter_CMP-00162"/>
    <d v="2023-04-10T00:00:00"/>
    <x v="4"/>
    <d v="2023-05-07T00:00:00"/>
    <x v="4"/>
    <n v="65044"/>
    <n v="2202"/>
    <n v="261"/>
    <x v="1"/>
    <x v="114"/>
    <n v="3.3854006518664291E-2"/>
    <n v="0.84618982742960946"/>
    <n v="7.1391187739463602"/>
    <n v="11186.69"/>
    <n v="0.11852861035422343"/>
    <x v="1"/>
    <x v="2"/>
    <n v="2023"/>
    <s v="Mon"/>
    <n v="27"/>
  </r>
  <r>
    <s v="CMP-00163"/>
    <s v="Q4_BlackFriday_CMP-00163"/>
    <d v="2023-07-24T00:00:00"/>
    <x v="8"/>
    <d v="2023-08-13T00:00:00"/>
    <x v="4"/>
    <n v="43557"/>
    <n v="1386"/>
    <n v="151"/>
    <x v="0"/>
    <x v="115"/>
    <n v="3.1820373303946554E-2"/>
    <n v="1.8735064935064933"/>
    <n v="17.196556291390728"/>
    <n v="4953.32"/>
    <n v="0.10894660894660894"/>
    <x v="3"/>
    <x v="3"/>
    <n v="2023"/>
    <s v="Mon"/>
    <n v="20"/>
  </r>
  <r>
    <s v="CMP-00164"/>
    <s v="Q1_Launch_CMP-00164"/>
    <d v="2023-01-03T00:00:00"/>
    <x v="11"/>
    <d v="2023-01-19T00:00:00"/>
    <x v="4"/>
    <n v="50080"/>
    <n v="1391"/>
    <n v="159"/>
    <x v="0"/>
    <x v="116"/>
    <n v="2.7775559105431311E-2"/>
    <n v="1.4244716031631919"/>
    <n v="12.46188679245283"/>
    <n v="5968.5599999999995"/>
    <n v="0.11430625449317038"/>
    <x v="2"/>
    <x v="1"/>
    <n v="2023"/>
    <s v="Tue"/>
    <n v="16"/>
  </r>
  <r>
    <s v="CMP-00165"/>
    <s v="Q3_Summer_CMP-00165"/>
    <d v="2023-02-24T00:00:00"/>
    <x v="6"/>
    <d v="2023-03-14T00:00:00"/>
    <x v="3"/>
    <n v="3693"/>
    <n v="39"/>
    <m/>
    <x v="1"/>
    <x v="0"/>
    <n v="1.0560519902518278E-2"/>
    <n v="8.4392948717948713"/>
    <n v="0"/>
    <n v="-329.13249999999999"/>
    <n v="0"/>
    <x v="2"/>
    <x v="0"/>
    <n v="2023"/>
    <s v="Fri"/>
    <n v="18"/>
  </r>
  <r>
    <s v="CMP-00166"/>
    <s v="Q4_Winter_CMP-00166"/>
    <d v="2023-12-23T00:00:00"/>
    <x v="2"/>
    <d v="2023-12-28T00:00:00"/>
    <x v="0"/>
    <n v="96003"/>
    <n v="3214"/>
    <n v="161"/>
    <x v="0"/>
    <x v="10"/>
    <n v="3.3478120475401808E-2"/>
    <n v="1.1299813316739264"/>
    <n v="22.557515527950308"/>
    <n v="4418.24"/>
    <n v="5.0093341630367147E-2"/>
    <x v="2"/>
    <x v="2"/>
    <n v="2023"/>
    <s v="Sat"/>
    <n v="5"/>
  </r>
  <r>
    <s v="CMP-00167"/>
    <s v="Q4_Summer_CMP-00167"/>
    <d v="2023-05-08T00:00:00"/>
    <x v="1"/>
    <d v="2023-06-03T00:00:00"/>
    <x v="4"/>
    <n v="96259"/>
    <n v="1611"/>
    <n v="143"/>
    <x v="0"/>
    <x v="117"/>
    <n v="1.673609740387912E-2"/>
    <n v="1.3951644941030417"/>
    <n v="15.717552447552448"/>
    <n v="4902.3899999999994"/>
    <n v="8.8764742396027316E-2"/>
    <x v="1"/>
    <x v="0"/>
    <n v="2023"/>
    <s v="Mon"/>
    <n v="26"/>
  </r>
  <r>
    <s v="CMP-00168"/>
    <s v="Q1_Winter_CMP-00168"/>
    <d v="2023-03-10T00:00:00"/>
    <x v="5"/>
    <d v="2023-03-19T00:00:00"/>
    <x v="1"/>
    <n v="70163"/>
    <n v="2505"/>
    <m/>
    <x v="0"/>
    <x v="118"/>
    <n v="3.5702578282000484E-2"/>
    <n v="1.2523632734530938"/>
    <n v="0"/>
    <n v="-3137.17"/>
    <n v="0"/>
    <x v="1"/>
    <x v="2"/>
    <n v="2023"/>
    <s v="Fri"/>
    <n v="9"/>
  </r>
  <r>
    <s v="CMP-00169"/>
    <s v="Q2_Launch_CMP-00169"/>
    <d v="2023-10-14T00:00:00"/>
    <x v="3"/>
    <d v="2023-10-25T00:00:00"/>
    <x v="4"/>
    <n v="26939"/>
    <n v="1087"/>
    <n v="172"/>
    <x v="0"/>
    <x v="119"/>
    <n v="4.035042132224656E-2"/>
    <n v="1.9642778288868445"/>
    <n v="12.413779069767441"/>
    <n v="6464.83"/>
    <n v="0.15823367065317387"/>
    <x v="0"/>
    <x v="1"/>
    <n v="2023"/>
    <s v="Sat"/>
    <n v="11"/>
  </r>
  <r>
    <s v="CMP-00170"/>
    <s v="Q2_Launch_CMP-00170"/>
    <d v="2023-08-15T00:00:00"/>
    <x v="7"/>
    <d v="2023-08-31T00:00:00"/>
    <x v="0"/>
    <n v="49925"/>
    <n v="1498"/>
    <n v="114"/>
    <x v="0"/>
    <x v="120"/>
    <n v="3.0005007511266901E-2"/>
    <n v="1.5251802403204271"/>
    <n v="20.041403508771928"/>
    <n v="3415.28"/>
    <n v="7.6101468624833107E-2"/>
    <x v="3"/>
    <x v="1"/>
    <n v="2023"/>
    <s v="Tue"/>
    <n v="16"/>
  </r>
  <r>
    <s v="CMP-00171"/>
    <s v="Q2_BlackFriday_CMP-00171"/>
    <d v="2023-09-16T00:00:00"/>
    <x v="10"/>
    <d v="2023-09-27T00:00:00"/>
    <x v="0"/>
    <n v="43941"/>
    <n v="1392"/>
    <n v="183"/>
    <x v="0"/>
    <x v="121"/>
    <n v="3.1678842083703147E-2"/>
    <n v="1.0631609195402298"/>
    <n v="8.0869945355191266"/>
    <n v="7670.08"/>
    <n v="0.13146551724137931"/>
    <x v="0"/>
    <x v="3"/>
    <n v="2023"/>
    <s v="Sat"/>
    <n v="11"/>
  </r>
  <r>
    <s v="CMP-00172"/>
    <s v="Q2_Winter_CMP-00172"/>
    <d v="2023-08-17T00:00:00"/>
    <x v="7"/>
    <d v="2023-09-06T00:00:00"/>
    <x v="1"/>
    <n v="22834"/>
    <n v="1097"/>
    <n v="172"/>
    <x v="1"/>
    <x v="122"/>
    <n v="4.8042392922834368E-2"/>
    <n v="1.7001093892433909"/>
    <n v="10.84313953488372"/>
    <n v="6734.98"/>
    <n v="0.15679124886052873"/>
    <x v="3"/>
    <x v="2"/>
    <n v="2023"/>
    <s v="Thu"/>
    <n v="20"/>
  </r>
  <r>
    <s v="CMP-00173"/>
    <s v="Q1_BlackFriday_CMP-00173"/>
    <d v="2023-09-01T00:00:00"/>
    <x v="10"/>
    <d v="2023-09-30T00:00:00"/>
    <x v="2"/>
    <n v="19047"/>
    <n v="835"/>
    <n v="97"/>
    <x v="0"/>
    <x v="123"/>
    <n v="4.3838924765054861E-2"/>
    <n v="1.826874251497006"/>
    <n v="15.72618556701031"/>
    <n v="3324.56"/>
    <n v="0.11616766467065869"/>
    <x v="0"/>
    <x v="3"/>
    <n v="2023"/>
    <s v="Fri"/>
    <n v="29"/>
  </r>
  <r>
    <s v="CMP-00174"/>
    <s v="Q3_Summer_CMP-00174"/>
    <d v="2023-11-23T00:00:00"/>
    <x v="0"/>
    <d v="2023-12-11T00:00:00"/>
    <x v="0"/>
    <n v="27105"/>
    <n v="1262"/>
    <n v="68"/>
    <x v="0"/>
    <x v="124"/>
    <n v="4.6559675336653755E-2"/>
    <n v="0.68782884310618064"/>
    <n v="12.765294117647059"/>
    <n v="2531.96"/>
    <n v="5.388272583201268E-2"/>
    <x v="0"/>
    <x v="0"/>
    <n v="2023"/>
    <s v="Thu"/>
    <n v="18"/>
  </r>
  <r>
    <s v="CMP-00175"/>
    <s v="Q3_BlackFriday_CMP-00175"/>
    <d v="2023-09-06T00:00:00"/>
    <x v="10"/>
    <d v="2023-09-13T00:00:00"/>
    <x v="2"/>
    <n v="76766"/>
    <n v="3266"/>
    <n v="383"/>
    <x v="0"/>
    <x v="125"/>
    <n v="4.2544876638094989E-2"/>
    <n v="0.80082976117575022"/>
    <n v="6.8290078328981725"/>
    <n v="16534.489999999998"/>
    <n v="0.11726883037354562"/>
    <x v="0"/>
    <x v="3"/>
    <n v="2023"/>
    <s v="Wed"/>
    <n v="7"/>
  </r>
  <r>
    <s v="CMP-00176"/>
    <s v="Q1_Launch_CMP-00176"/>
    <d v="2023-02-09T00:00:00"/>
    <x v="6"/>
    <d v="2023-03-08T00:00:00"/>
    <x v="0"/>
    <n v="16707"/>
    <n v="239"/>
    <n v="22"/>
    <x v="1"/>
    <x v="0"/>
    <n v="1.4305380978033159E-2"/>
    <n v="1.377123430962343"/>
    <n v="14.960568181818182"/>
    <n v="770.86750000000006"/>
    <n v="9.2050209205020925E-2"/>
    <x v="2"/>
    <x v="1"/>
    <n v="2023"/>
    <s v="Thu"/>
    <n v="27"/>
  </r>
  <r>
    <s v="CMP-00177"/>
    <s v="Q4_Launch_CMP-00177"/>
    <d v="2023-06-21T00:00:00"/>
    <x v="9"/>
    <d v="2023-07-17T00:00:00"/>
    <x v="0"/>
    <n v="22976"/>
    <n v="366"/>
    <m/>
    <x v="1"/>
    <x v="126"/>
    <n v="1.5929665738161559E-2"/>
    <n v="1.5368306010928963"/>
    <n v="0"/>
    <n v="-562.48"/>
    <n v="0"/>
    <x v="3"/>
    <x v="1"/>
    <n v="2023"/>
    <s v="Wed"/>
    <n v="26"/>
  </r>
  <r>
    <s v="CMP-00178"/>
    <s v="Q4_BlackFriday_CMP-00178"/>
    <d v="2023-03-12T00:00:00"/>
    <x v="5"/>
    <d v="2023-04-02T00:00:00"/>
    <x v="1"/>
    <n v="45262"/>
    <n v="1406"/>
    <n v="96"/>
    <x v="1"/>
    <x v="127"/>
    <n v="3.1063585347532147E-2"/>
    <n v="1.4045590327169275"/>
    <n v="20.570937499999999"/>
    <n v="2825.19"/>
    <n v="6.8278805120910391E-2"/>
    <x v="1"/>
    <x v="3"/>
    <n v="2023"/>
    <s v="Sun"/>
    <n v="21"/>
  </r>
  <r>
    <s v="CMP-00179"/>
    <s v="Q3_Launch_CMP-00179"/>
    <d v="2023-03-20T00:00:00"/>
    <x v="5"/>
    <d v="2023-03-27T00:00:00"/>
    <x v="1"/>
    <n v="24776"/>
    <n v="491"/>
    <n v="72"/>
    <x v="1"/>
    <x v="128"/>
    <n v="1.9817565385857282E-2"/>
    <n v="1.4284928716904277"/>
    <n v="9.7415277777777778"/>
    <n v="2898.61"/>
    <n v="0.14663951120162932"/>
    <x v="1"/>
    <x v="1"/>
    <n v="2023"/>
    <s v="Mon"/>
    <n v="7"/>
  </r>
  <r>
    <s v="CMP-00180"/>
    <s v="Q3_Summer_CMP-00180"/>
    <d v="2023-07-28T00:00:00"/>
    <x v="8"/>
    <d v="2023-08-27T00:00:00"/>
    <x v="1"/>
    <n v="31080"/>
    <n v="903"/>
    <n v="52"/>
    <x v="1"/>
    <x v="129"/>
    <n v="2.9054054054054056E-2"/>
    <n v="1.9111627906976745"/>
    <n v="33.18807692307692"/>
    <n v="874.22"/>
    <n v="5.7585825027685493E-2"/>
    <x v="3"/>
    <x v="0"/>
    <n v="2023"/>
    <s v="Fri"/>
    <n v="30"/>
  </r>
  <r>
    <s v="CMP-00181"/>
    <s v="Q2_Launch_CMP-00181"/>
    <d v="2023-02-01T00:00:00"/>
    <x v="6"/>
    <d v="2023-02-21T00:00:00"/>
    <x v="3"/>
    <n v="67842"/>
    <n v="1748"/>
    <m/>
    <x v="0"/>
    <x v="130"/>
    <n v="2.5765749830488488E-2"/>
    <n v="1.6638672768878719"/>
    <n v="0"/>
    <n v="-2908.44"/>
    <n v="0"/>
    <x v="2"/>
    <x v="1"/>
    <n v="2023"/>
    <s v="Wed"/>
    <n v="20"/>
  </r>
  <r>
    <s v="CMP-00182"/>
    <s v="Q4_BlackFriday_CMP-00182"/>
    <d v="2023-10-27T00:00:00"/>
    <x v="3"/>
    <d v="2023-11-16T00:00:00"/>
    <x v="2"/>
    <n v="62373"/>
    <n v="1994"/>
    <n v="265"/>
    <x v="0"/>
    <x v="131"/>
    <n v="3.1968960928606932E-2"/>
    <n v="0.69190571715145444"/>
    <n v="5.2062641509433965"/>
    <n v="11870.34"/>
    <n v="0.13289869608826479"/>
    <x v="0"/>
    <x v="3"/>
    <n v="2023"/>
    <s v="Fri"/>
    <n v="20"/>
  </r>
  <r>
    <s v="CMP-00183"/>
    <s v="Q2_Winter_CMP-00183"/>
    <d v="2023-10-22T00:00:00"/>
    <x v="3"/>
    <d v="2023-10-26T00:00:00"/>
    <x v="2"/>
    <n v="7776"/>
    <n v="310"/>
    <n v="29"/>
    <x v="0"/>
    <x v="0"/>
    <n v="3.9866255144032921E-2"/>
    <n v="1.0617177419354837"/>
    <n v="11.349396551724137"/>
    <n v="1120.8675000000001"/>
    <n v="9.3548387096774197E-2"/>
    <x v="0"/>
    <x v="2"/>
    <n v="2023"/>
    <s v="Sun"/>
    <n v="4"/>
  </r>
  <r>
    <s v="CMP-00184"/>
    <s v="Q4_Launch_CMP-00184"/>
    <d v="2023-06-30T00:00:00"/>
    <x v="9"/>
    <d v="2023-07-10T00:00:00"/>
    <x v="2"/>
    <n v="93787"/>
    <n v="3622"/>
    <n v="428"/>
    <x v="1"/>
    <x v="10"/>
    <n v="3.861942486698583E-2"/>
    <n v="1.0026946438431805"/>
    <n v="8.4854205607476629"/>
    <n v="17768.240000000002"/>
    <n v="0.11816675869685257"/>
    <x v="3"/>
    <x v="1"/>
    <n v="2023"/>
    <s v="Fri"/>
    <n v="10"/>
  </r>
  <r>
    <s v="CMP-00185"/>
    <s v="Q3_Launch_CMP-00185"/>
    <d v="2023-08-03T00:00:00"/>
    <x v="7"/>
    <d v="2023-08-27T00:00:00"/>
    <x v="1"/>
    <n v="56016"/>
    <n v="1728"/>
    <n v="128"/>
    <x v="1"/>
    <x v="132"/>
    <n v="3.0848329048843187E-2"/>
    <n v="1.0939409722222222"/>
    <n v="14.768203124999999"/>
    <n v="4509.67"/>
    <n v="7.407407407407407E-2"/>
    <x v="3"/>
    <x v="1"/>
    <n v="2023"/>
    <s v="Thu"/>
    <n v="24"/>
  </r>
  <r>
    <s v="CMP-00186"/>
    <s v="Q3_Summer_CMP-00186"/>
    <d v="2023-11-05T00:00:00"/>
    <x v="0"/>
    <d v="2023-11-07T00:00:00"/>
    <x v="3"/>
    <n v="10474"/>
    <n v="449"/>
    <n v="42"/>
    <x v="0"/>
    <x v="133"/>
    <n v="4.2868054229520718E-2"/>
    <n v="1.5039643652561248"/>
    <n v="16.078095238095237"/>
    <n v="1424.72"/>
    <n v="9.3541202672605794E-2"/>
    <x v="0"/>
    <x v="0"/>
    <n v="2023"/>
    <s v="Sun"/>
    <n v="2"/>
  </r>
  <r>
    <s v="CMP-00187"/>
    <s v="Q1_Summer_CMP-00187"/>
    <d v="2023-05-20T00:00:00"/>
    <x v="1"/>
    <d v="2023-06-13T00:00:00"/>
    <x v="1"/>
    <n v="59053"/>
    <n v="1608"/>
    <n v="230"/>
    <x v="0"/>
    <x v="134"/>
    <n v="2.7229776641322201E-2"/>
    <n v="1.8378420398009949"/>
    <n v="12.848913043478261"/>
    <n v="8544.75"/>
    <n v="0.14303482587064675"/>
    <x v="1"/>
    <x v="0"/>
    <n v="2023"/>
    <s v="Sat"/>
    <n v="24"/>
  </r>
  <r>
    <s v="CMP-00188"/>
    <s v="Q1_Summer_CMP-00188"/>
    <d v="2023-06-22T00:00:00"/>
    <x v="9"/>
    <d v="2023-07-21T00:00:00"/>
    <x v="2"/>
    <n v="22959"/>
    <n v="1053"/>
    <n v="100"/>
    <x v="0"/>
    <x v="135"/>
    <n v="4.5864366914935319E-2"/>
    <n v="0.9590788224121557"/>
    <n v="10.0991"/>
    <n v="3990.09"/>
    <n v="9.4966761633428307E-2"/>
    <x v="3"/>
    <x v="0"/>
    <n v="2023"/>
    <s v="Thu"/>
    <n v="29"/>
  </r>
  <r>
    <s v="CMP-00189"/>
    <s v="Q4_Summer_CMP-00189"/>
    <d v="2023-03-26T00:00:00"/>
    <x v="5"/>
    <d v="2023-04-02T00:00:00"/>
    <x v="3"/>
    <n v="6530"/>
    <n v="83"/>
    <n v="15"/>
    <x v="0"/>
    <x v="0"/>
    <n v="1.2710566615620214E-2"/>
    <n v="3.9654518072289155"/>
    <n v="21.942166666666665"/>
    <n v="420.86750000000001"/>
    <n v="0.18072289156626506"/>
    <x v="1"/>
    <x v="0"/>
    <n v="2023"/>
    <s v="Sun"/>
    <n v="7"/>
  </r>
  <r>
    <s v="CMP-00190"/>
    <s v="Q4_Summer_CMP-00190"/>
    <d v="2023-11-15T00:00:00"/>
    <x v="0"/>
    <d v="2023-12-02T00:00:00"/>
    <x v="1"/>
    <n v="95856"/>
    <n v="4618"/>
    <m/>
    <x v="0"/>
    <x v="10"/>
    <n v="4.8176431313637122E-2"/>
    <n v="0.78643568644434814"/>
    <n v="0"/>
    <n v="-3631.7599999999998"/>
    <n v="0"/>
    <x v="0"/>
    <x v="0"/>
    <n v="2023"/>
    <s v="Wed"/>
    <n v="17"/>
  </r>
  <r>
    <s v="CMP-00191"/>
    <s v="Q4_Summer_CMP-00191"/>
    <d v="2023-10-31T00:00:00"/>
    <x v="3"/>
    <d v="2023-11-26T00:00:00"/>
    <x v="1"/>
    <n v="4748"/>
    <n v="171"/>
    <n v="19"/>
    <x v="0"/>
    <x v="0"/>
    <n v="3.6015164279696713E-2"/>
    <n v="1.9247514619883042"/>
    <n v="17.322763157894737"/>
    <n v="620.86750000000006"/>
    <n v="0.1111111111111111"/>
    <x v="0"/>
    <x v="0"/>
    <n v="2023"/>
    <s v="Tue"/>
    <n v="26"/>
  </r>
  <r>
    <s v="CMP-00192"/>
    <s v="Q3_Launch_CMP-00192"/>
    <d v="2023-11-26T00:00:00"/>
    <x v="0"/>
    <d v="2023-12-13T00:00:00"/>
    <x v="3"/>
    <n v="98504"/>
    <n v="2482"/>
    <n v="138"/>
    <x v="0"/>
    <x v="136"/>
    <n v="2.5196946316900837E-2"/>
    <n v="0.75217566478646258"/>
    <n v="13.528260869565218"/>
    <n v="5033.1000000000004"/>
    <n v="5.5600322320709106E-2"/>
    <x v="0"/>
    <x v="1"/>
    <n v="2023"/>
    <s v="Sun"/>
    <n v="17"/>
  </r>
  <r>
    <s v="CMP-00193"/>
    <s v="Q2_Winter_CMP-00193"/>
    <d v="2023-04-04T00:00:00"/>
    <x v="4"/>
    <d v="2023-04-14T00:00:00"/>
    <x v="1"/>
    <n v="99098"/>
    <n v="1772"/>
    <n v="221"/>
    <x v="0"/>
    <x v="137"/>
    <n v="1.7881289228844174E-2"/>
    <n v="1.2124266365688487"/>
    <n v="9.7213574660633491"/>
    <n v="8901.58"/>
    <n v="0.12471783295711061"/>
    <x v="1"/>
    <x v="2"/>
    <n v="2023"/>
    <s v="Tue"/>
    <n v="10"/>
  </r>
  <r>
    <s v="CMP-00194"/>
    <s v="Q4_Launch_CMP-00194"/>
    <d v="2023-07-14T00:00:00"/>
    <x v="8"/>
    <d v="2023-07-22T00:00:00"/>
    <x v="1"/>
    <n v="14545"/>
    <n v="424"/>
    <n v="69"/>
    <x v="0"/>
    <x v="0"/>
    <n v="2.9150910965967686E-2"/>
    <n v="0.77625589622641511"/>
    <n v="4.7700362318840579"/>
    <n v="3120.8674999999998"/>
    <n v="0.16273584905660377"/>
    <x v="3"/>
    <x v="1"/>
    <n v="2023"/>
    <s v="Fri"/>
    <n v="8"/>
  </r>
  <r>
    <s v="CMP-00195"/>
    <s v="Q1_Winter_CMP-00195"/>
    <d v="2023-06-22T00:00:00"/>
    <x v="9"/>
    <d v="2023-07-18T00:00:00"/>
    <x v="2"/>
    <n v="67199"/>
    <n v="1194"/>
    <n v="107"/>
    <x v="0"/>
    <x v="138"/>
    <n v="1.7768121549427821E-2"/>
    <n v="1.9135762144053601"/>
    <n v="21.353364485981309"/>
    <n v="3065.19"/>
    <n v="8.9614740368509208E-2"/>
    <x v="3"/>
    <x v="2"/>
    <n v="2023"/>
    <s v="Thu"/>
    <n v="26"/>
  </r>
  <r>
    <s v="CMP-00196"/>
    <s v="Q4_Summer_CMP-00196"/>
    <d v="2023-08-04T00:00:00"/>
    <x v="7"/>
    <d v="2023-09-03T00:00:00"/>
    <x v="3"/>
    <n v="35766"/>
    <n v="595"/>
    <n v="101"/>
    <x v="0"/>
    <x v="139"/>
    <n v="1.6635911200581558E-2"/>
    <n v="0.61223529411764699"/>
    <n v="3.6067326732673264"/>
    <n v="4685.72"/>
    <n v="0.16974789915966387"/>
    <x v="3"/>
    <x v="0"/>
    <n v="2023"/>
    <s v="Fri"/>
    <n v="30"/>
  </r>
  <r>
    <s v="CMP-00197"/>
    <s v="Q3_Launch_CMP-00197"/>
    <d v="2023-01-10T00:00:00"/>
    <x v="11"/>
    <d v="2023-10-15T00:00:00"/>
    <x v="3"/>
    <n v="74530"/>
    <n v="2585"/>
    <n v="226"/>
    <x v="0"/>
    <x v="140"/>
    <n v="3.4684019857775396E-2"/>
    <n v="1.1576866537717601"/>
    <n v="13.241681415929204"/>
    <n v="8307.380000000001"/>
    <n v="8.7427466150870409E-2"/>
    <x v="2"/>
    <x v="1"/>
    <n v="2023"/>
    <s v="Tue"/>
    <n v="278"/>
  </r>
  <r>
    <s v="CMP-00198"/>
    <s v="Q4_Launch_CMP-00198"/>
    <d v="2023-06-29T00:00:00"/>
    <x v="9"/>
    <d v="2023-07-22T00:00:00"/>
    <x v="0"/>
    <n v="94557"/>
    <n v="2924"/>
    <n v="507"/>
    <x v="0"/>
    <x v="10"/>
    <n v="3.0923146884947704E-2"/>
    <n v="1.2420519835841313"/>
    <n v="7.1632347140039441"/>
    <n v="21718.240000000002"/>
    <n v="0.17339261285909713"/>
    <x v="3"/>
    <x v="1"/>
    <n v="2023"/>
    <s v="Thu"/>
    <n v="23"/>
  </r>
  <r>
    <s v="CMP-00199"/>
    <s v="Q1_BlackFriday_CMP-00199"/>
    <d v="2023-11-30T00:00:00"/>
    <x v="0"/>
    <d v="2023-12-27T00:00:00"/>
    <x v="2"/>
    <n v="62087"/>
    <n v="2285"/>
    <n v="143"/>
    <x v="1"/>
    <x v="10"/>
    <n v="3.6803195515969528E-2"/>
    <n v="1.5893916849015317"/>
    <n v="25.396923076923077"/>
    <n v="3518.2400000000002"/>
    <n v="6.2582056892778987E-2"/>
    <x v="0"/>
    <x v="3"/>
    <n v="2023"/>
    <s v="Thu"/>
    <n v="27"/>
  </r>
  <r>
    <s v="CMP-00200"/>
    <s v="Q2_BlackFriday_CMP-00200"/>
    <d v="2023-01-16T00:00:00"/>
    <x v="11"/>
    <d v="2023-02-13T00:00:00"/>
    <x v="4"/>
    <n v="96839"/>
    <n v="4569"/>
    <m/>
    <x v="1"/>
    <x v="141"/>
    <n v="4.7181404186329885E-2"/>
    <n v="0.74903261107463337"/>
    <n v="0"/>
    <n v="-3422.33"/>
    <n v="0"/>
    <x v="2"/>
    <x v="3"/>
    <n v="2023"/>
    <s v="Mon"/>
    <n v="28"/>
  </r>
  <r>
    <s v="CMP-00201"/>
    <s v="Q3_BlackFriday_CMP-00201"/>
    <d v="2023-01-11T00:00:00"/>
    <x v="11"/>
    <d v="2023-02-10T00:00:00"/>
    <x v="3"/>
    <n v="69840"/>
    <n v="2185"/>
    <n v="272"/>
    <x v="0"/>
    <x v="142"/>
    <n v="3.1285796105383734E-2"/>
    <n v="0.67164759725400458"/>
    <n v="5.395404411764706"/>
    <n v="12132.45"/>
    <n v="0.12448512585812357"/>
    <x v="2"/>
    <x v="3"/>
    <n v="2023"/>
    <s v="Wed"/>
    <n v="30"/>
  </r>
  <r>
    <s v="CMP-00202"/>
    <s v="Q3_Launch_CMP-00202"/>
    <d v="2023-08-31T00:00:00"/>
    <x v="7"/>
    <d v="2023-09-10T00:00:00"/>
    <x v="2"/>
    <n v="55384"/>
    <n v="1840"/>
    <n v="173"/>
    <x v="0"/>
    <x v="143"/>
    <n v="3.3222591362126248E-2"/>
    <n v="0.51305978260869567"/>
    <n v="5.4568208092485548"/>
    <n v="7705.97"/>
    <n v="9.4021739130434781E-2"/>
    <x v="3"/>
    <x v="1"/>
    <n v="2023"/>
    <s v="Thu"/>
    <n v="10"/>
  </r>
  <r>
    <s v="CMP-00203"/>
    <s v="Q2_Summer_CMP-00203"/>
    <d v="2023-04-22T00:00:00"/>
    <x v="4"/>
    <d v="2023-05-01T00:00:00"/>
    <x v="1"/>
    <n v="52005"/>
    <n v="706"/>
    <n v="63"/>
    <x v="1"/>
    <x v="144"/>
    <n v="1.3575617729064514E-2"/>
    <n v="0.73335694050991507"/>
    <n v="8.2182539682539684"/>
    <n v="2632.25"/>
    <n v="8.9235127478753534E-2"/>
    <x v="1"/>
    <x v="0"/>
    <n v="2023"/>
    <s v="Sat"/>
    <n v="9"/>
  </r>
  <r>
    <s v="CMP-00204"/>
    <s v="Q4_Summer_CMP-00204"/>
    <d v="2023-07-08T00:00:00"/>
    <x v="8"/>
    <d v="2023-07-15T00:00:00"/>
    <x v="3"/>
    <n v="47576"/>
    <n v="1841"/>
    <n v="211"/>
    <x v="1"/>
    <x v="145"/>
    <n v="3.8695981166974945E-2"/>
    <n v="0.81090711569799023"/>
    <n v="7.0752606635071098"/>
    <n v="9057.119999999999"/>
    <n v="0.11461162411732755"/>
    <x v="3"/>
    <x v="0"/>
    <n v="2023"/>
    <s v="Sat"/>
    <n v="7"/>
  </r>
  <r>
    <s v="CMP-00205"/>
    <s v="Q1_Summer_CMP-00205"/>
    <d v="2023-02-28T00:00:00"/>
    <x v="6"/>
    <d v="2023-03-05T00:00:00"/>
    <x v="3"/>
    <n v="40353"/>
    <n v="1049"/>
    <n v="209"/>
    <x v="0"/>
    <x v="146"/>
    <n v="2.5995588927712934E-2"/>
    <n v="1.4458722592945663"/>
    <n v="7.2570334928229663"/>
    <n v="8933.2800000000007"/>
    <n v="0.1992373689227836"/>
    <x v="2"/>
    <x v="0"/>
    <n v="2023"/>
    <s v="Tue"/>
    <n v="5"/>
  </r>
  <r>
    <s v="CMP-00206"/>
    <s v="Q2_BlackFriday_CMP-00206"/>
    <d v="2023-06-09T00:00:00"/>
    <x v="9"/>
    <d v="2023-09-16T00:00:00"/>
    <x v="2"/>
    <n v="63003"/>
    <n v="3091"/>
    <n v="256"/>
    <x v="0"/>
    <x v="147"/>
    <n v="4.9061155817976924E-2"/>
    <n v="0.82956001294079584"/>
    <n v="10.0162890625"/>
    <n v="10235.83"/>
    <n v="8.2821093497250087E-2"/>
    <x v="3"/>
    <x v="3"/>
    <n v="2023"/>
    <s v="Fri"/>
    <n v="99"/>
  </r>
  <r>
    <s v="CMP-00207"/>
    <s v="Q3_BlackFriday_CMP-00207"/>
    <d v="2023-06-09T00:00:00"/>
    <x v="9"/>
    <d v="2023-06-10T00:00:00"/>
    <x v="3"/>
    <n v="84211"/>
    <n v="3614"/>
    <n v="236"/>
    <x v="1"/>
    <x v="148"/>
    <n v="4.2916008597451642E-2"/>
    <n v="0.53078029883785283"/>
    <n v="8.128135593220339"/>
    <n v="9881.76"/>
    <n v="6.5301604869950194E-2"/>
    <x v="3"/>
    <x v="3"/>
    <n v="2023"/>
    <s v="Fri"/>
    <n v="1"/>
  </r>
  <r>
    <s v="CMP-00208"/>
    <s v="Q2_Launch_CMP-00208"/>
    <d v="2023-07-12T00:00:00"/>
    <x v="8"/>
    <d v="2023-07-13T00:00:00"/>
    <x v="1"/>
    <n v="53733"/>
    <n v="1660"/>
    <n v="228"/>
    <x v="0"/>
    <x v="149"/>
    <n v="3.0893491895111012E-2"/>
    <n v="1.7399277108433737"/>
    <n v="12.667894736842106"/>
    <n v="8511.7199999999993"/>
    <n v="0.13734939759036144"/>
    <x v="3"/>
    <x v="1"/>
    <n v="2023"/>
    <s v="Wed"/>
    <n v="1"/>
  </r>
  <r>
    <s v="CMP-00209"/>
    <s v="Q2_Launch_CMP-00209"/>
    <d v="2023-02-08T00:00:00"/>
    <x v="6"/>
    <d v="2023-03-01T00:00:00"/>
    <x v="1"/>
    <n v="66318"/>
    <n v="990"/>
    <n v="122"/>
    <x v="1"/>
    <x v="150"/>
    <n v="1.4928073826110558E-2"/>
    <n v="1.0483939393939394"/>
    <n v="8.5074590163934438"/>
    <n v="5062.09"/>
    <n v="0.12323232323232323"/>
    <x v="2"/>
    <x v="1"/>
    <n v="2023"/>
    <s v="Wed"/>
    <n v="21"/>
  </r>
  <r>
    <s v="CMP-00210"/>
    <s v="Q2_Launch_CMP-00210"/>
    <d v="2023-05-05T00:00:00"/>
    <x v="1"/>
    <d v="2023-05-26T00:00:00"/>
    <x v="3"/>
    <n v="90474"/>
    <n v="4014"/>
    <n v="516"/>
    <x v="0"/>
    <x v="10"/>
    <n v="4.4366337290271236E-2"/>
    <n v="0.90477329347284496"/>
    <n v="7.0382945736434106"/>
    <n v="22168.240000000002"/>
    <n v="0.12855007473841554"/>
    <x v="1"/>
    <x v="1"/>
    <n v="2023"/>
    <s v="Fri"/>
    <n v="21"/>
  </r>
  <r>
    <s v="CMP-00211"/>
    <s v="Q1_Launch_CMP-00211"/>
    <d v="2023-12-17T00:00:00"/>
    <x v="2"/>
    <d v="2024-01-11T00:00:00"/>
    <x v="0"/>
    <n v="24664"/>
    <n v="1035"/>
    <n v="155"/>
    <x v="0"/>
    <x v="151"/>
    <n v="4.1963996107687321E-2"/>
    <n v="0.95371980676328505"/>
    <n v="6.3683870967741933"/>
    <n v="6762.9"/>
    <n v="0.14975845410628019"/>
    <x v="2"/>
    <x v="1"/>
    <n v="2023"/>
    <s v="Sun"/>
    <n v="25"/>
  </r>
  <r>
    <s v="CMP-00212"/>
    <s v="Q2_Launch_CMP-00212"/>
    <d v="2023-10-17T00:00:00"/>
    <x v="3"/>
    <d v="2023-10-31T00:00:00"/>
    <x v="1"/>
    <n v="68172"/>
    <n v="1185"/>
    <m/>
    <x v="1"/>
    <x v="152"/>
    <n v="1.7382503080443583E-2"/>
    <n v="1.9630632911392405"/>
    <n v="0"/>
    <n v="-2326.23"/>
    <n v="0"/>
    <x v="0"/>
    <x v="1"/>
    <n v="2023"/>
    <s v="Tue"/>
    <n v="14"/>
  </r>
  <r>
    <s v="CMP-00213"/>
    <s v="Q2_Launch_CMP-00213"/>
    <d v="2023-08-08T00:00:00"/>
    <x v="7"/>
    <d v="2023-08-11T00:00:00"/>
    <x v="1"/>
    <n v="86616"/>
    <n v="1889"/>
    <m/>
    <x v="0"/>
    <x v="153"/>
    <n v="2.1808903666759027E-2"/>
    <n v="0.75517204870301746"/>
    <n v="0"/>
    <n v="-1426.52"/>
    <n v="0"/>
    <x v="3"/>
    <x v="1"/>
    <n v="2023"/>
    <s v="Tue"/>
    <n v="3"/>
  </r>
  <r>
    <s v="CMP-00214"/>
    <s v="Q3_Winter_CMP-00214"/>
    <d v="2023-11-28T00:00:00"/>
    <x v="0"/>
    <d v="2023-12-10T00:00:00"/>
    <x v="2"/>
    <n v="94264"/>
    <n v="3934"/>
    <n v="453"/>
    <x v="0"/>
    <x v="10"/>
    <n v="4.1733853857251972E-2"/>
    <n v="0.92317234367056422"/>
    <n v="8.0171302428256066"/>
    <n v="19018.240000000002"/>
    <n v="0.11514997458057956"/>
    <x v="0"/>
    <x v="2"/>
    <n v="2023"/>
    <s v="Tue"/>
    <n v="12"/>
  </r>
  <r>
    <s v="CMP-00215"/>
    <s v="Q4_Winter_CMP-00215"/>
    <d v="2023-09-08T00:00:00"/>
    <x v="10"/>
    <d v="2023-09-23T00:00:00"/>
    <x v="0"/>
    <n v="27736"/>
    <n v="482"/>
    <n v="33"/>
    <x v="0"/>
    <x v="154"/>
    <n v="1.7378136717623307E-2"/>
    <n v="1.6652074688796681"/>
    <n v="24.32212121212121"/>
    <n v="847.37"/>
    <n v="6.8464730290456438E-2"/>
    <x v="0"/>
    <x v="2"/>
    <n v="2023"/>
    <s v="Fri"/>
    <n v="15"/>
  </r>
  <r>
    <s v="CMP-00216"/>
    <s v="Q1_Winter_CMP-00216"/>
    <d v="2023-11-22T00:00:00"/>
    <x v="0"/>
    <d v="2023-12-17T00:00:00"/>
    <x v="0"/>
    <n v="95209"/>
    <n v="4447"/>
    <n v="717"/>
    <x v="0"/>
    <x v="155"/>
    <n v="4.6707769223497779E-2"/>
    <n v="0.61472003597931191"/>
    <n v="3.8126359832635983"/>
    <n v="33116.339999999997"/>
    <n v="0.16123229143242634"/>
    <x v="0"/>
    <x v="2"/>
    <n v="2023"/>
    <s v="Wed"/>
    <n v="25"/>
  </r>
  <r>
    <s v="CMP-00217"/>
    <s v="Q1_Launch_CMP-00217"/>
    <d v="2023-03-20T00:00:00"/>
    <x v="5"/>
    <d v="2023-04-19T00:00:00"/>
    <x v="3"/>
    <n v="1854"/>
    <n v="50"/>
    <n v="7"/>
    <x v="1"/>
    <x v="0"/>
    <n v="2.696871628910464E-2"/>
    <n v="6.5826500000000001"/>
    <n v="47.018928571428567"/>
    <n v="20.867500000000007"/>
    <n v="0.14000000000000001"/>
    <x v="1"/>
    <x v="1"/>
    <n v="2023"/>
    <s v="Mon"/>
    <n v="30"/>
  </r>
  <r>
    <s v="CMP-00218"/>
    <s v="Q3_Winter_CMP-00218"/>
    <d v="2023-11-30T00:00:00"/>
    <x v="0"/>
    <d v="2023-12-05T00:00:00"/>
    <x v="4"/>
    <n v="91084"/>
    <n v="1227"/>
    <n v="119"/>
    <x v="0"/>
    <x v="156"/>
    <n v="1.3471081638926704E-2"/>
    <n v="0.90704971475142626"/>
    <n v="9.352521008403361"/>
    <n v="4837.05"/>
    <n v="9.6984515077424616E-2"/>
    <x v="0"/>
    <x v="2"/>
    <n v="2023"/>
    <s v="Thu"/>
    <n v="5"/>
  </r>
  <r>
    <s v="CMP-00219"/>
    <s v="Q3_Winter_CMP-00219"/>
    <d v="2023-10-03T00:00:00"/>
    <x v="3"/>
    <d v="2023-11-02T00:00:00"/>
    <x v="0"/>
    <n v="39623"/>
    <n v="1689"/>
    <n v="241"/>
    <x v="1"/>
    <x v="157"/>
    <n v="4.2626757186482601E-2"/>
    <n v="0.6478744819419775"/>
    <n v="4.540497925311203"/>
    <n v="10955.74"/>
    <n v="0.14268798105387803"/>
    <x v="0"/>
    <x v="2"/>
    <n v="2023"/>
    <s v="Tue"/>
    <n v="30"/>
  </r>
  <r>
    <s v="CMP-00220"/>
    <s v="Q1_Summer_CMP-00220"/>
    <d v="2023-10-31T00:00:00"/>
    <x v="3"/>
    <d v="2023-11-21T00:00:00"/>
    <x v="3"/>
    <n v="8392"/>
    <n v="209"/>
    <n v="17"/>
    <x v="0"/>
    <x v="158"/>
    <n v="2.490467111534795E-2"/>
    <n v="1.7439712918660288"/>
    <n v="21.440588235294118"/>
    <n v="485.51"/>
    <n v="8.1339712918660281E-2"/>
    <x v="0"/>
    <x v="0"/>
    <n v="2023"/>
    <s v="Tue"/>
    <n v="21"/>
  </r>
  <r>
    <s v="CMP-00221"/>
    <s v="Q1_Launch_CMP-00221"/>
    <d v="2023-02-14T00:00:00"/>
    <x v="6"/>
    <d v="2023-02-27T00:00:00"/>
    <x v="1"/>
    <n v="56680"/>
    <n v="1760"/>
    <n v="205"/>
    <x v="1"/>
    <x v="159"/>
    <n v="3.1051517290049402E-2"/>
    <n v="1.5600113636363635"/>
    <n v="13.393268292682926"/>
    <n v="7504.38"/>
    <n v="0.11647727272727272"/>
    <x v="2"/>
    <x v="1"/>
    <n v="2023"/>
    <s v="Tue"/>
    <n v="13"/>
  </r>
  <r>
    <s v="CMP-00222"/>
    <s v="Q1_Winter_CMP-00222"/>
    <d v="2023-08-26T00:00:00"/>
    <x v="7"/>
    <d v="2023-09-25T00:00:00"/>
    <x v="0"/>
    <n v="47717"/>
    <n v="691"/>
    <n v="127"/>
    <x v="0"/>
    <x v="160"/>
    <n v="1.4481212146614414E-2"/>
    <n v="1.4258321273516643"/>
    <n v="7.7578740157480315"/>
    <n v="5364.75"/>
    <n v="0.18379160636758321"/>
    <x v="3"/>
    <x v="2"/>
    <n v="2023"/>
    <s v="Sat"/>
    <n v="30"/>
  </r>
  <r>
    <s v="CMP-00223"/>
    <s v="Q1_Summer_CMP-00223"/>
    <d v="2023-06-22T00:00:00"/>
    <x v="9"/>
    <d v="2023-06-28T00:00:00"/>
    <x v="1"/>
    <n v="88092"/>
    <n v="890"/>
    <n v="62"/>
    <x v="1"/>
    <x v="161"/>
    <n v="1.0103074058938382E-2"/>
    <n v="0.73396629213483144"/>
    <n v="10.535967741935485"/>
    <n v="2446.77"/>
    <n v="6.9662921348314602E-2"/>
    <x v="3"/>
    <x v="0"/>
    <n v="2023"/>
    <s v="Thu"/>
    <n v="6"/>
  </r>
  <r>
    <s v="CMP-00224"/>
    <s v="Q4_Summer_CMP-00224"/>
    <d v="2023-06-16T00:00:00"/>
    <x v="9"/>
    <d v="2023-07-06T00:00:00"/>
    <x v="4"/>
    <n v="51859"/>
    <n v="1842"/>
    <m/>
    <x v="0"/>
    <x v="162"/>
    <n v="3.5519389112786591E-2"/>
    <n v="1.2177415852334419"/>
    <n v="0"/>
    <n v="-2243.08"/>
    <n v="0"/>
    <x v="3"/>
    <x v="0"/>
    <n v="2023"/>
    <s v="Fri"/>
    <n v="20"/>
  </r>
  <r>
    <s v="CMP-00225"/>
    <s v="Q2_Launch_CMP-00225"/>
    <d v="2023-05-13T00:00:00"/>
    <x v="1"/>
    <d v="2023-05-28T00:00:00"/>
    <x v="4"/>
    <n v="27309"/>
    <n v="835"/>
    <n v="144"/>
    <x v="0"/>
    <x v="163"/>
    <n v="3.0576000585887435E-2"/>
    <n v="1.6708383233532935"/>
    <n v="9.6885416666666675"/>
    <n v="5804.85"/>
    <n v="0.17245508982035929"/>
    <x v="1"/>
    <x v="1"/>
    <n v="2023"/>
    <s v="Sat"/>
    <n v="15"/>
  </r>
  <r>
    <s v="CMP-00226"/>
    <s v="Q3_Winter_CMP-00226"/>
    <d v="2023-12-26T00:00:00"/>
    <x v="2"/>
    <d v="2024-01-20T00:00:00"/>
    <x v="3"/>
    <n v="88455"/>
    <n v="2984"/>
    <n v="583"/>
    <x v="0"/>
    <x v="164"/>
    <n v="3.3734667344977674E-2"/>
    <n v="0.95543565683646114"/>
    <n v="4.8902572898799317"/>
    <n v="26298.98"/>
    <n v="0.19537533512064342"/>
    <x v="2"/>
    <x v="2"/>
    <n v="2023"/>
    <s v="Tue"/>
    <n v="25"/>
  </r>
  <r>
    <s v="CMP-00227"/>
    <s v="Q2_Winter_CMP-00227"/>
    <d v="2023-09-22T00:00:00"/>
    <x v="10"/>
    <d v="2023-10-03T00:00:00"/>
    <x v="2"/>
    <n v="64734"/>
    <n v="2702"/>
    <n v="319"/>
    <x v="1"/>
    <x v="165"/>
    <n v="4.1740043871844781E-2"/>
    <n v="0.96753515914137678"/>
    <n v="8.1952351097178688"/>
    <n v="13335.72"/>
    <n v="0.11806069578090303"/>
    <x v="0"/>
    <x v="2"/>
    <n v="2023"/>
    <s v="Fri"/>
    <n v="11"/>
  </r>
  <r>
    <s v="CMP-00228"/>
    <s v="Q3_Winter_CMP-00228"/>
    <d v="2023-07-28T00:00:00"/>
    <x v="8"/>
    <d v="2023-08-01T00:00:00"/>
    <x v="2"/>
    <n v="71467"/>
    <n v="2563"/>
    <n v="323"/>
    <x v="1"/>
    <x v="166"/>
    <n v="3.5862705864245038E-2"/>
    <n v="0.50471322668747554"/>
    <n v="4.0048916408668731"/>
    <n v="14856.42"/>
    <n v="0.12602419040187279"/>
    <x v="3"/>
    <x v="2"/>
    <n v="2023"/>
    <s v="Fri"/>
    <n v="4"/>
  </r>
  <r>
    <s v="CMP-00229"/>
    <s v="Q2_Launch_CMP-00229"/>
    <d v="2023-12-20T00:00:00"/>
    <x v="2"/>
    <d v="2024-01-19T00:00:00"/>
    <x v="2"/>
    <n v="53662"/>
    <n v="911"/>
    <n v="123"/>
    <x v="0"/>
    <x v="167"/>
    <n v="1.6976631508329915E-2"/>
    <n v="0.76136114160263446"/>
    <n v="5.639024390243903"/>
    <n v="5456.4"/>
    <n v="0.1350164654226125"/>
    <x v="2"/>
    <x v="1"/>
    <n v="2023"/>
    <s v="Wed"/>
    <n v="30"/>
  </r>
  <r>
    <s v="CMP-00230"/>
    <s v="Q3_Summer_CMP-00230"/>
    <d v="2023-08-18T00:00:00"/>
    <x v="7"/>
    <d v="2023-08-27T00:00:00"/>
    <x v="0"/>
    <n v="99506"/>
    <n v="2431"/>
    <n v="461"/>
    <x v="0"/>
    <x v="10"/>
    <n v="2.4430687596727837E-2"/>
    <n v="1.4939366515837103"/>
    <n v="7.8780043383947937"/>
    <n v="19418.240000000002"/>
    <n v="0.18963389551624846"/>
    <x v="3"/>
    <x v="0"/>
    <n v="2023"/>
    <s v="Fri"/>
    <n v="9"/>
  </r>
  <r>
    <s v="CMP-00231"/>
    <s v="Q3_Summer_CMP-00231"/>
    <d v="2023-04-24T00:00:00"/>
    <x v="4"/>
    <d v="2023-05-09T00:00:00"/>
    <x v="3"/>
    <n v="13688"/>
    <n v="632"/>
    <n v="112"/>
    <x v="0"/>
    <x v="168"/>
    <n v="4.6171829339567504E-2"/>
    <n v="1.1626265822784809"/>
    <n v="6.5605357142857139"/>
    <n v="4865.22"/>
    <n v="0.17721518987341772"/>
    <x v="1"/>
    <x v="0"/>
    <n v="2023"/>
    <s v="Mon"/>
    <n v="15"/>
  </r>
  <r>
    <s v="CMP-00232"/>
    <s v="Q2_Summer_CMP-00232"/>
    <d v="2023-12-06T00:00:00"/>
    <x v="2"/>
    <d v="2023-12-15T00:00:00"/>
    <x v="3"/>
    <n v="26342"/>
    <n v="1074"/>
    <n v="81"/>
    <x v="0"/>
    <x v="169"/>
    <n v="4.0771391693872901E-2"/>
    <n v="1.9763500931098696"/>
    <n v="26.204938271604938"/>
    <n v="1927.4"/>
    <n v="7.5418994413407825E-2"/>
    <x v="2"/>
    <x v="0"/>
    <n v="2023"/>
    <s v="Wed"/>
    <n v="9"/>
  </r>
  <r>
    <s v="CMP-00233"/>
    <s v="Q1_Summer_CMP-00233"/>
    <d v="2023-09-29T00:00:00"/>
    <x v="10"/>
    <d v="2023-10-06T00:00:00"/>
    <x v="3"/>
    <n v="38157"/>
    <n v="1231"/>
    <n v="142"/>
    <x v="0"/>
    <x v="170"/>
    <n v="3.2261446130460988E-2"/>
    <n v="1.093558082859464"/>
    <n v="9.4800704225352117"/>
    <n v="5753.83"/>
    <n v="0.11535337124289195"/>
    <x v="0"/>
    <x v="0"/>
    <n v="2023"/>
    <s v="Fri"/>
    <n v="7"/>
  </r>
  <r>
    <s v="CMP-00234"/>
    <s v="Q4_Summer_CMP-00234"/>
    <d v="2023-10-09T00:00:00"/>
    <x v="3"/>
    <d v="2023-11-01T00:00:00"/>
    <x v="0"/>
    <n v="68863"/>
    <n v="1392"/>
    <n v="166"/>
    <x v="1"/>
    <x v="171"/>
    <n v="2.021404818262347E-2"/>
    <n v="1.5727801724137931"/>
    <n v="13.188614457831324"/>
    <n v="6110.6900000000005"/>
    <n v="0.11925287356321838"/>
    <x v="0"/>
    <x v="0"/>
    <n v="2023"/>
    <s v="Mon"/>
    <n v="23"/>
  </r>
  <r>
    <s v="CMP-00235"/>
    <s v="Q1_Winter_CMP-00235"/>
    <d v="2023-05-19T00:00:00"/>
    <x v="1"/>
    <d v="2023-06-08T00:00:00"/>
    <x v="3"/>
    <n v="53083"/>
    <n v="1172"/>
    <n v="197"/>
    <x v="0"/>
    <x v="172"/>
    <n v="2.2078631576964377E-2"/>
    <n v="0.92287542662116029"/>
    <n v="5.4904060913705575"/>
    <n v="8768.39"/>
    <n v="0.16808873720136519"/>
    <x v="1"/>
    <x v="2"/>
    <n v="2023"/>
    <s v="Fri"/>
    <n v="20"/>
  </r>
  <r>
    <s v="CMP-00236"/>
    <s v="Q3_BlackFriday_CMP-00236"/>
    <d v="2023-04-09T00:00:00"/>
    <x v="4"/>
    <d v="2023-04-24T00:00:00"/>
    <x v="1"/>
    <n v="66733"/>
    <n v="2621"/>
    <m/>
    <x v="1"/>
    <x v="173"/>
    <n v="3.9275920459143153E-2"/>
    <n v="1.0457153758107594"/>
    <n v="0"/>
    <n v="-2740.82"/>
    <n v="0"/>
    <x v="1"/>
    <x v="3"/>
    <n v="2023"/>
    <s v="Sun"/>
    <n v="15"/>
  </r>
  <r>
    <s v="CMP-00237"/>
    <s v="Q2_Summer_CMP-00237"/>
    <d v="2023-12-20T00:00:00"/>
    <x v="2"/>
    <d v="2023-12-30T00:00:00"/>
    <x v="1"/>
    <n v="90045"/>
    <n v="3966"/>
    <n v="587"/>
    <x v="0"/>
    <x v="174"/>
    <n v="4.404464434449442E-2"/>
    <n v="0.78608925869894097"/>
    <n v="5.3111243611584333"/>
    <n v="26232.37"/>
    <n v="0.14800806858295512"/>
    <x v="2"/>
    <x v="0"/>
    <n v="2023"/>
    <s v="Wed"/>
    <n v="10"/>
  </r>
  <r>
    <s v="CMP-00238"/>
    <s v="Q1_Launch_CMP-00238"/>
    <d v="2023-09-05T00:00:00"/>
    <x v="10"/>
    <d v="2023-09-11T00:00:00"/>
    <x v="1"/>
    <n v="35698"/>
    <n v="1315"/>
    <n v="262"/>
    <x v="1"/>
    <x v="175"/>
    <n v="3.6836797579696344E-2"/>
    <n v="1.0205931558935362"/>
    <n v="5.1224427480916024"/>
    <n v="11757.92"/>
    <n v="0.19923954372623573"/>
    <x v="0"/>
    <x v="1"/>
    <n v="2023"/>
    <s v="Tue"/>
    <n v="6"/>
  </r>
  <r>
    <s v="CMP-00239"/>
    <s v="Q3_Winter_CMP-00239"/>
    <d v="2023-09-26T00:00:00"/>
    <x v="10"/>
    <d v="2023-10-15T00:00:00"/>
    <x v="1"/>
    <n v="81623"/>
    <n v="3459"/>
    <n v="211"/>
    <x v="1"/>
    <x v="10"/>
    <n v="4.2377761170258384E-2"/>
    <n v="1.0499450708297196"/>
    <n v="17.212132701421801"/>
    <n v="6918.24"/>
    <n v="6.1000289100896214E-2"/>
    <x v="0"/>
    <x v="2"/>
    <n v="2023"/>
    <s v="Tue"/>
    <n v="19"/>
  </r>
  <r>
    <s v="CMP-00240"/>
    <s v="Q4_Summer_CMP-00240"/>
    <d v="2023-04-10T00:00:00"/>
    <x v="4"/>
    <d v="2023-04-15T00:00:00"/>
    <x v="0"/>
    <n v="23671"/>
    <n v="962"/>
    <n v="80"/>
    <x v="0"/>
    <x v="176"/>
    <n v="4.0640446115499981E-2"/>
    <n v="1.9876611226611227"/>
    <n v="23.901625000000003"/>
    <n v="2087.87"/>
    <n v="8.3160083160083165E-2"/>
    <x v="1"/>
    <x v="0"/>
    <n v="2023"/>
    <s v="Mon"/>
    <n v="5"/>
  </r>
  <r>
    <s v="CMP-00241"/>
    <s v="Q4_Summer_CMP-00241"/>
    <d v="2023-04-06T00:00:00"/>
    <x v="4"/>
    <d v="2023-06-15T00:00:00"/>
    <x v="1"/>
    <n v="26184"/>
    <n v="418"/>
    <n v="46"/>
    <x v="0"/>
    <x v="177"/>
    <n v="1.596394744882371E-2"/>
    <n v="1.4962918660287083"/>
    <n v="13.596739130434784"/>
    <n v="1674.55"/>
    <n v="0.11004784688995216"/>
    <x v="1"/>
    <x v="0"/>
    <n v="2023"/>
    <s v="Thu"/>
    <n v="70"/>
  </r>
  <r>
    <s v="CMP-00242"/>
    <s v="Q4_Summer_CMP-00242"/>
    <d v="2023-10-01T00:00:00"/>
    <x v="3"/>
    <d v="2023-10-31T00:00:00"/>
    <x v="3"/>
    <n v="94384"/>
    <n v="2544"/>
    <n v="259"/>
    <x v="0"/>
    <x v="178"/>
    <n v="2.6953720969655873E-2"/>
    <n v="0.79886792452830191"/>
    <n v="7.8467953667953667"/>
    <n v="10917.68"/>
    <n v="0.10180817610062894"/>
    <x v="0"/>
    <x v="0"/>
    <n v="2023"/>
    <s v="Sun"/>
    <n v="30"/>
  </r>
  <r>
    <s v="CMP-00243"/>
    <s v="Q4_Summer_CMP-00243"/>
    <d v="2023-01-28T00:00:00"/>
    <x v="11"/>
    <d v="2023-02-01T00:00:00"/>
    <x v="1"/>
    <n v="43107"/>
    <n v="694"/>
    <n v="36"/>
    <x v="1"/>
    <x v="179"/>
    <n v="1.6099473403391559E-2"/>
    <n v="0.56743515850144088"/>
    <n v="10.93888888888889"/>
    <n v="1406.2"/>
    <n v="5.1873198847262249E-2"/>
    <x v="2"/>
    <x v="0"/>
    <n v="2023"/>
    <s v="Sat"/>
    <n v="4"/>
  </r>
  <r>
    <s v="CMP-00244"/>
    <s v="Q2_Launch_CMP-00244"/>
    <d v="2023-03-06T00:00:00"/>
    <x v="5"/>
    <d v="2023-03-08T00:00:00"/>
    <x v="1"/>
    <n v="87202"/>
    <n v="1692"/>
    <n v="107"/>
    <x v="0"/>
    <x v="180"/>
    <n v="1.9403224696681268E-2"/>
    <n v="0.68953309692671394"/>
    <n v="10.903644859813085"/>
    <n v="4183.3099999999995"/>
    <n v="6.323877068557919E-2"/>
    <x v="1"/>
    <x v="1"/>
    <n v="2023"/>
    <s v="Mon"/>
    <n v="2"/>
  </r>
  <r>
    <s v="CMP-00245"/>
    <s v="Q4_BlackFriday_CMP-00245"/>
    <d v="2023-02-22T00:00:00"/>
    <x v="6"/>
    <d v="2023-03-22T00:00:00"/>
    <x v="3"/>
    <n v="52663"/>
    <n v="2357"/>
    <n v="358"/>
    <x v="0"/>
    <x v="181"/>
    <n v="4.4756280500541173E-2"/>
    <n v="1.3438311412812898"/>
    <n v="8.847513966480447"/>
    <n v="14732.59"/>
    <n v="0.15188799321170979"/>
    <x v="2"/>
    <x v="3"/>
    <n v="2023"/>
    <s v="Wed"/>
    <n v="28"/>
  </r>
  <r>
    <s v="CMP-00246"/>
    <s v="Q4_Winter_CMP-00246"/>
    <d v="2023-08-29T00:00:00"/>
    <x v="7"/>
    <d v="2023-09-09T00:00:00"/>
    <x v="2"/>
    <n v="16708"/>
    <n v="483"/>
    <n v="87"/>
    <x v="0"/>
    <x v="182"/>
    <n v="2.8908307397653817E-2"/>
    <n v="1.6477432712215321"/>
    <n v="9.1478160919540237"/>
    <n v="3554.14"/>
    <n v="0.18012422360248448"/>
    <x v="3"/>
    <x v="2"/>
    <n v="2023"/>
    <s v="Tue"/>
    <n v="11"/>
  </r>
  <r>
    <s v="CMP-00247"/>
    <s v="Q2_BlackFriday_CMP-00247"/>
    <d v="2023-01-27T00:00:00"/>
    <x v="11"/>
    <d v="2023-02-14T00:00:00"/>
    <x v="0"/>
    <n v="92906"/>
    <n v="2918"/>
    <m/>
    <x v="1"/>
    <x v="10"/>
    <n v="3.1408089897315569E-2"/>
    <n v="1.2446058944482521"/>
    <n v="0"/>
    <n v="-3631.7599999999998"/>
    <n v="0"/>
    <x v="2"/>
    <x v="3"/>
    <n v="2023"/>
    <s v="Fri"/>
    <n v="18"/>
  </r>
  <r>
    <s v="CMP-00248"/>
    <s v="Q1_Winter_CMP-00248"/>
    <d v="2023-02-28T00:00:00"/>
    <x v="6"/>
    <d v="2023-03-16T00:00:00"/>
    <x v="4"/>
    <n v="50811"/>
    <n v="870"/>
    <m/>
    <x v="0"/>
    <x v="183"/>
    <n v="1.7122276672374093E-2"/>
    <n v="0.52373563218390806"/>
    <n v="0"/>
    <n v="-455.65"/>
    <n v="0"/>
    <x v="2"/>
    <x v="2"/>
    <n v="2023"/>
    <s v="Tue"/>
    <n v="16"/>
  </r>
  <r>
    <s v="CMP-00249"/>
    <s v="Q1_Summer_CMP-00249"/>
    <d v="2023-02-07T00:00:00"/>
    <x v="6"/>
    <d v="2023-02-19T00:00:00"/>
    <x v="1"/>
    <n v="3811"/>
    <n v="85"/>
    <n v="7"/>
    <x v="0"/>
    <x v="0"/>
    <n v="2.2303857255313565E-2"/>
    <n v="3.8721470588235292"/>
    <n v="47.018928571428567"/>
    <n v="20.867500000000007"/>
    <n v="8.2352941176470587E-2"/>
    <x v="2"/>
    <x v="0"/>
    <n v="2023"/>
    <s v="Tue"/>
    <n v="12"/>
  </r>
  <r>
    <s v="CMP-00250"/>
    <s v="Q3_BlackFriday_CMP-00250"/>
    <d v="2023-03-19T00:00:00"/>
    <x v="5"/>
    <d v="2023-03-24T00:00:00"/>
    <x v="1"/>
    <n v="57250"/>
    <n v="1099"/>
    <n v="181"/>
    <x v="1"/>
    <x v="184"/>
    <n v="1.9196506550218342E-2"/>
    <n v="1.2062966333030027"/>
    <n v="7.3244198895027628"/>
    <n v="7724.28"/>
    <n v="0.16469517743403095"/>
    <x v="1"/>
    <x v="3"/>
    <n v="2023"/>
    <s v="Sun"/>
    <n v="5"/>
  </r>
  <r>
    <s v="CMP-00251"/>
    <s v="Q4_Summer_CMP-00251"/>
    <d v="2023-05-06T00:00:00"/>
    <x v="1"/>
    <d v="2023-06-16T00:00:00"/>
    <x v="0"/>
    <n v="73082"/>
    <n v="1333"/>
    <m/>
    <x v="0"/>
    <x v="185"/>
    <n v="1.8239785446484771E-2"/>
    <n v="1.4840810202550638"/>
    <n v="0"/>
    <n v="-1978.28"/>
    <n v="0"/>
    <x v="1"/>
    <x v="0"/>
    <n v="2023"/>
    <s v="Sat"/>
    <n v="41"/>
  </r>
  <r>
    <s v="CMP-00252"/>
    <s v="Q2_BlackFriday_CMP-00252"/>
    <d v="2023-05-08T00:00:00"/>
    <x v="1"/>
    <d v="2023-06-04T00:00:00"/>
    <x v="0"/>
    <n v="35754"/>
    <n v="1269"/>
    <n v="175"/>
    <x v="1"/>
    <x v="186"/>
    <n v="3.5492532304077867E-2"/>
    <n v="1.3393695823483058"/>
    <n v="9.7123428571428576"/>
    <n v="7050.34"/>
    <n v="0.13790386130811663"/>
    <x v="1"/>
    <x v="3"/>
    <n v="2023"/>
    <s v="Mon"/>
    <n v="27"/>
  </r>
  <r>
    <s v="CMP-00253"/>
    <s v="Q1_Winter_CMP-00253"/>
    <d v="2023-11-07T00:00:00"/>
    <x v="0"/>
    <d v="2023-12-01T00:00:00"/>
    <x v="1"/>
    <n v="96742"/>
    <n v="1961"/>
    <n v="160"/>
    <x v="1"/>
    <x v="187"/>
    <n v="2.0270409956378823E-2"/>
    <n v="1.5305609382967873"/>
    <n v="18.758937499999998"/>
    <n v="4998.57"/>
    <n v="8.1591024987251404E-2"/>
    <x v="0"/>
    <x v="2"/>
    <n v="2023"/>
    <s v="Tue"/>
    <n v="24"/>
  </r>
  <r>
    <s v="CMP-00254"/>
    <s v="Q1_Summer_CMP-00254"/>
    <d v="2023-09-25T00:00:00"/>
    <x v="10"/>
    <d v="2023-10-08T00:00:00"/>
    <x v="0"/>
    <n v="12411"/>
    <n v="437"/>
    <n v="28"/>
    <x v="0"/>
    <x v="188"/>
    <n v="3.5210700185319473E-2"/>
    <n v="1.4871167048054921"/>
    <n v="23.209642857142857"/>
    <n v="750.13"/>
    <n v="6.4073226544622428E-2"/>
    <x v="0"/>
    <x v="0"/>
    <n v="2023"/>
    <s v="Mon"/>
    <n v="13"/>
  </r>
  <r>
    <s v="CMP-00255"/>
    <s v="Q2_Winter_CMP-00255"/>
    <d v="2023-06-02T00:00:00"/>
    <x v="9"/>
    <d v="2023-06-20T00:00:00"/>
    <x v="0"/>
    <n v="3911"/>
    <n v="48"/>
    <n v="2"/>
    <x v="0"/>
    <x v="0"/>
    <n v="1.2273075939657376E-2"/>
    <n v="6.8569270833333329"/>
    <n v="164.56625"/>
    <n v="-229.13249999999999"/>
    <n v="4.1666666666666664E-2"/>
    <x v="3"/>
    <x v="2"/>
    <n v="2023"/>
    <s v="Fri"/>
    <n v="18"/>
  </r>
  <r>
    <s v="CMP-00256"/>
    <s v="Q3_Summer_CMP-00256"/>
    <d v="2023-06-06T00:00:00"/>
    <x v="9"/>
    <d v="2023-06-07T00:00:00"/>
    <x v="2"/>
    <n v="68270"/>
    <n v="1069"/>
    <m/>
    <x v="0"/>
    <x v="189"/>
    <n v="1.5658415116449394E-2"/>
    <n v="1.6995790458372311"/>
    <n v="0"/>
    <n v="-1816.85"/>
    <n v="0"/>
    <x v="3"/>
    <x v="0"/>
    <n v="2023"/>
    <s v="Tue"/>
    <n v="1"/>
  </r>
  <r>
    <s v="CMP-00257"/>
    <s v="Q2_Summer_CMP-00257"/>
    <d v="2023-02-20T00:00:00"/>
    <x v="6"/>
    <d v="2023-03-13T00:00:00"/>
    <x v="0"/>
    <n v="84763"/>
    <n v="1778"/>
    <n v="308"/>
    <x v="0"/>
    <x v="190"/>
    <n v="2.0976133454455363E-2"/>
    <n v="0.68484814398200233"/>
    <n v="3.9534415584415585"/>
    <n v="14182.34"/>
    <n v="0.17322834645669291"/>
    <x v="2"/>
    <x v="0"/>
    <n v="2023"/>
    <s v="Mon"/>
    <n v="21"/>
  </r>
  <r>
    <s v="CMP-00258"/>
    <s v="Q3_Winter_CMP-00258"/>
    <d v="2023-04-19T00:00:00"/>
    <x v="4"/>
    <d v="2023-05-03T00:00:00"/>
    <x v="0"/>
    <n v="9680"/>
    <n v="327"/>
    <n v="58"/>
    <x v="1"/>
    <x v="191"/>
    <n v="3.378099173553719E-2"/>
    <n v="1.5477981651376147"/>
    <n v="8.7263793103448268"/>
    <n v="2393.87"/>
    <n v="0.17737003058103976"/>
    <x v="1"/>
    <x v="2"/>
    <n v="2023"/>
    <s v="Wed"/>
    <n v="14"/>
  </r>
  <r>
    <s v="CMP-00259"/>
    <s v="Q2_Summer_CMP-00259"/>
    <d v="2023-05-03T00:00:00"/>
    <x v="1"/>
    <d v="2023-06-02T00:00:00"/>
    <x v="4"/>
    <n v="85896"/>
    <n v="3181"/>
    <n v="380"/>
    <x v="1"/>
    <x v="192"/>
    <n v="3.7033156375151345E-2"/>
    <n v="1.1242187991197736"/>
    <n v="9.4108947368421045"/>
    <n v="15423.86"/>
    <n v="0.11945928953159383"/>
    <x v="1"/>
    <x v="0"/>
    <n v="2023"/>
    <s v="Wed"/>
    <n v="30"/>
  </r>
  <r>
    <s v="CMP-00260"/>
    <s v="Q2_BlackFriday_CMP-00260"/>
    <d v="2023-01-02T00:00:00"/>
    <x v="11"/>
    <d v="2023-01-13T00:00:00"/>
    <x v="3"/>
    <n v="84879"/>
    <n v="2351"/>
    <m/>
    <x v="1"/>
    <x v="193"/>
    <n v="2.7698252806936934E-2"/>
    <n v="1.2707741386643983"/>
    <n v="0"/>
    <n v="-2987.59"/>
    <n v="0"/>
    <x v="2"/>
    <x v="3"/>
    <n v="2023"/>
    <s v="Mon"/>
    <n v="11"/>
  </r>
  <r>
    <s v="CMP-00261"/>
    <s v="Q3_Launch_CMP-00261"/>
    <d v="2023-08-29T00:00:00"/>
    <x v="7"/>
    <d v="2023-09-11T00:00:00"/>
    <x v="1"/>
    <n v="72295"/>
    <n v="2012"/>
    <n v="386"/>
    <x v="0"/>
    <x v="10"/>
    <n v="2.7830417041289163E-2"/>
    <n v="1.8050497017892644"/>
    <n v="9.4087046632124345"/>
    <n v="15668.24"/>
    <n v="0.19184890656063619"/>
    <x v="3"/>
    <x v="1"/>
    <n v="2023"/>
    <s v="Tue"/>
    <n v="13"/>
  </r>
  <r>
    <s v="CMP-00262"/>
    <s v="Q2_Summer_CMP-00262"/>
    <d v="2023-12-28T00:00:00"/>
    <x v="2"/>
    <d v="2024-01-03T00:00:00"/>
    <x v="1"/>
    <n v="89614"/>
    <n v="3493"/>
    <n v="318"/>
    <x v="1"/>
    <x v="10"/>
    <n v="3.8978284643024524E-2"/>
    <n v="1.0397251646149441"/>
    <n v="11.420628930817609"/>
    <n v="12268.24"/>
    <n v="9.1039221299742346E-2"/>
    <x v="2"/>
    <x v="0"/>
    <n v="2023"/>
    <s v="Thu"/>
    <n v="6"/>
  </r>
  <r>
    <s v="CMP-00263"/>
    <s v="Q3_BlackFriday_CMP-00263"/>
    <d v="2023-02-06T00:00:00"/>
    <x v="6"/>
    <d v="2023-02-17T00:00:00"/>
    <x v="1"/>
    <n v="12111"/>
    <n v="128"/>
    <m/>
    <x v="0"/>
    <x v="0"/>
    <n v="1.056890430187433E-2"/>
    <n v="2.5713476562499999"/>
    <n v="0"/>
    <n v="-329.13249999999999"/>
    <n v="0"/>
    <x v="2"/>
    <x v="3"/>
    <n v="2023"/>
    <s v="Mon"/>
    <n v="11"/>
  </r>
  <r>
    <s v="CMP-00264"/>
    <s v="Q4_Launch_CMP-00264"/>
    <d v="2023-11-17T00:00:00"/>
    <x v="0"/>
    <d v="2023-12-07T00:00:00"/>
    <x v="0"/>
    <n v="38504"/>
    <n v="910"/>
    <n v="172"/>
    <x v="0"/>
    <x v="194"/>
    <n v="2.3633908165385416E-2"/>
    <n v="1.2652197802197802"/>
    <n v="6.6938953488372084"/>
    <n v="7448.65"/>
    <n v="0.18901098901098901"/>
    <x v="0"/>
    <x v="1"/>
    <n v="2023"/>
    <s v="Fri"/>
    <n v="20"/>
  </r>
  <r>
    <s v="CMP-00265"/>
    <s v="Q4_Launch_CMP-00265"/>
    <d v="2023-04-12T00:00:00"/>
    <x v="4"/>
    <d v="2023-05-09T00:00:00"/>
    <x v="4"/>
    <n v="2802"/>
    <n v="119"/>
    <n v="11"/>
    <x v="0"/>
    <x v="0"/>
    <n v="4.246966452533904E-2"/>
    <n v="2.7658193277310925"/>
    <n v="29.921136363636364"/>
    <n v="220.86750000000001"/>
    <n v="9.2436974789915971E-2"/>
    <x v="1"/>
    <x v="1"/>
    <n v="2023"/>
    <s v="Wed"/>
    <n v="27"/>
  </r>
  <r>
    <s v="CMP-00266"/>
    <s v="Q2_BlackFriday_CMP-00266"/>
    <d v="2023-11-28T00:00:00"/>
    <x v="0"/>
    <d v="2023-12-23T00:00:00"/>
    <x v="4"/>
    <n v="9155"/>
    <n v="312"/>
    <n v="58"/>
    <x v="1"/>
    <x v="195"/>
    <n v="3.4079737848170401E-2"/>
    <n v="1.2693589743589744"/>
    <n v="6.8282758620689661"/>
    <n v="2503.96"/>
    <n v="0.1858974358974359"/>
    <x v="0"/>
    <x v="3"/>
    <n v="2023"/>
    <s v="Tue"/>
    <n v="25"/>
  </r>
  <r>
    <s v="CMP-00267"/>
    <s v="Q2_Winter_CMP-00267"/>
    <d v="2023-03-14T00:00:00"/>
    <x v="5"/>
    <d v="2023-03-16T00:00:00"/>
    <x v="2"/>
    <n v="74656"/>
    <n v="1753"/>
    <n v="345"/>
    <x v="1"/>
    <x v="196"/>
    <n v="2.3481033004714959E-2"/>
    <n v="1.8044095835710212"/>
    <n v="9.1684927536231893"/>
    <n v="14086.869999999999"/>
    <n v="0.19680547632629777"/>
    <x v="1"/>
    <x v="2"/>
    <n v="2023"/>
    <s v="Tue"/>
    <n v="2"/>
  </r>
  <r>
    <s v="CMP-00268"/>
    <s v="Q3_Launch_CMP-00268"/>
    <d v="2023-03-26T00:00:00"/>
    <x v="5"/>
    <d v="2023-04-16T00:00:00"/>
    <x v="2"/>
    <n v="40384"/>
    <n v="1866"/>
    <n v="278"/>
    <x v="0"/>
    <x v="197"/>
    <n v="4.6206418383518223E-2"/>
    <n v="1.1041639871382636"/>
    <n v="7.4114028776978413"/>
    <n v="11839.630000000001"/>
    <n v="0.14898177920685959"/>
    <x v="1"/>
    <x v="1"/>
    <n v="2023"/>
    <s v="Sun"/>
    <n v="21"/>
  </r>
  <r>
    <s v="CMP-00269"/>
    <s v="Q1_BlackFriday_CMP-00269"/>
    <d v="2023-10-19T00:00:00"/>
    <x v="3"/>
    <d v="2023-10-29T00:00:00"/>
    <x v="3"/>
    <n v="48254"/>
    <n v="1973"/>
    <n v="340"/>
    <x v="1"/>
    <x v="10"/>
    <n v="4.0887802047498652E-2"/>
    <n v="1.8407298530157119"/>
    <n v="10.681647058823529"/>
    <n v="13368.24"/>
    <n v="0.17232640648758235"/>
    <x v="0"/>
    <x v="3"/>
    <n v="2023"/>
    <s v="Thu"/>
    <n v="10"/>
  </r>
  <r>
    <s v="CMP-00270"/>
    <s v="Q2_Winter_CMP-00270"/>
    <d v="2023-08-28T00:00:00"/>
    <x v="7"/>
    <d v="2023-09-08T00:00:00"/>
    <x v="2"/>
    <n v="22918"/>
    <n v="472"/>
    <n v="76"/>
    <x v="0"/>
    <x v="198"/>
    <n v="2.0595165372196526E-2"/>
    <n v="1.8984745762711865"/>
    <n v="11.790526315789474"/>
    <n v="2903.92"/>
    <n v="0.16101694915254236"/>
    <x v="3"/>
    <x v="2"/>
    <n v="2023"/>
    <s v="Mon"/>
    <n v="11"/>
  </r>
  <r>
    <s v="CMP-00271"/>
    <s v="Q4_Launch_CMP-00271"/>
    <d v="2023-05-20T00:00:00"/>
    <x v="1"/>
    <d v="2023-06-08T00:00:00"/>
    <x v="3"/>
    <n v="86981"/>
    <n v="3114"/>
    <n v="482"/>
    <x v="0"/>
    <x v="10"/>
    <n v="3.5800922040445618E-2"/>
    <n v="1.1662684649967887"/>
    <n v="7.5347717842323645"/>
    <n v="20468.240000000002"/>
    <n v="0.15478484264611433"/>
    <x v="1"/>
    <x v="1"/>
    <n v="2023"/>
    <s v="Sat"/>
    <n v="19"/>
  </r>
  <r>
    <s v="CMP-00272"/>
    <s v="Q4_Launch_CMP-00272"/>
    <d v="2023-02-11T00:00:00"/>
    <x v="6"/>
    <d v="2023-03-08T00:00:00"/>
    <x v="0"/>
    <n v="61713"/>
    <n v="2087"/>
    <n v="200"/>
    <x v="0"/>
    <x v="199"/>
    <n v="3.3817834167841461E-2"/>
    <n v="0.91912314326784861"/>
    <n v="9.591050000000001"/>
    <n v="8081.79"/>
    <n v="9.5831336847149021E-2"/>
    <x v="2"/>
    <x v="1"/>
    <n v="2023"/>
    <s v="Sat"/>
    <n v="25"/>
  </r>
  <r>
    <s v="CMP-00273"/>
    <s v="Q3_BlackFriday_CMP-00273"/>
    <d v="2023-06-15T00:00:00"/>
    <x v="9"/>
    <d v="2023-07-04T00:00:00"/>
    <x v="0"/>
    <n v="31306"/>
    <n v="815"/>
    <n v="47"/>
    <x v="1"/>
    <x v="200"/>
    <n v="2.6033348239954002E-2"/>
    <n v="0.69748466257668718"/>
    <n v="12.094680851063831"/>
    <n v="1781.55"/>
    <n v="5.7668711656441718E-2"/>
    <x v="3"/>
    <x v="3"/>
    <n v="2023"/>
    <s v="Thu"/>
    <n v="19"/>
  </r>
  <r>
    <s v="CMP-00274"/>
    <s v="Q1_Launch_CMP-00274"/>
    <d v="2023-04-28T00:00:00"/>
    <x v="4"/>
    <d v="2023-04-30T00:00:00"/>
    <x v="3"/>
    <n v="17646"/>
    <n v="435"/>
    <n v="44"/>
    <x v="0"/>
    <x v="201"/>
    <n v="2.4651479088745324E-2"/>
    <n v="1.7820459770114945"/>
    <n v="17.617954545454548"/>
    <n v="1424.81"/>
    <n v="0.10114942528735632"/>
    <x v="1"/>
    <x v="1"/>
    <n v="2023"/>
    <s v="Fri"/>
    <n v="2"/>
  </r>
  <r>
    <s v="CMP-00275"/>
    <s v="Q4_Winter_CMP-00275"/>
    <d v="2023-10-22T00:00:00"/>
    <x v="3"/>
    <d v="2023-11-20T00:00:00"/>
    <x v="0"/>
    <n v="47843"/>
    <n v="1135"/>
    <m/>
    <x v="1"/>
    <x v="202"/>
    <n v="2.372342871475451E-2"/>
    <n v="0.74795594713656388"/>
    <n v="0"/>
    <n v="-848.93"/>
    <n v="0"/>
    <x v="0"/>
    <x v="2"/>
    <n v="2023"/>
    <s v="Sun"/>
    <n v="29"/>
  </r>
  <r>
    <s v="CMP-00276"/>
    <s v="Q3_BlackFriday_CMP-00276"/>
    <d v="2023-12-11T00:00:00"/>
    <x v="2"/>
    <d v="2023-12-28T00:00:00"/>
    <x v="2"/>
    <n v="97601"/>
    <n v="3385"/>
    <n v="221"/>
    <x v="0"/>
    <x v="10"/>
    <n v="3.4682021700597331E-2"/>
    <n v="1.0728980797636631"/>
    <n v="16.433303167420814"/>
    <n v="7418.24"/>
    <n v="6.5288035450516993E-2"/>
    <x v="2"/>
    <x v="3"/>
    <n v="2023"/>
    <s v="Mon"/>
    <n v="17"/>
  </r>
  <r>
    <s v="CMP-00277"/>
    <s v="Q1_Launch_CMP-00277"/>
    <d v="2023-03-31T00:00:00"/>
    <x v="5"/>
    <d v="2023-04-02T00:00:00"/>
    <x v="2"/>
    <n v="91735"/>
    <n v="2540"/>
    <n v="131"/>
    <x v="0"/>
    <x v="203"/>
    <n v="2.7688450427862867E-2"/>
    <n v="1.2361456692913386"/>
    <n v="23.968015267175574"/>
    <n v="3410.19"/>
    <n v="5.1574803149606302E-2"/>
    <x v="1"/>
    <x v="1"/>
    <n v="2023"/>
    <s v="Fri"/>
    <n v="2"/>
  </r>
  <r>
    <s v="CMP-00278"/>
    <s v="Q2_Summer_CMP-00278"/>
    <d v="2023-05-23T00:00:00"/>
    <x v="1"/>
    <d v="2023-06-16T00:00:00"/>
    <x v="0"/>
    <n v="17371"/>
    <n v="751"/>
    <n v="53"/>
    <x v="0"/>
    <x v="204"/>
    <n v="4.3232974497726097E-2"/>
    <n v="1.1098402130492677"/>
    <n v="15.72622641509434"/>
    <n v="1816.51"/>
    <n v="7.057256990679095E-2"/>
    <x v="1"/>
    <x v="0"/>
    <n v="2023"/>
    <s v="Tue"/>
    <n v="24"/>
  </r>
  <r>
    <s v="CMP-00279"/>
    <s v="Q3_Launch_CMP-00279"/>
    <d v="2023-11-22T00:00:00"/>
    <x v="0"/>
    <d v="2023-12-15T00:00:00"/>
    <x v="1"/>
    <n v="78371"/>
    <n v="2882"/>
    <n v="453"/>
    <x v="1"/>
    <x v="10"/>
    <n v="3.6773806637659341E-2"/>
    <n v="1.2601526717557252"/>
    <n v="8.0171302428256066"/>
    <n v="19018.240000000002"/>
    <n v="0.1571825121443442"/>
    <x v="0"/>
    <x v="1"/>
    <n v="2023"/>
    <s v="Wed"/>
    <n v="23"/>
  </r>
  <r>
    <s v="CMP-00280"/>
    <s v="Q3_BlackFriday_CMP-00280"/>
    <d v="2023-08-29T00:00:00"/>
    <x v="7"/>
    <d v="2023-09-21T00:00:00"/>
    <x v="2"/>
    <n v="3049"/>
    <n v="39"/>
    <n v="7"/>
    <x v="0"/>
    <x v="0"/>
    <n v="1.2791079042308954E-2"/>
    <n v="8.4392948717948713"/>
    <n v="47.018928571428567"/>
    <n v="20.867500000000007"/>
    <n v="0.17948717948717949"/>
    <x v="3"/>
    <x v="3"/>
    <n v="2023"/>
    <s v="Tue"/>
    <n v="23"/>
  </r>
  <r>
    <s v="CMP-00281"/>
    <s v="Q4_Summer_CMP-00281"/>
    <d v="2023-12-10T00:00:00"/>
    <x v="2"/>
    <d v="2024-01-09T00:00:00"/>
    <x v="2"/>
    <n v="32616"/>
    <n v="1161"/>
    <n v="229"/>
    <x v="0"/>
    <x v="205"/>
    <n v="3.5596026490066227E-2"/>
    <n v="1.3649181739879415"/>
    <n v="6.9199563318777297"/>
    <n v="9865.33"/>
    <n v="0.19724375538329025"/>
    <x v="2"/>
    <x v="0"/>
    <n v="2023"/>
    <s v="Sun"/>
    <n v="30"/>
  </r>
  <r>
    <s v="CMP-00282"/>
    <s v="Q1_Winter_CMP-00282"/>
    <d v="2023-07-30T00:00:00"/>
    <x v="8"/>
    <d v="2023-08-15T00:00:00"/>
    <x v="1"/>
    <n v="21932"/>
    <n v="457"/>
    <n v="56"/>
    <x v="0"/>
    <x v="206"/>
    <n v="2.0837132956410723E-2"/>
    <n v="1.3381400437636761"/>
    <n v="10.92017857142857"/>
    <n v="2188.4700000000003"/>
    <n v="0.12253829321663019"/>
    <x v="3"/>
    <x v="2"/>
    <n v="2023"/>
    <s v="Sun"/>
    <n v="16"/>
  </r>
  <r>
    <s v="CMP-00283"/>
    <s v="Q3_Launch_CMP-00283"/>
    <d v="2023-07-25T00:00:00"/>
    <x v="8"/>
    <d v="2023-07-28T00:00:00"/>
    <x v="3"/>
    <n v="30855"/>
    <n v="1040"/>
    <m/>
    <x v="1"/>
    <x v="207"/>
    <n v="3.3706044401231566E-2"/>
    <n v="1.0567500000000001"/>
    <n v="0"/>
    <n v="-1099.02"/>
    <n v="0"/>
    <x v="3"/>
    <x v="1"/>
    <n v="2023"/>
    <s v="Tue"/>
    <n v="3"/>
  </r>
  <r>
    <s v="CMP-00284"/>
    <s v="Q2_BlackFriday_CMP-00284"/>
    <d v="2023-08-21T00:00:00"/>
    <x v="7"/>
    <d v="2023-09-20T00:00:00"/>
    <x v="1"/>
    <n v="62434"/>
    <n v="2322"/>
    <n v="372"/>
    <x v="0"/>
    <x v="10"/>
    <n v="3.719127398532851E-2"/>
    <n v="1.5640654608096467"/>
    <n v="9.7627956989247302"/>
    <n v="14968.24"/>
    <n v="0.16020671834625322"/>
    <x v="3"/>
    <x v="3"/>
    <n v="2023"/>
    <s v="Mon"/>
    <n v="30"/>
  </r>
  <r>
    <s v="CMP-00285"/>
    <s v="Q2_Summer_CMP-00285"/>
    <d v="2023-05-10T00:00:00"/>
    <x v="1"/>
    <d v="2023-05-13T00:00:00"/>
    <x v="1"/>
    <n v="73694"/>
    <n v="1417"/>
    <n v="177"/>
    <x v="0"/>
    <x v="208"/>
    <n v="1.9228159687355823E-2"/>
    <n v="0.87919548341566689"/>
    <n v="7.0385310734463271"/>
    <n v="7604.18"/>
    <n v="0.12491178546224418"/>
    <x v="1"/>
    <x v="0"/>
    <n v="2023"/>
    <s v="Wed"/>
    <n v="3"/>
  </r>
  <r>
    <s v="CMP-00286"/>
    <s v="Q2_BlackFriday_CMP-00286"/>
    <d v="2023-07-26T00:00:00"/>
    <x v="8"/>
    <d v="2023-07-31T00:00:00"/>
    <x v="3"/>
    <n v="44016"/>
    <n v="1244"/>
    <m/>
    <x v="0"/>
    <x v="209"/>
    <n v="2.8262450018175209E-2"/>
    <n v="1.9083440514469454"/>
    <n v="0"/>
    <n v="-2373.98"/>
    <n v="0"/>
    <x v="3"/>
    <x v="3"/>
    <n v="2023"/>
    <s v="Wed"/>
    <n v="5"/>
  </r>
  <r>
    <s v="CMP-00287"/>
    <s v="Q3_Winter_CMP-00287"/>
    <d v="2023-01-01T00:00:00"/>
    <x v="11"/>
    <d v="2023-01-06T00:00:00"/>
    <x v="3"/>
    <n v="8400"/>
    <n v="147"/>
    <n v="10"/>
    <x v="0"/>
    <x v="0"/>
    <n v="1.7500000000000002E-2"/>
    <n v="2.2389965986394555"/>
    <n v="32.913249999999998"/>
    <n v="170.86750000000001"/>
    <n v="6.8027210884353748E-2"/>
    <x v="2"/>
    <x v="2"/>
    <n v="2023"/>
    <s v="Sun"/>
    <n v="5"/>
  </r>
  <r>
    <s v="CMP-00288"/>
    <s v="Q3_Summer_CMP-00288"/>
    <d v="2023-07-31T00:00:00"/>
    <x v="8"/>
    <d v="2023-08-04T00:00:00"/>
    <x v="1"/>
    <n v="43642"/>
    <n v="527"/>
    <n v="100"/>
    <x v="0"/>
    <x v="210"/>
    <n v="1.2075523578204482E-2"/>
    <n v="1.006223908918406"/>
    <n v="5.3027999999999995"/>
    <n v="4469.72"/>
    <n v="0.18975332068311196"/>
    <x v="3"/>
    <x v="0"/>
    <n v="2023"/>
    <s v="Mon"/>
    <n v="4"/>
  </r>
  <r>
    <s v="CMP-00289"/>
    <s v="Q1_BlackFriday_CMP-00289"/>
    <d v="2023-09-23T00:00:00"/>
    <x v="10"/>
    <d v="2023-10-10T00:00:00"/>
    <x v="4"/>
    <n v="16151"/>
    <n v="406"/>
    <n v="41"/>
    <x v="1"/>
    <x v="211"/>
    <n v="2.5137762367655254E-2"/>
    <n v="1.5941871921182267"/>
    <n v="15.786341463414635"/>
    <n v="1402.76"/>
    <n v="0.10098522167487685"/>
    <x v="0"/>
    <x v="3"/>
    <n v="2023"/>
    <s v="Sat"/>
    <n v="17"/>
  </r>
  <r>
    <s v="CMP-00290"/>
    <s v="Q1_BlackFriday_CMP-00290"/>
    <d v="2023-11-17T00:00:00"/>
    <x v="0"/>
    <d v="2023-11-23T00:00:00"/>
    <x v="0"/>
    <n v="52407"/>
    <n v="1284"/>
    <n v="150"/>
    <x v="1"/>
    <x v="212"/>
    <n v="2.4500543820481998E-2"/>
    <n v="1.3598364485981309"/>
    <n v="11.6402"/>
    <n v="5753.97"/>
    <n v="0.11682242990654206"/>
    <x v="0"/>
    <x v="3"/>
    <n v="2023"/>
    <s v="Fri"/>
    <n v="6"/>
  </r>
  <r>
    <s v="CMP-00291"/>
    <s v="Q2_Launch_CMP-00291"/>
    <d v="2023-05-17T00:00:00"/>
    <x v="1"/>
    <d v="2023-06-09T00:00:00"/>
    <x v="2"/>
    <n v="67690"/>
    <n v="3372"/>
    <m/>
    <x v="1"/>
    <x v="213"/>
    <n v="4.9815334613680012E-2"/>
    <n v="1.0064739027283511"/>
    <n v="0"/>
    <n v="-3393.83"/>
    <n v="0"/>
    <x v="1"/>
    <x v="1"/>
    <n v="2023"/>
    <s v="Wed"/>
    <n v="23"/>
  </r>
  <r>
    <s v="CMP-00292"/>
    <s v="Q3_Winter_CMP-00292"/>
    <d v="2023-08-13T00:00:00"/>
    <x v="7"/>
    <d v="2023-08-21T00:00:00"/>
    <x v="0"/>
    <n v="5499"/>
    <n v="153"/>
    <n v="15"/>
    <x v="0"/>
    <x v="0"/>
    <n v="2.7823240589198037E-2"/>
    <n v="2.1511928104575162"/>
    <n v="21.942166666666665"/>
    <n v="420.86750000000001"/>
    <n v="9.8039215686274508E-2"/>
    <x v="3"/>
    <x v="2"/>
    <n v="2023"/>
    <s v="Sun"/>
    <n v="8"/>
  </r>
  <r>
    <s v="CMP-00293"/>
    <s v="Q1_Launch_CMP-00293"/>
    <d v="2023-01-15T00:00:00"/>
    <x v="11"/>
    <d v="2023-01-18T00:00:00"/>
    <x v="3"/>
    <n v="7295"/>
    <n v="170"/>
    <n v="14"/>
    <x v="0"/>
    <x v="0"/>
    <n v="2.3303632625085675E-2"/>
    <n v="1.9360735294117646"/>
    <n v="23.509464285714284"/>
    <n v="370.86750000000001"/>
    <n v="8.2352941176470587E-2"/>
    <x v="2"/>
    <x v="1"/>
    <n v="2023"/>
    <s v="Sun"/>
    <n v="3"/>
  </r>
  <r>
    <s v="CMP-00294"/>
    <s v="Q3_Winter_CMP-00294"/>
    <d v="2023-05-03T00:00:00"/>
    <x v="1"/>
    <d v="2023-05-28T00:00:00"/>
    <x v="0"/>
    <n v="60040"/>
    <n v="1994"/>
    <n v="288"/>
    <x v="1"/>
    <x v="214"/>
    <n v="3.3211192538307795E-2"/>
    <n v="0.87896690070210637"/>
    <n v="6.0856250000000003"/>
    <n v="12647.34"/>
    <n v="0.14443329989969911"/>
    <x v="1"/>
    <x v="2"/>
    <n v="2023"/>
    <s v="Wed"/>
    <n v="25"/>
  </r>
  <r>
    <s v="CMP-00295"/>
    <s v="Q2_Summer_CMP-00295"/>
    <d v="2023-01-08T00:00:00"/>
    <x v="11"/>
    <d v="2023-08-13T00:00:00"/>
    <x v="4"/>
    <n v="13183"/>
    <n v="178"/>
    <n v="9"/>
    <x v="1"/>
    <x v="0"/>
    <n v="1.3502237730410377E-2"/>
    <n v="1.849058988764045"/>
    <n v="36.570277777777775"/>
    <n v="120.86750000000001"/>
    <n v="5.0561797752808987E-2"/>
    <x v="2"/>
    <x v="0"/>
    <n v="2023"/>
    <s v="Sun"/>
    <n v="217"/>
  </r>
  <r>
    <s v="CMP-00296"/>
    <s v="Q3_Summer_CMP-00296"/>
    <d v="2023-02-28T00:00:00"/>
    <x v="6"/>
    <d v="2023-03-12T00:00:00"/>
    <x v="1"/>
    <n v="30299"/>
    <n v="1468"/>
    <n v="232"/>
    <x v="0"/>
    <x v="215"/>
    <n v="4.8450443909039902E-2"/>
    <n v="1.2829291553133515"/>
    <n v="8.1178448275862074"/>
    <n v="9716.66"/>
    <n v="0.15803814713896458"/>
    <x v="2"/>
    <x v="0"/>
    <n v="2023"/>
    <s v="Tue"/>
    <n v="12"/>
  </r>
  <r>
    <s v="CMP-00297"/>
    <s v="Q4_Launch_CMP-00297"/>
    <d v="2023-03-20T00:00:00"/>
    <x v="5"/>
    <d v="2023-03-31T00:00:00"/>
    <x v="1"/>
    <n v="13874"/>
    <n v="491"/>
    <n v="62"/>
    <x v="1"/>
    <x v="216"/>
    <n v="3.5389938013550525E-2"/>
    <n v="1.3834012219959266"/>
    <n v="10.955645161290322"/>
    <n v="2420.75"/>
    <n v="0.12627291242362526"/>
    <x v="1"/>
    <x v="1"/>
    <n v="2023"/>
    <s v="Mon"/>
    <n v="11"/>
  </r>
  <r>
    <s v="CMP-00298"/>
    <s v="Q3_BlackFriday_CMP-00298"/>
    <d v="2023-09-18T00:00:00"/>
    <x v="10"/>
    <d v="2023-09-21T00:00:00"/>
    <x v="4"/>
    <n v="33711"/>
    <n v="1354"/>
    <n v="190"/>
    <x v="0"/>
    <x v="217"/>
    <n v="4.0164931328053155E-2"/>
    <n v="1.6275110782865585"/>
    <n v="11.598157894736843"/>
    <n v="7296.35"/>
    <n v="0.14032496307237813"/>
    <x v="0"/>
    <x v="3"/>
    <n v="2023"/>
    <s v="Mon"/>
    <n v="3"/>
  </r>
  <r>
    <s v="CMP-00299"/>
    <s v="Q2_Winter_CMP-00299"/>
    <d v="2023-09-05T00:00:00"/>
    <x v="10"/>
    <d v="2023-09-19T00:00:00"/>
    <x v="4"/>
    <n v="6539"/>
    <n v="109"/>
    <n v="15"/>
    <x v="1"/>
    <x v="0"/>
    <n v="1.6669215476372533E-2"/>
    <n v="3.019564220183486"/>
    <n v="21.942166666666665"/>
    <n v="420.86750000000001"/>
    <n v="0.13761467889908258"/>
    <x v="0"/>
    <x v="2"/>
    <n v="2023"/>
    <s v="Tue"/>
    <n v="14"/>
  </r>
  <r>
    <s v="CMP-00300"/>
    <s v="Q1_Launch_CMP-00300"/>
    <d v="2023-10-10T00:00:00"/>
    <x v="3"/>
    <d v="2023-10-21T00:00:00"/>
    <x v="4"/>
    <n v="54351"/>
    <n v="1433"/>
    <n v="184"/>
    <x v="0"/>
    <x v="218"/>
    <n v="2.6365660245441666E-2"/>
    <n v="1.4004187020237264"/>
    <n v="10.906521739130435"/>
    <n v="7193.2"/>
    <n v="0.1284019539427774"/>
    <x v="0"/>
    <x v="1"/>
    <n v="2023"/>
    <s v="Tue"/>
    <n v="11"/>
  </r>
  <r>
    <s v="CMP-00301"/>
    <s v="Q4_Summer_CMP-00301"/>
    <d v="2023-11-03T00:00:00"/>
    <x v="0"/>
    <d v="2023-11-28T00:00:00"/>
    <x v="2"/>
    <n v="62267"/>
    <n v="1675"/>
    <n v="230"/>
    <x v="0"/>
    <x v="219"/>
    <n v="2.6900284259720238E-2"/>
    <n v="0.58027462686567166"/>
    <n v="4.2259130434782612"/>
    <n v="10528.04"/>
    <n v="0.1373134328358209"/>
    <x v="0"/>
    <x v="0"/>
    <n v="2023"/>
    <s v="Fri"/>
    <n v="25"/>
  </r>
  <r>
    <s v="CMP-00302"/>
    <s v="Q3_Launch_CMP-00302"/>
    <d v="2023-02-05T00:00:00"/>
    <x v="6"/>
    <d v="2023-02-08T00:00:00"/>
    <x v="3"/>
    <n v="49354"/>
    <n v="2115"/>
    <n v="322"/>
    <x v="0"/>
    <x v="220"/>
    <n v="4.2853669408761196E-2"/>
    <n v="1.0647943262411348"/>
    <n v="6.993913043478261"/>
    <n v="13847.96"/>
    <n v="0.15224586288416075"/>
    <x v="2"/>
    <x v="1"/>
    <n v="2023"/>
    <s v="Sun"/>
    <n v="3"/>
  </r>
  <r>
    <s v="CMP-00303"/>
    <s v="Q1_Summer_CMP-00303"/>
    <d v="2023-08-01T00:00:00"/>
    <x v="7"/>
    <d v="2023-08-17T00:00:00"/>
    <x v="1"/>
    <n v="3557"/>
    <n v="35"/>
    <n v="5"/>
    <x v="0"/>
    <x v="0"/>
    <n v="9.8397526005060444E-3"/>
    <n v="9.4037857142857142"/>
    <n v="65.826499999999996"/>
    <n v="-79.132499999999993"/>
    <n v="0.14285714285714285"/>
    <x v="3"/>
    <x v="0"/>
    <n v="2023"/>
    <s v="Tue"/>
    <n v="16"/>
  </r>
  <r>
    <s v="CMP-00304"/>
    <s v="Q4_Winter_CMP-00304"/>
    <d v="2023-05-17T00:00:00"/>
    <x v="1"/>
    <d v="2023-06-16T00:00:00"/>
    <x v="4"/>
    <n v="39360"/>
    <n v="867"/>
    <n v="137"/>
    <x v="0"/>
    <x v="221"/>
    <n v="2.2027439024390243E-2"/>
    <n v="0.89805074971164933"/>
    <n v="5.6832846715328467"/>
    <n v="6071.39"/>
    <n v="0.1580161476355248"/>
    <x v="1"/>
    <x v="2"/>
    <n v="2023"/>
    <s v="Wed"/>
    <n v="30"/>
  </r>
  <r>
    <s v="CMP-00305"/>
    <s v="Q3_Launch_CMP-00305"/>
    <d v="2023-06-02T00:00:00"/>
    <x v="9"/>
    <d v="2023-06-20T00:00:00"/>
    <x v="1"/>
    <n v="83018"/>
    <n v="4088"/>
    <n v="737"/>
    <x v="1"/>
    <x v="10"/>
    <n v="4.9242332988026695E-2"/>
    <n v="0.88839530332681016"/>
    <n v="4.9277611940298502"/>
    <n v="33218.239999999998"/>
    <n v="0.18028375733855187"/>
    <x v="3"/>
    <x v="1"/>
    <n v="2023"/>
    <s v="Fri"/>
    <n v="18"/>
  </r>
  <r>
    <s v="CMP-00306"/>
    <s v="Q2_Summer_CMP-00306"/>
    <d v="2023-12-04T00:00:00"/>
    <x v="2"/>
    <d v="2023-12-06T00:00:00"/>
    <x v="4"/>
    <n v="3200"/>
    <n v="92"/>
    <n v="7"/>
    <x v="0"/>
    <x v="0"/>
    <n v="2.8750000000000001E-2"/>
    <n v="3.5775271739130434"/>
    <n v="47.018928571428567"/>
    <n v="20.867500000000007"/>
    <n v="7.6086956521739135E-2"/>
    <x v="2"/>
    <x v="0"/>
    <n v="2023"/>
    <s v="Mon"/>
    <n v="2"/>
  </r>
  <r>
    <s v="CMP-00307"/>
    <s v="Q3_Summer_CMP-00307"/>
    <d v="2023-10-03T00:00:00"/>
    <x v="3"/>
    <d v="2023-10-20T00:00:00"/>
    <x v="1"/>
    <n v="69497"/>
    <n v="1758"/>
    <n v="193"/>
    <x v="0"/>
    <x v="222"/>
    <n v="2.529605594486093E-2"/>
    <n v="0.9409215017064847"/>
    <n v="8.5706735751295344"/>
    <n v="7995.86"/>
    <n v="0.10978384527872583"/>
    <x v="0"/>
    <x v="0"/>
    <n v="2023"/>
    <s v="Tue"/>
    <n v="17"/>
  </r>
  <r>
    <s v="CMP-00308"/>
    <s v="Q1_Launch_CMP-00308"/>
    <d v="2023-10-06T00:00:00"/>
    <x v="3"/>
    <d v="2023-10-20T00:00:00"/>
    <x v="0"/>
    <n v="47975"/>
    <n v="709"/>
    <n v="136"/>
    <x v="1"/>
    <x v="223"/>
    <n v="1.4778530484627411E-2"/>
    <n v="0.85562764456981666"/>
    <n v="4.460588235294118"/>
    <n v="6193.36"/>
    <n v="0.1918194640338505"/>
    <x v="0"/>
    <x v="1"/>
    <n v="2023"/>
    <s v="Fri"/>
    <n v="14"/>
  </r>
  <r>
    <s v="CMP-00309"/>
    <s v="Q3_Winter_CMP-00309"/>
    <d v="2023-04-07T00:00:00"/>
    <x v="4"/>
    <d v="2023-04-28T00:00:00"/>
    <x v="4"/>
    <n v="22357"/>
    <n v="1094"/>
    <n v="119"/>
    <x v="0"/>
    <x v="224"/>
    <n v="4.8933220020575215E-2"/>
    <n v="1.9227513711151736"/>
    <n v="17.676386554621846"/>
    <n v="3846.51"/>
    <n v="0.10877513711151737"/>
    <x v="1"/>
    <x v="2"/>
    <n v="2023"/>
    <s v="Fri"/>
    <n v="21"/>
  </r>
  <r>
    <s v="CMP-00310"/>
    <s v="Q4_Summer_CMP-00310"/>
    <d v="2023-07-16T00:00:00"/>
    <x v="8"/>
    <d v="2023-08-11T00:00:00"/>
    <x v="2"/>
    <n v="78505"/>
    <n v="847"/>
    <n v="58"/>
    <x v="0"/>
    <x v="225"/>
    <n v="1.0789121711992866E-2"/>
    <n v="1.9170011806375444"/>
    <n v="27.994827586206899"/>
    <n v="1276.3"/>
    <n v="6.8476977567886663E-2"/>
    <x v="3"/>
    <x v="0"/>
    <n v="2023"/>
    <s v="Sun"/>
    <n v="26"/>
  </r>
  <r>
    <s v="CMP-00311"/>
    <s v="Q1_BlackFriday_CMP-00311"/>
    <d v="2023-01-23T00:00:00"/>
    <x v="11"/>
    <d v="2023-02-05T00:00:00"/>
    <x v="2"/>
    <n v="3869"/>
    <n v="152"/>
    <n v="19"/>
    <x v="0"/>
    <x v="0"/>
    <n v="3.928663737399845E-2"/>
    <n v="2.1653453947368422"/>
    <n v="17.322763157894737"/>
    <n v="620.86750000000006"/>
    <n v="0.125"/>
    <x v="2"/>
    <x v="3"/>
    <n v="2023"/>
    <s v="Mon"/>
    <n v="13"/>
  </r>
  <r>
    <s v="CMP-00312"/>
    <s v="Q1_Summer_CMP-00312"/>
    <d v="2023-07-15T00:00:00"/>
    <x v="8"/>
    <d v="2023-08-07T00:00:00"/>
    <x v="3"/>
    <n v="62135"/>
    <n v="2531"/>
    <n v="168"/>
    <x v="0"/>
    <x v="10"/>
    <n v="4.0733885893618732E-2"/>
    <n v="1.4349111023310943"/>
    <n v="21.617619047619048"/>
    <n v="4768.24"/>
    <n v="6.6376926116159626E-2"/>
    <x v="3"/>
    <x v="0"/>
    <n v="2023"/>
    <s v="Sat"/>
    <n v="23"/>
  </r>
  <r>
    <s v="CMP-00313"/>
    <s v="Q4_Summer_CMP-00313"/>
    <d v="2023-11-30T00:00:00"/>
    <x v="0"/>
    <d v="2023-12-05T00:00:00"/>
    <x v="4"/>
    <n v="51108"/>
    <n v="1009"/>
    <n v="81"/>
    <x v="1"/>
    <x v="226"/>
    <n v="1.9742506065586602E-2"/>
    <n v="1.6787215064420218"/>
    <n v="20.911481481481481"/>
    <n v="2356.17"/>
    <n v="8.0277502477700699E-2"/>
    <x v="0"/>
    <x v="0"/>
    <n v="2023"/>
    <s v="Thu"/>
    <n v="5"/>
  </r>
  <r>
    <s v="CMP-00314"/>
    <s v="Q4_BlackFriday_CMP-00314"/>
    <d v="2023-01-19T00:00:00"/>
    <x v="11"/>
    <d v="2023-02-06T00:00:00"/>
    <x v="1"/>
    <n v="95179"/>
    <n v="3508"/>
    <n v="700"/>
    <x v="1"/>
    <x v="10"/>
    <n v="3.6856869687641181E-2"/>
    <n v="1.035279361459521"/>
    <n v="5.1882285714285707"/>
    <n v="31368.240000000002"/>
    <n v="0.19954389965792474"/>
    <x v="2"/>
    <x v="3"/>
    <n v="2023"/>
    <s v="Thu"/>
    <n v="18"/>
  </r>
  <r>
    <s v="CMP-00315"/>
    <s v="Q3_BlackFriday_CMP-00315"/>
    <d v="2023-06-19T00:00:00"/>
    <x v="9"/>
    <d v="2023-07-16T00:00:00"/>
    <x v="2"/>
    <n v="91272"/>
    <n v="1251"/>
    <n v="164"/>
    <x v="1"/>
    <x v="227"/>
    <n v="1.3706284512227189E-2"/>
    <n v="0.50965627498001598"/>
    <n v="3.8876829268292687"/>
    <n v="7562.42"/>
    <n v="0.1310951239008793"/>
    <x v="3"/>
    <x v="3"/>
    <n v="2023"/>
    <s v="Mon"/>
    <n v="27"/>
  </r>
  <r>
    <s v="CMP-00316"/>
    <s v="Q3_Launch_CMP-00316"/>
    <d v="2023-08-14T00:00:00"/>
    <x v="7"/>
    <d v="2023-08-17T00:00:00"/>
    <x v="3"/>
    <n v="39467"/>
    <n v="800"/>
    <m/>
    <x v="1"/>
    <x v="228"/>
    <n v="2.0270099070109206E-2"/>
    <n v="1.6587749999999999"/>
    <n v="0"/>
    <n v="-1327.02"/>
    <n v="0"/>
    <x v="3"/>
    <x v="1"/>
    <n v="2023"/>
    <s v="Mon"/>
    <n v="3"/>
  </r>
  <r>
    <s v="CMP-00317"/>
    <s v="Q1_BlackFriday_CMP-00317"/>
    <d v="2023-08-22T00:00:00"/>
    <x v="7"/>
    <d v="2023-09-18T00:00:00"/>
    <x v="3"/>
    <n v="24328"/>
    <n v="1010"/>
    <n v="201"/>
    <x v="0"/>
    <x v="229"/>
    <n v="4.1515948701085166E-2"/>
    <n v="1.5537326732673267"/>
    <n v="7.8073134328358211"/>
    <n v="8480.73"/>
    <n v="0.19900990099009902"/>
    <x v="3"/>
    <x v="3"/>
    <n v="2023"/>
    <s v="Tue"/>
    <n v="27"/>
  </r>
  <r>
    <s v="CMP-00318"/>
    <s v="Q4_Summer_CMP-00318"/>
    <d v="2023-03-15T00:00:00"/>
    <x v="5"/>
    <d v="2023-03-22T00:00:00"/>
    <x v="4"/>
    <n v="92412"/>
    <n v="4120"/>
    <n v="803"/>
    <x v="0"/>
    <x v="10"/>
    <n v="4.4582954594641386E-2"/>
    <n v="0.8814951456310679"/>
    <n v="4.5227397260273969"/>
    <n v="36518.239999999998"/>
    <n v="0.19490291262135923"/>
    <x v="1"/>
    <x v="0"/>
    <n v="2023"/>
    <s v="Wed"/>
    <n v="7"/>
  </r>
  <r>
    <s v="CMP-00319"/>
    <s v="Q4_BlackFriday_CMP-00319"/>
    <d v="2023-03-21T00:00:00"/>
    <x v="5"/>
    <d v="2023-04-05T00:00:00"/>
    <x v="0"/>
    <n v="87831"/>
    <n v="3016"/>
    <n v="350"/>
    <x v="1"/>
    <x v="10"/>
    <n v="3.4338673133631634E-2"/>
    <n v="1.2041644562334217"/>
    <n v="10.376457142857141"/>
    <n v="13868.24"/>
    <n v="0.11604774535809019"/>
    <x v="1"/>
    <x v="3"/>
    <n v="2023"/>
    <s v="Tue"/>
    <n v="15"/>
  </r>
  <r>
    <s v="CMP-00320"/>
    <s v="Q4_Launch_CMP-00320"/>
    <d v="2023-05-16T00:00:00"/>
    <x v="1"/>
    <d v="2023-05-22T00:00:00"/>
    <x v="1"/>
    <n v="4987"/>
    <n v="150"/>
    <n v="13"/>
    <x v="1"/>
    <x v="0"/>
    <n v="3.0078203328654501E-2"/>
    <n v="2.1942166666666667"/>
    <n v="25.317884615384614"/>
    <n v="320.86750000000001"/>
    <n v="8.666666666666667E-2"/>
    <x v="1"/>
    <x v="1"/>
    <n v="2023"/>
    <s v="Tue"/>
    <n v="6"/>
  </r>
  <r>
    <s v="CMP-00321"/>
    <s v="Q1_BlackFriday_CMP-00321"/>
    <d v="2023-11-29T00:00:00"/>
    <x v="0"/>
    <d v="2023-12-03T00:00:00"/>
    <x v="0"/>
    <n v="59871"/>
    <n v="980"/>
    <n v="172"/>
    <x v="1"/>
    <x v="230"/>
    <n v="1.6368525663509881E-2"/>
    <n v="1.5561224489795917"/>
    <n v="8.8662790697674421"/>
    <n v="7075"/>
    <n v="0.17551020408163265"/>
    <x v="0"/>
    <x v="3"/>
    <n v="2023"/>
    <s v="Wed"/>
    <n v="4"/>
  </r>
  <r>
    <s v="CMP-00322"/>
    <s v="Q1_Summer_CMP-00322"/>
    <d v="2023-06-18T00:00:00"/>
    <x v="9"/>
    <d v="2023-07-13T00:00:00"/>
    <x v="2"/>
    <n v="23399"/>
    <n v="293"/>
    <n v="46"/>
    <x v="0"/>
    <x v="231"/>
    <n v="1.2521902645412197E-2"/>
    <n v="1.9027645051194539"/>
    <n v="12.119782608695653"/>
    <n v="1742.49"/>
    <n v="0.15699658703071673"/>
    <x v="3"/>
    <x v="0"/>
    <n v="2023"/>
    <s v="Sun"/>
    <n v="25"/>
  </r>
  <r>
    <s v="CMP-00323"/>
    <s v="Q2_Summer_CMP-00323"/>
    <d v="2023-07-14T00:00:00"/>
    <x v="8"/>
    <d v="2023-08-13T00:00:00"/>
    <x v="2"/>
    <n v="47214"/>
    <n v="694"/>
    <n v="106"/>
    <x v="0"/>
    <x v="232"/>
    <n v="1.4699029948744016E-2"/>
    <n v="1.0637031700288184"/>
    <n v="6.9642452830188679"/>
    <n v="4561.79"/>
    <n v="0.15273775216138327"/>
    <x v="3"/>
    <x v="0"/>
    <n v="2023"/>
    <s v="Fri"/>
    <n v="30"/>
  </r>
  <r>
    <s v="CMP-00324"/>
    <s v="Q1_Winter_CMP-00324"/>
    <d v="2023-09-07T00:00:00"/>
    <x v="10"/>
    <d v="2023-10-07T00:00:00"/>
    <x v="2"/>
    <n v="87416"/>
    <n v="1669"/>
    <n v="307"/>
    <x v="0"/>
    <x v="233"/>
    <n v="1.9092614624325065E-2"/>
    <n v="1.5621809466746557"/>
    <n v="8.4927687296416945"/>
    <n v="12742.72"/>
    <n v="0.18394248052726184"/>
    <x v="0"/>
    <x v="2"/>
    <n v="2023"/>
    <s v="Thu"/>
    <n v="30"/>
  </r>
  <r>
    <s v="CMP-00325"/>
    <s v="Q1_BlackFriday_CMP-00325"/>
    <d v="2023-02-05T00:00:00"/>
    <x v="6"/>
    <d v="2023-02-14T00:00:00"/>
    <x v="0"/>
    <n v="71271"/>
    <n v="1686"/>
    <n v="258"/>
    <x v="0"/>
    <x v="234"/>
    <n v="2.3656185545312961E-2"/>
    <n v="1.2135290628706998"/>
    <n v="7.9302713178294573"/>
    <n v="10853.99"/>
    <n v="0.15302491103202848"/>
    <x v="2"/>
    <x v="3"/>
    <n v="2023"/>
    <s v="Sun"/>
    <n v="9"/>
  </r>
  <r>
    <s v="CMP-00326"/>
    <s v="Q4_Winter_CMP-00326"/>
    <d v="2023-05-28T00:00:00"/>
    <x v="1"/>
    <d v="2023-06-05T00:00:00"/>
    <x v="1"/>
    <n v="45064"/>
    <n v="1137"/>
    <n v="105"/>
    <x v="0"/>
    <x v="235"/>
    <n v="2.5230782886561335E-2"/>
    <n v="1.5116007036059806"/>
    <n v="16.368476190476191"/>
    <n v="3531.31"/>
    <n v="9.2348284960422161E-2"/>
    <x v="1"/>
    <x v="2"/>
    <n v="2023"/>
    <s v="Sun"/>
    <n v="8"/>
  </r>
  <r>
    <s v="CMP-00327"/>
    <s v="Q2_Summer_CMP-00327"/>
    <d v="2023-08-11T00:00:00"/>
    <x v="7"/>
    <d v="2023-08-19T00:00:00"/>
    <x v="1"/>
    <n v="71091"/>
    <n v="1695"/>
    <n v="261"/>
    <x v="1"/>
    <x v="236"/>
    <n v="2.3842680508081193E-2"/>
    <n v="1.6443421828908553"/>
    <n v="10.678773946360153"/>
    <n v="10262.84"/>
    <n v="0.15398230088495576"/>
    <x v="3"/>
    <x v="0"/>
    <n v="2023"/>
    <s v="Fri"/>
    <n v="8"/>
  </r>
  <r>
    <s v="CMP-00328"/>
    <s v="Q2_BlackFriday_CMP-00328"/>
    <d v="2023-12-27T00:00:00"/>
    <x v="2"/>
    <d v="2023-12-29T00:00:00"/>
    <x v="0"/>
    <n v="41818"/>
    <n v="818"/>
    <n v="78"/>
    <x v="1"/>
    <x v="237"/>
    <n v="1.9560954612846144E-2"/>
    <n v="0.56817848410757943"/>
    <n v="5.9585897435897435"/>
    <n v="3435.23"/>
    <n v="9.5354523227383858E-2"/>
    <x v="2"/>
    <x v="3"/>
    <n v="2023"/>
    <s v="Wed"/>
    <n v="2"/>
  </r>
  <r>
    <s v="CMP-00329"/>
    <s v="Q1_Summer_CMP-00329"/>
    <d v="2023-12-22T00:00:00"/>
    <x v="2"/>
    <d v="2024-01-12T00:00:00"/>
    <x v="4"/>
    <n v="46525"/>
    <n v="1413"/>
    <n v="231"/>
    <x v="1"/>
    <x v="238"/>
    <n v="3.0370768404083825E-2"/>
    <n v="1.4699009200283084"/>
    <n v="8.9912121212121203"/>
    <n v="9473.0300000000007"/>
    <n v="0.16348195329087048"/>
    <x v="2"/>
    <x v="0"/>
    <n v="2023"/>
    <s v="Fri"/>
    <n v="21"/>
  </r>
  <r>
    <s v="CMP-00330"/>
    <s v="Q3_Summer_CMP-00330"/>
    <d v="2023-06-16T00:00:00"/>
    <x v="9"/>
    <d v="2023-07-08T00:00:00"/>
    <x v="1"/>
    <n v="20830"/>
    <n v="895"/>
    <n v="127"/>
    <x v="1"/>
    <x v="239"/>
    <n v="4.2966874699951994E-2"/>
    <n v="0.84011173184357535"/>
    <n v="5.9204724409448817"/>
    <n v="5598.1"/>
    <n v="0.14189944134078211"/>
    <x v="3"/>
    <x v="0"/>
    <n v="2023"/>
    <s v="Fri"/>
    <n v="22"/>
  </r>
  <r>
    <s v="CMP-00331"/>
    <s v="Q1_Summer_CMP-00331"/>
    <d v="2023-07-11T00:00:00"/>
    <x v="8"/>
    <d v="2023-07-29T00:00:00"/>
    <x v="4"/>
    <n v="18429"/>
    <n v="390"/>
    <n v="24"/>
    <x v="1"/>
    <x v="240"/>
    <n v="2.1162298551196484E-2"/>
    <n v="1.505051282051282"/>
    <n v="24.457083333333333"/>
    <n v="613.03"/>
    <n v="6.1538461538461542E-2"/>
    <x v="3"/>
    <x v="0"/>
    <n v="2023"/>
    <s v="Tue"/>
    <n v="18"/>
  </r>
  <r>
    <s v="CMP-00332"/>
    <s v="Q3_Summer_CMP-00332"/>
    <d v="2023-07-30T00:00:00"/>
    <x v="8"/>
    <d v="2023-07-31T00:00:00"/>
    <x v="3"/>
    <n v="7893"/>
    <n v="376"/>
    <n v="47"/>
    <x v="1"/>
    <x v="241"/>
    <n v="4.7637146838971238E-2"/>
    <n v="1.2024999999999999"/>
    <n v="9.6199999999999992"/>
    <n v="1897.8600000000001"/>
    <n v="0.125"/>
    <x v="3"/>
    <x v="0"/>
    <n v="2023"/>
    <s v="Sun"/>
    <n v="1"/>
  </r>
  <r>
    <s v="CMP-00333"/>
    <s v="Q3_BlackFriday_CMP-00333"/>
    <d v="2023-03-29T00:00:00"/>
    <x v="5"/>
    <d v="2023-03-31T00:00:00"/>
    <x v="3"/>
    <n v="80909"/>
    <n v="3635"/>
    <n v="368"/>
    <x v="1"/>
    <x v="10"/>
    <n v="4.4927016771928958E-2"/>
    <n v="0.99910866574965607"/>
    <n v="9.8689130434782601"/>
    <n v="14768.24"/>
    <n v="0.10123796423658872"/>
    <x v="1"/>
    <x v="3"/>
    <n v="2023"/>
    <s v="Wed"/>
    <n v="2"/>
  </r>
  <r>
    <s v="CMP-00334"/>
    <s v="Q4_BlackFriday_CMP-00334"/>
    <d v="2023-07-15T00:00:00"/>
    <x v="8"/>
    <d v="2023-08-05T00:00:00"/>
    <x v="1"/>
    <n v="48333"/>
    <n v="796"/>
    <n v="79"/>
    <x v="0"/>
    <x v="242"/>
    <n v="1.646907909709722E-2"/>
    <n v="0.68510050251256283"/>
    <n v="6.9030379746835449"/>
    <n v="3404.66"/>
    <n v="9.9246231155778894E-2"/>
    <x v="3"/>
    <x v="3"/>
    <n v="2023"/>
    <s v="Sat"/>
    <n v="21"/>
  </r>
  <r>
    <s v="CMP-00335"/>
    <s v="Q2_Winter_CMP-00335"/>
    <d v="2023-10-26T00:00:00"/>
    <x v="3"/>
    <d v="2023-11-22T00:00:00"/>
    <x v="2"/>
    <n v="4436"/>
    <n v="183"/>
    <n v="25"/>
    <x v="1"/>
    <x v="0"/>
    <n v="4.1253381424706942E-2"/>
    <n v="1.7985382513661201"/>
    <n v="13.1653"/>
    <n v="920.86750000000006"/>
    <n v="0.13661202185792351"/>
    <x v="0"/>
    <x v="2"/>
    <n v="2023"/>
    <s v="Thu"/>
    <n v="27"/>
  </r>
  <r>
    <s v="CMP-00336"/>
    <s v="Q4_Summer_CMP-00336"/>
    <d v="2023-05-11T00:00:00"/>
    <x v="1"/>
    <d v="2023-06-03T00:00:00"/>
    <x v="0"/>
    <n v="75290"/>
    <n v="2483"/>
    <n v="244"/>
    <x v="0"/>
    <x v="243"/>
    <n v="3.297914729711781E-2"/>
    <n v="0.91770438985098668"/>
    <n v="9.3387704918032775"/>
    <n v="9921.34"/>
    <n v="9.8268223922674189E-2"/>
    <x v="1"/>
    <x v="0"/>
    <n v="2023"/>
    <s v="Thu"/>
    <n v="23"/>
  </r>
  <r>
    <s v="CMP-00337"/>
    <s v="Q2_BlackFriday_CMP-00337"/>
    <d v="2023-08-27T00:00:00"/>
    <x v="7"/>
    <d v="2023-09-04T00:00:00"/>
    <x v="0"/>
    <n v="77213"/>
    <n v="2522"/>
    <n v="419"/>
    <x v="0"/>
    <x v="10"/>
    <n v="3.2662893554194244E-2"/>
    <n v="1.440031720856463"/>
    <n v="8.6676849642004772"/>
    <n v="17318.240000000002"/>
    <n v="0.16613798572561458"/>
    <x v="3"/>
    <x v="3"/>
    <n v="2023"/>
    <s v="Sun"/>
    <n v="8"/>
  </r>
  <r>
    <s v="CMP-00338"/>
    <s v="Q2_Launch_CMP-00338"/>
    <d v="2023-03-22T00:00:00"/>
    <x v="5"/>
    <d v="2023-04-07T00:00:00"/>
    <x v="1"/>
    <n v="6895"/>
    <n v="176"/>
    <n v="10"/>
    <x v="1"/>
    <x v="244"/>
    <n v="2.5525743292240752E-2"/>
    <n v="1.892556818181818"/>
    <n v="33.308999999999997"/>
    <n v="166.91000000000003"/>
    <n v="5.6818181818181816E-2"/>
    <x v="1"/>
    <x v="1"/>
    <n v="2023"/>
    <s v="Wed"/>
    <n v="16"/>
  </r>
  <r>
    <s v="CMP-00339"/>
    <s v="Q4_Summer_CMP-00339"/>
    <d v="2023-06-26T00:00:00"/>
    <x v="9"/>
    <d v="2023-06-28T00:00:00"/>
    <x v="1"/>
    <n v="20738"/>
    <n v="623"/>
    <n v="92"/>
    <x v="0"/>
    <x v="245"/>
    <n v="3.0041469765647602E-2"/>
    <n v="1.9945906902086679"/>
    <n v="13.506847826086958"/>
    <n v="3357.37"/>
    <n v="0.1476725521669342"/>
    <x v="3"/>
    <x v="0"/>
    <n v="2023"/>
    <s v="Mon"/>
    <n v="2"/>
  </r>
  <r>
    <s v="CMP-00340"/>
    <s v="Q2_Launch_CMP-00340"/>
    <d v="2023-08-06T00:00:00"/>
    <x v="7"/>
    <d v="2023-08-08T00:00:00"/>
    <x v="3"/>
    <n v="31746"/>
    <n v="821"/>
    <n v="140"/>
    <x v="0"/>
    <x v="246"/>
    <n v="2.5861525861525861E-2"/>
    <n v="1.6940073081607796"/>
    <n v="9.9341428571428576"/>
    <n v="5609.22"/>
    <n v="0.17052375152253349"/>
    <x v="3"/>
    <x v="1"/>
    <n v="2023"/>
    <s v="Sun"/>
    <n v="2"/>
  </r>
  <r>
    <s v="CMP-00341"/>
    <s v="Q4_BlackFriday_CMP-00341"/>
    <d v="2023-06-04T00:00:00"/>
    <x v="9"/>
    <d v="2023-06-12T00:00:00"/>
    <x v="2"/>
    <n v="50377"/>
    <n v="1591"/>
    <n v="240"/>
    <x v="0"/>
    <x v="247"/>
    <n v="3.1581872679992851E-2"/>
    <n v="1.6306033940917661"/>
    <n v="10.809541666666666"/>
    <n v="9405.7099999999991"/>
    <n v="0.15084852294154619"/>
    <x v="3"/>
    <x v="3"/>
    <n v="2023"/>
    <s v="Sun"/>
    <n v="8"/>
  </r>
  <r>
    <s v="CMP-00342"/>
    <s v="Q3_Launch_CMP-00342"/>
    <d v="2023-09-05T00:00:00"/>
    <x v="10"/>
    <d v="2023-09-30T00:00:00"/>
    <x v="0"/>
    <n v="49404"/>
    <n v="1734"/>
    <n v="216"/>
    <x v="0"/>
    <x v="248"/>
    <n v="3.5098372601408794E-2"/>
    <n v="0.82325259515570937"/>
    <n v="6.608888888888889"/>
    <n v="9372.48"/>
    <n v="0.1245674740484429"/>
    <x v="0"/>
    <x v="1"/>
    <n v="2023"/>
    <s v="Tue"/>
    <n v="25"/>
  </r>
  <r>
    <s v="CMP-00343"/>
    <s v="Q2_Summer_CMP-00343"/>
    <d v="2023-07-03T00:00:00"/>
    <x v="8"/>
    <d v="2023-07-11T00:00:00"/>
    <x v="4"/>
    <n v="55045"/>
    <n v="2035"/>
    <n v="391"/>
    <x v="1"/>
    <x v="249"/>
    <n v="3.6969752021073665E-2"/>
    <n v="1.004009828009828"/>
    <n v="5.2254731457800512"/>
    <n v="17506.84"/>
    <n v="0.19213759213759213"/>
    <x v="3"/>
    <x v="0"/>
    <n v="2023"/>
    <s v="Mon"/>
    <n v="8"/>
  </r>
  <r>
    <s v="CMP-00344"/>
    <s v="Q3_BlackFriday_CMP-00344"/>
    <d v="2023-01-06T00:00:00"/>
    <x v="11"/>
    <d v="2023-06-06T00:00:00"/>
    <x v="2"/>
    <n v="98888"/>
    <n v="3095"/>
    <n v="293"/>
    <x v="0"/>
    <x v="10"/>
    <n v="3.1298034139632717E-2"/>
    <n v="1.1734281098546042"/>
    <n v="12.395085324232081"/>
    <n v="11018.24"/>
    <n v="9.4668820678513732E-2"/>
    <x v="2"/>
    <x v="3"/>
    <n v="2023"/>
    <s v="Fri"/>
    <n v="151"/>
  </r>
  <r>
    <s v="CMP-00345"/>
    <s v="Q1_BlackFriday_CMP-00345"/>
    <d v="2023-12-04T00:00:00"/>
    <x v="2"/>
    <d v="2024-01-03T00:00:00"/>
    <x v="0"/>
    <n v="40790"/>
    <n v="1584"/>
    <n v="83"/>
    <x v="1"/>
    <x v="250"/>
    <n v="3.883304731551851E-2"/>
    <n v="1.6600694444444446"/>
    <n v="31.681325301204822"/>
    <n v="1520.4499999999998"/>
    <n v="5.2398989898989896E-2"/>
    <x v="2"/>
    <x v="3"/>
    <n v="2023"/>
    <s v="Mon"/>
    <n v="30"/>
  </r>
  <r>
    <s v="CMP-00346"/>
    <s v="Q2_Winter_CMP-00346"/>
    <d v="2023-12-18T00:00:00"/>
    <x v="2"/>
    <d v="2023-12-23T00:00:00"/>
    <x v="2"/>
    <n v="6600"/>
    <n v="103"/>
    <n v="11"/>
    <x v="0"/>
    <x v="0"/>
    <n v="1.5606060606060606E-2"/>
    <n v="3.1954611650485436"/>
    <n v="29.921136363636364"/>
    <n v="220.86750000000001"/>
    <n v="0.10679611650485436"/>
    <x v="2"/>
    <x v="2"/>
    <n v="2023"/>
    <s v="Mon"/>
    <n v="5"/>
  </r>
  <r>
    <s v="CMP-00347"/>
    <s v="Q1_Summer_CMP-00347"/>
    <d v="2023-11-07T00:00:00"/>
    <x v="0"/>
    <d v="2023-12-07T00:00:00"/>
    <x v="4"/>
    <n v="95660"/>
    <n v="1767"/>
    <m/>
    <x v="1"/>
    <x v="251"/>
    <n v="1.8471670499686389E-2"/>
    <n v="0.78370684776457267"/>
    <n v="0"/>
    <n v="-1384.81"/>
    <n v="0"/>
    <x v="0"/>
    <x v="0"/>
    <n v="2023"/>
    <s v="Tue"/>
    <n v="30"/>
  </r>
  <r>
    <s v="CMP-00348"/>
    <s v="Q4_Summer_CMP-00348"/>
    <d v="2023-05-27T00:00:00"/>
    <x v="1"/>
    <d v="2023-06-07T00:00:00"/>
    <x v="4"/>
    <n v="94179"/>
    <n v="4026"/>
    <n v="777"/>
    <x v="1"/>
    <x v="10"/>
    <n v="4.2748383397572705E-2"/>
    <n v="0.90207650273224038"/>
    <n v="4.6740797940797938"/>
    <n v="35218.239999999998"/>
    <n v="0.19299552906110284"/>
    <x v="1"/>
    <x v="0"/>
    <n v="2023"/>
    <s v="Sat"/>
    <n v="11"/>
  </r>
  <r>
    <s v="CMP-00349"/>
    <s v="Q2_Summer_CMP-00349"/>
    <d v="2023-06-30T00:00:00"/>
    <x v="9"/>
    <d v="2023-07-11T00:00:00"/>
    <x v="4"/>
    <n v="41764"/>
    <n v="956"/>
    <n v="77"/>
    <x v="0"/>
    <x v="252"/>
    <n v="2.2890527727229194E-2"/>
    <n v="1.5434414225941422"/>
    <n v="19.162727272727274"/>
    <n v="2374.4700000000003"/>
    <n v="8.0543933054393307E-2"/>
    <x v="3"/>
    <x v="0"/>
    <n v="2023"/>
    <s v="Fri"/>
    <n v="11"/>
  </r>
  <r>
    <s v="CMP-00350"/>
    <s v="Q2_Launch_CMP-00350"/>
    <d v="2023-05-09T00:00:00"/>
    <x v="1"/>
    <d v="2023-05-22T00:00:00"/>
    <x v="1"/>
    <n v="75543"/>
    <n v="824"/>
    <n v="138"/>
    <x v="0"/>
    <x v="253"/>
    <n v="1.0907694955191083E-2"/>
    <n v="1.4161529126213592"/>
    <n v="8.4558695652173927"/>
    <n v="5733.09"/>
    <n v="0.16747572815533981"/>
    <x v="1"/>
    <x v="1"/>
    <n v="2023"/>
    <s v="Tue"/>
    <n v="13"/>
  </r>
  <r>
    <s v="CMP-00351"/>
    <s v="Q4_Winter_CMP-00351"/>
    <d v="2023-12-04T00:00:00"/>
    <x v="2"/>
    <d v="2023-12-29T00:00:00"/>
    <x v="4"/>
    <n v="46714"/>
    <n v="754"/>
    <n v="125"/>
    <x v="1"/>
    <x v="254"/>
    <n v="1.6140771503189624E-2"/>
    <n v="0.79976127320954904"/>
    <n v="4.82416"/>
    <n v="5646.98"/>
    <n v="0.16578249336870027"/>
    <x v="2"/>
    <x v="2"/>
    <n v="2023"/>
    <s v="Mon"/>
    <n v="25"/>
  </r>
  <r>
    <s v="CMP-00352"/>
    <s v="Q4_Summer_CMP-00352"/>
    <d v="2023-02-19T00:00:00"/>
    <x v="6"/>
    <d v="2023-03-12T00:00:00"/>
    <x v="3"/>
    <n v="57835"/>
    <n v="1095"/>
    <n v="90"/>
    <x v="0"/>
    <x v="255"/>
    <n v="1.8933171954698711E-2"/>
    <n v="0.58328767123287673"/>
    <n v="7.0966666666666676"/>
    <n v="3861.3"/>
    <n v="8.2191780821917804E-2"/>
    <x v="2"/>
    <x v="0"/>
    <n v="2023"/>
    <s v="Sun"/>
    <n v="21"/>
  </r>
  <r>
    <s v="CMP-00353"/>
    <s v="Q3_Winter_CMP-00353"/>
    <d v="2023-06-08T00:00:00"/>
    <x v="9"/>
    <d v="2023-08-28T00:00:00"/>
    <x v="3"/>
    <n v="74744"/>
    <n v="3609"/>
    <n v="516"/>
    <x v="1"/>
    <x v="10"/>
    <n v="4.828481215883549E-2"/>
    <n v="1.0063064560820172"/>
    <n v="7.0382945736434106"/>
    <n v="22168.240000000002"/>
    <n v="0.14297589359933499"/>
    <x v="3"/>
    <x v="2"/>
    <n v="2023"/>
    <s v="Thu"/>
    <n v="81"/>
  </r>
  <r>
    <s v="CMP-00354"/>
    <s v="Q3_BlackFriday_CMP-00354"/>
    <d v="2023-07-06T00:00:00"/>
    <x v="8"/>
    <d v="2023-08-05T00:00:00"/>
    <x v="4"/>
    <n v="57491"/>
    <n v="1892"/>
    <n v="108"/>
    <x v="0"/>
    <x v="256"/>
    <n v="3.2909498878085267E-2"/>
    <n v="1.4772727272727273"/>
    <n v="25.87962962962963"/>
    <n v="2605"/>
    <n v="5.7082452431289642E-2"/>
    <x v="3"/>
    <x v="3"/>
    <n v="2023"/>
    <s v="Thu"/>
    <n v="30"/>
  </r>
  <r>
    <s v="CMP-00355"/>
    <s v="Q4_Winter_CMP-00355"/>
    <d v="2023-06-01T00:00:00"/>
    <x v="9"/>
    <d v="2023-06-02T00:00:00"/>
    <x v="3"/>
    <n v="19589"/>
    <n v="926"/>
    <n v="113"/>
    <x v="0"/>
    <x v="257"/>
    <n v="4.7271427842156315E-2"/>
    <n v="0.81617710583153347"/>
    <n v="6.6883185840707959"/>
    <n v="4894.22"/>
    <n v="0.12203023758099352"/>
    <x v="3"/>
    <x v="2"/>
    <n v="2023"/>
    <s v="Thu"/>
    <n v="1"/>
  </r>
  <r>
    <s v="CMP-00356"/>
    <s v="Q1_Winter_CMP-00356"/>
    <d v="2023-04-13T00:00:00"/>
    <x v="4"/>
    <d v="2023-04-30T00:00:00"/>
    <x v="3"/>
    <n v="44484"/>
    <n v="1468"/>
    <n v="76"/>
    <x v="1"/>
    <x v="258"/>
    <n v="3.3000629439798576E-2"/>
    <n v="1.3346866485013624"/>
    <n v="25.780526315789473"/>
    <n v="1840.68"/>
    <n v="5.1771117166212535E-2"/>
    <x v="1"/>
    <x v="2"/>
    <n v="2023"/>
    <s v="Thu"/>
    <n v="17"/>
  </r>
  <r>
    <s v="CMP-00357"/>
    <s v="Q2_BlackFriday_CMP-00357"/>
    <d v="2023-07-07T00:00:00"/>
    <x v="8"/>
    <d v="2023-08-01T00:00:00"/>
    <x v="1"/>
    <n v="83989"/>
    <n v="2450"/>
    <n v="461"/>
    <x v="1"/>
    <x v="10"/>
    <n v="2.9170486611341962E-2"/>
    <n v="1.4823510204081631"/>
    <n v="7.8780043383947937"/>
    <n v="19418.240000000002"/>
    <n v="0.18816326530612246"/>
    <x v="3"/>
    <x v="3"/>
    <n v="2023"/>
    <s v="Fri"/>
    <n v="25"/>
  </r>
  <r>
    <s v="CMP-00358"/>
    <s v="Q4_Launch_CMP-00358"/>
    <d v="2023-03-26T00:00:00"/>
    <x v="5"/>
    <d v="2023-04-05T00:00:00"/>
    <x v="4"/>
    <n v="37212"/>
    <n v="839"/>
    <n v="164"/>
    <x v="1"/>
    <x v="259"/>
    <n v="2.254649037944749E-2"/>
    <n v="1.7525983313468416"/>
    <n v="8.9660365853658544"/>
    <n v="6729.57"/>
    <n v="0.19547079856972585"/>
    <x v="1"/>
    <x v="1"/>
    <n v="2023"/>
    <s v="Sun"/>
    <n v="10"/>
  </r>
  <r>
    <s v="CMP-00359"/>
    <s v="Q2_Launch_CMP-00359"/>
    <d v="2023-09-04T00:00:00"/>
    <x v="10"/>
    <d v="2023-09-20T00:00:00"/>
    <x v="0"/>
    <n v="44525"/>
    <n v="1525"/>
    <n v="127"/>
    <x v="0"/>
    <x v="260"/>
    <n v="3.4250421111734979E-2"/>
    <n v="1.8910295081967214"/>
    <n v="22.707244094488189"/>
    <n v="3466.18"/>
    <n v="8.3278688524590166E-2"/>
    <x v="0"/>
    <x v="1"/>
    <n v="2023"/>
    <s v="Mon"/>
    <n v="16"/>
  </r>
  <r>
    <s v="CMP-00360"/>
    <s v="Q2_Summer_CMP-00360"/>
    <d v="2023-06-23T00:00:00"/>
    <x v="9"/>
    <d v="2023-06-24T00:00:00"/>
    <x v="3"/>
    <n v="48202"/>
    <n v="750"/>
    <n v="60"/>
    <x v="0"/>
    <x v="261"/>
    <n v="1.555952035185262E-2"/>
    <n v="1.0488266666666666"/>
    <n v="13.110333333333333"/>
    <n v="2213.38"/>
    <n v="0.08"/>
    <x v="3"/>
    <x v="0"/>
    <n v="2023"/>
    <s v="Fri"/>
    <n v="1"/>
  </r>
  <r>
    <s v="CMP-00361"/>
    <s v="Q3_Launch_CMP-00361"/>
    <d v="2023-02-08T00:00:00"/>
    <x v="6"/>
    <d v="2023-03-02T00:00:00"/>
    <x v="1"/>
    <n v="33635"/>
    <n v="1544"/>
    <m/>
    <x v="0"/>
    <x v="262"/>
    <n v="4.5904563698528321E-2"/>
    <n v="0.97707253886010359"/>
    <n v="0"/>
    <n v="-1508.6"/>
    <n v="0"/>
    <x v="2"/>
    <x v="1"/>
    <n v="2023"/>
    <s v="Wed"/>
    <n v="22"/>
  </r>
  <r>
    <s v="CMP-00362"/>
    <s v="Q2_BlackFriday_CMP-00362"/>
    <d v="2023-12-13T00:00:00"/>
    <x v="2"/>
    <d v="2024-01-05T00:00:00"/>
    <x v="4"/>
    <n v="64208"/>
    <n v="2772"/>
    <m/>
    <x v="1"/>
    <x v="10"/>
    <n v="4.3172190381260904E-2"/>
    <n v="1.3101587301587301"/>
    <n v="0"/>
    <n v="-3631.7599999999998"/>
    <n v="0"/>
    <x v="2"/>
    <x v="3"/>
    <n v="2023"/>
    <s v="Wed"/>
    <n v="23"/>
  </r>
  <r>
    <s v="CMP-00363"/>
    <s v="Q1_Winter_CMP-00363"/>
    <d v="2023-10-13T00:00:00"/>
    <x v="3"/>
    <d v="2023-11-05T00:00:00"/>
    <x v="0"/>
    <n v="34828"/>
    <n v="790"/>
    <m/>
    <x v="1"/>
    <x v="263"/>
    <n v="2.2682898817043759E-2"/>
    <n v="1.1466708860759494"/>
    <n v="0"/>
    <n v="-905.87"/>
    <n v="0"/>
    <x v="0"/>
    <x v="2"/>
    <n v="2023"/>
    <s v="Fri"/>
    <n v="23"/>
  </r>
  <r>
    <s v="CMP-00364"/>
    <s v="Q4_Summer_CMP-00364"/>
    <d v="2023-01-08T00:00:00"/>
    <x v="11"/>
    <d v="2023-01-22T00:00:00"/>
    <x v="3"/>
    <n v="19711"/>
    <n v="948"/>
    <n v="129"/>
    <x v="0"/>
    <x v="264"/>
    <n v="4.8094972350464206E-2"/>
    <n v="0.63131856540084386"/>
    <n v="4.6394573643410855"/>
    <n v="5851.51"/>
    <n v="0.13607594936708861"/>
    <x v="2"/>
    <x v="0"/>
    <n v="2023"/>
    <s v="Sun"/>
    <n v="14"/>
  </r>
  <r>
    <s v="CMP-00365"/>
    <s v="Q1_Winter_CMP-00365"/>
    <d v="2023-07-08T00:00:00"/>
    <x v="8"/>
    <d v="2023-07-26T00:00:00"/>
    <x v="1"/>
    <n v="4420"/>
    <n v="190"/>
    <n v="19"/>
    <x v="0"/>
    <x v="0"/>
    <n v="4.2986425339366516E-2"/>
    <n v="1.7322763157894736"/>
    <n v="17.322763157894737"/>
    <n v="620.86750000000006"/>
    <n v="0.1"/>
    <x v="3"/>
    <x v="2"/>
    <n v="2023"/>
    <s v="Sat"/>
    <n v="18"/>
  </r>
  <r>
    <s v="CMP-00366"/>
    <s v="Q1_Launch_CMP-00366"/>
    <d v="2023-10-27T00:00:00"/>
    <x v="3"/>
    <d v="2023-10-30T00:00:00"/>
    <x v="0"/>
    <n v="97752"/>
    <n v="3582"/>
    <n v="626"/>
    <x v="0"/>
    <x v="10"/>
    <n v="3.6643751534495457E-2"/>
    <n v="1.0138916806253488"/>
    <n v="5.8015335463258779"/>
    <n v="27668.240000000002"/>
    <n v="0.17476270240089337"/>
    <x v="0"/>
    <x v="1"/>
    <n v="2023"/>
    <s v="Fri"/>
    <n v="3"/>
  </r>
  <r>
    <s v="CMP-00367"/>
    <s v="Q2_BlackFriday_CMP-00367"/>
    <d v="2023-07-10T00:00:00"/>
    <x v="8"/>
    <d v="2023-07-12T00:00:00"/>
    <x v="3"/>
    <n v="1301"/>
    <n v="19"/>
    <n v="2"/>
    <x v="1"/>
    <x v="0"/>
    <n v="1.4604150653343582E-2"/>
    <n v="17.322763157894737"/>
    <n v="164.56625"/>
    <n v="-229.13249999999999"/>
    <n v="0.10526315789473684"/>
    <x v="3"/>
    <x v="3"/>
    <n v="2023"/>
    <s v="Mon"/>
    <n v="2"/>
  </r>
  <r>
    <s v="CMP-00368"/>
    <s v="Q1_Launch_CMP-00368"/>
    <d v="2023-01-13T00:00:00"/>
    <x v="11"/>
    <d v="2023-01-20T00:00:00"/>
    <x v="4"/>
    <n v="46236"/>
    <n v="1346"/>
    <n v="251"/>
    <x v="0"/>
    <x v="265"/>
    <n v="2.9111514836923608E-2"/>
    <n v="0.99830609212481425"/>
    <n v="5.3534661354581674"/>
    <n v="11206.28"/>
    <n v="0.18647845468053492"/>
    <x v="2"/>
    <x v="1"/>
    <n v="2023"/>
    <s v="Fri"/>
    <n v="7"/>
  </r>
  <r>
    <s v="CMP-00369"/>
    <s v="Q4_BlackFriday_CMP-00369"/>
    <d v="2023-06-17T00:00:00"/>
    <x v="9"/>
    <d v="2023-07-06T00:00:00"/>
    <x v="2"/>
    <n v="67235"/>
    <n v="2033"/>
    <n v="384"/>
    <x v="1"/>
    <x v="266"/>
    <n v="3.0237227634416598E-2"/>
    <n v="0.94066404328578446"/>
    <n v="4.9801302083333328"/>
    <n v="17287.63"/>
    <n v="0.18888342351205115"/>
    <x v="3"/>
    <x v="3"/>
    <n v="2023"/>
    <s v="Sat"/>
    <n v="19"/>
  </r>
  <r>
    <s v="CMP-00370"/>
    <s v="Q3_Summer_CMP-00370"/>
    <d v="2023-02-02T00:00:00"/>
    <x v="6"/>
    <d v="2023-02-04T00:00:00"/>
    <x v="4"/>
    <n v="55240"/>
    <n v="1066"/>
    <n v="79"/>
    <x v="0"/>
    <x v="267"/>
    <n v="1.9297610427226646E-2"/>
    <n v="0.56225140712945587"/>
    <n v="7.586835443037975"/>
    <n v="3350.64"/>
    <n v="7.410881801125703E-2"/>
    <x v="2"/>
    <x v="0"/>
    <n v="2023"/>
    <s v="Thu"/>
    <n v="2"/>
  </r>
  <r>
    <s v="CMP-00371"/>
    <s v="Q1_BlackFriday_CMP-00371"/>
    <d v="2023-12-25T00:00:00"/>
    <x v="2"/>
    <d v="2024-01-01T00:00:00"/>
    <x v="4"/>
    <n v="66726"/>
    <n v="880"/>
    <n v="44"/>
    <x v="0"/>
    <x v="268"/>
    <n v="1.3188262446422684E-2"/>
    <n v="1.4556477272727273"/>
    <n v="29.112954545454546"/>
    <n v="919.03"/>
    <n v="0.05"/>
    <x v="2"/>
    <x v="3"/>
    <n v="2023"/>
    <s v="Mon"/>
    <n v="7"/>
  </r>
  <r>
    <s v="CMP-00372"/>
    <s v="Q4_Winter_CMP-00372"/>
    <d v="2023-03-13T00:00:00"/>
    <x v="5"/>
    <d v="2023-03-21T00:00:00"/>
    <x v="4"/>
    <n v="11492"/>
    <n v="471"/>
    <n v="93"/>
    <x v="0"/>
    <x v="269"/>
    <n v="4.0985033066481033E-2"/>
    <n v="1.3959447983014863"/>
    <n v="7.0697849462365596"/>
    <n v="3992.51"/>
    <n v="0.19745222929936307"/>
    <x v="1"/>
    <x v="2"/>
    <n v="2023"/>
    <s v="Mon"/>
    <n v="8"/>
  </r>
  <r>
    <s v="CMP-00373"/>
    <s v="Q2_Launch_CMP-00373"/>
    <d v="2023-01-20T00:00:00"/>
    <x v="11"/>
    <d v="2023-02-08T00:00:00"/>
    <x v="2"/>
    <n v="7102"/>
    <n v="105"/>
    <n v="19"/>
    <x v="0"/>
    <x v="0"/>
    <n v="1.4784567727400732E-2"/>
    <n v="3.1345952380952382"/>
    <n v="17.322763157894737"/>
    <n v="620.86750000000006"/>
    <n v="0.18095238095238095"/>
    <x v="2"/>
    <x v="1"/>
    <n v="2023"/>
    <s v="Fri"/>
    <n v="19"/>
  </r>
  <r>
    <s v="CMP-00374"/>
    <s v="Q4_BlackFriday_CMP-00374"/>
    <d v="2023-02-19T00:00:00"/>
    <x v="6"/>
    <d v="2023-03-07T00:00:00"/>
    <x v="2"/>
    <n v="51336"/>
    <n v="1733"/>
    <n v="101"/>
    <x v="0"/>
    <x v="270"/>
    <n v="3.3757986598098803E-2"/>
    <n v="0.78846508944027704"/>
    <n v="13.528811881188119"/>
    <n v="3683.59"/>
    <n v="5.8280438545874204E-2"/>
    <x v="2"/>
    <x v="3"/>
    <n v="2023"/>
    <s v="Sun"/>
    <n v="16"/>
  </r>
  <r>
    <s v="CMP-00375"/>
    <s v="Q1_Launch_CMP-00375"/>
    <d v="2023-07-18T00:00:00"/>
    <x v="8"/>
    <d v="2023-07-19T00:00:00"/>
    <x v="2"/>
    <n v="86314"/>
    <n v="4096"/>
    <n v="716"/>
    <x v="1"/>
    <x v="10"/>
    <n v="4.7454642352341453E-2"/>
    <n v="0.88666015624999994"/>
    <n v="5.0722905027932956"/>
    <n v="32168.240000000002"/>
    <n v="0.1748046875"/>
    <x v="3"/>
    <x v="1"/>
    <n v="2023"/>
    <s v="Tue"/>
    <n v="1"/>
  </r>
  <r>
    <s v="CMP-00376"/>
    <s v="Q3_BlackFriday_CMP-00376"/>
    <d v="2023-12-23T00:00:00"/>
    <x v="2"/>
    <d v="2024-01-04T00:00:00"/>
    <x v="1"/>
    <n v="27641"/>
    <n v="1245"/>
    <n v="147"/>
    <x v="0"/>
    <x v="271"/>
    <n v="4.5041785753048007E-2"/>
    <n v="1.429421686746988"/>
    <n v="12.106326530612245"/>
    <n v="5570.37"/>
    <n v="0.1180722891566265"/>
    <x v="2"/>
    <x v="3"/>
    <n v="2023"/>
    <s v="Sat"/>
    <n v="12"/>
  </r>
  <r>
    <s v="CMP-00377"/>
    <s v="Q1_Summer_CMP-00377"/>
    <d v="2023-03-21T00:00:00"/>
    <x v="5"/>
    <d v="2023-04-13T00:00:00"/>
    <x v="1"/>
    <n v="35584"/>
    <n v="751"/>
    <n v="66"/>
    <x v="1"/>
    <x v="272"/>
    <n v="2.1104991007194245E-2"/>
    <n v="1.3994407456724367"/>
    <n v="15.923939393939394"/>
    <n v="2249.02"/>
    <n v="8.7882822902796268E-2"/>
    <x v="1"/>
    <x v="0"/>
    <n v="2023"/>
    <s v="Tue"/>
    <n v="23"/>
  </r>
  <r>
    <s v="CMP-00378"/>
    <s v="Q4_Launch_CMP-00378"/>
    <d v="2023-09-08T00:00:00"/>
    <x v="10"/>
    <d v="2023-09-11T00:00:00"/>
    <x v="2"/>
    <n v="33745"/>
    <n v="1486"/>
    <n v="270"/>
    <x v="0"/>
    <x v="273"/>
    <n v="4.4036153504222846E-2"/>
    <n v="1.2594952893674294"/>
    <n v="6.9318888888888885"/>
    <n v="11628.39"/>
    <n v="0.18169582772543741"/>
    <x v="0"/>
    <x v="1"/>
    <n v="2023"/>
    <s v="Fri"/>
    <n v="3"/>
  </r>
  <r>
    <s v="CMP-00379"/>
    <s v="Q2_BlackFriday_CMP-00379"/>
    <d v="2023-05-24T00:00:00"/>
    <x v="1"/>
    <d v="2023-06-12T00:00:00"/>
    <x v="1"/>
    <n v="24093"/>
    <n v="241"/>
    <n v="19"/>
    <x v="1"/>
    <x v="0"/>
    <n v="1.0002905408209854E-2"/>
    <n v="1.3656950207468879"/>
    <n v="17.322763157894737"/>
    <n v="620.86750000000006"/>
    <n v="7.8838174273858919E-2"/>
    <x v="1"/>
    <x v="3"/>
    <n v="2023"/>
    <s v="Wed"/>
    <n v="19"/>
  </r>
  <r>
    <s v="CMP-00380"/>
    <s v="Q2_Launch_CMP-00380"/>
    <d v="2023-07-09T00:00:00"/>
    <x v="8"/>
    <d v="2023-08-07T00:00:00"/>
    <x v="3"/>
    <n v="67105"/>
    <n v="718"/>
    <n v="137"/>
    <x v="0"/>
    <x v="274"/>
    <n v="1.0699649802548245E-2"/>
    <n v="1.8694011142061282"/>
    <n v="9.7972992700729922"/>
    <n v="5507.77"/>
    <n v="0.19080779944289694"/>
    <x v="3"/>
    <x v="1"/>
    <n v="2023"/>
    <s v="Sun"/>
    <n v="29"/>
  </r>
  <r>
    <s v="CMP-00381"/>
    <s v="Q2_BlackFriday_CMP-00381"/>
    <d v="2023-05-01T00:00:00"/>
    <x v="1"/>
    <d v="2023-05-31T00:00:00"/>
    <x v="1"/>
    <n v="52885"/>
    <n v="1803"/>
    <n v="145"/>
    <x v="1"/>
    <x v="275"/>
    <n v="3.4092842961142102E-2"/>
    <n v="1.0096561286744314"/>
    <n v="12.554551724137932"/>
    <n v="5429.59"/>
    <n v="8.0421519689406543E-2"/>
    <x v="1"/>
    <x v="3"/>
    <n v="2023"/>
    <s v="Mon"/>
    <n v="30"/>
  </r>
  <r>
    <s v="CMP-00382"/>
    <s v="Q4_Launch_CMP-00382"/>
    <d v="2023-12-18T00:00:00"/>
    <x v="2"/>
    <d v="2024-01-04T00:00:00"/>
    <x v="1"/>
    <n v="37631"/>
    <n v="925"/>
    <m/>
    <x v="0"/>
    <x v="276"/>
    <n v="2.4580797746538759E-2"/>
    <n v="1.1834270270270271"/>
    <n v="0"/>
    <n v="-1094.67"/>
    <n v="0"/>
    <x v="2"/>
    <x v="1"/>
    <n v="2023"/>
    <s v="Mon"/>
    <n v="17"/>
  </r>
  <r>
    <s v="CMP-00383"/>
    <s v="Q1_Summer_CMP-00383"/>
    <d v="2023-11-27T00:00:00"/>
    <x v="0"/>
    <d v="2023-12-26T00:00:00"/>
    <x v="2"/>
    <n v="73991"/>
    <n v="1883"/>
    <n v="157"/>
    <x v="1"/>
    <x v="277"/>
    <n v="2.5449041099593193E-2"/>
    <n v="1.5171694105151354"/>
    <n v="18.196369426751591"/>
    <n v="4993.17"/>
    <n v="8.3377588953797127E-2"/>
    <x v="0"/>
    <x v="0"/>
    <n v="2023"/>
    <s v="Mon"/>
    <n v="29"/>
  </r>
  <r>
    <s v="CMP-00384"/>
    <s v="Q2_Summer_CMP-00384"/>
    <d v="2023-04-08T00:00:00"/>
    <x v="4"/>
    <d v="2023-05-05T00:00:00"/>
    <x v="2"/>
    <n v="5014"/>
    <n v="163"/>
    <n v="21"/>
    <x v="0"/>
    <x v="0"/>
    <n v="3.2508974870362986E-2"/>
    <n v="2.0192177914110427"/>
    <n v="15.67297619047619"/>
    <n v="720.86750000000006"/>
    <n v="0.12883435582822086"/>
    <x v="1"/>
    <x v="0"/>
    <n v="2023"/>
    <s v="Sat"/>
    <n v="27"/>
  </r>
  <r>
    <s v="CMP-00385"/>
    <s v="Q2_Summer_CMP-00385"/>
    <d v="2023-08-21T00:00:00"/>
    <x v="7"/>
    <d v="2023-08-27T00:00:00"/>
    <x v="1"/>
    <n v="12093"/>
    <n v="213"/>
    <m/>
    <x v="0"/>
    <x v="0"/>
    <n v="1.7613495410568097E-2"/>
    <n v="1.5452230046948356"/>
    <n v="0"/>
    <n v="-329.13249999999999"/>
    <n v="0"/>
    <x v="3"/>
    <x v="0"/>
    <n v="2023"/>
    <s v="Mon"/>
    <n v="6"/>
  </r>
  <r>
    <s v="CMP-00386"/>
    <s v="Q1_Summer_CMP-00386"/>
    <d v="2023-04-19T00:00:00"/>
    <x v="4"/>
    <d v="2023-05-02T00:00:00"/>
    <x v="0"/>
    <n v="19070"/>
    <n v="352"/>
    <n v="27"/>
    <x v="0"/>
    <x v="278"/>
    <n v="1.8458311484006291E-2"/>
    <n v="1.153465909090909"/>
    <n v="15.037777777777777"/>
    <n v="943.98"/>
    <n v="7.6704545454545456E-2"/>
    <x v="1"/>
    <x v="0"/>
    <n v="2023"/>
    <s v="Wed"/>
    <n v="13"/>
  </r>
  <r>
    <s v="CMP-00387"/>
    <s v="Q3_Winter_CMP-00387"/>
    <d v="2023-11-01T00:00:00"/>
    <x v="0"/>
    <d v="2023-12-01T00:00:00"/>
    <x v="1"/>
    <n v="36777"/>
    <n v="1080"/>
    <n v="138"/>
    <x v="1"/>
    <x v="279"/>
    <n v="2.9366179949424913E-2"/>
    <n v="1.6917222222222221"/>
    <n v="13.239565217391304"/>
    <n v="5072.9400000000005"/>
    <n v="0.12777777777777777"/>
    <x v="0"/>
    <x v="2"/>
    <n v="2023"/>
    <s v="Wed"/>
    <n v="30"/>
  </r>
  <r>
    <s v="CMP-00388"/>
    <s v="Q1_Summer_CMP-00388"/>
    <d v="2023-06-20T00:00:00"/>
    <x v="9"/>
    <d v="2023-06-25T00:00:00"/>
    <x v="0"/>
    <n v="57958"/>
    <n v="2328"/>
    <n v="280"/>
    <x v="0"/>
    <x v="280"/>
    <n v="4.0167017495427726E-2"/>
    <n v="0.91719501718213059"/>
    <n v="7.6258214285714283"/>
    <n v="11864.77"/>
    <n v="0.12027491408934708"/>
    <x v="3"/>
    <x v="0"/>
    <n v="2023"/>
    <s v="Tue"/>
    <n v="5"/>
  </r>
  <r>
    <s v="CMP-00389"/>
    <s v="Q3_Winter_CMP-00389"/>
    <d v="2023-10-17T00:00:00"/>
    <x v="3"/>
    <d v="2023-11-04T00:00:00"/>
    <x v="4"/>
    <n v="83074"/>
    <n v="2889"/>
    <n v="175"/>
    <x v="1"/>
    <x v="281"/>
    <n v="3.4776223607867682E-2"/>
    <n v="0.71338179300796123"/>
    <n v="11.776914285714286"/>
    <n v="6689.04"/>
    <n v="6.0574593284873655E-2"/>
    <x v="0"/>
    <x v="2"/>
    <n v="2023"/>
    <s v="Tue"/>
    <n v="18"/>
  </r>
  <r>
    <s v="CMP-00390"/>
    <s v="Q4_Launch_CMP-00390"/>
    <d v="2023-10-11T00:00:00"/>
    <x v="3"/>
    <d v="2023-10-12T00:00:00"/>
    <x v="2"/>
    <n v="11729"/>
    <n v="256"/>
    <n v="44"/>
    <x v="0"/>
    <x v="0"/>
    <n v="2.1826242646431921E-2"/>
    <n v="1.285673828125"/>
    <n v="7.4802840909090911"/>
    <n v="1870.8675000000001"/>
    <n v="0.171875"/>
    <x v="0"/>
    <x v="1"/>
    <n v="2023"/>
    <s v="Wed"/>
    <n v="1"/>
  </r>
  <r>
    <s v="CMP-00391"/>
    <s v="Q4_Summer_CMP-00391"/>
    <d v="2023-04-30T00:00:00"/>
    <x v="4"/>
    <d v="2023-05-30T00:00:00"/>
    <x v="4"/>
    <n v="46017"/>
    <n v="1252"/>
    <n v="125"/>
    <x v="0"/>
    <x v="282"/>
    <n v="2.7207336419149446E-2"/>
    <n v="1.7743051118210862"/>
    <n v="17.771439999999998"/>
    <n v="4028.57"/>
    <n v="9.9840255591054319E-2"/>
    <x v="1"/>
    <x v="0"/>
    <n v="2023"/>
    <s v="Sun"/>
    <n v="30"/>
  </r>
  <r>
    <s v="CMP-00392"/>
    <s v="Q2_BlackFriday_CMP-00392"/>
    <d v="2023-02-11T00:00:00"/>
    <x v="6"/>
    <d v="2023-11-23T00:00:00"/>
    <x v="0"/>
    <n v="67320"/>
    <n v="1132"/>
    <n v="154"/>
    <x v="1"/>
    <x v="283"/>
    <n v="1.6815210932857993E-2"/>
    <n v="0.63348056537102471"/>
    <n v="4.6564935064935069"/>
    <n v="6982.9"/>
    <n v="0.13604240282685512"/>
    <x v="2"/>
    <x v="3"/>
    <n v="2023"/>
    <s v="Sat"/>
    <n v="285"/>
  </r>
  <r>
    <s v="CMP-00393"/>
    <s v="Q4_Winter_CMP-00393"/>
    <d v="2023-03-16T00:00:00"/>
    <x v="5"/>
    <d v="2023-04-09T00:00:00"/>
    <x v="4"/>
    <n v="28751"/>
    <n v="373"/>
    <n v="47"/>
    <x v="0"/>
    <x v="284"/>
    <n v="1.29734617926333E-2"/>
    <n v="1.9875335120643431"/>
    <n v="15.77340425531915"/>
    <n v="1608.65"/>
    <n v="0.12600536193029491"/>
    <x v="1"/>
    <x v="2"/>
    <n v="2023"/>
    <s v="Thu"/>
    <n v="24"/>
  </r>
  <r>
    <s v="CMP-00394"/>
    <s v="Q2_Winter_CMP-00394"/>
    <d v="2023-03-31T00:00:00"/>
    <x v="5"/>
    <d v="2023-04-20T00:00:00"/>
    <x v="4"/>
    <n v="79069"/>
    <n v="3266"/>
    <n v="414"/>
    <x v="1"/>
    <x v="10"/>
    <n v="4.1305695025863488E-2"/>
    <n v="1.1119902020820576"/>
    <n v="8.7723671497584537"/>
    <n v="17068.240000000002"/>
    <n v="0.12676056338028169"/>
    <x v="1"/>
    <x v="2"/>
    <n v="2023"/>
    <s v="Fri"/>
    <n v="20"/>
  </r>
  <r>
    <s v="CMP-00395"/>
    <s v="Q3_BlackFriday_CMP-00395"/>
    <d v="2023-09-03T00:00:00"/>
    <x v="10"/>
    <d v="2023-10-03T00:00:00"/>
    <x v="0"/>
    <n v="55748"/>
    <n v="1149"/>
    <n v="75"/>
    <x v="1"/>
    <x v="285"/>
    <n v="2.061060486474851E-2"/>
    <n v="1.9772671888598783"/>
    <n v="30.291733333333333"/>
    <n v="1478.12"/>
    <n v="6.5274151436031339E-2"/>
    <x v="0"/>
    <x v="3"/>
    <n v="2023"/>
    <s v="Sun"/>
    <n v="30"/>
  </r>
  <r>
    <s v="CMP-00396"/>
    <s v="Q3_Summer_CMP-00396"/>
    <d v="2023-05-02T00:00:00"/>
    <x v="1"/>
    <d v="2023-06-01T00:00:00"/>
    <x v="1"/>
    <n v="6801"/>
    <n v="116"/>
    <n v="13"/>
    <x v="0"/>
    <x v="0"/>
    <n v="1.7056315247757681E-2"/>
    <n v="2.8373491379310343"/>
    <n v="25.317884615384614"/>
    <n v="320.86750000000001"/>
    <n v="0.11206896551724138"/>
    <x v="1"/>
    <x v="0"/>
    <n v="2023"/>
    <s v="Tue"/>
    <n v="30"/>
  </r>
  <r>
    <s v="CMP-00397"/>
    <s v="Q1_Winter_CMP-00397"/>
    <d v="2023-05-16T00:00:00"/>
    <x v="1"/>
    <d v="2023-06-03T00:00:00"/>
    <x v="0"/>
    <n v="20190"/>
    <n v="760"/>
    <n v="89"/>
    <x v="0"/>
    <x v="286"/>
    <n v="3.7642397226349676E-2"/>
    <n v="1.1792236842105264"/>
    <n v="10.069775280898877"/>
    <n v="3553.79"/>
    <n v="0.11710526315789474"/>
    <x v="1"/>
    <x v="2"/>
    <n v="2023"/>
    <s v="Tue"/>
    <n v="18"/>
  </r>
  <r>
    <s v="CMP-00398"/>
    <s v="Q4_BlackFriday_CMP-00398"/>
    <d v="2023-08-04T00:00:00"/>
    <x v="7"/>
    <d v="2023-08-16T00:00:00"/>
    <x v="0"/>
    <n v="50689"/>
    <n v="1760"/>
    <m/>
    <x v="1"/>
    <x v="287"/>
    <n v="3.4721537217147706E-2"/>
    <n v="0.7977386363636364"/>
    <n v="0"/>
    <n v="-1404.02"/>
    <n v="0"/>
    <x v="3"/>
    <x v="3"/>
    <n v="2023"/>
    <s v="Fri"/>
    <n v="12"/>
  </r>
  <r>
    <s v="CMP-00399"/>
    <s v="Q2_Winter_CMP-00399"/>
    <d v="2023-09-01T00:00:00"/>
    <x v="10"/>
    <d v="2023-09-18T00:00:00"/>
    <x v="4"/>
    <n v="51993"/>
    <n v="1836"/>
    <n v="323"/>
    <x v="0"/>
    <x v="288"/>
    <n v="3.5312445906179678E-2"/>
    <n v="0.74732570806100218"/>
    <n v="4.2479566563467488"/>
    <n v="14777.91"/>
    <n v="0.17592592592592593"/>
    <x v="0"/>
    <x v="2"/>
    <n v="2023"/>
    <s v="Fri"/>
    <n v="17"/>
  </r>
  <r>
    <s v="CMP-00400"/>
    <s v="Q3_Summer_CMP-00400"/>
    <d v="2023-10-31T00:00:00"/>
    <x v="3"/>
    <d v="2023-11-13T00:00:00"/>
    <x v="0"/>
    <n v="30592"/>
    <n v="586"/>
    <n v="77"/>
    <x v="0"/>
    <x v="289"/>
    <n v="1.9155334728033473E-2"/>
    <n v="0.85998293515358359"/>
    <n v="6.5448051948051944"/>
    <n v="3346.05"/>
    <n v="0.13139931740614336"/>
    <x v="0"/>
    <x v="0"/>
    <n v="2023"/>
    <s v="Tue"/>
    <n v="13"/>
  </r>
  <r>
    <s v="CMP-00401"/>
    <s v="Q2_Winter_CMP-00401"/>
    <d v="2023-11-11T00:00:00"/>
    <x v="0"/>
    <d v="2023-11-17T00:00:00"/>
    <x v="0"/>
    <n v="11647"/>
    <n v="224"/>
    <n v="14"/>
    <x v="0"/>
    <x v="290"/>
    <n v="1.9232420365759423E-2"/>
    <n v="1.5651785714285715"/>
    <n v="25.042857142857144"/>
    <n v="349.4"/>
    <n v="6.25E-2"/>
    <x v="0"/>
    <x v="2"/>
    <n v="2023"/>
    <s v="Sat"/>
    <n v="6"/>
  </r>
  <r>
    <s v="CMP-00402"/>
    <s v="Q3_Launch_CMP-00402"/>
    <d v="2023-12-04T00:00:00"/>
    <x v="2"/>
    <d v="2023-12-31T00:00:00"/>
    <x v="2"/>
    <n v="9716"/>
    <n v="182"/>
    <m/>
    <x v="0"/>
    <x v="0"/>
    <n v="1.8731988472622477E-2"/>
    <n v="1.8084203296703296"/>
    <n v="0"/>
    <n v="-329.13249999999999"/>
    <n v="0"/>
    <x v="2"/>
    <x v="1"/>
    <n v="2023"/>
    <s v="Mon"/>
    <n v="27"/>
  </r>
  <r>
    <s v="CMP-00403"/>
    <s v="Q2_Summer_CMP-00403"/>
    <d v="2023-01-16T00:00:00"/>
    <x v="11"/>
    <d v="2023-01-23T00:00:00"/>
    <x v="3"/>
    <n v="89891"/>
    <n v="1523"/>
    <n v="113"/>
    <x v="0"/>
    <x v="291"/>
    <n v="1.6942741765026532E-2"/>
    <n v="1.0121405121470781"/>
    <n v="13.641504424778761"/>
    <n v="4108.51"/>
    <n v="7.4195666447800387E-2"/>
    <x v="2"/>
    <x v="0"/>
    <n v="2023"/>
    <s v="Mon"/>
    <n v="7"/>
  </r>
  <r>
    <s v="CMP-00404"/>
    <s v="Q4_Launch_CMP-00404"/>
    <d v="2023-09-03T00:00:00"/>
    <x v="10"/>
    <d v="2023-09-28T00:00:00"/>
    <x v="3"/>
    <n v="88545"/>
    <n v="3207"/>
    <m/>
    <x v="0"/>
    <x v="10"/>
    <n v="3.6218871760121972E-2"/>
    <n v="1.1324477705020268"/>
    <n v="0"/>
    <n v="-3631.7599999999998"/>
    <n v="0"/>
    <x v="0"/>
    <x v="1"/>
    <n v="2023"/>
    <s v="Sun"/>
    <n v="25"/>
  </r>
  <r>
    <s v="CMP-00405"/>
    <s v="Q3_Summer_CMP-00405"/>
    <d v="2023-02-25T00:00:00"/>
    <x v="6"/>
    <d v="2023-03-17T00:00:00"/>
    <x v="2"/>
    <n v="90912"/>
    <n v="3992"/>
    <n v="418"/>
    <x v="0"/>
    <x v="10"/>
    <n v="4.391059486096445E-2"/>
    <n v="0.90975951903807606"/>
    <n v="8.688421052631579"/>
    <n v="17268.240000000002"/>
    <n v="0.10470941883767534"/>
    <x v="2"/>
    <x v="0"/>
    <n v="2023"/>
    <s v="Sat"/>
    <n v="20"/>
  </r>
  <r>
    <s v="CMP-00406"/>
    <s v="Q2_BlackFriday_CMP-00406"/>
    <d v="2023-02-07T00:00:00"/>
    <x v="6"/>
    <d v="2023-02-16T00:00:00"/>
    <x v="1"/>
    <n v="71316"/>
    <n v="2779"/>
    <n v="234"/>
    <x v="1"/>
    <x v="292"/>
    <n v="3.8967412642324305E-2"/>
    <n v="0.78409139978409492"/>
    <n v="9.3119230769230761"/>
    <n v="9521.01"/>
    <n v="8.4202950701691259E-2"/>
    <x v="2"/>
    <x v="3"/>
    <n v="2023"/>
    <s v="Tue"/>
    <n v="9"/>
  </r>
  <r>
    <s v="CMP-00407"/>
    <s v="Q1_Winter_CMP-00407"/>
    <d v="2023-03-17T00:00:00"/>
    <x v="5"/>
    <d v="2023-03-28T00:00:00"/>
    <x v="2"/>
    <n v="3368"/>
    <n v="140"/>
    <n v="11"/>
    <x v="1"/>
    <x v="0"/>
    <n v="4.1567695961995249E-2"/>
    <n v="2.3509464285714285"/>
    <n v="29.921136363636364"/>
    <n v="220.86750000000001"/>
    <n v="7.857142857142857E-2"/>
    <x v="1"/>
    <x v="2"/>
    <n v="2023"/>
    <s v="Fri"/>
    <n v="11"/>
  </r>
  <r>
    <s v="CMP-00408"/>
    <s v="Q1_BlackFriday_CMP-00408"/>
    <d v="2023-05-21T00:00:00"/>
    <x v="1"/>
    <d v="2023-05-28T00:00:00"/>
    <x v="1"/>
    <n v="78575"/>
    <n v="2058"/>
    <n v="119"/>
    <x v="1"/>
    <x v="293"/>
    <n v="2.6191536748329622E-2"/>
    <n v="0.5901457725947522"/>
    <n v="10.206050420168067"/>
    <n v="4735.4799999999996"/>
    <n v="5.7823129251700682E-2"/>
    <x v="1"/>
    <x v="3"/>
    <n v="2023"/>
    <s v="Sun"/>
    <n v="7"/>
  </r>
  <r>
    <s v="CMP-00409"/>
    <s v="Q4_Summer_CMP-00409"/>
    <d v="2023-12-31T00:00:00"/>
    <x v="2"/>
    <d v="2024-01-11T00:00:00"/>
    <x v="4"/>
    <n v="7655"/>
    <n v="276"/>
    <n v="14"/>
    <x v="0"/>
    <x v="294"/>
    <n v="3.6054866100587848E-2"/>
    <n v="1.8571376811594205"/>
    <n v="36.612142857142864"/>
    <n v="187.42999999999995"/>
    <n v="5.0724637681159424E-2"/>
    <x v="2"/>
    <x v="0"/>
    <n v="2023"/>
    <s v="Sun"/>
    <n v="11"/>
  </r>
  <r>
    <s v="CMP-00410"/>
    <s v="Q4_Winter_CMP-00410"/>
    <d v="2023-09-29T00:00:00"/>
    <x v="10"/>
    <d v="2023-10-28T00:00:00"/>
    <x v="2"/>
    <n v="71031"/>
    <n v="1716"/>
    <n v="112"/>
    <x v="0"/>
    <x v="295"/>
    <n v="2.415846602187777E-2"/>
    <n v="1.4712762237762238"/>
    <n v="22.542053571428571"/>
    <n v="3075.29"/>
    <n v="6.5268065268065265E-2"/>
    <x v="0"/>
    <x v="2"/>
    <n v="2023"/>
    <s v="Fri"/>
    <n v="29"/>
  </r>
  <r>
    <s v="CMP-00411"/>
    <s v="Q4_Summer_CMP-00411"/>
    <d v="2023-09-08T00:00:00"/>
    <x v="10"/>
    <d v="2023-10-08T00:00:00"/>
    <x v="2"/>
    <n v="77429"/>
    <n v="2401"/>
    <n v="182"/>
    <x v="1"/>
    <x v="296"/>
    <n v="3.100905345542368E-2"/>
    <n v="0.90956268221574355"/>
    <n v="11.99923076923077"/>
    <n v="6916.1399999999994"/>
    <n v="7.5801749271137031E-2"/>
    <x v="0"/>
    <x v="0"/>
    <n v="2023"/>
    <s v="Fri"/>
    <n v="30"/>
  </r>
  <r>
    <s v="CMP-00412"/>
    <s v="Q1_Summer_CMP-00412"/>
    <d v="2023-12-26T00:00:00"/>
    <x v="2"/>
    <d v="2024-01-08T00:00:00"/>
    <x v="3"/>
    <n v="92083"/>
    <n v="2694"/>
    <n v="308"/>
    <x v="0"/>
    <x v="297"/>
    <n v="2.9256214502133945E-2"/>
    <n v="0.76578693392724584"/>
    <n v="6.6981493506493512"/>
    <n v="13336.97"/>
    <n v="0.11432813659985153"/>
    <x v="2"/>
    <x v="0"/>
    <n v="2023"/>
    <s v="Tue"/>
    <n v="13"/>
  </r>
  <r>
    <s v="CMP-00413"/>
    <s v="Q3_Winter_CMP-00413"/>
    <d v="2023-10-10T00:00:00"/>
    <x v="3"/>
    <d v="2023-10-14T00:00:00"/>
    <x v="0"/>
    <n v="88922"/>
    <n v="1518"/>
    <m/>
    <x v="1"/>
    <x v="298"/>
    <n v="1.7071140999977509E-2"/>
    <n v="0.94140316205533592"/>
    <n v="0"/>
    <n v="-1429.05"/>
    <n v="0"/>
    <x v="0"/>
    <x v="2"/>
    <n v="2023"/>
    <s v="Tue"/>
    <n v="4"/>
  </r>
  <r>
    <s v="CMP-00414"/>
    <s v="Q2_Winter_CMP-00414"/>
    <d v="2023-08-20T00:00:00"/>
    <x v="7"/>
    <d v="2023-09-10T00:00:00"/>
    <x v="0"/>
    <n v="56766"/>
    <n v="1446"/>
    <n v="102"/>
    <x v="1"/>
    <x v="299"/>
    <n v="2.5472994398055174E-2"/>
    <n v="0.67219225449515907"/>
    <n v="9.5293137254901961"/>
    <n v="4128.01"/>
    <n v="7.0539419087136929E-2"/>
    <x v="3"/>
    <x v="2"/>
    <n v="2023"/>
    <s v="Sun"/>
    <n v="21"/>
  </r>
  <r>
    <s v="CMP-00415"/>
    <s v="Q1_Summer_CMP-00415"/>
    <d v="2023-08-21T00:00:00"/>
    <x v="7"/>
    <d v="2023-08-31T00:00:00"/>
    <x v="4"/>
    <n v="14403"/>
    <n v="699"/>
    <n v="79"/>
    <x v="0"/>
    <x v="300"/>
    <n v="4.8531555925848784E-2"/>
    <n v="1.9123032904148785"/>
    <n v="16.920253164556964"/>
    <n v="2613.3000000000002"/>
    <n v="0.11301859799713877"/>
    <x v="3"/>
    <x v="0"/>
    <n v="2023"/>
    <s v="Mon"/>
    <n v="10"/>
  </r>
  <r>
    <s v="CMP-00416"/>
    <s v="Q3_BlackFriday_CMP-00416"/>
    <d v="2023-06-10T00:00:00"/>
    <x v="9"/>
    <d v="2023-06-25T00:00:00"/>
    <x v="4"/>
    <n v="33097"/>
    <n v="660"/>
    <n v="66"/>
    <x v="0"/>
    <x v="301"/>
    <n v="1.9941384415505938E-2"/>
    <n v="1.6763030303030302"/>
    <n v="16.763030303030302"/>
    <n v="2193.6400000000003"/>
    <n v="0.1"/>
    <x v="3"/>
    <x v="3"/>
    <n v="2023"/>
    <s v="Sat"/>
    <n v="15"/>
  </r>
  <r>
    <s v="CMP-00417"/>
    <s v="Q4_Launch_CMP-00417"/>
    <d v="2023-07-11T00:00:00"/>
    <x v="8"/>
    <d v="2023-07-12T00:00:00"/>
    <x v="0"/>
    <n v="79657"/>
    <n v="1222"/>
    <n v="94"/>
    <x v="0"/>
    <x v="302"/>
    <n v="1.5340773566667085E-2"/>
    <n v="1.193584288052373"/>
    <n v="15.516595744680851"/>
    <n v="3241.44"/>
    <n v="7.6923076923076927E-2"/>
    <x v="3"/>
    <x v="1"/>
    <n v="2023"/>
    <s v="Tue"/>
    <n v="1"/>
  </r>
  <r>
    <s v="CMP-00418"/>
    <s v="Q3_BlackFriday_CMP-00418"/>
    <d v="2023-08-31T00:00:00"/>
    <x v="7"/>
    <d v="2023-09-15T00:00:00"/>
    <x v="1"/>
    <n v="11966"/>
    <n v="320"/>
    <n v="16"/>
    <x v="0"/>
    <x v="303"/>
    <n v="2.6742436904562929E-2"/>
    <n v="1.7974374999999998"/>
    <n v="35.948749999999997"/>
    <n v="224.82000000000005"/>
    <n v="0.05"/>
    <x v="3"/>
    <x v="3"/>
    <n v="2023"/>
    <s v="Thu"/>
    <n v="15"/>
  </r>
  <r>
    <s v="CMP-00419"/>
    <s v="Q4_BlackFriday_CMP-00419"/>
    <d v="2023-02-13T00:00:00"/>
    <x v="6"/>
    <d v="2023-03-05T00:00:00"/>
    <x v="4"/>
    <n v="94848"/>
    <n v="3946"/>
    <n v="473"/>
    <x v="1"/>
    <x v="304"/>
    <n v="4.1603407557354928E-2"/>
    <n v="0.87418651799290414"/>
    <n v="7.2928964059196613"/>
    <n v="20200.46"/>
    <n v="0.1198682209832742"/>
    <x v="2"/>
    <x v="3"/>
    <n v="2023"/>
    <s v="Mon"/>
    <n v="20"/>
  </r>
  <r>
    <s v="CMP-00420"/>
    <s v="Q3_Launch_CMP-00420"/>
    <d v="2023-02-19T00:00:00"/>
    <x v="6"/>
    <d v="2023-03-12T00:00:00"/>
    <x v="0"/>
    <n v="53921"/>
    <n v="1794"/>
    <n v="274"/>
    <x v="0"/>
    <x v="305"/>
    <n v="3.3270896311270191E-2"/>
    <n v="1.5756800445930881"/>
    <n v="10.316678832116787"/>
    <n v="10873.23"/>
    <n v="0.15273132664437011"/>
    <x v="2"/>
    <x v="1"/>
    <n v="2023"/>
    <s v="Sun"/>
    <n v="21"/>
  </r>
  <r>
    <s v="CMP-00421"/>
    <s v="Q1_BlackFriday_CMP-00421"/>
    <d v="2023-03-08T00:00:00"/>
    <x v="5"/>
    <d v="2023-03-30T00:00:00"/>
    <x v="4"/>
    <n v="50726"/>
    <n v="1888"/>
    <n v="158"/>
    <x v="1"/>
    <x v="306"/>
    <n v="3.7219571817214053E-2"/>
    <n v="1.7842002118644069"/>
    <n v="21.320063291139242"/>
    <n v="4531.43"/>
    <n v="8.3686440677966101E-2"/>
    <x v="1"/>
    <x v="3"/>
    <n v="2023"/>
    <s v="Wed"/>
    <n v="22"/>
  </r>
  <r>
    <s v="CMP-00422"/>
    <s v="Q3_BlackFriday_CMP-00422"/>
    <d v="2023-10-15T00:00:00"/>
    <x v="3"/>
    <d v="2023-11-01T00:00:00"/>
    <x v="0"/>
    <n v="51300"/>
    <n v="902"/>
    <n v="62"/>
    <x v="1"/>
    <x v="307"/>
    <n v="1.7582846003898634E-2"/>
    <n v="1.0351552106430155"/>
    <n v="15.05983870967742"/>
    <n v="2166.29"/>
    <n v="6.8736141906873618E-2"/>
    <x v="0"/>
    <x v="3"/>
    <n v="2023"/>
    <s v="Sun"/>
    <n v="17"/>
  </r>
  <r>
    <s v="CMP-00423"/>
    <s v="Q4_Summer_CMP-00423"/>
    <d v="2023-07-30T00:00:00"/>
    <x v="8"/>
    <d v="2023-08-24T00:00:00"/>
    <x v="3"/>
    <n v="23677"/>
    <n v="822"/>
    <m/>
    <x v="0"/>
    <x v="308"/>
    <n v="3.4717236136334838E-2"/>
    <n v="1.6361922141119223"/>
    <n v="0"/>
    <n v="-1344.95"/>
    <n v="0"/>
    <x v="3"/>
    <x v="0"/>
    <n v="2023"/>
    <s v="Sun"/>
    <n v="25"/>
  </r>
  <r>
    <s v="CMP-00424"/>
    <s v="Q3_Summer_CMP-00424"/>
    <d v="2023-08-05T00:00:00"/>
    <x v="7"/>
    <d v="2023-08-18T00:00:00"/>
    <x v="4"/>
    <n v="56609"/>
    <n v="1298"/>
    <n v="118"/>
    <x v="0"/>
    <x v="309"/>
    <n v="2.2929216202370647E-2"/>
    <n v="0.94261171032357471"/>
    <n v="10.368728813559322"/>
    <n v="4676.49"/>
    <n v="9.0909090909090912E-2"/>
    <x v="3"/>
    <x v="0"/>
    <n v="2023"/>
    <s v="Sat"/>
    <n v="13"/>
  </r>
  <r>
    <s v="CMP-00425"/>
    <s v="Q2_Launch_CMP-00425"/>
    <d v="2023-05-28T00:00:00"/>
    <x v="1"/>
    <d v="2023-06-04T00:00:00"/>
    <x v="1"/>
    <n v="97825"/>
    <n v="4242"/>
    <n v="354"/>
    <x v="0"/>
    <x v="10"/>
    <n v="4.336314847942755E-2"/>
    <n v="0.85614332861857612"/>
    <n v="10.259209039548022"/>
    <n v="14068.24"/>
    <n v="8.3451202263083446E-2"/>
    <x v="1"/>
    <x v="1"/>
    <n v="2023"/>
    <s v="Sun"/>
    <n v="7"/>
  </r>
  <r>
    <s v="CMP-00426"/>
    <s v="Q2_Winter_CMP-00426"/>
    <d v="2023-10-23T00:00:00"/>
    <x v="3"/>
    <d v="2023-10-29T00:00:00"/>
    <x v="4"/>
    <n v="57661"/>
    <n v="2028"/>
    <n v="362"/>
    <x v="1"/>
    <x v="310"/>
    <n v="3.517108617609823E-2"/>
    <n v="0.66058678500986201"/>
    <n v="3.7007458563535915"/>
    <n v="16760.330000000002"/>
    <n v="0.17850098619329388"/>
    <x v="0"/>
    <x v="2"/>
    <n v="2023"/>
    <s v="Mon"/>
    <n v="6"/>
  </r>
  <r>
    <s v="CMP-00427"/>
    <s v="Q3_Launch_CMP-00427"/>
    <d v="2023-09-04T00:00:00"/>
    <x v="10"/>
    <d v="2023-09-08T00:00:00"/>
    <x v="2"/>
    <n v="32024"/>
    <n v="574"/>
    <n v="99"/>
    <x v="0"/>
    <x v="311"/>
    <n v="1.7924056957282039E-2"/>
    <n v="1.1600871080139372"/>
    <n v="6.7261616161616162"/>
    <n v="4284.1099999999997"/>
    <n v="0.17247386759581881"/>
    <x v="0"/>
    <x v="1"/>
    <n v="2023"/>
    <s v="Mon"/>
    <n v="4"/>
  </r>
  <r>
    <s v="CMP-00428"/>
    <s v="Q1_Winter_CMP-00428"/>
    <d v="2023-10-12T00:00:00"/>
    <x v="3"/>
    <d v="2023-10-14T00:00:00"/>
    <x v="4"/>
    <n v="71313"/>
    <n v="897"/>
    <n v="105"/>
    <x v="1"/>
    <x v="312"/>
    <n v="1.2578351773168987E-2"/>
    <n v="1.5945707915273133"/>
    <n v="13.622190476190475"/>
    <n v="3819.67"/>
    <n v="0.11705685618729098"/>
    <x v="0"/>
    <x v="2"/>
    <n v="2023"/>
    <s v="Thu"/>
    <n v="2"/>
  </r>
  <r>
    <s v="CMP-00429"/>
    <s v="Q4_BlackFriday_CMP-00429"/>
    <d v="2023-10-21T00:00:00"/>
    <x v="3"/>
    <d v="2023-11-03T00:00:00"/>
    <x v="0"/>
    <n v="54006"/>
    <n v="632"/>
    <n v="77"/>
    <x v="1"/>
    <x v="313"/>
    <n v="1.1702403436655186E-2"/>
    <n v="1.9103322784810126"/>
    <n v="15.679610389610389"/>
    <n v="2642.67"/>
    <n v="0.12183544303797468"/>
    <x v="0"/>
    <x v="3"/>
    <n v="2023"/>
    <s v="Sat"/>
    <n v="13"/>
  </r>
  <r>
    <s v="CMP-00430"/>
    <s v="Q2_Summer_CMP-00430"/>
    <d v="2023-10-15T00:00:00"/>
    <x v="3"/>
    <d v="2023-11-10T00:00:00"/>
    <x v="1"/>
    <n v="96285"/>
    <n v="2393"/>
    <n v="197"/>
    <x v="0"/>
    <x v="314"/>
    <n v="2.4853300098665421E-2"/>
    <n v="1.4056957793564564"/>
    <n v="17.075279187817259"/>
    <n v="6486.17"/>
    <n v="8.2323443376514829E-2"/>
    <x v="0"/>
    <x v="0"/>
    <n v="2023"/>
    <s v="Sun"/>
    <n v="26"/>
  </r>
  <r>
    <s v="CMP-00431"/>
    <s v="Q2_Launch_CMP-00431"/>
    <d v="2023-11-11T00:00:00"/>
    <x v="0"/>
    <d v="2023-11-15T00:00:00"/>
    <x v="2"/>
    <n v="16338"/>
    <n v="337"/>
    <n v="20"/>
    <x v="0"/>
    <x v="315"/>
    <n v="2.0626759701309831E-2"/>
    <n v="1.7947181008902078"/>
    <n v="30.241000000000003"/>
    <n v="395.17999999999995"/>
    <n v="5.9347181008902079E-2"/>
    <x v="0"/>
    <x v="1"/>
    <n v="2023"/>
    <s v="Sat"/>
    <n v="4"/>
  </r>
  <r>
    <s v="CMP-00432"/>
    <s v="Q1_BlackFriday_CMP-00432"/>
    <d v="2023-11-08T00:00:00"/>
    <x v="0"/>
    <d v="2023-12-02T00:00:00"/>
    <x v="4"/>
    <n v="69027"/>
    <n v="2474"/>
    <n v="336"/>
    <x v="0"/>
    <x v="10"/>
    <n v="3.584104770597013E-2"/>
    <n v="1.4679708973322554"/>
    <n v="10.808809523809524"/>
    <n v="13168.24"/>
    <n v="0.13581244947453516"/>
    <x v="0"/>
    <x v="3"/>
    <n v="2023"/>
    <s v="Wed"/>
    <n v="24"/>
  </r>
  <r>
    <s v="CMP-00433"/>
    <s v="Q4_Winter_CMP-00433"/>
    <d v="2023-05-17T00:00:00"/>
    <x v="1"/>
    <d v="2023-06-16T00:00:00"/>
    <x v="1"/>
    <n v="93772"/>
    <n v="2810"/>
    <n v="181"/>
    <x v="0"/>
    <x v="316"/>
    <n v="2.9966301241308706E-2"/>
    <n v="0.76001423487544484"/>
    <n v="11.799116022099447"/>
    <n v="6914.3600000000006"/>
    <n v="6.4412811387900351E-2"/>
    <x v="1"/>
    <x v="2"/>
    <n v="2023"/>
    <s v="Wed"/>
    <n v="30"/>
  </r>
  <r>
    <s v="CMP-00434"/>
    <s v="Q3_BlackFriday_CMP-00434"/>
    <d v="2023-05-20T00:00:00"/>
    <x v="1"/>
    <d v="2023-06-17T00:00:00"/>
    <x v="0"/>
    <n v="81135"/>
    <n v="1674"/>
    <n v="196"/>
    <x v="0"/>
    <x v="317"/>
    <n v="2.0632279534109815E-2"/>
    <n v="1.2287275985663082"/>
    <n v="10.494336734693876"/>
    <n v="7743.1100000000006"/>
    <n v="0.11708482676224612"/>
    <x v="1"/>
    <x v="3"/>
    <n v="2023"/>
    <s v="Sat"/>
    <n v="28"/>
  </r>
  <r>
    <s v="CMP-00435"/>
    <s v="Q3_Launch_CMP-00435"/>
    <d v="2023-06-23T00:00:00"/>
    <x v="9"/>
    <d v="2023-06-30T00:00:00"/>
    <x v="3"/>
    <n v="20508"/>
    <n v="327"/>
    <n v="62"/>
    <x v="0"/>
    <x v="0"/>
    <n v="1.5944997074312465E-2"/>
    <n v="1.0065214067278287"/>
    <n v="5.3085887096774194"/>
    <n v="2770.8674999999998"/>
    <n v="0.18960244648318042"/>
    <x v="3"/>
    <x v="1"/>
    <n v="2023"/>
    <s v="Fri"/>
    <n v="7"/>
  </r>
  <r>
    <s v="CMP-00436"/>
    <s v="Q4_BlackFriday_CMP-00436"/>
    <d v="2023-03-15T00:00:00"/>
    <x v="5"/>
    <d v="2023-03-22T00:00:00"/>
    <x v="1"/>
    <n v="4051"/>
    <n v="61"/>
    <n v="11"/>
    <x v="0"/>
    <x v="0"/>
    <n v="1.5058010367810418E-2"/>
    <n v="5.3956147540983608"/>
    <n v="29.921136363636364"/>
    <n v="220.86750000000001"/>
    <n v="0.18032786885245902"/>
    <x v="1"/>
    <x v="3"/>
    <n v="2023"/>
    <s v="Wed"/>
    <n v="7"/>
  </r>
  <r>
    <s v="CMP-00437"/>
    <s v="Q3_Winter_CMP-00437"/>
    <d v="2023-03-14T00:00:00"/>
    <x v="5"/>
    <d v="2023-04-08T00:00:00"/>
    <x v="0"/>
    <n v="49747"/>
    <n v="2218"/>
    <n v="190"/>
    <x v="0"/>
    <x v="10"/>
    <n v="4.4585603151948865E-2"/>
    <n v="1.6374030658250676"/>
    <n v="19.114526315789472"/>
    <n v="5868.24"/>
    <n v="8.5662759242560865E-2"/>
    <x v="1"/>
    <x v="2"/>
    <n v="2023"/>
    <s v="Tue"/>
    <n v="25"/>
  </r>
  <r>
    <s v="CMP-00438"/>
    <s v="Q1_BlackFriday_CMP-00438"/>
    <d v="2023-02-16T00:00:00"/>
    <x v="6"/>
    <d v="2023-03-07T00:00:00"/>
    <x v="0"/>
    <n v="88142"/>
    <n v="1739"/>
    <n v="249"/>
    <x v="0"/>
    <x v="318"/>
    <n v="1.9729527353588527E-2"/>
    <n v="0.70563542265669921"/>
    <n v="4.9281124497991966"/>
    <n v="11222.9"/>
    <n v="0.14318573893041978"/>
    <x v="2"/>
    <x v="3"/>
    <n v="2023"/>
    <s v="Thu"/>
    <n v="19"/>
  </r>
  <r>
    <s v="CMP-00439"/>
    <s v="Q1_Launch_CMP-00439"/>
    <d v="2023-08-03T00:00:00"/>
    <x v="7"/>
    <d v="2023-08-27T00:00:00"/>
    <x v="4"/>
    <n v="88235"/>
    <n v="3182"/>
    <n v="385"/>
    <x v="0"/>
    <x v="10"/>
    <n v="3.6062786875956251E-2"/>
    <n v="1.1413450659962288"/>
    <n v="9.4331428571428564"/>
    <n v="15618.24"/>
    <n v="0.12099308610936518"/>
    <x v="3"/>
    <x v="1"/>
    <n v="2023"/>
    <s v="Thu"/>
    <n v="24"/>
  </r>
  <r>
    <s v="CMP-00440"/>
    <s v="Q4_BlackFriday_CMP-00440"/>
    <d v="2023-06-09T00:00:00"/>
    <x v="9"/>
    <d v="2023-07-03T00:00:00"/>
    <x v="1"/>
    <n v="55021"/>
    <n v="2334"/>
    <n v="423"/>
    <x v="1"/>
    <x v="319"/>
    <n v="4.2420166845386305E-2"/>
    <n v="1.4483590402742073"/>
    <n v="7.9916548463356971"/>
    <n v="17769.53"/>
    <n v="0.18123393316195371"/>
    <x v="3"/>
    <x v="3"/>
    <n v="2023"/>
    <s v="Fri"/>
    <n v="24"/>
  </r>
  <r>
    <s v="CMP-00441"/>
    <s v="Q3_Summer_CMP-00441"/>
    <d v="2023-10-18T00:00:00"/>
    <x v="3"/>
    <d v="2023-10-28T00:00:00"/>
    <x v="3"/>
    <n v="67412"/>
    <n v="2329"/>
    <n v="211"/>
    <x v="0"/>
    <x v="320"/>
    <n v="3.454874503055836E-2"/>
    <n v="1.375405753542293"/>
    <n v="15.181611374407584"/>
    <n v="7346.68"/>
    <n v="9.0596822670674107E-2"/>
    <x v="0"/>
    <x v="0"/>
    <n v="2023"/>
    <s v="Wed"/>
    <n v="10"/>
  </r>
  <r>
    <s v="CMP-00442"/>
    <s v="Q1_Launch_CMP-00442"/>
    <d v="2023-03-21T00:00:00"/>
    <x v="5"/>
    <d v="2023-04-17T00:00:00"/>
    <x v="2"/>
    <n v="59335"/>
    <n v="2633"/>
    <n v="133"/>
    <x v="0"/>
    <x v="321"/>
    <n v="4.4375158001179742E-2"/>
    <n v="1.0851804025826055"/>
    <n v="21.483308270676694"/>
    <n v="3792.72"/>
    <n v="5.0512723129510065E-2"/>
    <x v="1"/>
    <x v="1"/>
    <n v="2023"/>
    <s v="Tue"/>
    <n v="27"/>
  </r>
  <r>
    <s v="CMP-00443"/>
    <s v="Q2_Launch_CMP-00443"/>
    <d v="2023-12-12T00:00:00"/>
    <x v="2"/>
    <d v="2024-01-04T00:00:00"/>
    <x v="2"/>
    <n v="57179"/>
    <n v="1469"/>
    <n v="109"/>
    <x v="0"/>
    <x v="322"/>
    <n v="2.5691250284195246E-2"/>
    <n v="1.0326957113682778"/>
    <n v="13.917706422018348"/>
    <n v="3932.9700000000003"/>
    <n v="7.4200136147038798E-2"/>
    <x v="2"/>
    <x v="1"/>
    <n v="2023"/>
    <s v="Tue"/>
    <n v="23"/>
  </r>
  <r>
    <s v="CMP-00444"/>
    <s v="Q2_BlackFriday_CMP-00444"/>
    <d v="2023-08-15T00:00:00"/>
    <x v="7"/>
    <d v="2023-09-06T00:00:00"/>
    <x v="4"/>
    <n v="33093"/>
    <n v="1596"/>
    <n v="163"/>
    <x v="0"/>
    <x v="323"/>
    <n v="4.822772187471671E-2"/>
    <n v="0.56787593984962403"/>
    <n v="5.5603067484662576"/>
    <n v="7243.67"/>
    <n v="0.10213032581453634"/>
    <x v="3"/>
    <x v="3"/>
    <n v="2023"/>
    <s v="Tue"/>
    <n v="22"/>
  </r>
  <r>
    <s v="CMP-00445"/>
    <s v="Q2_BlackFriday_CMP-00445"/>
    <d v="2023-08-15T00:00:00"/>
    <x v="7"/>
    <d v="2023-08-22T00:00:00"/>
    <x v="4"/>
    <n v="70678"/>
    <n v="1083"/>
    <n v="105"/>
    <x v="0"/>
    <x v="324"/>
    <n v="1.5323014233566315E-2"/>
    <n v="0.82686057248384115"/>
    <n v="8.5284761904761908"/>
    <n v="4354.51"/>
    <n v="9.6952908587257622E-2"/>
    <x v="3"/>
    <x v="3"/>
    <n v="2023"/>
    <s v="Tue"/>
    <n v="7"/>
  </r>
  <r>
    <s v="CMP-00446"/>
    <s v="Q4_BlackFriday_CMP-00446"/>
    <d v="2023-09-20T00:00:00"/>
    <x v="10"/>
    <d v="2023-10-19T00:00:00"/>
    <x v="4"/>
    <n v="81738"/>
    <n v="1151"/>
    <n v="194"/>
    <x v="0"/>
    <x v="325"/>
    <n v="1.4081577723947246E-2"/>
    <n v="0.52276281494352739"/>
    <n v="3.1015463917525774"/>
    <n v="9098.2999999999993"/>
    <n v="0.16854908774978281"/>
    <x v="0"/>
    <x v="3"/>
    <n v="2023"/>
    <s v="Wed"/>
    <n v="29"/>
  </r>
  <r>
    <s v="CMP-00447"/>
    <s v="Q1_BlackFriday_CMP-00447"/>
    <d v="2023-05-26T00:00:00"/>
    <x v="1"/>
    <d v="2023-06-14T00:00:00"/>
    <x v="2"/>
    <n v="40734"/>
    <n v="1480"/>
    <n v="225"/>
    <x v="0"/>
    <x v="326"/>
    <n v="3.6333284234300586E-2"/>
    <n v="1.3721283783783784"/>
    <n v="9.025555555555556"/>
    <n v="9219.25"/>
    <n v="0.15202702702702703"/>
    <x v="1"/>
    <x v="3"/>
    <n v="2023"/>
    <s v="Fri"/>
    <n v="19"/>
  </r>
  <r>
    <s v="CMP-00448"/>
    <s v="Q1_Launch_CMP-00448"/>
    <d v="2023-09-27T00:00:00"/>
    <x v="10"/>
    <d v="2023-10-24T00:00:00"/>
    <x v="2"/>
    <n v="73615"/>
    <n v="3512"/>
    <m/>
    <x v="0"/>
    <x v="327"/>
    <n v="4.7707668274128916E-2"/>
    <n v="0.65877847380410026"/>
    <n v="0"/>
    <n v="-2313.63"/>
    <n v="0"/>
    <x v="0"/>
    <x v="1"/>
    <n v="2023"/>
    <s v="Wed"/>
    <n v="27"/>
  </r>
  <r>
    <s v="CMP-00449"/>
    <s v="Q1_Winter_CMP-00449"/>
    <d v="2023-07-22T00:00:00"/>
    <x v="8"/>
    <d v="2023-08-01T00:00:00"/>
    <x v="2"/>
    <n v="74523"/>
    <n v="3156"/>
    <n v="374"/>
    <x v="1"/>
    <x v="10"/>
    <n v="4.2349341813936639E-2"/>
    <n v="1.1507477820025347"/>
    <n v="9.7105882352941162"/>
    <n v="15068.24"/>
    <n v="0.1185044359949303"/>
    <x v="3"/>
    <x v="2"/>
    <n v="2023"/>
    <s v="Sat"/>
    <n v="10"/>
  </r>
  <r>
    <s v="CMP-00450"/>
    <s v="Q3_Summer_CMP-00450"/>
    <d v="2023-04-15T00:00:00"/>
    <x v="4"/>
    <d v="2023-04-27T00:00:00"/>
    <x v="0"/>
    <n v="95476"/>
    <n v="1246"/>
    <n v="80"/>
    <x v="0"/>
    <x v="328"/>
    <n v="1.305040010054883E-2"/>
    <n v="1.2847110754414126"/>
    <n v="20.009374999999999"/>
    <n v="2399.25"/>
    <n v="6.4205457463884424E-2"/>
    <x v="1"/>
    <x v="0"/>
    <n v="2023"/>
    <s v="Sat"/>
    <n v="12"/>
  </r>
  <r>
    <s v="CMP-00451"/>
    <s v="Q1_Launch_CMP-00451"/>
    <d v="2023-03-12T00:00:00"/>
    <x v="5"/>
    <d v="2023-03-27T00:00:00"/>
    <x v="0"/>
    <n v="18019"/>
    <n v="381"/>
    <n v="70"/>
    <x v="0"/>
    <x v="329"/>
    <n v="2.1144347633053999E-2"/>
    <n v="1.5495275590551181"/>
    <n v="8.4338571428571427"/>
    <n v="2909.63"/>
    <n v="0.18372703412073491"/>
    <x v="1"/>
    <x v="1"/>
    <n v="2023"/>
    <s v="Sun"/>
    <n v="15"/>
  </r>
  <r>
    <s v="CMP-00452"/>
    <s v="Q3_Summer_CMP-00452"/>
    <d v="2023-03-03T00:00:00"/>
    <x v="5"/>
    <d v="2023-03-05T00:00:00"/>
    <x v="3"/>
    <n v="84613"/>
    <n v="3994"/>
    <n v="760"/>
    <x v="0"/>
    <x v="10"/>
    <n v="4.7203148452365479E-2"/>
    <n v="0.90930395593390079"/>
    <n v="4.7786315789473681"/>
    <n v="34368.239999999998"/>
    <n v="0.19028542814221333"/>
    <x v="1"/>
    <x v="0"/>
    <n v="2023"/>
    <s v="Fri"/>
    <n v="2"/>
  </r>
  <r>
    <s v="CMP-00453"/>
    <s v="Q4_BlackFriday_CMP-00453"/>
    <d v="2023-08-09T00:00:00"/>
    <x v="7"/>
    <d v="2023-08-30T00:00:00"/>
    <x v="3"/>
    <n v="92794"/>
    <n v="1867"/>
    <n v="367"/>
    <x v="0"/>
    <x v="330"/>
    <n v="2.0119835334181088E-2"/>
    <n v="1.3408677021960365"/>
    <n v="6.8212534059945504"/>
    <n v="15846.6"/>
    <n v="0.19657204070701662"/>
    <x v="3"/>
    <x v="3"/>
    <n v="2023"/>
    <s v="Wed"/>
    <n v="21"/>
  </r>
  <r>
    <s v="CMP-00454"/>
    <s v="Q1_Summer_CMP-00454"/>
    <d v="2023-12-27T00:00:00"/>
    <x v="2"/>
    <d v="2024-01-17T00:00:00"/>
    <x v="2"/>
    <n v="87672"/>
    <n v="3616"/>
    <n v="651"/>
    <x v="0"/>
    <x v="10"/>
    <n v="4.1244639109407795E-2"/>
    <n v="1.0043584070796459"/>
    <n v="5.57874039938556"/>
    <n v="28918.240000000002"/>
    <n v="0.18003318584070796"/>
    <x v="2"/>
    <x v="0"/>
    <n v="2023"/>
    <s v="Wed"/>
    <n v="21"/>
  </r>
  <r>
    <s v="CMP-00455"/>
    <s v="Q3_Winter_CMP-00455"/>
    <d v="2023-12-09T00:00:00"/>
    <x v="2"/>
    <d v="2024-01-08T00:00:00"/>
    <x v="2"/>
    <n v="74847"/>
    <n v="3218"/>
    <n v="244"/>
    <x v="1"/>
    <x v="331"/>
    <n v="4.2994375192058468E-2"/>
    <n v="0.62410192666252329"/>
    <n v="8.2309836065573769"/>
    <n v="10191.64"/>
    <n v="7.5823492852703539E-2"/>
    <x v="2"/>
    <x v="2"/>
    <n v="2023"/>
    <s v="Sat"/>
    <n v="30"/>
  </r>
  <r>
    <s v="CMP-00456"/>
    <s v="Q3_BlackFriday_CMP-00456"/>
    <d v="2023-01-22T00:00:00"/>
    <x v="11"/>
    <d v="2023-02-10T00:00:00"/>
    <x v="2"/>
    <n v="83750"/>
    <n v="2497"/>
    <n v="142"/>
    <x v="0"/>
    <x v="332"/>
    <n v="2.9814925373134328E-2"/>
    <n v="0.88090508610332396"/>
    <n v="15.490281690140844"/>
    <n v="4900.38"/>
    <n v="5.6868241890268324E-2"/>
    <x v="2"/>
    <x v="3"/>
    <n v="2023"/>
    <s v="Sun"/>
    <n v="19"/>
  </r>
  <r>
    <s v="CMP-00457"/>
    <s v="Q2_Summer_CMP-00457"/>
    <d v="2023-02-09T00:00:00"/>
    <x v="6"/>
    <d v="2023-03-10T00:00:00"/>
    <x v="1"/>
    <n v="80634"/>
    <n v="2052"/>
    <n v="280"/>
    <x v="1"/>
    <x v="333"/>
    <n v="2.5448322047771411E-2"/>
    <n v="1.6699805068226121"/>
    <n v="12.238571428571429"/>
    <n v="10573.2"/>
    <n v="0.1364522417153996"/>
    <x v="2"/>
    <x v="0"/>
    <n v="2023"/>
    <s v="Thu"/>
    <n v="29"/>
  </r>
  <r>
    <s v="CMP-00458"/>
    <s v="Q3_Winter_CMP-00458"/>
    <d v="2023-10-21T00:00:00"/>
    <x v="3"/>
    <d v="2023-11-19T00:00:00"/>
    <x v="1"/>
    <n v="29251"/>
    <n v="819"/>
    <n v="153"/>
    <x v="0"/>
    <x v="334"/>
    <n v="2.7999042767768625E-2"/>
    <n v="0.64810744810744803"/>
    <n v="3.4692810457516337"/>
    <n v="7119.2"/>
    <n v="0.18681318681318682"/>
    <x v="0"/>
    <x v="2"/>
    <n v="2023"/>
    <s v="Sat"/>
    <n v="29"/>
  </r>
  <r>
    <s v="CMP-00459"/>
    <s v="Q2_Launch_CMP-00459"/>
    <d v="2023-05-29T00:00:00"/>
    <x v="1"/>
    <d v="2023-06-25T00:00:00"/>
    <x v="3"/>
    <n v="26945"/>
    <n v="514"/>
    <n v="39"/>
    <x v="0"/>
    <x v="0"/>
    <n v="1.9075895342364074E-2"/>
    <n v="0.64033560311284043"/>
    <n v="8.4392948717948713"/>
    <n v="1620.8675000000001"/>
    <n v="7.5875486381322951E-2"/>
    <x v="1"/>
    <x v="1"/>
    <n v="2023"/>
    <s v="Mon"/>
    <n v="27"/>
  </r>
  <r>
    <s v="CMP-00460"/>
    <s v="Q1_BlackFriday_CMP-00460"/>
    <d v="2023-06-16T00:00:00"/>
    <x v="9"/>
    <d v="2023-06-25T00:00:00"/>
    <x v="0"/>
    <n v="91852"/>
    <n v="4186"/>
    <m/>
    <x v="1"/>
    <x v="10"/>
    <n v="4.5573313591429694E-2"/>
    <n v="0.86759675107501188"/>
    <n v="0"/>
    <n v="-3631.7599999999998"/>
    <n v="0"/>
    <x v="3"/>
    <x v="3"/>
    <n v="2023"/>
    <s v="Fri"/>
    <n v="9"/>
  </r>
  <r>
    <s v="CMP-00461"/>
    <s v="Q2_Summer_CMP-00461"/>
    <d v="2023-08-24T00:00:00"/>
    <x v="7"/>
    <d v="2023-08-31T00:00:00"/>
    <x v="0"/>
    <n v="33217"/>
    <n v="930"/>
    <n v="158"/>
    <x v="0"/>
    <x v="335"/>
    <n v="2.7997712014932112E-2"/>
    <n v="0.63824731182795702"/>
    <n v="3.7567721518987347"/>
    <n v="7306.43"/>
    <n v="0.16989247311827957"/>
    <x v="3"/>
    <x v="0"/>
    <n v="2023"/>
    <s v="Thu"/>
    <n v="7"/>
  </r>
  <r>
    <s v="CMP-00462"/>
    <s v="Q4_BlackFriday_CMP-00462"/>
    <d v="2023-02-15T00:00:00"/>
    <x v="6"/>
    <d v="2023-03-04T00:00:00"/>
    <x v="0"/>
    <n v="9308"/>
    <n v="421"/>
    <n v="25"/>
    <x v="1"/>
    <x v="336"/>
    <n v="4.5229909755049418E-2"/>
    <n v="1.3776247030878861"/>
    <n v="23.199200000000001"/>
    <n v="670.02"/>
    <n v="5.9382422802850353E-2"/>
    <x v="2"/>
    <x v="3"/>
    <n v="2023"/>
    <s v="Wed"/>
    <n v="17"/>
  </r>
  <r>
    <s v="CMP-00463"/>
    <s v="Q2_Launch_CMP-00463"/>
    <d v="2023-08-12T00:00:00"/>
    <x v="7"/>
    <d v="2023-08-13T00:00:00"/>
    <x v="2"/>
    <n v="6949"/>
    <n v="98"/>
    <n v="10"/>
    <x v="0"/>
    <x v="0"/>
    <n v="1.4102748596920419E-2"/>
    <n v="3.3584948979591838"/>
    <n v="32.913249999999998"/>
    <n v="170.86750000000001"/>
    <n v="0.10204081632653061"/>
    <x v="3"/>
    <x v="1"/>
    <n v="2023"/>
    <s v="Sat"/>
    <n v="1"/>
  </r>
  <r>
    <s v="CMP-00464"/>
    <s v="Q4_Launch_CMP-00464"/>
    <d v="2023-07-22T00:00:00"/>
    <x v="8"/>
    <d v="2023-08-01T00:00:00"/>
    <x v="4"/>
    <n v="52990"/>
    <n v="2624"/>
    <n v="398"/>
    <x v="0"/>
    <x v="10"/>
    <n v="4.9518777127759955E-2"/>
    <n v="1.3840548780487805"/>
    <n v="9.1250251256281398"/>
    <n v="16268.24"/>
    <n v="0.15167682926829268"/>
    <x v="3"/>
    <x v="1"/>
    <n v="2023"/>
    <s v="Sat"/>
    <n v="10"/>
  </r>
  <r>
    <s v="CMP-00465"/>
    <s v="Q1_BlackFriday_CMP-00465"/>
    <d v="2023-04-24T00:00:00"/>
    <x v="4"/>
    <d v="2023-04-25T00:00:00"/>
    <x v="4"/>
    <n v="2150"/>
    <n v="59"/>
    <n v="5"/>
    <x v="1"/>
    <x v="0"/>
    <n v="2.7441860465116281E-2"/>
    <n v="5.5785169491525419"/>
    <n v="65.826499999999996"/>
    <n v="-79.132499999999993"/>
    <n v="8.4745762711864403E-2"/>
    <x v="1"/>
    <x v="3"/>
    <n v="2023"/>
    <s v="Mon"/>
    <n v="1"/>
  </r>
  <r>
    <s v="CMP-00466"/>
    <s v="Q3_BlackFriday_CMP-00466"/>
    <d v="2023-09-19T00:00:00"/>
    <x v="10"/>
    <d v="2023-09-26T00:00:00"/>
    <x v="1"/>
    <n v="90480"/>
    <n v="1077"/>
    <n v="67"/>
    <x v="0"/>
    <x v="337"/>
    <n v="1.1903183023872679E-2"/>
    <n v="1.5495543175487465"/>
    <n v="24.908507462686565"/>
    <n v="1681.13"/>
    <n v="6.2209842154131847E-2"/>
    <x v="0"/>
    <x v="3"/>
    <n v="2023"/>
    <s v="Tue"/>
    <n v="7"/>
  </r>
  <r>
    <s v="CMP-00467"/>
    <s v="Q2_Launch_CMP-00467"/>
    <d v="2023-04-10T00:00:00"/>
    <x v="4"/>
    <d v="2023-05-10T00:00:00"/>
    <x v="1"/>
    <n v="75740"/>
    <n v="872"/>
    <n v="144"/>
    <x v="0"/>
    <x v="338"/>
    <n v="1.1513071032479534E-2"/>
    <n v="1.4254128440366973"/>
    <n v="8.6316666666666677"/>
    <n v="5957.04"/>
    <n v="0.16513761467889909"/>
    <x v="1"/>
    <x v="1"/>
    <n v="2023"/>
    <s v="Mon"/>
    <n v="30"/>
  </r>
  <r>
    <s v="CMP-00468"/>
    <s v="Q3_Winter_CMP-00468"/>
    <d v="2023-11-27T00:00:00"/>
    <x v="0"/>
    <d v="2023-12-03T00:00:00"/>
    <x v="4"/>
    <n v="67617"/>
    <n v="2694"/>
    <n v="389"/>
    <x v="1"/>
    <x v="10"/>
    <n v="3.9842051555082303E-2"/>
    <n v="1.3480920564216776"/>
    <n v="9.3361439588688935"/>
    <n v="15818.24"/>
    <n v="0.14439495174461767"/>
    <x v="0"/>
    <x v="2"/>
    <n v="2023"/>
    <s v="Mon"/>
    <n v="6"/>
  </r>
  <r>
    <s v="CMP-00469"/>
    <s v="Q2_BlackFriday_CMP-00469"/>
    <d v="2023-03-16T00:00:00"/>
    <x v="5"/>
    <d v="2023-04-13T00:00:00"/>
    <x v="3"/>
    <n v="95841"/>
    <n v="3484"/>
    <n v="690"/>
    <x v="0"/>
    <x v="339"/>
    <n v="3.6351874458738956E-2"/>
    <n v="0.83459242250287025"/>
    <n v="4.2140869565217391"/>
    <n v="31592.28"/>
    <n v="0.19804822043628015"/>
    <x v="1"/>
    <x v="3"/>
    <n v="2023"/>
    <s v="Thu"/>
    <n v="28"/>
  </r>
  <r>
    <s v="CMP-00470"/>
    <s v="Q2_Launch_CMP-00470"/>
    <d v="2023-03-20T00:00:00"/>
    <x v="5"/>
    <d v="2023-03-31T00:00:00"/>
    <x v="0"/>
    <n v="17896"/>
    <n v="753"/>
    <n v="76"/>
    <x v="1"/>
    <x v="340"/>
    <n v="4.2076441662941437E-2"/>
    <n v="1.8096679946879151"/>
    <n v="17.93"/>
    <n v="2437.3199999999997"/>
    <n v="0.10092961487383798"/>
    <x v="1"/>
    <x v="1"/>
    <n v="2023"/>
    <s v="Mon"/>
    <n v="11"/>
  </r>
  <r>
    <s v="CMP-00471"/>
    <s v="Q2_BlackFriday_CMP-00471"/>
    <d v="2023-04-01T00:00:00"/>
    <x v="4"/>
    <d v="2023-04-08T00:00:00"/>
    <x v="1"/>
    <n v="47175"/>
    <n v="670"/>
    <n v="39"/>
    <x v="0"/>
    <x v="341"/>
    <n v="1.4202437731849496E-2"/>
    <n v="1.6842388059701494"/>
    <n v="28.934358974358975"/>
    <n v="821.56"/>
    <n v="5.8208955223880594E-2"/>
    <x v="1"/>
    <x v="3"/>
    <n v="2023"/>
    <s v="Sat"/>
    <n v="7"/>
  </r>
  <r>
    <s v="CMP-00472"/>
    <s v="Q3_Summer_CMP-00472"/>
    <d v="2023-08-26T00:00:00"/>
    <x v="7"/>
    <d v="2023-09-11T00:00:00"/>
    <x v="0"/>
    <n v="8805"/>
    <n v="100"/>
    <n v="16"/>
    <x v="1"/>
    <x v="0"/>
    <n v="1.1357183418512209E-2"/>
    <n v="3.2913250000000001"/>
    <n v="20.57078125"/>
    <n v="470.86750000000001"/>
    <n v="0.16"/>
    <x v="3"/>
    <x v="0"/>
    <n v="2023"/>
    <s v="Sat"/>
    <n v="16"/>
  </r>
  <r>
    <s v="CMP-00473"/>
    <s v="Q3_Launch_CMP-00473"/>
    <d v="2023-08-18T00:00:00"/>
    <x v="7"/>
    <d v="2023-09-11T00:00:00"/>
    <x v="1"/>
    <n v="6237"/>
    <n v="189"/>
    <n v="24"/>
    <x v="0"/>
    <x v="0"/>
    <n v="3.0303030303030304E-2"/>
    <n v="1.741441798941799"/>
    <n v="13.713854166666666"/>
    <n v="870.86750000000006"/>
    <n v="0.12698412698412698"/>
    <x v="3"/>
    <x v="1"/>
    <n v="2023"/>
    <s v="Fri"/>
    <n v="24"/>
  </r>
  <r>
    <s v="CMP-00474"/>
    <s v="Q2_Launch_CMP-00474"/>
    <d v="2023-11-26T00:00:00"/>
    <x v="0"/>
    <d v="2023-12-09T00:00:00"/>
    <x v="1"/>
    <n v="21056"/>
    <n v="537"/>
    <n v="44"/>
    <x v="1"/>
    <x v="342"/>
    <n v="2.5503419452887539E-2"/>
    <n v="0.86936685288640603"/>
    <n v="10.610227272727274"/>
    <n v="1733.15"/>
    <n v="8.1936685288640593E-2"/>
    <x v="0"/>
    <x v="1"/>
    <n v="2023"/>
    <s v="Sun"/>
    <n v="13"/>
  </r>
  <r>
    <s v="CMP-00475"/>
    <s v="Q4_Summer_CMP-00475"/>
    <d v="2023-11-18T00:00:00"/>
    <x v="0"/>
    <d v="2023-12-12T00:00:00"/>
    <x v="2"/>
    <n v="46543"/>
    <n v="1325"/>
    <n v="221"/>
    <x v="1"/>
    <x v="343"/>
    <n v="2.8468298132909353E-2"/>
    <n v="1.135320754716981"/>
    <n v="6.8067873303167419"/>
    <n v="9545.7000000000007"/>
    <n v="0.16679245283018868"/>
    <x v="0"/>
    <x v="0"/>
    <n v="2023"/>
    <s v="Sat"/>
    <n v="24"/>
  </r>
  <r>
    <s v="CMP-00476"/>
    <s v="Q2_Launch_CMP-00476"/>
    <d v="2023-08-29T00:00:00"/>
    <x v="7"/>
    <d v="2023-09-09T00:00:00"/>
    <x v="0"/>
    <n v="57556"/>
    <n v="2858"/>
    <n v="230"/>
    <x v="0"/>
    <x v="10"/>
    <n v="4.9655987212453956E-2"/>
    <n v="1.2707347795661301"/>
    <n v="15.790260869565216"/>
    <n v="7868.24"/>
    <n v="8.0475857242827145E-2"/>
    <x v="3"/>
    <x v="1"/>
    <n v="2023"/>
    <s v="Tue"/>
    <n v="11"/>
  </r>
  <r>
    <s v="CMP-00477"/>
    <s v="Q3_BlackFriday_CMP-00477"/>
    <d v="2023-05-21T00:00:00"/>
    <x v="1"/>
    <d v="2023-06-05T00:00:00"/>
    <x v="4"/>
    <n v="4343"/>
    <n v="212"/>
    <m/>
    <x v="1"/>
    <x v="0"/>
    <n v="4.881418374395579E-2"/>
    <n v="1.5525117924528302"/>
    <n v="0"/>
    <n v="-329.13249999999999"/>
    <n v="0"/>
    <x v="1"/>
    <x v="3"/>
    <n v="2023"/>
    <s v="Sun"/>
    <n v="15"/>
  </r>
  <r>
    <s v="CMP-00478"/>
    <s v="Q4_BlackFriday_CMP-00478"/>
    <d v="2023-02-07T00:00:00"/>
    <x v="6"/>
    <d v="2023-02-20T00:00:00"/>
    <x v="4"/>
    <n v="14500"/>
    <n v="691"/>
    <n v="44"/>
    <x v="0"/>
    <x v="344"/>
    <n v="4.7655172413793107E-2"/>
    <n v="1.6730824891461649"/>
    <n v="26.274999999999999"/>
    <n v="1043.9000000000001"/>
    <n v="6.3675832127351659E-2"/>
    <x v="2"/>
    <x v="3"/>
    <n v="2023"/>
    <s v="Tue"/>
    <n v="13"/>
  </r>
  <r>
    <s v="CMP-00479"/>
    <s v="Q4_Launch_CMP-00479"/>
    <d v="2023-01-30T00:00:00"/>
    <x v="11"/>
    <d v="2023-02-19T00:00:00"/>
    <x v="4"/>
    <n v="54222"/>
    <n v="2242"/>
    <n v="246"/>
    <x v="1"/>
    <x v="345"/>
    <n v="4.1348530116926706E-2"/>
    <n v="0.86010704727921494"/>
    <n v="7.8388617886178862"/>
    <n v="10371.64"/>
    <n v="0.10972346119536129"/>
    <x v="2"/>
    <x v="1"/>
    <n v="2023"/>
    <s v="Mon"/>
    <n v="20"/>
  </r>
  <r>
    <s v="CMP-00480"/>
    <s v="Q4_Launch_CMP-00480"/>
    <d v="2023-11-27T00:00:00"/>
    <x v="0"/>
    <d v="2023-12-22T00:00:00"/>
    <x v="2"/>
    <n v="30375"/>
    <n v="734"/>
    <n v="82"/>
    <x v="1"/>
    <x v="346"/>
    <n v="2.4164609053497942E-2"/>
    <n v="0.71645776566757491"/>
    <n v="6.413170731707317"/>
    <n v="3574.12"/>
    <n v="0.11171662125340599"/>
    <x v="0"/>
    <x v="1"/>
    <n v="2023"/>
    <s v="Mon"/>
    <n v="25"/>
  </r>
  <r>
    <s v="CMP-00481"/>
    <s v="Q4_Summer_CMP-00481"/>
    <d v="2023-11-11T00:00:00"/>
    <x v="0"/>
    <d v="2023-11-17T00:00:00"/>
    <x v="3"/>
    <n v="10662"/>
    <n v="282"/>
    <n v="35"/>
    <x v="0"/>
    <x v="0"/>
    <n v="2.6449071468767585E-2"/>
    <n v="1.167136524822695"/>
    <n v="9.4037857142857142"/>
    <n v="1420.8675000000001"/>
    <n v="0.12411347517730496"/>
    <x v="0"/>
    <x v="0"/>
    <n v="2023"/>
    <s v="Sat"/>
    <n v="6"/>
  </r>
  <r>
    <s v="CMP-00482"/>
    <s v="Q1_Launch_CMP-00482"/>
    <d v="2023-10-25T00:00:00"/>
    <x v="3"/>
    <d v="2023-11-24T00:00:00"/>
    <x v="4"/>
    <n v="17964"/>
    <n v="574"/>
    <n v="89"/>
    <x v="0"/>
    <x v="0"/>
    <n v="3.1952794477844576E-2"/>
    <n v="0.5734015679442509"/>
    <n v="3.6981179775280899"/>
    <n v="4120.8675000000003"/>
    <n v="0.15505226480836237"/>
    <x v="0"/>
    <x v="1"/>
    <n v="2023"/>
    <s v="Wed"/>
    <n v="30"/>
  </r>
  <r>
    <s v="CMP-00483"/>
    <s v="Q1_Winter_CMP-00483"/>
    <d v="2023-01-22T00:00:00"/>
    <x v="11"/>
    <d v="2023-02-07T00:00:00"/>
    <x v="3"/>
    <n v="60638"/>
    <n v="2620"/>
    <n v="487"/>
    <x v="1"/>
    <x v="347"/>
    <n v="4.3207229789900721E-2"/>
    <n v="1.28537786259542"/>
    <n v="6.9151745379876797"/>
    <n v="20982.31"/>
    <n v="0.18587786259541986"/>
    <x v="2"/>
    <x v="2"/>
    <n v="2023"/>
    <s v="Sun"/>
    <n v="16"/>
  </r>
  <r>
    <s v="CMP-00484"/>
    <s v="Q3_Winter_CMP-00484"/>
    <d v="2023-11-30T00:00:00"/>
    <x v="0"/>
    <d v="2023-12-16T00:00:00"/>
    <x v="4"/>
    <n v="74666"/>
    <n v="951"/>
    <n v="67"/>
    <x v="1"/>
    <x v="348"/>
    <n v="1.2736720863579139E-2"/>
    <n v="0.82739221871713986"/>
    <n v="11.744029850746269"/>
    <n v="2563.15"/>
    <n v="7.0452155625657209E-2"/>
    <x v="0"/>
    <x v="2"/>
    <n v="2023"/>
    <s v="Thu"/>
    <n v="16"/>
  </r>
  <r>
    <s v="CMP-00485"/>
    <s v="Q3_Winter_CMP-00485"/>
    <d v="2023-09-14T00:00:00"/>
    <x v="10"/>
    <d v="2023-10-02T00:00:00"/>
    <x v="4"/>
    <n v="86067"/>
    <n v="2321"/>
    <n v="134"/>
    <x v="1"/>
    <x v="10"/>
    <n v="2.6967362636085838E-2"/>
    <n v="1.564739336492891"/>
    <n v="27.102686567164177"/>
    <n v="3068.2400000000002"/>
    <n v="5.7733735458853942E-2"/>
    <x v="0"/>
    <x v="2"/>
    <n v="2023"/>
    <s v="Thu"/>
    <n v="18"/>
  </r>
  <r>
    <s v="CMP-00486"/>
    <s v="Q3_Summer_CMP-00486"/>
    <d v="2023-02-22T00:00:00"/>
    <x v="6"/>
    <d v="2023-03-14T00:00:00"/>
    <x v="2"/>
    <n v="68215"/>
    <n v="907"/>
    <m/>
    <x v="1"/>
    <x v="349"/>
    <n v="1.3296195851352341E-2"/>
    <n v="1.3616538037486219"/>
    <n v="0"/>
    <n v="-1235.02"/>
    <n v="0"/>
    <x v="2"/>
    <x v="0"/>
    <n v="2023"/>
    <s v="Wed"/>
    <n v="20"/>
  </r>
  <r>
    <s v="CMP-00487"/>
    <s v="Q4_Winter_CMP-00487"/>
    <d v="2024-01-01T00:00:00"/>
    <x v="11"/>
    <d v="2024-01-11T00:00:00"/>
    <x v="2"/>
    <n v="70042"/>
    <n v="2142"/>
    <n v="153"/>
    <x v="0"/>
    <x v="350"/>
    <n v="3.0581651009394362E-2"/>
    <n v="0.70683006535947712"/>
    <n v="9.8956209150326799"/>
    <n v="6135.97"/>
    <n v="7.1428571428571425E-2"/>
    <x v="2"/>
    <x v="2"/>
    <n v="2024"/>
    <s v="Mon"/>
    <n v="10"/>
  </r>
  <r>
    <s v="CMP-00488"/>
    <s v="Q4_Summer_CMP-00488"/>
    <d v="2023-11-27T00:00:00"/>
    <x v="0"/>
    <d v="2023-12-23T00:00:00"/>
    <x v="2"/>
    <n v="14284"/>
    <n v="656"/>
    <n v="97"/>
    <x v="1"/>
    <x v="351"/>
    <n v="4.5925511061327362E-2"/>
    <n v="1.5331402439024391"/>
    <n v="10.368453608247423"/>
    <n v="3844.26"/>
    <n v="0.14786585365853658"/>
    <x v="0"/>
    <x v="0"/>
    <n v="2023"/>
    <s v="Mon"/>
    <n v="26"/>
  </r>
  <r>
    <s v="CMP-00489"/>
    <s v="Q4_Launch_CMP-00489"/>
    <d v="2023-08-13T00:00:00"/>
    <x v="7"/>
    <d v="2023-09-04T00:00:00"/>
    <x v="2"/>
    <n v="73789"/>
    <n v="3047"/>
    <n v="484"/>
    <x v="1"/>
    <x v="10"/>
    <n v="4.129341771808806E-2"/>
    <n v="1.1919133574007219"/>
    <n v="7.503636363636363"/>
    <n v="20568.240000000002"/>
    <n v="0.1588447653429603"/>
    <x v="3"/>
    <x v="1"/>
    <n v="2023"/>
    <s v="Sun"/>
    <n v="22"/>
  </r>
  <r>
    <s v="CMP-00490"/>
    <s v="Q1_Summer_CMP-00490"/>
    <d v="2023-11-09T00:00:00"/>
    <x v="0"/>
    <d v="2023-12-07T00:00:00"/>
    <x v="2"/>
    <n v="85664"/>
    <n v="1637"/>
    <n v="274"/>
    <x v="0"/>
    <x v="352"/>
    <n v="1.9109544265969367E-2"/>
    <n v="1.61777031154551"/>
    <n v="9.6652919708029188"/>
    <n v="11051.71"/>
    <n v="0.16737935247403787"/>
    <x v="0"/>
    <x v="0"/>
    <n v="2023"/>
    <s v="Thu"/>
    <n v="28"/>
  </r>
  <r>
    <s v="CMP-00491"/>
    <s v="Q1_BlackFriday_CMP-00491"/>
    <d v="2023-05-25T00:00:00"/>
    <x v="1"/>
    <d v="2023-06-02T00:00:00"/>
    <x v="2"/>
    <n v="94468"/>
    <n v="4632"/>
    <n v="400"/>
    <x v="0"/>
    <x v="353"/>
    <n v="4.9032476605834777E-2"/>
    <n v="0.61465889464594126"/>
    <n v="7.11775"/>
    <n v="17152.900000000001"/>
    <n v="8.6355785837651119E-2"/>
    <x v="1"/>
    <x v="3"/>
    <n v="2023"/>
    <s v="Thu"/>
    <n v="8"/>
  </r>
  <r>
    <s v="CMP-00492"/>
    <s v="Q1_BlackFriday_CMP-00492"/>
    <d v="2023-12-14T00:00:00"/>
    <x v="2"/>
    <d v="2023-12-17T00:00:00"/>
    <x v="3"/>
    <n v="62389"/>
    <n v="2289"/>
    <n v="219"/>
    <x v="1"/>
    <x v="10"/>
    <n v="3.6689159948067769E-2"/>
    <n v="1.5866142420270859"/>
    <n v="16.58337899543379"/>
    <n v="7318.24"/>
    <n v="9.5674967234600256E-2"/>
    <x v="2"/>
    <x v="3"/>
    <n v="2023"/>
    <s v="Thu"/>
    <n v="3"/>
  </r>
  <r>
    <s v="CMP-00493"/>
    <s v="Q1_BlackFriday_CMP-00493"/>
    <d v="2023-11-28T00:00:00"/>
    <x v="0"/>
    <d v="2023-12-18T00:00:00"/>
    <x v="2"/>
    <n v="10435"/>
    <n v="108"/>
    <n v="13"/>
    <x v="0"/>
    <x v="0"/>
    <n v="1.0349784379492095E-2"/>
    <n v="3.047523148148148"/>
    <n v="25.317884615384614"/>
    <n v="320.86750000000001"/>
    <n v="0.12037037037037036"/>
    <x v="0"/>
    <x v="3"/>
    <n v="2023"/>
    <s v="Tue"/>
    <n v="20"/>
  </r>
  <r>
    <s v="CMP-00494"/>
    <s v="Q4_BlackFriday_CMP-00494"/>
    <d v="2023-10-13T00:00:00"/>
    <x v="3"/>
    <d v="2023-10-17T00:00:00"/>
    <x v="1"/>
    <n v="55340"/>
    <n v="1118"/>
    <n v="66"/>
    <x v="1"/>
    <x v="354"/>
    <n v="2.0202385254788579E-2"/>
    <n v="0.73745974955277283"/>
    <n v="12.492121212121212"/>
    <n v="2475.52"/>
    <n v="5.9033989266547404E-2"/>
    <x v="0"/>
    <x v="3"/>
    <n v="2023"/>
    <s v="Fri"/>
    <n v="4"/>
  </r>
  <r>
    <s v="CMP-00495"/>
    <s v="Q1_Summer_CMP-00495"/>
    <d v="2023-12-03T00:00:00"/>
    <x v="2"/>
    <d v="2024-01-01T00:00:00"/>
    <x v="2"/>
    <n v="45078"/>
    <n v="920"/>
    <n v="130"/>
    <x v="1"/>
    <x v="355"/>
    <n v="2.0409068725320556E-2"/>
    <n v="0.57767391304347826"/>
    <n v="4.0881538461538467"/>
    <n v="5968.54"/>
    <n v="0.14130434782608695"/>
    <x v="2"/>
    <x v="0"/>
    <n v="2023"/>
    <s v="Sun"/>
    <n v="29"/>
  </r>
  <r>
    <s v="CMP-00496"/>
    <s v="Q1_Winter_CMP-00496"/>
    <d v="2023-03-18T00:00:00"/>
    <x v="5"/>
    <d v="2023-03-19T00:00:00"/>
    <x v="0"/>
    <n v="79832"/>
    <n v="1019"/>
    <n v="201"/>
    <x v="0"/>
    <x v="356"/>
    <n v="1.276430504058523E-2"/>
    <n v="1.3359666339548577"/>
    <n v="6.7728855721393026"/>
    <n v="8688.65"/>
    <n v="0.197252208047105"/>
    <x v="1"/>
    <x v="2"/>
    <n v="2023"/>
    <s v="Sat"/>
    <n v="1"/>
  </r>
  <r>
    <s v="CMP-00497"/>
    <s v="Q2_Launch_CMP-00497"/>
    <d v="2023-03-14T00:00:00"/>
    <x v="5"/>
    <d v="2023-04-11T00:00:00"/>
    <x v="0"/>
    <n v="52293"/>
    <n v="2530"/>
    <n v="263"/>
    <x v="0"/>
    <x v="357"/>
    <n v="4.838123649436827E-2"/>
    <n v="0.73405533596837946"/>
    <n v="7.0614448669201524"/>
    <n v="11292.84"/>
    <n v="0.10395256916996047"/>
    <x v="1"/>
    <x v="1"/>
    <n v="2023"/>
    <s v="Tue"/>
    <n v="28"/>
  </r>
  <r>
    <s v="CMP-00498"/>
    <s v="Q2_Winter_CMP-00498"/>
    <d v="2023-12-02T00:00:00"/>
    <x v="2"/>
    <d v="2023-12-03T00:00:00"/>
    <x v="1"/>
    <n v="96981"/>
    <n v="2825"/>
    <n v="460"/>
    <x v="0"/>
    <x v="10"/>
    <n v="2.9129417102319012E-2"/>
    <n v="1.2855787610619469"/>
    <n v="7.8951304347826081"/>
    <n v="19368.240000000002"/>
    <n v="0.16283185840707964"/>
    <x v="2"/>
    <x v="2"/>
    <n v="2023"/>
    <s v="Sat"/>
    <n v="1"/>
  </r>
  <r>
    <s v="CMP-00499"/>
    <s v="Q2_BlackFriday_CMP-00499"/>
    <d v="2023-11-01T00:00:00"/>
    <x v="0"/>
    <d v="2023-12-01T00:00:00"/>
    <x v="4"/>
    <n v="79781"/>
    <n v="3656"/>
    <m/>
    <x v="0"/>
    <x v="10"/>
    <n v="4.5825447161604894E-2"/>
    <n v="0.99336980306345724"/>
    <n v="0"/>
    <n v="-3631.7599999999998"/>
    <n v="0"/>
    <x v="0"/>
    <x v="3"/>
    <n v="2023"/>
    <s v="Wed"/>
    <n v="30"/>
  </r>
  <r>
    <s v="CMP-00500"/>
    <s v="Q3_Summer_CMP-00500"/>
    <d v="2023-10-14T00:00:00"/>
    <x v="3"/>
    <d v="2023-10-16T00:00:00"/>
    <x v="0"/>
    <n v="61403"/>
    <n v="1405"/>
    <n v="97"/>
    <x v="0"/>
    <x v="358"/>
    <n v="2.2881618161979058E-2"/>
    <n v="1.869338078291815"/>
    <n v="27.076494845360827"/>
    <n v="2223.58"/>
    <n v="6.9039145907473315E-2"/>
    <x v="0"/>
    <x v="0"/>
    <n v="2023"/>
    <s v="Sat"/>
    <n v="2"/>
  </r>
  <r>
    <s v="CMP-00501"/>
    <s v="Q4_Winter_CMP-00501"/>
    <d v="2023-03-07T00:00:00"/>
    <x v="5"/>
    <d v="2023-04-04T00:00:00"/>
    <x v="3"/>
    <n v="30124"/>
    <n v="452"/>
    <n v="62"/>
    <x v="0"/>
    <x v="359"/>
    <n v="1.5004647457177002E-2"/>
    <n v="1.3485398230088494"/>
    <n v="9.8312903225806441"/>
    <n v="2490.46"/>
    <n v="0.13716814159292035"/>
    <x v="1"/>
    <x v="2"/>
    <n v="2023"/>
    <s v="Tue"/>
    <n v="28"/>
  </r>
  <r>
    <s v="CMP-00502"/>
    <s v="Q1_Summer_CMP-00502"/>
    <d v="2023-12-17T00:00:00"/>
    <x v="2"/>
    <d v="2023-12-18T00:00:00"/>
    <x v="4"/>
    <n v="96435"/>
    <n v="2794"/>
    <n v="265"/>
    <x v="0"/>
    <x v="360"/>
    <n v="2.8972883289262199E-2"/>
    <n v="0.77400858983536147"/>
    <n v="8.1606792452830188"/>
    <n v="11087.42"/>
    <n v="9.4846098783106653E-2"/>
    <x v="2"/>
    <x v="0"/>
    <n v="2023"/>
    <s v="Sun"/>
    <n v="1"/>
  </r>
  <r>
    <s v="CMP-00503"/>
    <s v="Q1_Winter_CMP-00503"/>
    <d v="2023-12-10T00:00:00"/>
    <x v="2"/>
    <d v="2023-12-19T00:00:00"/>
    <x v="1"/>
    <n v="44919"/>
    <n v="653"/>
    <m/>
    <x v="0"/>
    <x v="361"/>
    <n v="1.4537278211892518E-2"/>
    <n v="0.70940275650842266"/>
    <n v="0"/>
    <n v="-463.24"/>
    <n v="0"/>
    <x v="2"/>
    <x v="2"/>
    <n v="2023"/>
    <s v="Sun"/>
    <n v="9"/>
  </r>
  <r>
    <s v="CMP-00504"/>
    <s v="Q1_Summer_CMP-00504"/>
    <d v="2023-07-05T00:00:00"/>
    <x v="8"/>
    <d v="2023-08-04T00:00:00"/>
    <x v="0"/>
    <n v="36247"/>
    <n v="1067"/>
    <n v="154"/>
    <x v="0"/>
    <x v="362"/>
    <n v="2.9436918917427651E-2"/>
    <n v="1.3647047797563263"/>
    <n v="9.4554545454545469"/>
    <n v="6243.86"/>
    <n v="0.14432989690721648"/>
    <x v="3"/>
    <x v="0"/>
    <n v="2023"/>
    <s v="Wed"/>
    <n v="30"/>
  </r>
  <r>
    <s v="CMP-00505"/>
    <s v="Q2_Winter_CMP-00505"/>
    <d v="2023-06-24T00:00:00"/>
    <x v="9"/>
    <d v="2023-06-25T00:00:00"/>
    <x v="4"/>
    <n v="95758"/>
    <n v="4482"/>
    <n v="801"/>
    <x v="0"/>
    <x v="10"/>
    <n v="4.6805488836441866E-2"/>
    <n v="0.81029897367246762"/>
    <n v="4.5340324594257178"/>
    <n v="36418.239999999998"/>
    <n v="0.17871485943775101"/>
    <x v="3"/>
    <x v="2"/>
    <n v="2023"/>
    <s v="Sat"/>
    <n v="1"/>
  </r>
  <r>
    <s v="CMP-00506"/>
    <s v="Q1_Launch_CMP-00506"/>
    <d v="2023-04-26T00:00:00"/>
    <x v="4"/>
    <d v="2023-05-06T00:00:00"/>
    <x v="1"/>
    <n v="92747"/>
    <n v="2859"/>
    <m/>
    <x v="0"/>
    <x v="10"/>
    <n v="3.0825794904417395E-2"/>
    <n v="1.2702903112976565"/>
    <n v="0"/>
    <n v="-3631.7599999999998"/>
    <n v="0"/>
    <x v="1"/>
    <x v="1"/>
    <n v="2023"/>
    <s v="Wed"/>
    <n v="10"/>
  </r>
  <r>
    <s v="CMP-00507"/>
    <s v="Q1_Launch_CMP-00507"/>
    <d v="2023-06-01T00:00:00"/>
    <x v="9"/>
    <d v="2023-06-16T00:00:00"/>
    <x v="0"/>
    <n v="63752"/>
    <n v="2209"/>
    <n v="239"/>
    <x v="0"/>
    <x v="363"/>
    <n v="3.4649893336679637E-2"/>
    <n v="0.91363512901765509"/>
    <n v="8.4444351464435154"/>
    <n v="9931.7800000000007"/>
    <n v="0.10819375282933454"/>
    <x v="3"/>
    <x v="1"/>
    <n v="2023"/>
    <s v="Thu"/>
    <n v="15"/>
  </r>
  <r>
    <s v="CMP-00508"/>
    <s v="Q4_Summer_CMP-00508"/>
    <d v="2023-10-04T00:00:00"/>
    <x v="3"/>
    <d v="2023-10-17T00:00:00"/>
    <x v="4"/>
    <n v="57573"/>
    <n v="936"/>
    <m/>
    <x v="0"/>
    <x v="364"/>
    <n v="1.6257620759731126E-2"/>
    <n v="0.80636752136752132"/>
    <n v="0"/>
    <n v="-754.76"/>
    <n v="0"/>
    <x v="0"/>
    <x v="0"/>
    <n v="2023"/>
    <s v="Wed"/>
    <n v="13"/>
  </r>
  <r>
    <s v="CMP-00509"/>
    <s v="Q1_BlackFriday_CMP-00509"/>
    <d v="2023-01-20T00:00:00"/>
    <x v="11"/>
    <d v="2023-02-13T00:00:00"/>
    <x v="4"/>
    <n v="60101"/>
    <n v="706"/>
    <n v="121"/>
    <x v="0"/>
    <x v="365"/>
    <n v="1.1746892730570207E-2"/>
    <n v="0.52512747875354104"/>
    <n v="3.0639669421487605"/>
    <n v="5679.26"/>
    <n v="0.17138810198300283"/>
    <x v="2"/>
    <x v="3"/>
    <n v="2023"/>
    <s v="Fri"/>
    <n v="24"/>
  </r>
  <r>
    <s v="CMP-00510"/>
    <s v="Q4_Launch_CMP-00510"/>
    <d v="2023-11-13T00:00:00"/>
    <x v="0"/>
    <d v="2023-12-02T00:00:00"/>
    <x v="0"/>
    <n v="27646"/>
    <n v="398"/>
    <n v="62"/>
    <x v="0"/>
    <x v="366"/>
    <n v="1.4396296028358534E-2"/>
    <n v="1.5187939698492463"/>
    <n v="9.749677419354839"/>
    <n v="2495.52"/>
    <n v="0.15577889447236182"/>
    <x v="0"/>
    <x v="1"/>
    <n v="2023"/>
    <s v="Mon"/>
    <n v="19"/>
  </r>
  <r>
    <s v="CMP-00511"/>
    <s v="Q2_Winter_CMP-00511"/>
    <d v="2023-03-25T00:00:00"/>
    <x v="5"/>
    <d v="2023-03-31T00:00:00"/>
    <x v="0"/>
    <n v="24049"/>
    <n v="816"/>
    <n v="71"/>
    <x v="0"/>
    <x v="367"/>
    <n v="3.3930724770260719E-2"/>
    <n v="0.6148529411764706"/>
    <n v="7.0664788732394372"/>
    <n v="3048.2799999999997"/>
    <n v="8.7009803921568624E-2"/>
    <x v="1"/>
    <x v="2"/>
    <n v="2023"/>
    <s v="Sat"/>
    <n v="6"/>
  </r>
  <r>
    <s v="CMP-00512"/>
    <s v="Q3_Launch_CMP-00512"/>
    <d v="2023-11-16T00:00:00"/>
    <x v="0"/>
    <d v="2023-11-20T00:00:00"/>
    <x v="0"/>
    <n v="80605"/>
    <n v="1112"/>
    <n v="207"/>
    <x v="1"/>
    <x v="368"/>
    <n v="1.3795670243781403E-2"/>
    <n v="1.1311420863309352"/>
    <n v="6.0764734299516903"/>
    <n v="9092.17"/>
    <n v="0.18615107913669066"/>
    <x v="0"/>
    <x v="1"/>
    <n v="2023"/>
    <s v="Thu"/>
    <n v="4"/>
  </r>
  <r>
    <s v="CMP-00513"/>
    <s v="Q1_Launch_CMP-00513"/>
    <d v="2023-08-13T00:00:00"/>
    <x v="7"/>
    <d v="2023-08-15T00:00:00"/>
    <x v="1"/>
    <n v="99116"/>
    <n v="2481"/>
    <n v="181"/>
    <x v="1"/>
    <x v="369"/>
    <n v="2.5031276484119618E-2"/>
    <n v="1.4025231761386536"/>
    <n v="19.224640883977901"/>
    <n v="5570.34"/>
    <n v="7.2954453849254336E-2"/>
    <x v="3"/>
    <x v="1"/>
    <n v="2023"/>
    <s v="Sun"/>
    <n v="2"/>
  </r>
  <r>
    <s v="CMP-00514"/>
    <s v="Q2_Summer_CMP-00514"/>
    <d v="2023-07-06T00:00:00"/>
    <x v="8"/>
    <d v="2023-07-18T00:00:00"/>
    <x v="0"/>
    <n v="98379"/>
    <n v="3148"/>
    <m/>
    <x v="0"/>
    <x v="10"/>
    <n v="3.1998698909320077E-2"/>
    <n v="1.1536721728081321"/>
    <n v="0"/>
    <n v="-3631.7599999999998"/>
    <n v="0"/>
    <x v="3"/>
    <x v="0"/>
    <n v="2023"/>
    <s v="Thu"/>
    <n v="12"/>
  </r>
  <r>
    <s v="CMP-00515"/>
    <s v="Q2_Winter_CMP-00515"/>
    <d v="2023-08-16T00:00:00"/>
    <x v="7"/>
    <d v="2023-08-23T00:00:00"/>
    <x v="4"/>
    <n v="69385"/>
    <n v="1772"/>
    <n v="96"/>
    <x v="0"/>
    <x v="370"/>
    <n v="2.5538661093896374E-2"/>
    <n v="0.96770316027088032"/>
    <n v="17.862187500000001"/>
    <n v="3085.23"/>
    <n v="5.4176072234762979E-2"/>
    <x v="3"/>
    <x v="2"/>
    <n v="2023"/>
    <s v="Wed"/>
    <n v="7"/>
  </r>
  <r>
    <s v="CMP-00516"/>
    <s v="Q2_Winter_CMP-00516"/>
    <d v="2023-08-18T00:00:00"/>
    <x v="7"/>
    <d v="2023-09-08T00:00:00"/>
    <x v="0"/>
    <n v="41158"/>
    <n v="681"/>
    <m/>
    <x v="0"/>
    <x v="371"/>
    <n v="1.6545993488507701E-2"/>
    <n v="0.87465491923641703"/>
    <n v="0"/>
    <n v="-595.64"/>
    <n v="0"/>
    <x v="3"/>
    <x v="2"/>
    <n v="2023"/>
    <s v="Fri"/>
    <n v="21"/>
  </r>
  <r>
    <s v="CMP-00517"/>
    <s v="Q2_Launch_CMP-00517"/>
    <d v="2023-08-29T00:00:00"/>
    <x v="7"/>
    <d v="2023-09-05T00:00:00"/>
    <x v="0"/>
    <n v="66417"/>
    <n v="1391"/>
    <n v="127"/>
    <x v="1"/>
    <x v="372"/>
    <n v="2.0943433157173615E-2"/>
    <n v="1.4812437095614666"/>
    <n v="16.223700787401572"/>
    <n v="4289.59"/>
    <n v="9.1301222142343638E-2"/>
    <x v="3"/>
    <x v="1"/>
    <n v="2023"/>
    <s v="Tue"/>
    <n v="7"/>
  </r>
  <r>
    <s v="CMP-00518"/>
    <s v="Q4_BlackFriday_CMP-00518"/>
    <d v="2023-12-14T00:00:00"/>
    <x v="2"/>
    <d v="2023-12-28T00:00:00"/>
    <x v="1"/>
    <n v="24289"/>
    <n v="1144"/>
    <n v="134"/>
    <x v="1"/>
    <x v="373"/>
    <n v="4.7099510066285148E-2"/>
    <n v="1.4288548951048949"/>
    <n v="12.198582089552238"/>
    <n v="5065.3900000000003"/>
    <n v="0.11713286713286714"/>
    <x v="2"/>
    <x v="3"/>
    <n v="2023"/>
    <s v="Thu"/>
    <n v="14"/>
  </r>
  <r>
    <s v="CMP-00519"/>
    <s v="Q3_Summer_CMP-00519"/>
    <d v="2023-08-25T00:00:00"/>
    <x v="7"/>
    <d v="2023-09-18T00:00:00"/>
    <x v="0"/>
    <n v="10823"/>
    <n v="400"/>
    <n v="40"/>
    <x v="0"/>
    <x v="374"/>
    <n v="3.6958329483507343E-2"/>
    <n v="0.99817499999999992"/>
    <n v="9.9817499999999999"/>
    <n v="1600.73"/>
    <n v="0.1"/>
    <x v="3"/>
    <x v="0"/>
    <n v="2023"/>
    <s v="Fri"/>
    <n v="24"/>
  </r>
  <r>
    <s v="CMP-00520"/>
    <s v="Q4_BlackFriday_CMP-00520"/>
    <d v="2023-09-15T00:00:00"/>
    <x v="10"/>
    <d v="2023-10-14T00:00:00"/>
    <x v="2"/>
    <n v="61160"/>
    <n v="1825"/>
    <m/>
    <x v="1"/>
    <x v="375"/>
    <n v="2.9839764551994767E-2"/>
    <n v="1.8921534246575342"/>
    <n v="0"/>
    <n v="-3453.18"/>
    <n v="0"/>
    <x v="0"/>
    <x v="3"/>
    <n v="2023"/>
    <s v="Fri"/>
    <n v="29"/>
  </r>
  <r>
    <s v="CMP-00521"/>
    <s v="Q3_Launch_CMP-00521"/>
    <d v="2023-04-13T00:00:00"/>
    <x v="4"/>
    <d v="2023-04-25T00:00:00"/>
    <x v="3"/>
    <n v="42975"/>
    <n v="451"/>
    <m/>
    <x v="0"/>
    <x v="376"/>
    <n v="1.0494473531122745E-2"/>
    <n v="1.7672949002217293"/>
    <n v="0"/>
    <n v="-797.05"/>
    <n v="0"/>
    <x v="1"/>
    <x v="1"/>
    <n v="2023"/>
    <s v="Thu"/>
    <n v="12"/>
  </r>
  <r>
    <s v="CMP-00522"/>
    <s v="Q4_Summer_CMP-00522"/>
    <d v="2023-09-05T00:00:00"/>
    <x v="10"/>
    <d v="2023-10-05T00:00:00"/>
    <x v="3"/>
    <n v="10540"/>
    <n v="523"/>
    <n v="95"/>
    <x v="0"/>
    <x v="377"/>
    <n v="4.9620493358633777E-2"/>
    <n v="0.83596558317399616"/>
    <n v="4.6022105263157895"/>
    <n v="4312.79"/>
    <n v="0.18164435946462715"/>
    <x v="0"/>
    <x v="0"/>
    <n v="2023"/>
    <s v="Tue"/>
    <n v="30"/>
  </r>
  <r>
    <s v="CMP-00523"/>
    <s v="Q4_Launch_CMP-00523"/>
    <d v="2023-09-04T00:00:00"/>
    <x v="10"/>
    <d v="2023-09-13T00:00:00"/>
    <x v="2"/>
    <n v="17364"/>
    <n v="640"/>
    <n v="124"/>
    <x v="0"/>
    <x v="378"/>
    <n v="3.6857866850956003E-2"/>
    <n v="0.85871875000000009"/>
    <n v="4.4320967741935489"/>
    <n v="5650.42"/>
    <n v="0.19375000000000001"/>
    <x v="0"/>
    <x v="1"/>
    <n v="2023"/>
    <s v="Mon"/>
    <n v="9"/>
  </r>
  <r>
    <s v="CMP-00524"/>
    <s v="Q4_Winter_CMP-00524"/>
    <d v="2023-02-22T00:00:00"/>
    <x v="6"/>
    <d v="2023-03-08T00:00:00"/>
    <x v="0"/>
    <n v="5611"/>
    <n v="127"/>
    <n v="10"/>
    <x v="0"/>
    <x v="0"/>
    <n v="2.2634111566565675E-2"/>
    <n v="2.5915944881889765"/>
    <n v="32.913249999999998"/>
    <n v="170.86750000000001"/>
    <n v="7.874015748031496E-2"/>
    <x v="2"/>
    <x v="2"/>
    <n v="2023"/>
    <s v="Wed"/>
    <n v="14"/>
  </r>
  <r>
    <s v="CMP-00525"/>
    <s v="Q1_BlackFriday_CMP-00525"/>
    <d v="2023-03-05T00:00:00"/>
    <x v="5"/>
    <d v="2023-03-26T00:00:00"/>
    <x v="0"/>
    <n v="28663"/>
    <n v="1294"/>
    <n v="203"/>
    <x v="1"/>
    <x v="379"/>
    <n v="4.5145309283745598E-2"/>
    <n v="1.6603554868624419"/>
    <n v="10.583743842364532"/>
    <n v="8001.5"/>
    <n v="0.15687789799072643"/>
    <x v="1"/>
    <x v="3"/>
    <n v="2023"/>
    <s v="Sun"/>
    <n v="21"/>
  </r>
  <r>
    <s v="CMP-00526"/>
    <s v="Q4_Summer_CMP-00526"/>
    <d v="2023-05-20T00:00:00"/>
    <x v="1"/>
    <d v="2023-05-21T00:00:00"/>
    <x v="4"/>
    <n v="52991"/>
    <n v="1077"/>
    <n v="161"/>
    <x v="1"/>
    <x v="380"/>
    <n v="2.0324205997244816E-2"/>
    <n v="0.56606313834726085"/>
    <n v="3.7866459627329192"/>
    <n v="7440.35"/>
    <n v="0.14948932219127206"/>
    <x v="1"/>
    <x v="0"/>
    <n v="2023"/>
    <s v="Sat"/>
    <n v="1"/>
  </r>
  <r>
    <s v="CMP-00527"/>
    <s v="Q4_Summer_CMP-00527"/>
    <d v="2023-12-08T00:00:00"/>
    <x v="2"/>
    <d v="2024-01-07T00:00:00"/>
    <x v="2"/>
    <n v="58679"/>
    <n v="1863"/>
    <n v="189"/>
    <x v="0"/>
    <x v="381"/>
    <n v="3.1749007310963036E-2"/>
    <n v="1.5400053676865273"/>
    <n v="15.180052910052911"/>
    <n v="6580.9699999999993"/>
    <n v="0.10144927536231885"/>
    <x v="2"/>
    <x v="0"/>
    <n v="2023"/>
    <s v="Fri"/>
    <n v="30"/>
  </r>
  <r>
    <s v="CMP-00528"/>
    <s v="Q3_Summer_CMP-00528"/>
    <d v="2023-04-24T00:00:00"/>
    <x v="4"/>
    <d v="2023-05-19T00:00:00"/>
    <x v="0"/>
    <n v="31977"/>
    <n v="1133"/>
    <n v="59"/>
    <x v="0"/>
    <x v="382"/>
    <n v="3.543171654626763E-2"/>
    <n v="1.4723565754633716"/>
    <n v="28.274237288135595"/>
    <n v="1281.82"/>
    <n v="5.2074139452780228E-2"/>
    <x v="1"/>
    <x v="0"/>
    <n v="2023"/>
    <s v="Mon"/>
    <n v="25"/>
  </r>
  <r>
    <s v="CMP-00529"/>
    <s v="Q4_Summer_CMP-00529"/>
    <d v="2023-01-14T00:00:00"/>
    <x v="11"/>
    <d v="2023-01-16T00:00:00"/>
    <x v="2"/>
    <n v="95704"/>
    <n v="1803"/>
    <n v="276"/>
    <x v="1"/>
    <x v="383"/>
    <n v="1.8839337958706012E-2"/>
    <n v="0.84722129783693845"/>
    <n v="5.5345652173913038"/>
    <n v="12272.46"/>
    <n v="0.15307820299500832"/>
    <x v="2"/>
    <x v="0"/>
    <n v="2023"/>
    <s v="Sat"/>
    <n v="2"/>
  </r>
  <r>
    <s v="CMP-00530"/>
    <s v="Q3_Winter_CMP-00530"/>
    <d v="2023-07-11T00:00:00"/>
    <x v="8"/>
    <d v="2023-08-09T00:00:00"/>
    <x v="0"/>
    <n v="50115"/>
    <n v="2462"/>
    <n v="472"/>
    <x v="0"/>
    <x v="10"/>
    <n v="4.9127007881871694E-2"/>
    <n v="1.4751259138911452"/>
    <n v="7.6944067796610165"/>
    <n v="19968.240000000002"/>
    <n v="0.1917140536149472"/>
    <x v="3"/>
    <x v="2"/>
    <n v="2023"/>
    <s v="Tue"/>
    <n v="29"/>
  </r>
  <r>
    <s v="CMP-00531"/>
    <s v="Q4_Launch_CMP-00531"/>
    <d v="2023-07-11T00:00:00"/>
    <x v="8"/>
    <d v="2023-07-15T00:00:00"/>
    <x v="3"/>
    <n v="92007"/>
    <n v="3673"/>
    <n v="531"/>
    <x v="1"/>
    <x v="10"/>
    <n v="3.9920875585553274E-2"/>
    <n v="0.98877212088211264"/>
    <n v="6.8394726930320147"/>
    <n v="22918.240000000002"/>
    <n v="0.14456847263817044"/>
    <x v="3"/>
    <x v="1"/>
    <n v="2023"/>
    <s v="Tue"/>
    <n v="4"/>
  </r>
  <r>
    <s v="CMP-00532"/>
    <s v="Q3_Summer_CMP-00532"/>
    <d v="2023-02-20T00:00:00"/>
    <x v="6"/>
    <d v="2023-03-02T00:00:00"/>
    <x v="1"/>
    <n v="89223"/>
    <n v="2883"/>
    <n v="332"/>
    <x v="1"/>
    <x v="384"/>
    <n v="3.2312296156820554E-2"/>
    <n v="0.5701803676725633"/>
    <n v="4.9512951807228918"/>
    <n v="14956.17"/>
    <n v="0.11515782171349288"/>
    <x v="2"/>
    <x v="0"/>
    <n v="2023"/>
    <s v="Mon"/>
    <n v="10"/>
  </r>
  <r>
    <s v="CMP-00533"/>
    <s v="Q2_BlackFriday_CMP-00533"/>
    <d v="2023-03-16T00:00:00"/>
    <x v="5"/>
    <d v="2023-03-21T00:00:00"/>
    <x v="0"/>
    <n v="61890"/>
    <n v="1065"/>
    <n v="137"/>
    <x v="1"/>
    <x v="385"/>
    <n v="1.7207949587978673E-2"/>
    <n v="0.97947417840375595"/>
    <n v="7.6141605839416062"/>
    <n v="5806.86"/>
    <n v="0.12863849765258217"/>
    <x v="1"/>
    <x v="3"/>
    <n v="2023"/>
    <s v="Thu"/>
    <n v="5"/>
  </r>
  <r>
    <s v="CMP-00534"/>
    <s v="Q2_BlackFriday_CMP-00534"/>
    <d v="2023-08-30T00:00:00"/>
    <x v="7"/>
    <d v="2023-09-08T00:00:00"/>
    <x v="3"/>
    <n v="67387"/>
    <n v="819"/>
    <n v="65"/>
    <x v="1"/>
    <x v="386"/>
    <n v="1.21536794930773E-2"/>
    <n v="1.1572649572649572"/>
    <n v="14.581538461538461"/>
    <n v="2302.1999999999998"/>
    <n v="7.9365079365079361E-2"/>
    <x v="3"/>
    <x v="3"/>
    <n v="2023"/>
    <s v="Wed"/>
    <n v="9"/>
  </r>
  <r>
    <s v="CMP-00535"/>
    <s v="Q4_Summer_CMP-00535"/>
    <d v="2023-12-28T00:00:00"/>
    <x v="2"/>
    <d v="2024-01-12T00:00:00"/>
    <x v="1"/>
    <n v="19071"/>
    <n v="434"/>
    <n v="70"/>
    <x v="0"/>
    <x v="387"/>
    <n v="2.2757065701850977E-2"/>
    <n v="1.8488940092165898"/>
    <n v="11.463142857142856"/>
    <n v="2697.58"/>
    <n v="0.16129032258064516"/>
    <x v="2"/>
    <x v="0"/>
    <n v="2023"/>
    <s v="Thu"/>
    <n v="15"/>
  </r>
  <r>
    <s v="CMP-00536"/>
    <s v="Q2_Winter_CMP-00536"/>
    <d v="2023-10-02T00:00:00"/>
    <x v="3"/>
    <d v="2023-11-01T00:00:00"/>
    <x v="0"/>
    <n v="60275"/>
    <n v="2418"/>
    <n v="391"/>
    <x v="0"/>
    <x v="10"/>
    <n v="4.0116134384073E-2"/>
    <n v="1.5019685690653433"/>
    <n v="9.2883887468030686"/>
    <n v="15918.24"/>
    <n v="0.16170388751033912"/>
    <x v="0"/>
    <x v="2"/>
    <n v="2023"/>
    <s v="Mon"/>
    <n v="30"/>
  </r>
  <r>
    <s v="CMP-00537"/>
    <s v="Q3_BlackFriday_CMP-00537"/>
    <d v="2023-04-21T00:00:00"/>
    <x v="4"/>
    <d v="2023-05-21T00:00:00"/>
    <x v="3"/>
    <n v="73369"/>
    <n v="1524"/>
    <m/>
    <x v="1"/>
    <x v="388"/>
    <n v="2.0771715574697761E-2"/>
    <n v="1.1661745406824147"/>
    <n v="0"/>
    <n v="-1777.25"/>
    <n v="0"/>
    <x v="1"/>
    <x v="3"/>
    <n v="2023"/>
    <s v="Fri"/>
    <n v="30"/>
  </r>
  <r>
    <s v="CMP-00538"/>
    <s v="Q4_Winter_CMP-00538"/>
    <d v="2023-11-08T00:00:00"/>
    <x v="0"/>
    <d v="2023-12-07T00:00:00"/>
    <x v="4"/>
    <n v="12938"/>
    <n v="408"/>
    <n v="74"/>
    <x v="0"/>
    <x v="389"/>
    <n v="3.1535013139588806E-2"/>
    <n v="1.6250490196078431"/>
    <n v="8.9597297297297303"/>
    <n v="3036.98"/>
    <n v="0.18137254901960784"/>
    <x v="0"/>
    <x v="2"/>
    <n v="2023"/>
    <s v="Wed"/>
    <n v="29"/>
  </r>
  <r>
    <s v="CMP-00539"/>
    <s v="Q3_BlackFriday_CMP-00539"/>
    <d v="2023-05-28T00:00:00"/>
    <x v="1"/>
    <d v="2023-06-23T00:00:00"/>
    <x v="2"/>
    <n v="36195"/>
    <n v="1415"/>
    <n v="127"/>
    <x v="1"/>
    <x v="390"/>
    <n v="3.9093797485840583E-2"/>
    <n v="1.2974911660777386"/>
    <n v="14.456299212598426"/>
    <n v="4514.05"/>
    <n v="8.9752650176678439E-2"/>
    <x v="1"/>
    <x v="3"/>
    <n v="2023"/>
    <s v="Sun"/>
    <n v="26"/>
  </r>
  <r>
    <s v="CMP-00540"/>
    <s v="Q4_Summer_CMP-00540"/>
    <d v="2023-05-03T00:00:00"/>
    <x v="1"/>
    <d v="2023-06-02T00:00:00"/>
    <x v="1"/>
    <n v="92680"/>
    <n v="1326"/>
    <n v="261"/>
    <x v="1"/>
    <x v="391"/>
    <n v="1.430729391454467E-2"/>
    <n v="1.3066742081447964"/>
    <n v="6.6385057471264375"/>
    <n v="11317.35"/>
    <n v="0.19683257918552036"/>
    <x v="1"/>
    <x v="0"/>
    <n v="2023"/>
    <s v="Wed"/>
    <n v="30"/>
  </r>
  <r>
    <s v="CMP-00541"/>
    <s v="Q4_Launch_CMP-00541"/>
    <d v="2023-08-23T00:00:00"/>
    <x v="7"/>
    <d v="2023-08-30T00:00:00"/>
    <x v="2"/>
    <n v="5000"/>
    <n v="187"/>
    <n v="20"/>
    <x v="0"/>
    <x v="0"/>
    <n v="3.7400000000000003E-2"/>
    <n v="1.760066844919786"/>
    <n v="16.456624999999999"/>
    <n v="670.86750000000006"/>
    <n v="0.10695187165775401"/>
    <x v="3"/>
    <x v="1"/>
    <n v="2023"/>
    <s v="Wed"/>
    <n v="7"/>
  </r>
  <r>
    <s v="CMP-00542"/>
    <s v="Q4_Winter_CMP-00542"/>
    <d v="2023-09-13T00:00:00"/>
    <x v="10"/>
    <d v="2023-09-17T00:00:00"/>
    <x v="0"/>
    <n v="71588"/>
    <n v="978"/>
    <n v="74"/>
    <x v="0"/>
    <x v="392"/>
    <n v="1.3661507515226016E-2"/>
    <n v="0.82542944785276073"/>
    <n v="10.909054054054053"/>
    <n v="2892.73"/>
    <n v="7.5664621676891614E-2"/>
    <x v="0"/>
    <x v="2"/>
    <n v="2023"/>
    <s v="Wed"/>
    <n v="4"/>
  </r>
  <r>
    <s v="CMP-00543"/>
    <s v="Q3_Winter_CMP-00543"/>
    <d v="2023-09-21T00:00:00"/>
    <x v="10"/>
    <d v="2023-10-21T00:00:00"/>
    <x v="0"/>
    <n v="94610"/>
    <n v="4598"/>
    <n v="472"/>
    <x v="0"/>
    <x v="10"/>
    <n v="4.859951379346792E-2"/>
    <n v="0.78985645933014348"/>
    <n v="7.6944067796610165"/>
    <n v="19968.240000000002"/>
    <n v="0.10265332753371031"/>
    <x v="0"/>
    <x v="2"/>
    <n v="2023"/>
    <s v="Thu"/>
    <n v="30"/>
  </r>
  <r>
    <s v="CMP-00544"/>
    <s v="Q3_BlackFriday_CMP-00544"/>
    <d v="2023-05-30T00:00:00"/>
    <x v="1"/>
    <d v="2023-06-20T00:00:00"/>
    <x v="4"/>
    <n v="98856"/>
    <n v="2919"/>
    <n v="338"/>
    <x v="1"/>
    <x v="10"/>
    <n v="2.9527798009225541E-2"/>
    <n v="1.2441795135320315"/>
    <n v="10.744852071005916"/>
    <n v="13268.24"/>
    <n v="0.1157930798218568"/>
    <x v="1"/>
    <x v="3"/>
    <n v="2023"/>
    <s v="Tue"/>
    <n v="21"/>
  </r>
  <r>
    <s v="CMP-00545"/>
    <s v="Q4_Summer_CMP-00545"/>
    <d v="2023-05-04T00:00:00"/>
    <x v="1"/>
    <d v="2023-05-28T00:00:00"/>
    <x v="2"/>
    <n v="39304"/>
    <n v="629"/>
    <n v="37"/>
    <x v="1"/>
    <x v="393"/>
    <n v="1.6003460207612456E-2"/>
    <n v="0.54373608903020665"/>
    <n v="9.2435135135135127"/>
    <n v="1507.99"/>
    <n v="5.8823529411764705E-2"/>
    <x v="1"/>
    <x v="0"/>
    <n v="2023"/>
    <s v="Thu"/>
    <n v="24"/>
  </r>
  <r>
    <s v="CMP-00546"/>
    <s v="Q1_Summer_CMP-00546"/>
    <d v="2023-09-12T00:00:00"/>
    <x v="10"/>
    <d v="2023-12-31T00:00:00"/>
    <x v="1"/>
    <n v="70449"/>
    <n v="1669"/>
    <n v="228"/>
    <x v="0"/>
    <x v="394"/>
    <n v="2.3690896960922084E-2"/>
    <n v="1.8608747753145598"/>
    <n v="13.621929824561404"/>
    <n v="8294.2000000000007"/>
    <n v="0.1366087477531456"/>
    <x v="0"/>
    <x v="0"/>
    <n v="2023"/>
    <s v="Tue"/>
    <n v="110"/>
  </r>
  <r>
    <s v="CMP-00547"/>
    <s v="Q2_Winter_CMP-00547"/>
    <d v="2023-04-07T00:00:00"/>
    <x v="4"/>
    <d v="2023-07-30T00:00:00"/>
    <x v="1"/>
    <n v="83986"/>
    <n v="2228"/>
    <n v="311"/>
    <x v="0"/>
    <x v="395"/>
    <n v="2.6528230895625463E-2"/>
    <n v="0.73442549371633747"/>
    <n v="5.2614147909967848"/>
    <n v="13913.7"/>
    <n v="0.13958707360861761"/>
    <x v="1"/>
    <x v="2"/>
    <n v="2023"/>
    <s v="Fri"/>
    <n v="114"/>
  </r>
  <r>
    <s v="CMP-00548"/>
    <s v="Q1_Summer_CMP-00548"/>
    <d v="2023-09-27T00:00:00"/>
    <x v="10"/>
    <d v="2023-09-28T00:00:00"/>
    <x v="4"/>
    <n v="90643"/>
    <n v="3655"/>
    <n v="587"/>
    <x v="1"/>
    <x v="396"/>
    <n v="4.0323025495625699E-2"/>
    <n v="0.83013406292749659"/>
    <n v="5.1688926746166945"/>
    <n v="26315.86"/>
    <n v="0.16060191518467853"/>
    <x v="0"/>
    <x v="0"/>
    <n v="2023"/>
    <s v="Wed"/>
    <n v="1"/>
  </r>
  <r>
    <s v="CMP-00549"/>
    <s v="Q4_Launch_CMP-00549"/>
    <d v="2023-09-17T00:00:00"/>
    <x v="10"/>
    <d v="2023-10-16T00:00:00"/>
    <x v="0"/>
    <n v="21764"/>
    <n v="864"/>
    <n v="46"/>
    <x v="0"/>
    <x v="397"/>
    <n v="3.9698584818967105E-2"/>
    <n v="1.2774189814814816"/>
    <n v="23.993260869565219"/>
    <n v="1196.31"/>
    <n v="5.3240740740740741E-2"/>
    <x v="0"/>
    <x v="1"/>
    <n v="2023"/>
    <s v="Sun"/>
    <n v="29"/>
  </r>
  <r>
    <s v="CMP-00550"/>
    <s v="Q3_Winter_CMP-00550"/>
    <d v="2023-08-29T00:00:00"/>
    <x v="7"/>
    <d v="2023-09-28T00:00:00"/>
    <x v="1"/>
    <n v="87027"/>
    <n v="3000"/>
    <n v="393"/>
    <x v="1"/>
    <x v="10"/>
    <n v="3.4472060395049811E-2"/>
    <n v="1.2105866666666665"/>
    <n v="9.241119592875318"/>
    <n v="16018.24"/>
    <n v="0.13100000000000001"/>
    <x v="3"/>
    <x v="2"/>
    <n v="2023"/>
    <s v="Tue"/>
    <n v="30"/>
  </r>
  <r>
    <s v="CMP-00551"/>
    <s v="Q2_Summer_CMP-00551"/>
    <d v="2023-07-18T00:00:00"/>
    <x v="8"/>
    <d v="2023-08-17T00:00:00"/>
    <x v="4"/>
    <n v="39494"/>
    <n v="562"/>
    <n v="32"/>
    <x v="1"/>
    <x v="398"/>
    <n v="1.423000962171469E-2"/>
    <n v="0.64359430604982204"/>
    <n v="11.303125"/>
    <n v="1238.3"/>
    <n v="5.6939501779359428E-2"/>
    <x v="3"/>
    <x v="0"/>
    <n v="2023"/>
    <s v="Tue"/>
    <n v="30"/>
  </r>
  <r>
    <s v="CMP-00552"/>
    <s v="Q2_Launch_CMP-00552"/>
    <d v="2023-01-09T00:00:00"/>
    <x v="11"/>
    <d v="2023-09-17T00:00:00"/>
    <x v="3"/>
    <n v="4373"/>
    <n v="70"/>
    <n v="10"/>
    <x v="0"/>
    <x v="0"/>
    <n v="1.6007317630916992E-2"/>
    <n v="4.7018928571428571"/>
    <n v="32.913249999999998"/>
    <n v="170.86750000000001"/>
    <n v="0.14285714285714285"/>
    <x v="2"/>
    <x v="1"/>
    <n v="2023"/>
    <s v="Mon"/>
    <n v="251"/>
  </r>
  <r>
    <s v="CMP-00553"/>
    <s v="Q4_Summer_CMP-00553"/>
    <d v="2023-05-04T00:00:00"/>
    <x v="1"/>
    <d v="2023-05-10T00:00:00"/>
    <x v="3"/>
    <n v="13161"/>
    <n v="180"/>
    <n v="10"/>
    <x v="0"/>
    <x v="399"/>
    <n v="1.3676772281741509E-2"/>
    <n v="1.9530000000000001"/>
    <n v="35.154000000000003"/>
    <n v="148.45999999999998"/>
    <n v="5.5555555555555552E-2"/>
    <x v="1"/>
    <x v="0"/>
    <n v="2023"/>
    <s v="Thu"/>
    <n v="6"/>
  </r>
  <r>
    <s v="CMP-00554"/>
    <s v="Q1_BlackFriday_CMP-00554"/>
    <d v="2023-10-25T00:00:00"/>
    <x v="3"/>
    <d v="2023-10-26T00:00:00"/>
    <x v="0"/>
    <n v="98532"/>
    <n v="3260"/>
    <n v="608"/>
    <x v="0"/>
    <x v="400"/>
    <n v="3.3085698047334876E-2"/>
    <n v="0.89351533742331291"/>
    <n v="4.7908881578947371"/>
    <n v="27487.14"/>
    <n v="0.18650306748466258"/>
    <x v="0"/>
    <x v="3"/>
    <n v="2023"/>
    <s v="Wed"/>
    <n v="1"/>
  </r>
  <r>
    <s v="CMP-00555"/>
    <s v="Q1_Summer_CMP-00555"/>
    <d v="2023-01-23T00:00:00"/>
    <x v="11"/>
    <d v="2023-01-27T00:00:00"/>
    <x v="1"/>
    <n v="93658"/>
    <n v="4222"/>
    <n v="655"/>
    <x v="0"/>
    <x v="10"/>
    <n v="4.5078904097888062E-2"/>
    <n v="0.8601989578398862"/>
    <n v="5.5446717557251901"/>
    <n v="29118.240000000002"/>
    <n v="0.155139744197063"/>
    <x v="2"/>
    <x v="0"/>
    <n v="2023"/>
    <s v="Mon"/>
    <n v="4"/>
  </r>
  <r>
    <s v="CMP-00556"/>
    <s v="Q1_Launch_CMP-00556"/>
    <d v="2023-11-26T00:00:00"/>
    <x v="0"/>
    <d v="2023-11-29T00:00:00"/>
    <x v="1"/>
    <n v="28350"/>
    <n v="775"/>
    <m/>
    <x v="1"/>
    <x v="401"/>
    <n v="2.7336860670194002E-2"/>
    <n v="1.7547483870967742"/>
    <n v="0"/>
    <n v="-1359.93"/>
    <n v="0"/>
    <x v="0"/>
    <x v="1"/>
    <n v="2023"/>
    <s v="Sun"/>
    <n v="3"/>
  </r>
  <r>
    <s v="CMP-00557"/>
    <s v="Q3_Summer_CMP-00557"/>
    <d v="2023-08-26T00:00:00"/>
    <x v="7"/>
    <d v="2023-09-19T00:00:00"/>
    <x v="2"/>
    <n v="94008"/>
    <n v="1544"/>
    <n v="179"/>
    <x v="1"/>
    <x v="402"/>
    <n v="1.6424134116245426E-2"/>
    <n v="0.57532383419689115"/>
    <n v="4.9625698324022345"/>
    <n v="8061.7"/>
    <n v="0.11593264248704663"/>
    <x v="3"/>
    <x v="0"/>
    <n v="2023"/>
    <s v="Sat"/>
    <n v="24"/>
  </r>
  <r>
    <s v="CMP-00558"/>
    <s v="Q2_BlackFriday_CMP-00558"/>
    <d v="2023-04-04T00:00:00"/>
    <x v="4"/>
    <d v="2023-04-12T00:00:00"/>
    <x v="0"/>
    <n v="95297"/>
    <n v="3080"/>
    <n v="214"/>
    <x v="0"/>
    <x v="10"/>
    <n v="3.2320010073769376E-2"/>
    <n v="1.179142857142857"/>
    <n v="16.970841121495326"/>
    <n v="7068.24"/>
    <n v="6.9480519480519476E-2"/>
    <x v="1"/>
    <x v="3"/>
    <n v="2023"/>
    <s v="Tue"/>
    <n v="8"/>
  </r>
  <r>
    <s v="CMP-00559"/>
    <s v="Q1_Launch_CMP-00559"/>
    <d v="2023-08-23T00:00:00"/>
    <x v="7"/>
    <d v="2023-09-07T00:00:00"/>
    <x v="3"/>
    <n v="26351"/>
    <n v="1119"/>
    <m/>
    <x v="0"/>
    <x v="403"/>
    <n v="4.2465181587036542E-2"/>
    <n v="1.0694280607685434"/>
    <n v="0"/>
    <n v="-1196.69"/>
    <n v="0"/>
    <x v="3"/>
    <x v="1"/>
    <n v="2023"/>
    <s v="Wed"/>
    <n v="15"/>
  </r>
  <r>
    <s v="CMP-00560"/>
    <s v="Q4_Winter_CMP-00560"/>
    <d v="2023-04-14T00:00:00"/>
    <x v="4"/>
    <d v="2023-05-12T00:00:00"/>
    <x v="0"/>
    <n v="89668"/>
    <n v="3556"/>
    <n v="641"/>
    <x v="1"/>
    <x v="404"/>
    <n v="3.9657402863897934E-2"/>
    <n v="0.97487907761529813"/>
    <n v="5.4082215288611541"/>
    <n v="28583.33"/>
    <n v="0.18025871766029247"/>
    <x v="1"/>
    <x v="2"/>
    <n v="2023"/>
    <s v="Fri"/>
    <n v="28"/>
  </r>
  <r>
    <s v="CMP-00561"/>
    <s v="Q2_Winter_CMP-00561"/>
    <d v="2023-04-13T00:00:00"/>
    <x v="4"/>
    <d v="2023-05-12T00:00:00"/>
    <x v="2"/>
    <n v="16305"/>
    <n v="737"/>
    <n v="136"/>
    <x v="0"/>
    <x v="405"/>
    <n v="4.5200858632321372E-2"/>
    <n v="0.9285481682496608"/>
    <n v="5.0319117647058826"/>
    <n v="6115.66"/>
    <n v="0.18453188602442333"/>
    <x v="1"/>
    <x v="2"/>
    <n v="2023"/>
    <s v="Thu"/>
    <n v="29"/>
  </r>
  <r>
    <s v="CMP-00562"/>
    <s v="Q3_Launch_CMP-00562"/>
    <d v="2023-06-08T00:00:00"/>
    <x v="9"/>
    <d v="2023-06-27T00:00:00"/>
    <x v="2"/>
    <n v="76353"/>
    <n v="1612"/>
    <n v="80"/>
    <x v="0"/>
    <x v="406"/>
    <n v="2.1112464474218433E-2"/>
    <n v="0.63705955334987596"/>
    <n v="12.83675"/>
    <n v="2973.06"/>
    <n v="4.9627791563275438E-2"/>
    <x v="3"/>
    <x v="1"/>
    <n v="2023"/>
    <s v="Thu"/>
    <n v="19"/>
  </r>
  <r>
    <s v="CMP-00563"/>
    <s v="Q4_BlackFriday_CMP-00563"/>
    <d v="2023-10-06T00:00:00"/>
    <x v="3"/>
    <d v="2023-11-05T00:00:00"/>
    <x v="2"/>
    <n v="77797"/>
    <n v="1381"/>
    <n v="192"/>
    <x v="0"/>
    <x v="407"/>
    <n v="1.7751327171998919E-2"/>
    <n v="0.97223750905141204"/>
    <n v="6.9930208333333335"/>
    <n v="8257.34"/>
    <n v="0.13902968863142651"/>
    <x v="0"/>
    <x v="3"/>
    <n v="2023"/>
    <s v="Fri"/>
    <n v="30"/>
  </r>
  <r>
    <s v="CMP-00564"/>
    <s v="Q2_Winter_CMP-00564"/>
    <d v="2023-11-28T00:00:00"/>
    <x v="0"/>
    <d v="2023-12-16T00:00:00"/>
    <x v="1"/>
    <n v="66953"/>
    <n v="3025"/>
    <n v="477"/>
    <x v="0"/>
    <x v="408"/>
    <n v="4.5180947829074128E-2"/>
    <n v="0.56457851239669421"/>
    <n v="3.5803983228511527"/>
    <n v="22142.15"/>
    <n v="0.15768595041322314"/>
    <x v="0"/>
    <x v="2"/>
    <n v="2023"/>
    <s v="Tue"/>
    <n v="18"/>
  </r>
  <r>
    <s v="CMP-00565"/>
    <s v="Q2_Launch_CMP-00565"/>
    <d v="2023-01-25T00:00:00"/>
    <x v="11"/>
    <d v="2023-02-03T00:00:00"/>
    <x v="3"/>
    <n v="58458"/>
    <n v="2122"/>
    <n v="303"/>
    <x v="0"/>
    <x v="409"/>
    <n v="3.6299565500017103E-2"/>
    <n v="1.6714467483506126"/>
    <n v="11.705643564356436"/>
    <n v="11603.19"/>
    <n v="0.14278982092365694"/>
    <x v="2"/>
    <x v="1"/>
    <n v="2023"/>
    <s v="Wed"/>
    <n v="9"/>
  </r>
  <r>
    <s v="CMP-00566"/>
    <s v="Q2_Summer_CMP-00566"/>
    <d v="2023-03-05T00:00:00"/>
    <x v="5"/>
    <d v="2023-03-14T00:00:00"/>
    <x v="4"/>
    <n v="21358"/>
    <n v="479"/>
    <n v="29"/>
    <x v="0"/>
    <x v="410"/>
    <n v="2.2427193557449199E-2"/>
    <n v="1.0973486430062631"/>
    <n v="18.125172413793102"/>
    <n v="924.37"/>
    <n v="6.0542797494780795E-2"/>
    <x v="1"/>
    <x v="0"/>
    <n v="2023"/>
    <s v="Sun"/>
    <n v="9"/>
  </r>
  <r>
    <s v="CMP-00567"/>
    <s v="Q1_Summer_CMP-00567"/>
    <d v="2023-07-24T00:00:00"/>
    <x v="8"/>
    <d v="2023-07-25T00:00:00"/>
    <x v="4"/>
    <n v="4267"/>
    <n v="169"/>
    <n v="13"/>
    <x v="0"/>
    <x v="0"/>
    <n v="3.960628075931568E-2"/>
    <n v="1.9475295857988166"/>
    <n v="25.317884615384614"/>
    <n v="320.86750000000001"/>
    <n v="7.6923076923076927E-2"/>
    <x v="3"/>
    <x v="0"/>
    <n v="2023"/>
    <s v="Mon"/>
    <n v="1"/>
  </r>
  <r>
    <s v="CMP-00568"/>
    <s v="Q2_Summer_CMP-00568"/>
    <d v="2023-07-17T00:00:00"/>
    <x v="8"/>
    <d v="2023-08-09T00:00:00"/>
    <x v="4"/>
    <n v="83745"/>
    <n v="3567"/>
    <n v="312"/>
    <x v="0"/>
    <x v="10"/>
    <n v="4.2593587676876231E-2"/>
    <n v="1.0181553125876086"/>
    <n v="11.640256410256409"/>
    <n v="11968.24"/>
    <n v="8.7468460891505465E-2"/>
    <x v="3"/>
    <x v="0"/>
    <n v="2023"/>
    <s v="Mon"/>
    <n v="23"/>
  </r>
  <r>
    <s v="CMP-00569"/>
    <s v="Q2_Summer_CMP-00569"/>
    <d v="2023-12-21T00:00:00"/>
    <x v="2"/>
    <d v="2024-01-09T00:00:00"/>
    <x v="0"/>
    <n v="90588"/>
    <n v="3134"/>
    <n v="547"/>
    <x v="0"/>
    <x v="10"/>
    <n v="3.459619375634742E-2"/>
    <n v="1.1588257817485641"/>
    <n v="6.6394149908592315"/>
    <n v="23718.240000000002"/>
    <n v="0.17453733248245054"/>
    <x v="2"/>
    <x v="0"/>
    <n v="2023"/>
    <s v="Thu"/>
    <n v="19"/>
  </r>
  <r>
    <s v="CMP-00570"/>
    <s v="Q3_Launch_CMP-00570"/>
    <d v="2023-09-23T00:00:00"/>
    <x v="10"/>
    <d v="2023-10-09T00:00:00"/>
    <x v="4"/>
    <n v="39513"/>
    <n v="1482"/>
    <n v="177"/>
    <x v="1"/>
    <x v="411"/>
    <n v="3.750664338319034E-2"/>
    <n v="0.51209176788124156"/>
    <n v="4.2876836158192084"/>
    <n v="8091.08"/>
    <n v="0.1194331983805668"/>
    <x v="0"/>
    <x v="1"/>
    <n v="2023"/>
    <s v="Sat"/>
    <n v="16"/>
  </r>
  <r>
    <s v="CMP-00571"/>
    <s v="Q1_BlackFriday_CMP-00571"/>
    <d v="2023-06-08T00:00:00"/>
    <x v="9"/>
    <d v="2023-08-09T00:00:00"/>
    <x v="1"/>
    <n v="27092"/>
    <n v="677"/>
    <n v="83"/>
    <x v="0"/>
    <x v="412"/>
    <n v="2.4988926620404549E-2"/>
    <n v="1.9147562776957163"/>
    <n v="15.617951807228915"/>
    <n v="2853.71"/>
    <n v="0.12259970457902511"/>
    <x v="3"/>
    <x v="3"/>
    <n v="2023"/>
    <s v="Thu"/>
    <n v="62"/>
  </r>
  <r>
    <s v="CMP-00572"/>
    <s v="Q2_Launch_CMP-00572"/>
    <d v="2023-11-05T00:00:00"/>
    <x v="0"/>
    <d v="2023-11-29T00:00:00"/>
    <x v="3"/>
    <n v="12338"/>
    <n v="389"/>
    <n v="74"/>
    <x v="0"/>
    <x v="413"/>
    <n v="3.1528610795915062E-2"/>
    <n v="0.85570694087403598"/>
    <n v="4.4982432432432429"/>
    <n v="3367.13"/>
    <n v="0.19023136246786632"/>
    <x v="0"/>
    <x v="1"/>
    <n v="2023"/>
    <s v="Sun"/>
    <n v="24"/>
  </r>
  <r>
    <s v="CMP-00573"/>
    <s v="Q2_Winter_CMP-00573"/>
    <d v="2023-05-31T00:00:00"/>
    <x v="1"/>
    <d v="2023-06-23T00:00:00"/>
    <x v="4"/>
    <n v="1412"/>
    <n v="43"/>
    <n v="6"/>
    <x v="0"/>
    <x v="0"/>
    <n v="3.0453257790368272E-2"/>
    <n v="7.6542441860465118"/>
    <n v="54.855416666666663"/>
    <n v="-29.132499999999993"/>
    <n v="0.13953488372093023"/>
    <x v="1"/>
    <x v="2"/>
    <n v="2023"/>
    <s v="Wed"/>
    <n v="23"/>
  </r>
  <r>
    <s v="CMP-00574"/>
    <s v="Q4_BlackFriday_CMP-00574"/>
    <d v="2023-12-05T00:00:00"/>
    <x v="2"/>
    <d v="2023-12-10T00:00:00"/>
    <x v="4"/>
    <n v="8543"/>
    <n v="375"/>
    <n v="69"/>
    <x v="1"/>
    <x v="414"/>
    <n v="4.3895587030317221E-2"/>
    <n v="1.6521866666666667"/>
    <n v="8.979275362318841"/>
    <n v="2830.43"/>
    <n v="0.184"/>
    <x v="2"/>
    <x v="3"/>
    <n v="2023"/>
    <s v="Tue"/>
    <n v="5"/>
  </r>
  <r>
    <s v="CMP-00575"/>
    <s v="Q3_Winter_CMP-00575"/>
    <d v="2023-08-07T00:00:00"/>
    <x v="7"/>
    <d v="2023-08-14T00:00:00"/>
    <x v="1"/>
    <n v="34496"/>
    <n v="1503"/>
    <n v="178"/>
    <x v="1"/>
    <x v="415"/>
    <n v="4.357026901669759E-2"/>
    <n v="1.2507185628742514"/>
    <n v="10.560842696629214"/>
    <n v="7020.17"/>
    <n v="0.11842980705256155"/>
    <x v="3"/>
    <x v="2"/>
    <n v="2023"/>
    <s v="Mon"/>
    <n v="7"/>
  </r>
  <r>
    <s v="CMP-00576"/>
    <s v="Q1_Launch_CMP-00576"/>
    <d v="2023-08-17T00:00:00"/>
    <x v="7"/>
    <d v="2023-08-20T00:00:00"/>
    <x v="1"/>
    <n v="61692"/>
    <n v="2671"/>
    <n v="193"/>
    <x v="1"/>
    <x v="416"/>
    <n v="4.3295727160733967E-2"/>
    <n v="1.1506551853238487"/>
    <n v="15.924352331606219"/>
    <n v="6576.6"/>
    <n v="7.2257581430175966E-2"/>
    <x v="3"/>
    <x v="1"/>
    <n v="2023"/>
    <s v="Thu"/>
    <n v="3"/>
  </r>
  <r>
    <s v="CMP-00577"/>
    <s v="Q4_Launch_CMP-00577"/>
    <d v="2023-06-30T00:00:00"/>
    <x v="9"/>
    <d v="2023-07-13T00:00:00"/>
    <x v="1"/>
    <n v="90084"/>
    <n v="940"/>
    <n v="178"/>
    <x v="1"/>
    <x v="417"/>
    <n v="1.0434705386084099E-2"/>
    <n v="0.87425531914893617"/>
    <n v="4.6168539325842692"/>
    <n v="8078.2"/>
    <n v="0.18936170212765957"/>
    <x v="3"/>
    <x v="1"/>
    <n v="2023"/>
    <s v="Fri"/>
    <n v="13"/>
  </r>
  <r>
    <s v="CMP-00578"/>
    <s v="Q1_Summer_CMP-00578"/>
    <d v="2023-11-24T00:00:00"/>
    <x v="0"/>
    <d v="2023-12-16T00:00:00"/>
    <x v="0"/>
    <n v="93920"/>
    <n v="3755"/>
    <n v="446"/>
    <x v="0"/>
    <x v="10"/>
    <n v="3.998083475298126E-2"/>
    <n v="0.96717976031957387"/>
    <n v="8.1429596412556045"/>
    <n v="18668.240000000002"/>
    <n v="0.11877496671105194"/>
    <x v="0"/>
    <x v="0"/>
    <n v="2023"/>
    <s v="Fri"/>
    <n v="22"/>
  </r>
  <r>
    <s v="CMP-00579"/>
    <s v="Q2_BlackFriday_CMP-00579"/>
    <d v="2023-02-08T00:00:00"/>
    <x v="6"/>
    <d v="2023-02-21T00:00:00"/>
    <x v="0"/>
    <n v="45425"/>
    <n v="1832"/>
    <n v="141"/>
    <x v="0"/>
    <x v="418"/>
    <n v="4.0330214639515687E-2"/>
    <n v="0.91157751091703054"/>
    <n v="11.844042553191489"/>
    <n v="5379.99"/>
    <n v="7.6965065502183405E-2"/>
    <x v="2"/>
    <x v="3"/>
    <n v="2023"/>
    <s v="Wed"/>
    <n v="13"/>
  </r>
  <r>
    <s v="CMP-00580"/>
    <s v="Q1_Summer_CMP-00580"/>
    <d v="2023-09-20T00:00:00"/>
    <x v="10"/>
    <d v="2023-09-21T00:00:00"/>
    <x v="0"/>
    <n v="39756"/>
    <n v="1476"/>
    <n v="140"/>
    <x v="0"/>
    <x v="419"/>
    <n v="3.712647147600362E-2"/>
    <n v="1.8523712737127371"/>
    <n v="19.529285714285713"/>
    <n v="4265.8999999999996"/>
    <n v="9.4850948509485097E-2"/>
    <x v="0"/>
    <x v="0"/>
    <n v="2023"/>
    <s v="Wed"/>
    <n v="1"/>
  </r>
  <r>
    <s v="CMP-00581"/>
    <s v="Q4_Winter_CMP-00581"/>
    <d v="2023-01-16T00:00:00"/>
    <x v="11"/>
    <d v="2023-01-18T00:00:00"/>
    <x v="4"/>
    <n v="19888"/>
    <n v="800"/>
    <n v="46"/>
    <x v="1"/>
    <x v="420"/>
    <n v="4.0225261464199517E-2"/>
    <n v="0.82281249999999995"/>
    <n v="14.309782608695652"/>
    <n v="1641.75"/>
    <n v="5.7500000000000002E-2"/>
    <x v="2"/>
    <x v="2"/>
    <n v="2023"/>
    <s v="Mon"/>
    <n v="2"/>
  </r>
  <r>
    <s v="CMP-00582"/>
    <s v="Q1_BlackFriday_CMP-00582"/>
    <d v="2023-08-13T00:00:00"/>
    <x v="7"/>
    <d v="2023-08-29T00:00:00"/>
    <x v="0"/>
    <n v="36735"/>
    <n v="1604"/>
    <n v="192"/>
    <x v="0"/>
    <x v="421"/>
    <n v="4.3664080577106301E-2"/>
    <n v="1.8265336658354117"/>
    <n v="15.259166666666667"/>
    <n v="6670.24"/>
    <n v="0.11970074812967581"/>
    <x v="3"/>
    <x v="3"/>
    <n v="2023"/>
    <s v="Sun"/>
    <n v="16"/>
  </r>
  <r>
    <s v="CMP-00583"/>
    <s v="Q1_Winter_CMP-00583"/>
    <d v="2023-02-04T00:00:00"/>
    <x v="6"/>
    <d v="2023-02-18T00:00:00"/>
    <x v="1"/>
    <n v="48295"/>
    <n v="1391"/>
    <n v="247"/>
    <x v="1"/>
    <x v="422"/>
    <n v="2.8802153432032303E-2"/>
    <n v="1.3391085549964055"/>
    <n v="7.5412955465587048"/>
    <n v="10487.3"/>
    <n v="0.17757009345794392"/>
    <x v="2"/>
    <x v="2"/>
    <n v="2023"/>
    <s v="Sat"/>
    <n v="14"/>
  </r>
  <r>
    <s v="CMP-00584"/>
    <s v="Q3_BlackFriday_CMP-00584"/>
    <d v="2023-07-05T00:00:00"/>
    <x v="8"/>
    <d v="2023-08-01T00:00:00"/>
    <x v="1"/>
    <n v="84042"/>
    <n v="2528"/>
    <m/>
    <x v="0"/>
    <x v="10"/>
    <n v="3.0080197996239975E-2"/>
    <n v="1.4366139240506328"/>
    <n v="0"/>
    <n v="-3631.7599999999998"/>
    <n v="0"/>
    <x v="3"/>
    <x v="3"/>
    <n v="2023"/>
    <s v="Wed"/>
    <n v="27"/>
  </r>
  <r>
    <s v="CMP-00585"/>
    <s v="Q4_BlackFriday_CMP-00585"/>
    <d v="2023-11-06T00:00:00"/>
    <x v="0"/>
    <d v="2023-11-21T00:00:00"/>
    <x v="3"/>
    <n v="86999"/>
    <n v="1303"/>
    <n v="247"/>
    <x v="0"/>
    <x v="423"/>
    <n v="1.4977183645789031E-2"/>
    <n v="1.569270913277053"/>
    <n v="8.2783805668016193"/>
    <n v="10305.24"/>
    <n v="0.18956254796623176"/>
    <x v="0"/>
    <x v="3"/>
    <n v="2023"/>
    <s v="Mon"/>
    <n v="15"/>
  </r>
  <r>
    <s v="CMP-00586"/>
    <s v="Q1_Winter_CMP-00586"/>
    <d v="2023-07-09T00:00:00"/>
    <x v="8"/>
    <d v="2023-07-23T00:00:00"/>
    <x v="2"/>
    <n v="18955"/>
    <n v="481"/>
    <n v="33"/>
    <x v="0"/>
    <x v="424"/>
    <n v="2.5375890266420471E-2"/>
    <n v="1.5450519750519749"/>
    <n v="22.52030303030303"/>
    <n v="906.83"/>
    <n v="6.8607068607068611E-2"/>
    <x v="3"/>
    <x v="2"/>
    <n v="2023"/>
    <s v="Sun"/>
    <n v="14"/>
  </r>
  <r>
    <s v="CMP-00587"/>
    <s v="Q3_Summer_CMP-00587"/>
    <d v="2023-10-21T00:00:00"/>
    <x v="3"/>
    <d v="2023-10-27T00:00:00"/>
    <x v="4"/>
    <n v="38841"/>
    <n v="1387"/>
    <n v="148"/>
    <x v="1"/>
    <x v="425"/>
    <n v="3.5709688216060347E-2"/>
    <n v="0.98651766402307139"/>
    <n v="9.2452702702702698"/>
    <n v="6031.7"/>
    <n v="0.10670511896178803"/>
    <x v="0"/>
    <x v="0"/>
    <n v="2023"/>
    <s v="Sat"/>
    <n v="6"/>
  </r>
  <r>
    <s v="CMP-00588"/>
    <s v="Q2_BlackFriday_CMP-00588"/>
    <d v="2023-06-10T00:00:00"/>
    <x v="9"/>
    <d v="2023-06-11T00:00:00"/>
    <x v="4"/>
    <n v="71640"/>
    <n v="2952"/>
    <m/>
    <x v="1"/>
    <x v="426"/>
    <n v="4.1206030150753768E-2"/>
    <n v="0.85084688346883464"/>
    <n v="0"/>
    <n v="-2511.6999999999998"/>
    <n v="0"/>
    <x v="3"/>
    <x v="3"/>
    <n v="2023"/>
    <s v="Sat"/>
    <n v="1"/>
  </r>
  <r>
    <s v="CMP-00589"/>
    <s v="Q4_Summer_CMP-00589"/>
    <d v="2023-02-28T00:00:00"/>
    <x v="6"/>
    <d v="2023-03-19T00:00:00"/>
    <x v="0"/>
    <n v="66510"/>
    <n v="1242"/>
    <n v="221"/>
    <x v="0"/>
    <x v="427"/>
    <n v="1.8673883626522326E-2"/>
    <n v="0.81632850241545896"/>
    <n v="4.5876923076923077"/>
    <n v="10036.120000000001"/>
    <n v="0.177938808373591"/>
    <x v="2"/>
    <x v="0"/>
    <n v="2023"/>
    <s v="Tue"/>
    <n v="19"/>
  </r>
  <r>
    <s v="CMP-00590"/>
    <s v="Q1_Launch_CMP-00590"/>
    <d v="2023-04-06T00:00:00"/>
    <x v="4"/>
    <d v="2023-05-05T00:00:00"/>
    <x v="1"/>
    <n v="35911"/>
    <n v="557"/>
    <n v="57"/>
    <x v="1"/>
    <x v="428"/>
    <n v="1.5510567792598368E-2"/>
    <n v="1.7857809694793536"/>
    <n v="17.450526315789475"/>
    <n v="1855.3200000000002"/>
    <n v="0.10233393177737882"/>
    <x v="1"/>
    <x v="1"/>
    <n v="2023"/>
    <s v="Thu"/>
    <n v="29"/>
  </r>
  <r>
    <s v="CMP-00591"/>
    <s v="Q3_Summer_CMP-00591"/>
    <d v="2023-10-15T00:00:00"/>
    <x v="3"/>
    <d v="2023-10-17T00:00:00"/>
    <x v="1"/>
    <n v="60031"/>
    <n v="2192"/>
    <n v="317"/>
    <x v="0"/>
    <x v="10"/>
    <n v="3.6514467525112025E-2"/>
    <n v="1.6568248175182481"/>
    <n v="11.456656151419558"/>
    <n v="12218.24"/>
    <n v="0.14461678832116789"/>
    <x v="0"/>
    <x v="0"/>
    <n v="2023"/>
    <s v="Sun"/>
    <n v="2"/>
  </r>
  <r>
    <s v="CMP-00592"/>
    <s v="Q1_BlackFriday_CMP-00592"/>
    <d v="2023-12-27T00:00:00"/>
    <x v="2"/>
    <d v="2024-01-18T00:00:00"/>
    <x v="4"/>
    <n v="89726"/>
    <n v="904"/>
    <n v="142"/>
    <x v="0"/>
    <x v="429"/>
    <n v="1.0075117580188574E-2"/>
    <n v="1.1608628318584071"/>
    <n v="7.3902816901408457"/>
    <n v="6050.58"/>
    <n v="0.15707964601769911"/>
    <x v="2"/>
    <x v="3"/>
    <n v="2023"/>
    <s v="Wed"/>
    <n v="22"/>
  </r>
  <r>
    <s v="CMP-00593"/>
    <s v="Q4_BlackFriday_CMP-00593"/>
    <d v="2023-05-27T00:00:00"/>
    <x v="1"/>
    <d v="2023-05-30T00:00:00"/>
    <x v="2"/>
    <n v="8357"/>
    <n v="143"/>
    <n v="16"/>
    <x v="0"/>
    <x v="0"/>
    <n v="1.7111403613736986E-2"/>
    <n v="2.3016258741258739"/>
    <n v="20.57078125"/>
    <n v="470.86750000000001"/>
    <n v="0.11188811188811189"/>
    <x v="1"/>
    <x v="3"/>
    <n v="2023"/>
    <s v="Sat"/>
    <n v="3"/>
  </r>
  <r>
    <s v="CMP-00594"/>
    <s v="Q2_BlackFriday_CMP-00594"/>
    <d v="2023-04-13T00:00:00"/>
    <x v="4"/>
    <d v="2023-05-08T00:00:00"/>
    <x v="3"/>
    <n v="33479"/>
    <n v="373"/>
    <n v="35"/>
    <x v="1"/>
    <x v="430"/>
    <n v="1.1141312464530003E-2"/>
    <n v="1.0733780160857909"/>
    <n v="11.439142857142857"/>
    <n v="1349.63"/>
    <n v="9.3833780160857902E-2"/>
    <x v="1"/>
    <x v="3"/>
    <n v="2023"/>
    <s v="Thu"/>
    <n v="25"/>
  </r>
  <r>
    <s v="CMP-00595"/>
    <s v="Q1_Winter_CMP-00595"/>
    <d v="2023-08-20T00:00:00"/>
    <x v="7"/>
    <d v="2023-09-18T00:00:00"/>
    <x v="1"/>
    <n v="62476"/>
    <n v="1041"/>
    <n v="202"/>
    <x v="1"/>
    <x v="431"/>
    <n v="1.6662398360970613E-2"/>
    <n v="1.429010566762728"/>
    <n v="7.3643564356435638"/>
    <n v="8612.4"/>
    <n v="0.19404418828049952"/>
    <x v="3"/>
    <x v="2"/>
    <n v="2023"/>
    <s v="Sun"/>
    <n v="29"/>
  </r>
  <r>
    <s v="CMP-00596"/>
    <s v="Q2_BlackFriday_CMP-00596"/>
    <d v="2023-02-14T00:00:00"/>
    <x v="6"/>
    <d v="2023-02-23T00:00:00"/>
    <x v="2"/>
    <n v="45811"/>
    <n v="790"/>
    <n v="153"/>
    <x v="0"/>
    <x v="432"/>
    <n v="1.7244766540787146E-2"/>
    <n v="1.1816075949367089"/>
    <n v="6.1011111111111109"/>
    <n v="6716.53"/>
    <n v="0.19367088607594937"/>
    <x v="2"/>
    <x v="3"/>
    <n v="2023"/>
    <s v="Tue"/>
    <n v="9"/>
  </r>
  <r>
    <s v="CMP-00597"/>
    <s v="Q1_Winter_CMP-00597"/>
    <d v="2023-06-13T00:00:00"/>
    <x v="9"/>
    <d v="2023-07-06T00:00:00"/>
    <x v="4"/>
    <n v="37208"/>
    <n v="949"/>
    <n v="88"/>
    <x v="1"/>
    <x v="433"/>
    <n v="2.5505267684368952E-2"/>
    <n v="1.6702845100105372"/>
    <n v="18.012499999999999"/>
    <n v="2814.9"/>
    <n v="9.2729188619599584E-2"/>
    <x v="3"/>
    <x v="2"/>
    <n v="2023"/>
    <s v="Tue"/>
    <n v="23"/>
  </r>
  <r>
    <s v="CMP-00598"/>
    <s v="Q4_Summer_CMP-00598"/>
    <d v="2023-10-09T00:00:00"/>
    <x v="3"/>
    <d v="2023-10-19T00:00:00"/>
    <x v="2"/>
    <n v="21150"/>
    <n v="551"/>
    <n v="67"/>
    <x v="0"/>
    <x v="434"/>
    <n v="2.6052009456264777E-2"/>
    <n v="1.996442831215971"/>
    <n v="16.418507462686566"/>
    <n v="2249.96"/>
    <n v="0.12159709618874773"/>
    <x v="0"/>
    <x v="0"/>
    <n v="2023"/>
    <s v="Mon"/>
    <n v="10"/>
  </r>
  <r>
    <s v="CMP-00599"/>
    <s v="Q1_BlackFriday_CMP-00599"/>
    <d v="2023-03-22T00:00:00"/>
    <x v="5"/>
    <d v="2023-04-15T00:00:00"/>
    <x v="0"/>
    <n v="72180"/>
    <n v="3245"/>
    <n v="635"/>
    <x v="1"/>
    <x v="435"/>
    <n v="4.4957051814907174E-2"/>
    <n v="0.78669953775038526"/>
    <n v="4.0202204724409452"/>
    <n v="29197.16"/>
    <n v="0.19568567026194145"/>
    <x v="1"/>
    <x v="3"/>
    <n v="2023"/>
    <s v="Wed"/>
    <n v="24"/>
  </r>
  <r>
    <s v="CMP-00600"/>
    <s v="Q1_Launch_CMP-00600"/>
    <d v="2023-11-23T00:00:00"/>
    <x v="0"/>
    <d v="2023-12-09T00:00:00"/>
    <x v="4"/>
    <n v="44286"/>
    <n v="1346"/>
    <n v="68"/>
    <x v="1"/>
    <x v="436"/>
    <n v="3.0393352300952896E-2"/>
    <n v="1.1894799405646359"/>
    <n v="23.54470588235294"/>
    <n v="1798.96"/>
    <n v="5.0520059435364043E-2"/>
    <x v="0"/>
    <x v="1"/>
    <n v="2023"/>
    <s v="Thu"/>
    <n v="16"/>
  </r>
  <r>
    <s v="CMP-00601"/>
    <s v="Q1_Launch_CMP-00601"/>
    <d v="2023-04-25T00:00:00"/>
    <x v="4"/>
    <d v="2023-05-02T00:00:00"/>
    <x v="4"/>
    <n v="69450"/>
    <n v="2704"/>
    <n v="302"/>
    <x v="1"/>
    <x v="437"/>
    <n v="3.8934485241180705E-2"/>
    <n v="1.1464755917159763"/>
    <n v="10.265132450331127"/>
    <n v="11999.93"/>
    <n v="0.11168639053254438"/>
    <x v="1"/>
    <x v="1"/>
    <n v="2023"/>
    <s v="Tue"/>
    <n v="7"/>
  </r>
  <r>
    <s v="CMP-00602"/>
    <s v="Q2_BlackFriday_CMP-00602"/>
    <d v="2023-03-13T00:00:00"/>
    <x v="5"/>
    <d v="2023-04-08T00:00:00"/>
    <x v="4"/>
    <n v="22352"/>
    <n v="316"/>
    <n v="20"/>
    <x v="0"/>
    <x v="0"/>
    <n v="1.4137437365783823E-2"/>
    <n v="1.0415585443037974"/>
    <n v="16.456624999999999"/>
    <n v="670.86750000000006"/>
    <n v="6.3291139240506333E-2"/>
    <x v="1"/>
    <x v="3"/>
    <n v="2023"/>
    <s v="Mon"/>
    <n v="26"/>
  </r>
  <r>
    <s v="CMP-00603"/>
    <s v="Q1_Summer_CMP-00603"/>
    <d v="2023-07-04T00:00:00"/>
    <x v="8"/>
    <d v="2023-07-13T00:00:00"/>
    <x v="4"/>
    <n v="56069"/>
    <n v="1066"/>
    <n v="134"/>
    <x v="0"/>
    <x v="438"/>
    <n v="1.9012288430326919E-2"/>
    <n v="0.79713883677298314"/>
    <n v="6.3414179104477615"/>
    <n v="5850.25"/>
    <n v="0.12570356472795496"/>
    <x v="3"/>
    <x v="0"/>
    <n v="2023"/>
    <s v="Tue"/>
    <n v="9"/>
  </r>
  <r>
    <s v="CMP-00604"/>
    <s v="Q1_Launch_CMP-00604"/>
    <d v="2023-10-10T00:00:00"/>
    <x v="3"/>
    <d v="2023-10-11T00:00:00"/>
    <x v="0"/>
    <n v="15397"/>
    <n v="586"/>
    <n v="31"/>
    <x v="0"/>
    <x v="439"/>
    <n v="3.8059362213418199E-2"/>
    <n v="0.59853242320819111"/>
    <n v="11.314193548387097"/>
    <n v="1199.26"/>
    <n v="5.2901023890784986E-2"/>
    <x v="0"/>
    <x v="1"/>
    <n v="2023"/>
    <s v="Tue"/>
    <n v="1"/>
  </r>
  <r>
    <s v="CMP-00605"/>
    <s v="Q2_BlackFriday_CMP-00605"/>
    <d v="2023-02-03T00:00:00"/>
    <x v="6"/>
    <d v="2023-02-25T00:00:00"/>
    <x v="2"/>
    <n v="42555"/>
    <n v="515"/>
    <n v="57"/>
    <x v="0"/>
    <x v="440"/>
    <n v="1.2101985665609211E-2"/>
    <n v="1.8306796116504853"/>
    <n v="16.540350877192981"/>
    <n v="1907.2"/>
    <n v="0.11067961165048544"/>
    <x v="2"/>
    <x v="3"/>
    <n v="2023"/>
    <s v="Fri"/>
    <n v="22"/>
  </r>
  <r>
    <s v="CMP-00606"/>
    <s v="Q4_Launch_CMP-00606"/>
    <d v="2023-09-03T00:00:00"/>
    <x v="10"/>
    <d v="2023-09-12T00:00:00"/>
    <x v="2"/>
    <n v="47959"/>
    <n v="1413"/>
    <n v="117"/>
    <x v="0"/>
    <x v="441"/>
    <n v="2.9462666027231594E-2"/>
    <n v="1.1297735314932766"/>
    <n v="13.644188034188033"/>
    <n v="4253.63"/>
    <n v="8.2802547770700632E-2"/>
    <x v="0"/>
    <x v="1"/>
    <n v="2023"/>
    <s v="Sun"/>
    <n v="9"/>
  </r>
  <r>
    <s v="CMP-00607"/>
    <s v="Q3_Winter_CMP-00607"/>
    <d v="2023-10-22T00:00:00"/>
    <x v="3"/>
    <d v="2023-11-19T00:00:00"/>
    <x v="2"/>
    <n v="1728"/>
    <n v="58"/>
    <n v="7"/>
    <x v="1"/>
    <x v="0"/>
    <n v="3.3564814814814818E-2"/>
    <n v="5.6746982758620685"/>
    <n v="47.018928571428567"/>
    <n v="20.867500000000007"/>
    <n v="0.1206896551724138"/>
    <x v="0"/>
    <x v="2"/>
    <n v="2023"/>
    <s v="Sun"/>
    <n v="28"/>
  </r>
  <r>
    <s v="CMP-00608"/>
    <s v="Q1_Summer_CMP-00608"/>
    <d v="2023-06-12T00:00:00"/>
    <x v="9"/>
    <d v="2023-06-19T00:00:00"/>
    <x v="2"/>
    <n v="51517"/>
    <n v="1755"/>
    <n v="349"/>
    <x v="0"/>
    <x v="442"/>
    <n v="3.4066424675349885E-2"/>
    <n v="1.8754131054131054"/>
    <n v="9.4308022922636106"/>
    <n v="14158.65"/>
    <n v="0.19886039886039886"/>
    <x v="3"/>
    <x v="0"/>
    <n v="2023"/>
    <s v="Mon"/>
    <n v="7"/>
  </r>
  <r>
    <s v="CMP-00609"/>
    <s v="Q1_Winter_CMP-00609"/>
    <d v="2023-12-15T00:00:00"/>
    <x v="2"/>
    <d v="2023-12-23T00:00:00"/>
    <x v="2"/>
    <n v="67234"/>
    <n v="734"/>
    <n v="124"/>
    <x v="0"/>
    <x v="443"/>
    <n v="1.0917095517149061E-2"/>
    <n v="1.6644414168937329"/>
    <n v="9.8524193548387107"/>
    <n v="4978.3"/>
    <n v="0.16893732970027248"/>
    <x v="2"/>
    <x v="2"/>
    <n v="2023"/>
    <s v="Fri"/>
    <n v="8"/>
  </r>
  <r>
    <s v="CMP-00610"/>
    <s v="Q4_Summer_CMP-00610"/>
    <d v="2023-10-10T00:00:00"/>
    <x v="3"/>
    <d v="2023-11-02T00:00:00"/>
    <x v="0"/>
    <n v="40954"/>
    <n v="937"/>
    <n v="165"/>
    <x v="1"/>
    <x v="444"/>
    <n v="2.2879328026566392E-2"/>
    <n v="0.69575240128068294"/>
    <n v="3.9510303030303029"/>
    <n v="7598.08"/>
    <n v="0.17609391675560299"/>
    <x v="0"/>
    <x v="0"/>
    <n v="2023"/>
    <s v="Tue"/>
    <n v="23"/>
  </r>
  <r>
    <s v="CMP-00611"/>
    <s v="Q4_Summer_CMP-00611"/>
    <d v="2023-03-08T00:00:00"/>
    <x v="5"/>
    <d v="2023-03-23T00:00:00"/>
    <x v="2"/>
    <n v="48280"/>
    <n v="1711"/>
    <m/>
    <x v="0"/>
    <x v="445"/>
    <n v="3.5439105219552611E-2"/>
    <n v="1.3481297486849797"/>
    <n v="0"/>
    <n v="-2306.65"/>
    <n v="0"/>
    <x v="1"/>
    <x v="0"/>
    <n v="2023"/>
    <s v="Wed"/>
    <n v="15"/>
  </r>
  <r>
    <s v="CMP-00612"/>
    <s v="Q4_Launch_CMP-00612"/>
    <d v="2023-01-29T00:00:00"/>
    <x v="11"/>
    <d v="2023-02-24T00:00:00"/>
    <x v="0"/>
    <n v="80459"/>
    <n v="1284"/>
    <n v="72"/>
    <x v="0"/>
    <x v="446"/>
    <n v="1.595843845933954E-2"/>
    <n v="1.1633800623052959"/>
    <n v="20.746944444444445"/>
    <n v="2106.2200000000003"/>
    <n v="5.6074766355140186E-2"/>
    <x v="2"/>
    <x v="1"/>
    <n v="2023"/>
    <s v="Sun"/>
    <n v="26"/>
  </r>
  <r>
    <s v="CMP-00613"/>
    <s v="Q2_Launch_CMP-00613"/>
    <d v="2023-06-05T00:00:00"/>
    <x v="9"/>
    <d v="2023-06-06T00:00:00"/>
    <x v="1"/>
    <n v="17779"/>
    <n v="672"/>
    <n v="54"/>
    <x v="1"/>
    <x v="447"/>
    <n v="3.7797401428651782E-2"/>
    <n v="1.6958184523809523"/>
    <n v="21.103518518518516"/>
    <n v="1560.41"/>
    <n v="8.0357142857142863E-2"/>
    <x v="3"/>
    <x v="1"/>
    <n v="2023"/>
    <s v="Mon"/>
    <n v="1"/>
  </r>
  <r>
    <s v="CMP-00614"/>
    <s v="Q4_Winter_CMP-00614"/>
    <d v="2023-12-30T00:00:00"/>
    <x v="2"/>
    <d v="2024-01-20T00:00:00"/>
    <x v="4"/>
    <n v="64932"/>
    <n v="2586"/>
    <m/>
    <x v="0"/>
    <x v="10"/>
    <n v="3.982627980040658E-2"/>
    <n v="1.4043928847641143"/>
    <n v="0"/>
    <n v="-3631.7599999999998"/>
    <n v="0"/>
    <x v="2"/>
    <x v="2"/>
    <n v="2023"/>
    <s v="Sat"/>
    <n v="21"/>
  </r>
  <r>
    <s v="CMP-00615"/>
    <s v="Q1_Launch_CMP-00615"/>
    <d v="2023-09-23T00:00:00"/>
    <x v="10"/>
    <d v="2023-09-25T00:00:00"/>
    <x v="3"/>
    <n v="73936"/>
    <n v="3643"/>
    <n v="382"/>
    <x v="0"/>
    <x v="10"/>
    <n v="4.9272343648560916E-2"/>
    <n v="0.99691463079879217"/>
    <n v="9.5072251308900526"/>
    <n v="15468.24"/>
    <n v="0.10485863299478451"/>
    <x v="0"/>
    <x v="1"/>
    <n v="2023"/>
    <s v="Sat"/>
    <n v="2"/>
  </r>
  <r>
    <s v="CMP-00616"/>
    <s v="Q1_BlackFriday_CMP-00616"/>
    <d v="2023-05-09T00:00:00"/>
    <x v="1"/>
    <d v="2023-06-06T00:00:00"/>
    <x v="4"/>
    <n v="25466"/>
    <n v="468"/>
    <n v="30"/>
    <x v="1"/>
    <x v="448"/>
    <n v="1.8377444435718211E-2"/>
    <n v="1.0108119658119659"/>
    <n v="15.768666666666666"/>
    <n v="1026.94"/>
    <n v="6.4102564102564097E-2"/>
    <x v="1"/>
    <x v="3"/>
    <n v="2023"/>
    <s v="Tue"/>
    <n v="28"/>
  </r>
  <r>
    <s v="CMP-00617"/>
    <s v="Q3_Winter_CMP-00617"/>
    <d v="2023-05-21T00:00:00"/>
    <x v="1"/>
    <d v="2023-06-09T00:00:00"/>
    <x v="0"/>
    <n v="37939"/>
    <n v="1631"/>
    <n v="253"/>
    <x v="1"/>
    <x v="449"/>
    <n v="4.2990062995861777E-2"/>
    <n v="1.7074432863274065"/>
    <n v="11.007272727272728"/>
    <n v="9865.16"/>
    <n v="0.15511955855303494"/>
    <x v="1"/>
    <x v="2"/>
    <n v="2023"/>
    <s v="Sun"/>
    <n v="19"/>
  </r>
  <r>
    <s v="CMP-00618"/>
    <s v="Q3_Launch_CMP-00618"/>
    <d v="2023-01-10T00:00:00"/>
    <x v="11"/>
    <d v="2023-10-28T00:00:00"/>
    <x v="1"/>
    <n v="70896"/>
    <n v="2184"/>
    <n v="207"/>
    <x v="1"/>
    <x v="450"/>
    <n v="3.0805687203791468E-2"/>
    <n v="0.57858516483516487"/>
    <n v="6.1044927536231892"/>
    <n v="9086.369999999999"/>
    <n v="9.4780219780219777E-2"/>
    <x v="2"/>
    <x v="1"/>
    <n v="2023"/>
    <s v="Tue"/>
    <n v="291"/>
  </r>
  <r>
    <s v="CMP-00619"/>
    <s v="Q1_Winter_CMP-00619"/>
    <d v="2023-11-25T00:00:00"/>
    <x v="0"/>
    <d v="2023-12-23T00:00:00"/>
    <x v="0"/>
    <n v="36270"/>
    <n v="904"/>
    <n v="81"/>
    <x v="0"/>
    <x v="451"/>
    <n v="2.492417976288944E-2"/>
    <n v="0.73943584070796464"/>
    <n v="8.2524691358024693"/>
    <n v="3381.55"/>
    <n v="8.9601769911504425E-2"/>
    <x v="0"/>
    <x v="2"/>
    <n v="2023"/>
    <s v="Sat"/>
    <n v="28"/>
  </r>
  <r>
    <s v="CMP-00620"/>
    <s v="Q2_Summer_CMP-00620"/>
    <d v="2023-03-20T00:00:00"/>
    <x v="5"/>
    <d v="2023-04-03T00:00:00"/>
    <x v="4"/>
    <n v="60163"/>
    <n v="896"/>
    <m/>
    <x v="0"/>
    <x v="452"/>
    <n v="1.4892874357994116E-2"/>
    <n v="1.0034375"/>
    <n v="0"/>
    <n v="-899.08"/>
    <n v="0"/>
    <x v="1"/>
    <x v="0"/>
    <n v="2023"/>
    <s v="Mon"/>
    <n v="14"/>
  </r>
  <r>
    <s v="CMP-00621"/>
    <s v="Q1_Winter_CMP-00621"/>
    <d v="2023-11-06T00:00:00"/>
    <x v="0"/>
    <d v="2023-11-24T00:00:00"/>
    <x v="4"/>
    <n v="83637"/>
    <n v="3296"/>
    <n v="589"/>
    <x v="0"/>
    <x v="453"/>
    <n v="3.9408395805684088E-2"/>
    <n v="0.61521237864077671"/>
    <n v="3.4426825127334464"/>
    <n v="27422.26"/>
    <n v="0.1787014563106796"/>
    <x v="0"/>
    <x v="2"/>
    <n v="2023"/>
    <s v="Mon"/>
    <n v="18"/>
  </r>
  <r>
    <s v="CMP-00622"/>
    <s v="Q4_Summer_CMP-00622"/>
    <d v="2023-01-22T00:00:00"/>
    <x v="11"/>
    <d v="2023-02-14T00:00:00"/>
    <x v="3"/>
    <n v="52934"/>
    <n v="1028"/>
    <n v="114"/>
    <x v="0"/>
    <x v="454"/>
    <n v="1.9420410322288133E-2"/>
    <n v="0.85249027237354091"/>
    <n v="7.6873684210526321"/>
    <n v="4823.6400000000003"/>
    <n v="0.11089494163424124"/>
    <x v="2"/>
    <x v="0"/>
    <n v="2023"/>
    <s v="Sun"/>
    <n v="23"/>
  </r>
  <r>
    <s v="CMP-00623"/>
    <s v="Q1_Winter_CMP-00623"/>
    <d v="2023-01-24T00:00:00"/>
    <x v="11"/>
    <d v="2023-02-09T00:00:00"/>
    <x v="1"/>
    <n v="65895"/>
    <n v="1637"/>
    <n v="322"/>
    <x v="1"/>
    <x v="455"/>
    <n v="2.484255254571667E-2"/>
    <n v="1.7452290775809407"/>
    <n v="8.87248447204969"/>
    <n v="13243.06"/>
    <n v="0.19670128283445326"/>
    <x v="2"/>
    <x v="2"/>
    <n v="2023"/>
    <s v="Tue"/>
    <n v="16"/>
  </r>
  <r>
    <s v="CMP-00624"/>
    <s v="Q1_Summer_CMP-00624"/>
    <d v="2023-05-16T00:00:00"/>
    <x v="1"/>
    <d v="2023-06-11T00:00:00"/>
    <x v="1"/>
    <n v="33307"/>
    <n v="416"/>
    <n v="61"/>
    <x v="0"/>
    <x v="456"/>
    <n v="1.2489866994925991E-2"/>
    <n v="1.9223798076923078"/>
    <n v="13.110000000000001"/>
    <n v="2250.29"/>
    <n v="0.14663461538461539"/>
    <x v="1"/>
    <x v="0"/>
    <n v="2023"/>
    <s v="Tue"/>
    <n v="26"/>
  </r>
  <r>
    <s v="CMP-00625"/>
    <s v="Q1_Winter_CMP-00625"/>
    <d v="2023-08-02T00:00:00"/>
    <x v="7"/>
    <d v="2023-09-01T00:00:00"/>
    <x v="4"/>
    <n v="55098"/>
    <n v="2317"/>
    <m/>
    <x v="0"/>
    <x v="457"/>
    <n v="4.2052343097753096E-2"/>
    <n v="0.95690548122572294"/>
    <n v="0"/>
    <n v="-2217.15"/>
    <n v="0"/>
    <x v="3"/>
    <x v="2"/>
    <n v="2023"/>
    <s v="Wed"/>
    <n v="30"/>
  </r>
  <r>
    <s v="CMP-00626"/>
    <s v="Q4_Winter_CMP-00626"/>
    <d v="2023-11-18T00:00:00"/>
    <x v="0"/>
    <d v="2023-12-11T00:00:00"/>
    <x v="2"/>
    <n v="61921"/>
    <n v="2517"/>
    <n v="137"/>
    <x v="1"/>
    <x v="458"/>
    <n v="4.0648568337074663E-2"/>
    <n v="0.89677393722685728"/>
    <n v="16.475766423357662"/>
    <n v="4592.82"/>
    <n v="5.4429876837504963E-2"/>
    <x v="0"/>
    <x v="2"/>
    <n v="2023"/>
    <s v="Sat"/>
    <n v="23"/>
  </r>
  <r>
    <s v="CMP-00627"/>
    <s v="Q3_Summer_CMP-00627"/>
    <d v="2023-06-04T00:00:00"/>
    <x v="9"/>
    <d v="2023-07-02T00:00:00"/>
    <x v="0"/>
    <n v="6486"/>
    <n v="255"/>
    <n v="17"/>
    <x v="0"/>
    <x v="0"/>
    <n v="3.9315448658649402E-2"/>
    <n v="1.2907156862745097"/>
    <n v="19.360735294117646"/>
    <n v="520.86750000000006"/>
    <n v="6.6666666666666666E-2"/>
    <x v="3"/>
    <x v="0"/>
    <n v="2023"/>
    <s v="Sun"/>
    <n v="28"/>
  </r>
  <r>
    <s v="CMP-00628"/>
    <s v="Q3_BlackFriday_CMP-00628"/>
    <d v="2023-12-17T00:00:00"/>
    <x v="2"/>
    <d v="2024-01-10T00:00:00"/>
    <x v="1"/>
    <n v="9335"/>
    <n v="205"/>
    <n v="29"/>
    <x v="0"/>
    <x v="0"/>
    <n v="2.1960364220674881E-2"/>
    <n v="1.6055243902439025"/>
    <n v="11.349396551724137"/>
    <n v="1120.8675000000001"/>
    <n v="0.14146341463414633"/>
    <x v="2"/>
    <x v="3"/>
    <n v="2023"/>
    <s v="Sun"/>
    <n v="24"/>
  </r>
  <r>
    <s v="CMP-00629"/>
    <s v="Q2_BlackFriday_CMP-00629"/>
    <d v="2023-12-19T00:00:00"/>
    <x v="2"/>
    <d v="2023-12-21T00:00:00"/>
    <x v="4"/>
    <n v="87900"/>
    <n v="1488"/>
    <n v="275"/>
    <x v="1"/>
    <x v="459"/>
    <n v="1.6928327645051193E-2"/>
    <n v="0.55389784946236564"/>
    <n v="2.9970909090909092"/>
    <n v="12925.8"/>
    <n v="0.18481182795698925"/>
    <x v="2"/>
    <x v="3"/>
    <n v="2023"/>
    <s v="Tue"/>
    <n v="2"/>
  </r>
  <r>
    <s v="CMP-00630"/>
    <s v="Q2_Launch_CMP-00630"/>
    <d v="2023-08-14T00:00:00"/>
    <x v="7"/>
    <d v="2023-08-24T00:00:00"/>
    <x v="4"/>
    <n v="90112"/>
    <n v="3199"/>
    <n v="459"/>
    <x v="0"/>
    <x v="10"/>
    <n v="3.5500266335227272E-2"/>
    <n v="1.1352797749296655"/>
    <n v="7.9123311546840958"/>
    <n v="19318.240000000002"/>
    <n v="0.14348233823069709"/>
    <x v="3"/>
    <x v="1"/>
    <n v="2023"/>
    <s v="Mon"/>
    <n v="10"/>
  </r>
  <r>
    <s v="CMP-00631"/>
    <s v="Q4_Summer_CMP-00631"/>
    <d v="2023-06-24T00:00:00"/>
    <x v="9"/>
    <d v="2023-07-06T00:00:00"/>
    <x v="4"/>
    <n v="98203"/>
    <n v="2931"/>
    <n v="205"/>
    <x v="0"/>
    <x v="460"/>
    <n v="2.9846338706556827E-2"/>
    <n v="0.8205458887751621"/>
    <n v="11.731804878048781"/>
    <n v="7844.98"/>
    <n v="6.9941999317639031E-2"/>
    <x v="3"/>
    <x v="0"/>
    <n v="2023"/>
    <s v="Sat"/>
    <n v="12"/>
  </r>
  <r>
    <s v="CMP-00632"/>
    <s v="Q1_Summer_CMP-00632"/>
    <d v="2023-06-13T00:00:00"/>
    <x v="9"/>
    <d v="2023-06-16T00:00:00"/>
    <x v="3"/>
    <n v="12130"/>
    <n v="207"/>
    <n v="13"/>
    <x v="0"/>
    <x v="0"/>
    <n v="1.7065127782357789E-2"/>
    <n v="1.590012077294686"/>
    <n v="25.317884615384614"/>
    <n v="320.86750000000001"/>
    <n v="6.280193236714976E-2"/>
    <x v="3"/>
    <x v="0"/>
    <n v="2023"/>
    <s v="Tue"/>
    <n v="3"/>
  </r>
  <r>
    <s v="CMP-00633"/>
    <s v="Q3_Winter_CMP-00633"/>
    <d v="2023-07-24T00:00:00"/>
    <x v="8"/>
    <d v="2023-08-13T00:00:00"/>
    <x v="1"/>
    <n v="88508"/>
    <n v="3313"/>
    <n v="585"/>
    <x v="0"/>
    <x v="461"/>
    <n v="3.7431644597098565E-2"/>
    <n v="0.51453063688499856"/>
    <n v="2.9139145299145301"/>
    <n v="27545.360000000001"/>
    <n v="0.17657712043465137"/>
    <x v="3"/>
    <x v="2"/>
    <n v="2023"/>
    <s v="Mon"/>
    <n v="20"/>
  </r>
  <r>
    <s v="CMP-00634"/>
    <s v="Q4_BlackFriday_CMP-00634"/>
    <d v="2023-10-15T00:00:00"/>
    <x v="3"/>
    <d v="2023-10-27T00:00:00"/>
    <x v="0"/>
    <n v="61566"/>
    <n v="3056"/>
    <n v="216"/>
    <x v="1"/>
    <x v="10"/>
    <n v="4.9637787090277101E-2"/>
    <n v="1.1884031413612566"/>
    <n v="16.813703703703702"/>
    <n v="7168.24"/>
    <n v="7.0680628272251314E-2"/>
    <x v="0"/>
    <x v="3"/>
    <n v="2023"/>
    <s v="Sun"/>
    <n v="12"/>
  </r>
  <r>
    <s v="CMP-00635"/>
    <s v="Q2_Launch_CMP-00635"/>
    <d v="2023-03-04T00:00:00"/>
    <x v="5"/>
    <d v="2023-03-19T00:00:00"/>
    <x v="1"/>
    <n v="67703"/>
    <n v="2700"/>
    <n v="345"/>
    <x v="0"/>
    <x v="10"/>
    <n v="3.9880064398918808E-2"/>
    <n v="1.3450962962962962"/>
    <n v="10.526840579710145"/>
    <n v="13618.24"/>
    <n v="0.12777777777777777"/>
    <x v="1"/>
    <x v="1"/>
    <n v="2023"/>
    <s v="Sat"/>
    <n v="15"/>
  </r>
  <r>
    <s v="CMP-00636"/>
    <s v="Q3_BlackFriday_CMP-00636"/>
    <d v="2023-02-19T00:00:00"/>
    <x v="6"/>
    <d v="2023-03-18T00:00:00"/>
    <x v="1"/>
    <n v="28192"/>
    <n v="1116"/>
    <n v="62"/>
    <x v="0"/>
    <x v="462"/>
    <n v="3.9585698070374577E-2"/>
    <n v="1.9201344086021503"/>
    <n v="34.56241935483871"/>
    <n v="957.13000000000011"/>
    <n v="5.5555555555555552E-2"/>
    <x v="2"/>
    <x v="3"/>
    <n v="2023"/>
    <s v="Sun"/>
    <n v="27"/>
  </r>
  <r>
    <s v="CMP-00637"/>
    <s v="Q3_Winter_CMP-00637"/>
    <d v="2023-07-16T00:00:00"/>
    <x v="8"/>
    <d v="2023-08-01T00:00:00"/>
    <x v="4"/>
    <n v="2062"/>
    <n v="99"/>
    <n v="6"/>
    <x v="0"/>
    <x v="0"/>
    <n v="4.8011639185257034E-2"/>
    <n v="3.3245707070707069"/>
    <n v="54.855416666666663"/>
    <n v="-29.132499999999993"/>
    <n v="6.0606060606060608E-2"/>
    <x v="3"/>
    <x v="2"/>
    <n v="2023"/>
    <s v="Sun"/>
    <n v="16"/>
  </r>
  <r>
    <s v="CMP-00638"/>
    <s v="Q3_BlackFriday_CMP-00638"/>
    <d v="2023-03-23T00:00:00"/>
    <x v="5"/>
    <d v="2023-04-10T00:00:00"/>
    <x v="0"/>
    <n v="85076"/>
    <n v="1541"/>
    <n v="232"/>
    <x v="0"/>
    <x v="463"/>
    <n v="1.8113216418261319E-2"/>
    <n v="0.97055807916937065"/>
    <n v="6.4466810344827588"/>
    <n v="10104.369999999999"/>
    <n v="0.15055158987670345"/>
    <x v="1"/>
    <x v="3"/>
    <n v="2023"/>
    <s v="Thu"/>
    <n v="18"/>
  </r>
  <r>
    <s v="CMP-00639"/>
    <s v="Q1_Summer_CMP-00639"/>
    <d v="2023-06-10T00:00:00"/>
    <x v="9"/>
    <d v="2023-06-16T00:00:00"/>
    <x v="1"/>
    <n v="90780"/>
    <n v="2961"/>
    <n v="454"/>
    <x v="0"/>
    <x v="464"/>
    <n v="3.2617316589557174E-2"/>
    <n v="0.87181019925700776"/>
    <n v="5.685969162995594"/>
    <n v="20118.57"/>
    <n v="0.15332657885849374"/>
    <x v="3"/>
    <x v="0"/>
    <n v="2023"/>
    <s v="Sat"/>
    <n v="6"/>
  </r>
  <r>
    <s v="CMP-00640"/>
    <s v="Q3_Launch_CMP-00640"/>
    <d v="2023-09-21T00:00:00"/>
    <x v="10"/>
    <d v="2023-10-03T00:00:00"/>
    <x v="3"/>
    <n v="22545"/>
    <n v="1108"/>
    <n v="112"/>
    <x v="1"/>
    <x v="465"/>
    <n v="4.9146152140164115E-2"/>
    <n v="1.5465703971119134"/>
    <n v="15.299999999999999"/>
    <n v="3886.4"/>
    <n v="0.10108303249097472"/>
    <x v="0"/>
    <x v="1"/>
    <n v="2023"/>
    <s v="Thu"/>
    <n v="12"/>
  </r>
  <r>
    <s v="CMP-00641"/>
    <s v="Q4_BlackFriday_CMP-00641"/>
    <d v="2023-12-09T00:00:00"/>
    <x v="2"/>
    <d v="2024-01-08T00:00:00"/>
    <x v="2"/>
    <n v="22689"/>
    <n v="376"/>
    <n v="30"/>
    <x v="0"/>
    <x v="466"/>
    <n v="1.6571907091542156E-2"/>
    <n v="1.0461702127659576"/>
    <n v="13.112"/>
    <n v="1106.6399999999999"/>
    <n v="7.9787234042553196E-2"/>
    <x v="2"/>
    <x v="3"/>
    <n v="2023"/>
    <s v="Sat"/>
    <n v="30"/>
  </r>
  <r>
    <s v="CMP-00642"/>
    <s v="Q1_Winter_CMP-00642"/>
    <d v="2023-07-21T00:00:00"/>
    <x v="8"/>
    <d v="2023-08-20T00:00:00"/>
    <x v="1"/>
    <n v="12174"/>
    <n v="462"/>
    <n v="79"/>
    <x v="0"/>
    <x v="467"/>
    <n v="3.7949728930507638E-2"/>
    <n v="1.3493290043290043"/>
    <n v="7.8910126582278481"/>
    <n v="3326.61"/>
    <n v="0.17099567099567101"/>
    <x v="3"/>
    <x v="2"/>
    <n v="2023"/>
    <s v="Fri"/>
    <n v="30"/>
  </r>
  <r>
    <s v="CMP-00643"/>
    <s v="Q2_Winter_CMP-00643"/>
    <d v="2023-04-21T00:00:00"/>
    <x v="4"/>
    <d v="2023-05-03T00:00:00"/>
    <x v="2"/>
    <n v="89461"/>
    <n v="2990"/>
    <n v="246"/>
    <x v="0"/>
    <x v="468"/>
    <n v="3.3422385173427528E-2"/>
    <n v="0.50938461538461532"/>
    <n v="6.1913008130081302"/>
    <n v="10776.94"/>
    <n v="8.2274247491638794E-2"/>
    <x v="1"/>
    <x v="2"/>
    <n v="2023"/>
    <s v="Fri"/>
    <n v="12"/>
  </r>
  <r>
    <s v="CMP-00644"/>
    <s v="Q3_Winter_CMP-00644"/>
    <d v="2023-05-25T00:00:00"/>
    <x v="1"/>
    <d v="2023-06-18T00:00:00"/>
    <x v="2"/>
    <n v="10348"/>
    <n v="346"/>
    <n v="45"/>
    <x v="0"/>
    <x v="0"/>
    <n v="3.3436412833397759E-2"/>
    <n v="0.95124999999999993"/>
    <n v="7.3140555555555551"/>
    <n v="1920.8675000000001"/>
    <n v="0.13005780346820808"/>
    <x v="1"/>
    <x v="2"/>
    <n v="2023"/>
    <s v="Thu"/>
    <n v="24"/>
  </r>
  <r>
    <s v="CMP-00645"/>
    <s v="Q1_BlackFriday_CMP-00645"/>
    <d v="2023-12-01T00:00:00"/>
    <x v="2"/>
    <d v="2023-12-19T00:00:00"/>
    <x v="1"/>
    <n v="24714"/>
    <n v="936"/>
    <n v="182"/>
    <x v="0"/>
    <x v="469"/>
    <n v="3.7873270211216316E-2"/>
    <n v="1.3030555555555556"/>
    <n v="6.701428571428572"/>
    <n v="7880.34"/>
    <n v="0.19444444444444445"/>
    <x v="2"/>
    <x v="3"/>
    <n v="2023"/>
    <s v="Fri"/>
    <n v="18"/>
  </r>
  <r>
    <s v="CMP-00646"/>
    <s v="Q2_Summer_CMP-00646"/>
    <d v="2023-01-05T00:00:00"/>
    <x v="11"/>
    <d v="2023-01-23T00:00:00"/>
    <x v="1"/>
    <n v="39102"/>
    <n v="1845"/>
    <n v="133"/>
    <x v="0"/>
    <x v="470"/>
    <n v="4.718428724873408E-2"/>
    <n v="1.3491056910569106"/>
    <n v="18.715037593984963"/>
    <n v="4160.8999999999996"/>
    <n v="7.2086720867208673E-2"/>
    <x v="2"/>
    <x v="0"/>
    <n v="2023"/>
    <s v="Thu"/>
    <n v="18"/>
  </r>
  <r>
    <s v="CMP-00647"/>
    <s v="Q2_Launch_CMP-00647"/>
    <d v="2023-05-16T00:00:00"/>
    <x v="1"/>
    <d v="2023-05-21T00:00:00"/>
    <x v="4"/>
    <n v="75460"/>
    <n v="3116"/>
    <m/>
    <x v="0"/>
    <x v="10"/>
    <n v="4.1293400477073944E-2"/>
    <n v="1.1655198973042362"/>
    <n v="0"/>
    <n v="-3631.7599999999998"/>
    <n v="0"/>
    <x v="1"/>
    <x v="1"/>
    <n v="2023"/>
    <s v="Tue"/>
    <n v="5"/>
  </r>
  <r>
    <s v="CMP-00648"/>
    <s v="Q4_Summer_CMP-00648"/>
    <d v="2023-07-07T00:00:00"/>
    <x v="8"/>
    <d v="2023-07-18T00:00:00"/>
    <x v="2"/>
    <n v="90930"/>
    <n v="1113"/>
    <n v="86"/>
    <x v="1"/>
    <x v="471"/>
    <n v="1.2240184757505773E-2"/>
    <n v="0.69795148247978445"/>
    <n v="9.0327906976744199"/>
    <n v="3523.18"/>
    <n v="7.7268643306379156E-2"/>
    <x v="3"/>
    <x v="0"/>
    <n v="2023"/>
    <s v="Fri"/>
    <n v="11"/>
  </r>
  <r>
    <s v="CMP-00649"/>
    <s v="Q1_Launch_CMP-00649"/>
    <d v="2023-01-27T00:00:00"/>
    <x v="11"/>
    <d v="2023-02-20T00:00:00"/>
    <x v="3"/>
    <n v="7801"/>
    <n v="344"/>
    <n v="46"/>
    <x v="0"/>
    <x v="472"/>
    <n v="4.4096910652480455E-2"/>
    <n v="1.2697674418604652"/>
    <n v="9.4956521739130437"/>
    <n v="1863.2"/>
    <n v="0.13372093023255813"/>
    <x v="2"/>
    <x v="1"/>
    <n v="2023"/>
    <s v="Fri"/>
    <n v="24"/>
  </r>
  <r>
    <s v="CMP-00650"/>
    <s v="Q1_BlackFriday_CMP-00650"/>
    <d v="2023-10-11T00:00:00"/>
    <x v="3"/>
    <d v="2023-11-01T00:00:00"/>
    <x v="3"/>
    <n v="73267"/>
    <n v="1393"/>
    <n v="148"/>
    <x v="1"/>
    <x v="473"/>
    <n v="1.9012652353719954E-2"/>
    <n v="0.79167264895908107"/>
    <n v="7.4513513513513514"/>
    <n v="6297.2"/>
    <n v="0.10624551328068917"/>
    <x v="0"/>
    <x v="3"/>
    <n v="2023"/>
    <s v="Wed"/>
    <n v="21"/>
  </r>
  <r>
    <s v="CMP-00651"/>
    <s v="Q3_Launch_CMP-00651"/>
    <d v="2023-08-19T00:00:00"/>
    <x v="7"/>
    <d v="2023-08-31T00:00:00"/>
    <x v="3"/>
    <n v="49136"/>
    <n v="1232"/>
    <n v="239"/>
    <x v="1"/>
    <x v="474"/>
    <n v="2.5073266037121459E-2"/>
    <n v="0.63979707792207796"/>
    <n v="3.2980334728033474"/>
    <n v="11161.77"/>
    <n v="0.1939935064935065"/>
    <x v="3"/>
    <x v="1"/>
    <n v="2023"/>
    <s v="Sat"/>
    <n v="12"/>
  </r>
  <r>
    <s v="CMP-00652"/>
    <s v="Q3_Summer_CMP-00652"/>
    <d v="2023-11-16T00:00:00"/>
    <x v="0"/>
    <d v="2023-11-30T00:00:00"/>
    <x v="4"/>
    <n v="24625"/>
    <n v="701"/>
    <n v="63"/>
    <x v="0"/>
    <x v="475"/>
    <n v="2.8467005076142131E-2"/>
    <n v="1.1157489300998573"/>
    <n v="12.414920634920636"/>
    <n v="2367.86"/>
    <n v="8.98716119828816E-2"/>
    <x v="0"/>
    <x v="0"/>
    <n v="2023"/>
    <s v="Thu"/>
    <n v="14"/>
  </r>
  <r>
    <s v="CMP-00653"/>
    <s v="Q1_BlackFriday_CMP-00653"/>
    <d v="2023-02-19T00:00:00"/>
    <x v="6"/>
    <d v="2023-02-25T00:00:00"/>
    <x v="4"/>
    <n v="83873"/>
    <n v="2452"/>
    <n v="269"/>
    <x v="1"/>
    <x v="476"/>
    <n v="2.9234676236691189E-2"/>
    <n v="0.74500407830342574"/>
    <n v="6.79089219330855"/>
    <n v="11623.25"/>
    <n v="0.10970636215334421"/>
    <x v="2"/>
    <x v="3"/>
    <n v="2023"/>
    <s v="Sun"/>
    <n v="6"/>
  </r>
  <r>
    <s v="CMP-00654"/>
    <s v="Q4_Launch_CMP-00654"/>
    <d v="2023-06-23T00:00:00"/>
    <x v="9"/>
    <d v="2023-07-12T00:00:00"/>
    <x v="1"/>
    <n v="73592"/>
    <n v="2016"/>
    <n v="398"/>
    <x v="0"/>
    <x v="477"/>
    <n v="2.739428198717252E-2"/>
    <n v="0.83267361111111116"/>
    <n v="4.2177638190954774"/>
    <n v="18221.330000000002"/>
    <n v="0.19742063492063491"/>
    <x v="3"/>
    <x v="1"/>
    <n v="2023"/>
    <s v="Fri"/>
    <n v="19"/>
  </r>
  <r>
    <s v="CMP-00655"/>
    <s v="Q1_Launch_CMP-00655"/>
    <d v="2023-03-15T00:00:00"/>
    <x v="5"/>
    <d v="2023-03-28T00:00:00"/>
    <x v="4"/>
    <n v="78052"/>
    <n v="3707"/>
    <n v="483"/>
    <x v="0"/>
    <x v="478"/>
    <n v="4.7493978373392094E-2"/>
    <n v="0.97633126517399516"/>
    <n v="7.4932919254658392"/>
    <n v="20530.739999999998"/>
    <n v="0.13029403830590774"/>
    <x v="1"/>
    <x v="1"/>
    <n v="2023"/>
    <s v="Wed"/>
    <n v="13"/>
  </r>
  <r>
    <s v="CMP-00656"/>
    <s v="Q4_Launch_CMP-00656"/>
    <d v="2023-09-14T00:00:00"/>
    <x v="10"/>
    <d v="2023-09-26T00:00:00"/>
    <x v="4"/>
    <n v="45261"/>
    <n v="1730"/>
    <n v="216"/>
    <x v="1"/>
    <x v="479"/>
    <n v="3.8222752480060095E-2"/>
    <n v="0.88908092485549128"/>
    <n v="7.1208796296296288"/>
    <n v="9261.89"/>
    <n v="0.12485549132947976"/>
    <x v="0"/>
    <x v="1"/>
    <n v="2023"/>
    <s v="Thu"/>
    <n v="12"/>
  </r>
  <r>
    <s v="CMP-00657"/>
    <s v="Q1_Winter_CMP-00657"/>
    <d v="2023-01-20T00:00:00"/>
    <x v="11"/>
    <d v="2023-02-04T00:00:00"/>
    <x v="0"/>
    <n v="2542"/>
    <n v="89"/>
    <n v="7"/>
    <x v="1"/>
    <x v="0"/>
    <n v="3.5011801730920535E-2"/>
    <n v="3.6981179775280899"/>
    <n v="47.018928571428567"/>
    <n v="20.867500000000007"/>
    <n v="7.8651685393258425E-2"/>
    <x v="2"/>
    <x v="2"/>
    <n v="2023"/>
    <s v="Fri"/>
    <n v="15"/>
  </r>
  <r>
    <s v="CMP-00658"/>
    <s v="Q2_Launch_CMP-00658"/>
    <d v="2023-08-31T00:00:00"/>
    <x v="7"/>
    <d v="2023-09-12T00:00:00"/>
    <x v="3"/>
    <n v="22677"/>
    <n v="271"/>
    <n v="42"/>
    <x v="0"/>
    <x v="0"/>
    <n v="1.1950434360806103E-2"/>
    <n v="1.2145110701107011"/>
    <n v="7.8364880952380949"/>
    <n v="1770.8675000000001"/>
    <n v="0.15498154981549817"/>
    <x v="3"/>
    <x v="1"/>
    <n v="2023"/>
    <s v="Thu"/>
    <n v="12"/>
  </r>
  <r>
    <s v="CMP-00659"/>
    <s v="Q2_Launch_CMP-00659"/>
    <d v="2023-09-21T00:00:00"/>
    <x v="10"/>
    <d v="2023-10-16T00:00:00"/>
    <x v="3"/>
    <n v="47732"/>
    <n v="2203"/>
    <n v="114"/>
    <x v="1"/>
    <x v="480"/>
    <n v="4.6153523841448087E-2"/>
    <n v="0.7898729005901044"/>
    <n v="15.263947368421052"/>
    <n v="3959.91"/>
    <n v="5.1747616886064454E-2"/>
    <x v="0"/>
    <x v="1"/>
    <n v="2023"/>
    <s v="Thu"/>
    <n v="25"/>
  </r>
  <r>
    <s v="CMP-00660"/>
    <s v="Q1_BlackFriday_CMP-00660"/>
    <d v="2023-06-13T00:00:00"/>
    <x v="9"/>
    <d v="2023-06-23T00:00:00"/>
    <x v="4"/>
    <n v="51343"/>
    <n v="2381"/>
    <n v="136"/>
    <x v="0"/>
    <x v="481"/>
    <n v="4.6374384044563038E-2"/>
    <n v="0.57583788324233509"/>
    <n v="10.081397058823528"/>
    <n v="5428.93"/>
    <n v="5.7118857622847546E-2"/>
    <x v="3"/>
    <x v="3"/>
    <n v="2023"/>
    <s v="Tue"/>
    <n v="10"/>
  </r>
  <r>
    <s v="CMP-00661"/>
    <s v="Q1_BlackFriday_CMP-00661"/>
    <d v="2023-06-03T00:00:00"/>
    <x v="9"/>
    <d v="2023-06-08T00:00:00"/>
    <x v="1"/>
    <n v="40081"/>
    <n v="1651"/>
    <n v="230"/>
    <x v="1"/>
    <x v="482"/>
    <n v="4.1191587036251594E-2"/>
    <n v="1.4396850393700789"/>
    <n v="10.334434782608696"/>
    <n v="9123.08"/>
    <n v="0.13930950938824954"/>
    <x v="3"/>
    <x v="3"/>
    <n v="2023"/>
    <s v="Sat"/>
    <n v="5"/>
  </r>
  <r>
    <s v="CMP-00662"/>
    <s v="Q1_BlackFriday_CMP-00662"/>
    <d v="2023-09-18T00:00:00"/>
    <x v="10"/>
    <d v="2023-10-15T00:00:00"/>
    <x v="2"/>
    <n v="63856"/>
    <n v="656"/>
    <m/>
    <x v="1"/>
    <x v="483"/>
    <n v="1.0273114507642195E-2"/>
    <n v="0.93099085365853662"/>
    <n v="0"/>
    <n v="-610.73"/>
    <n v="0"/>
    <x v="0"/>
    <x v="3"/>
    <n v="2023"/>
    <s v="Mon"/>
    <n v="27"/>
  </r>
  <r>
    <s v="CMP-00663"/>
    <s v="Q3_Winter_CMP-00663"/>
    <d v="2023-06-03T00:00:00"/>
    <x v="9"/>
    <d v="2023-07-03T00:00:00"/>
    <x v="1"/>
    <n v="94105"/>
    <n v="1156"/>
    <n v="223"/>
    <x v="0"/>
    <x v="484"/>
    <n v="1.2284150682747994E-2"/>
    <n v="0.91961937716262965"/>
    <n v="4.7671748878923763"/>
    <n v="10086.92"/>
    <n v="0.19290657439446368"/>
    <x v="3"/>
    <x v="2"/>
    <n v="2023"/>
    <s v="Sat"/>
    <n v="30"/>
  </r>
  <r>
    <s v="CMP-00664"/>
    <s v="Q1_BlackFriday_CMP-00664"/>
    <d v="2023-06-19T00:00:00"/>
    <x v="9"/>
    <d v="2023-07-14T00:00:00"/>
    <x v="1"/>
    <n v="89858"/>
    <n v="1708"/>
    <n v="316"/>
    <x v="0"/>
    <x v="485"/>
    <n v="1.900776781143582E-2"/>
    <n v="0.99799765807962526"/>
    <n v="5.3942405063291137"/>
    <n v="14095.42"/>
    <n v="0.18501170960187355"/>
    <x v="3"/>
    <x v="3"/>
    <n v="2023"/>
    <s v="Mon"/>
    <n v="25"/>
  </r>
  <r>
    <s v="CMP-00665"/>
    <s v="Q4_Launch_CMP-00665"/>
    <d v="2023-10-26T00:00:00"/>
    <x v="3"/>
    <d v="2023-11-24T00:00:00"/>
    <x v="0"/>
    <n v="20065"/>
    <n v="306"/>
    <n v="48"/>
    <x v="0"/>
    <x v="486"/>
    <n v="1.5250436082731123E-2"/>
    <n v="1.4941830065359478"/>
    <n v="9.5254166666666666"/>
    <n v="1942.78"/>
    <n v="0.15686274509803921"/>
    <x v="0"/>
    <x v="1"/>
    <n v="2023"/>
    <s v="Thu"/>
    <n v="29"/>
  </r>
  <r>
    <s v="CMP-00666"/>
    <s v="Q1_Summer_CMP-00666"/>
    <d v="2023-12-19T00:00:00"/>
    <x v="2"/>
    <d v="2024-01-04T00:00:00"/>
    <x v="4"/>
    <n v="84460"/>
    <n v="2192"/>
    <n v="378"/>
    <x v="1"/>
    <x v="10"/>
    <n v="2.5953113900071038E-2"/>
    <n v="1.6568248175182481"/>
    <n v="9.6078306878306865"/>
    <n v="15268.24"/>
    <n v="0.17244525547445255"/>
    <x v="2"/>
    <x v="0"/>
    <n v="2023"/>
    <s v="Tue"/>
    <n v="16"/>
  </r>
  <r>
    <s v="CMP-00667"/>
    <s v="Q4_BlackFriday_CMP-00667"/>
    <d v="2023-05-16T00:00:00"/>
    <x v="1"/>
    <d v="2023-06-07T00:00:00"/>
    <x v="1"/>
    <n v="89092"/>
    <n v="4178"/>
    <m/>
    <x v="1"/>
    <x v="10"/>
    <n v="4.68953441386432E-2"/>
    <n v="0.86925801819052173"/>
    <n v="0"/>
    <n v="-3631.7599999999998"/>
    <n v="0"/>
    <x v="1"/>
    <x v="3"/>
    <n v="2023"/>
    <s v="Tue"/>
    <n v="22"/>
  </r>
  <r>
    <s v="CMP-00668"/>
    <s v="Q4_Launch_CMP-00668"/>
    <d v="2023-10-24T00:00:00"/>
    <x v="3"/>
    <d v="2023-11-11T00:00:00"/>
    <x v="3"/>
    <n v="55693"/>
    <n v="1608"/>
    <n v="110"/>
    <x v="0"/>
    <x v="487"/>
    <n v="2.8872569263641751E-2"/>
    <n v="1.5912935323383086"/>
    <n v="23.261818181818182"/>
    <n v="2941.2"/>
    <n v="6.8407960199004969E-2"/>
    <x v="0"/>
    <x v="1"/>
    <n v="2023"/>
    <s v="Tue"/>
    <n v="18"/>
  </r>
  <r>
    <s v="CMP-00669"/>
    <s v="Q3_Winter_CMP-00669"/>
    <d v="2023-10-26T00:00:00"/>
    <x v="3"/>
    <d v="2023-11-09T00:00:00"/>
    <x v="0"/>
    <n v="27962"/>
    <n v="294"/>
    <n v="48"/>
    <x v="1"/>
    <x v="488"/>
    <n v="1.0514269365567557E-2"/>
    <n v="1.2265986394557824"/>
    <n v="7.5129166666666665"/>
    <n v="2039.38"/>
    <n v="0.16326530612244897"/>
    <x v="0"/>
    <x v="2"/>
    <n v="2023"/>
    <s v="Thu"/>
    <n v="14"/>
  </r>
  <r>
    <s v="CMP-00670"/>
    <s v="Q4_Launch_CMP-00670"/>
    <d v="2023-11-14T00:00:00"/>
    <x v="0"/>
    <d v="2023-11-26T00:00:00"/>
    <x v="0"/>
    <n v="29295"/>
    <n v="624"/>
    <n v="50"/>
    <x v="1"/>
    <x v="489"/>
    <n v="2.1300563236047107E-2"/>
    <n v="1.5407051282051281"/>
    <n v="19.227999999999998"/>
    <n v="1538.6"/>
    <n v="8.0128205128205135E-2"/>
    <x v="0"/>
    <x v="1"/>
    <n v="2023"/>
    <s v="Tue"/>
    <n v="12"/>
  </r>
  <r>
    <s v="CMP-00671"/>
    <s v="Q2_Winter_CMP-00671"/>
    <d v="2023-12-15T00:00:00"/>
    <x v="2"/>
    <d v="2023-12-29T00:00:00"/>
    <x v="4"/>
    <n v="14807"/>
    <n v="174"/>
    <n v="17"/>
    <x v="1"/>
    <x v="0"/>
    <n v="1.1751198757344499E-2"/>
    <n v="1.8915660919540229"/>
    <n v="19.360735294117646"/>
    <n v="520.86750000000006"/>
    <n v="9.7701149425287362E-2"/>
    <x v="2"/>
    <x v="2"/>
    <n v="2023"/>
    <s v="Fri"/>
    <n v="14"/>
  </r>
  <r>
    <s v="CMP-00672"/>
    <s v="Q1_BlackFriday_CMP-00672"/>
    <d v="2023-12-25T00:00:00"/>
    <x v="2"/>
    <d v="2023-12-28T00:00:00"/>
    <x v="3"/>
    <n v="43348"/>
    <n v="496"/>
    <n v="85"/>
    <x v="1"/>
    <x v="490"/>
    <n v="1.1442281074097997E-2"/>
    <n v="0.82437499999999997"/>
    <n v="4.8104705882352938"/>
    <n v="3841.11"/>
    <n v="0.17137096774193547"/>
    <x v="2"/>
    <x v="3"/>
    <n v="2023"/>
    <s v="Mon"/>
    <n v="3"/>
  </r>
  <r>
    <s v="CMP-00673"/>
    <s v="Q3_Summer_CMP-00673"/>
    <d v="2023-06-10T00:00:00"/>
    <x v="9"/>
    <d v="2023-06-30T00:00:00"/>
    <x v="3"/>
    <n v="27432"/>
    <n v="576"/>
    <n v="75"/>
    <x v="0"/>
    <x v="491"/>
    <n v="2.0997375328083989E-2"/>
    <n v="0.8128819444444445"/>
    <n v="6.2429333333333341"/>
    <n v="3281.7799999999997"/>
    <n v="0.13020833333333334"/>
    <x v="3"/>
    <x v="0"/>
    <n v="2023"/>
    <s v="Sat"/>
    <n v="20"/>
  </r>
  <r>
    <s v="CMP-00674"/>
    <s v="Q2_BlackFriday_CMP-00674"/>
    <d v="2023-04-15T00:00:00"/>
    <x v="4"/>
    <d v="2023-04-24T00:00:00"/>
    <x v="4"/>
    <n v="84285"/>
    <n v="1772"/>
    <n v="317"/>
    <x v="1"/>
    <x v="492"/>
    <n v="2.1023906982262561E-2"/>
    <n v="0.94458803611738151"/>
    <n v="5.2801577287066248"/>
    <n v="14176.19"/>
    <n v="0.17889390519187359"/>
    <x v="1"/>
    <x v="3"/>
    <n v="2023"/>
    <s v="Sat"/>
    <n v="9"/>
  </r>
  <r>
    <s v="CMP-00675"/>
    <s v="Q3_Launch_CMP-00675"/>
    <d v="2023-08-30T00:00:00"/>
    <x v="7"/>
    <d v="2023-09-28T00:00:00"/>
    <x v="0"/>
    <n v="92792"/>
    <n v="3849"/>
    <n v="315"/>
    <x v="0"/>
    <x v="10"/>
    <n v="4.1479868954220192E-2"/>
    <n v="0.94355936606910884"/>
    <n v="11.529396825396825"/>
    <n v="12118.24"/>
    <n v="8.1839438815276694E-2"/>
    <x v="3"/>
    <x v="1"/>
    <n v="2023"/>
    <s v="Wed"/>
    <n v="29"/>
  </r>
  <r>
    <s v="CMP-00676"/>
    <s v="Q1_BlackFriday_CMP-00676"/>
    <d v="2023-02-01T00:00:00"/>
    <x v="6"/>
    <d v="2023-02-06T00:00:00"/>
    <x v="0"/>
    <n v="58854"/>
    <n v="2883"/>
    <n v="406"/>
    <x v="1"/>
    <x v="10"/>
    <n v="4.8985625446018963E-2"/>
    <n v="1.2597155740548038"/>
    <n v="8.9452216748768461"/>
    <n v="16668.240000000002"/>
    <n v="0.14082552896288589"/>
    <x v="2"/>
    <x v="3"/>
    <n v="2023"/>
    <s v="Wed"/>
    <n v="5"/>
  </r>
  <r>
    <s v="CMP-00677"/>
    <s v="Q3_BlackFriday_CMP-00677"/>
    <d v="2023-10-15T00:00:00"/>
    <x v="3"/>
    <d v="2023-10-26T00:00:00"/>
    <x v="0"/>
    <n v="41262"/>
    <n v="1025"/>
    <n v="64"/>
    <x v="1"/>
    <x v="493"/>
    <n v="2.4841258300615579E-2"/>
    <n v="1.600858536585366"/>
    <n v="25.638750000000002"/>
    <n v="1559.12"/>
    <n v="6.2439024390243902E-2"/>
    <x v="0"/>
    <x v="3"/>
    <n v="2023"/>
    <s v="Sun"/>
    <n v="11"/>
  </r>
  <r>
    <s v="CMP-00678"/>
    <s v="Q3_Summer_CMP-00678"/>
    <d v="2023-09-27T00:00:00"/>
    <x v="10"/>
    <d v="2023-10-27T00:00:00"/>
    <x v="0"/>
    <n v="38080"/>
    <n v="1034"/>
    <n v="151"/>
    <x v="1"/>
    <x v="494"/>
    <n v="2.7153361344537816E-2"/>
    <n v="1.0198355899419729"/>
    <n v="6.9835099337748341"/>
    <n v="6495.49"/>
    <n v="0.14603481624758222"/>
    <x v="0"/>
    <x v="0"/>
    <n v="2023"/>
    <s v="Wed"/>
    <n v="30"/>
  </r>
  <r>
    <s v="CMP-00679"/>
    <s v="Q1_BlackFriday_CMP-00679"/>
    <d v="2023-08-24T00:00:00"/>
    <x v="7"/>
    <d v="2023-09-05T00:00:00"/>
    <x v="4"/>
    <n v="2324"/>
    <n v="101"/>
    <m/>
    <x v="0"/>
    <x v="0"/>
    <n v="4.3459552495697072E-2"/>
    <n v="3.258737623762376"/>
    <n v="0"/>
    <n v="-329.13249999999999"/>
    <n v="0"/>
    <x v="3"/>
    <x v="3"/>
    <n v="2023"/>
    <s v="Thu"/>
    <n v="12"/>
  </r>
  <r>
    <s v="CMP-00680"/>
    <s v="Q3_BlackFriday_CMP-00680"/>
    <d v="2023-07-01T00:00:00"/>
    <x v="8"/>
    <d v="2023-07-22T00:00:00"/>
    <x v="1"/>
    <n v="92267"/>
    <n v="1912"/>
    <n v="263"/>
    <x v="0"/>
    <x v="495"/>
    <n v="2.0722468488191877E-2"/>
    <n v="0.68834728033472803"/>
    <n v="5.0042585551330792"/>
    <n v="11833.880000000001"/>
    <n v="0.13755230125523013"/>
    <x v="3"/>
    <x v="3"/>
    <n v="2023"/>
    <s v="Sat"/>
    <n v="21"/>
  </r>
  <r>
    <s v="CMP-00681"/>
    <s v="Q2_Launch_CMP-00681"/>
    <d v="2023-12-15T00:00:00"/>
    <x v="2"/>
    <d v="2023-12-30T00:00:00"/>
    <x v="4"/>
    <n v="36909"/>
    <n v="599"/>
    <n v="53"/>
    <x v="0"/>
    <x v="496"/>
    <n v="1.6229104012571459E-2"/>
    <n v="0.75694490818030058"/>
    <n v="8.5549056603773597"/>
    <n v="2196.59"/>
    <n v="8.8480801335559259E-2"/>
    <x v="2"/>
    <x v="1"/>
    <n v="2023"/>
    <s v="Fri"/>
    <n v="15"/>
  </r>
  <r>
    <s v="CMP-00682"/>
    <s v="Q4_Summer_CMP-00682"/>
    <d v="2023-11-09T00:00:00"/>
    <x v="0"/>
    <d v="2023-11-24T00:00:00"/>
    <x v="4"/>
    <n v="90339"/>
    <n v="3986"/>
    <n v="218"/>
    <x v="0"/>
    <x v="10"/>
    <n v="4.4122693410376473E-2"/>
    <n v="0.91112895132965377"/>
    <n v="16.659449541284403"/>
    <n v="7268.24"/>
    <n v="5.4691419969894628E-2"/>
    <x v="0"/>
    <x v="0"/>
    <n v="2023"/>
    <s v="Thu"/>
    <n v="15"/>
  </r>
  <r>
    <s v="CMP-00683"/>
    <s v="Q4_Summer_CMP-00683"/>
    <d v="2023-05-23T00:00:00"/>
    <x v="1"/>
    <d v="2023-06-17T00:00:00"/>
    <x v="2"/>
    <n v="20870"/>
    <n v="247"/>
    <n v="16"/>
    <x v="1"/>
    <x v="497"/>
    <n v="1.1835170100622903E-2"/>
    <n v="1.3772469635627531"/>
    <n v="21.26125"/>
    <n v="459.82"/>
    <n v="6.4777327935222673E-2"/>
    <x v="1"/>
    <x v="0"/>
    <n v="2023"/>
    <s v="Tue"/>
    <n v="25"/>
  </r>
  <r>
    <s v="CMP-00684"/>
    <s v="Q4_Summer_CMP-00684"/>
    <d v="2023-06-02T00:00:00"/>
    <x v="9"/>
    <d v="2023-06-20T00:00:00"/>
    <x v="0"/>
    <n v="35578"/>
    <n v="1237"/>
    <n v="177"/>
    <x v="0"/>
    <x v="498"/>
    <n v="3.4768677272471751E-2"/>
    <n v="1.0062974939369442"/>
    <n v="7.0327118644067799"/>
    <n v="7605.21"/>
    <n v="0.14308811641067098"/>
    <x v="3"/>
    <x v="0"/>
    <n v="2023"/>
    <s v="Fri"/>
    <n v="18"/>
  </r>
  <r>
    <s v="CMP-00685"/>
    <s v="Q3_Launch_CMP-00685"/>
    <d v="2023-12-20T00:00:00"/>
    <x v="2"/>
    <d v="2024-01-17T00:00:00"/>
    <x v="1"/>
    <n v="73124"/>
    <n v="2375"/>
    <n v="451"/>
    <x v="0"/>
    <x v="10"/>
    <n v="3.2479076636945464E-2"/>
    <n v="1.5291621052631579"/>
    <n v="8.0526829268292683"/>
    <n v="18918.240000000002"/>
    <n v="0.18989473684210526"/>
    <x v="2"/>
    <x v="1"/>
    <n v="2023"/>
    <s v="Wed"/>
    <n v="28"/>
  </r>
  <r>
    <s v="CMP-00686"/>
    <s v="Q2_Launch_CMP-00686"/>
    <d v="2023-06-28T00:00:00"/>
    <x v="9"/>
    <d v="2023-07-20T00:00:00"/>
    <x v="3"/>
    <n v="27790"/>
    <n v="662"/>
    <n v="53"/>
    <x v="0"/>
    <x v="499"/>
    <n v="2.3821518531845987E-2"/>
    <n v="0.86977341389728091"/>
    <n v="10.863962264150942"/>
    <n v="2074.21"/>
    <n v="8.0060422960725075E-2"/>
    <x v="3"/>
    <x v="1"/>
    <n v="2023"/>
    <s v="Wed"/>
    <n v="22"/>
  </r>
  <r>
    <s v="CMP-00687"/>
    <s v="Q1_Summer_CMP-00687"/>
    <d v="2023-05-21T00:00:00"/>
    <x v="1"/>
    <d v="2023-05-27T00:00:00"/>
    <x v="3"/>
    <n v="26289"/>
    <n v="594"/>
    <m/>
    <x v="1"/>
    <x v="500"/>
    <n v="2.2595001711742554E-2"/>
    <n v="1.9640572390572393"/>
    <n v="0"/>
    <n v="-1166.6500000000001"/>
    <n v="0"/>
    <x v="1"/>
    <x v="0"/>
    <n v="2023"/>
    <s v="Sun"/>
    <n v="6"/>
  </r>
  <r>
    <s v="CMP-00688"/>
    <s v="Q3_BlackFriday_CMP-00688"/>
    <d v="2023-10-06T00:00:00"/>
    <x v="3"/>
    <d v="2023-11-04T00:00:00"/>
    <x v="3"/>
    <n v="56129"/>
    <n v="2294"/>
    <n v="412"/>
    <x v="0"/>
    <x v="501"/>
    <n v="4.0870138431114041E-2"/>
    <n v="1.0172275501307759"/>
    <n v="5.6638834951456314"/>
    <n v="18266.48"/>
    <n v="0.17959895379250218"/>
    <x v="0"/>
    <x v="3"/>
    <n v="2023"/>
    <s v="Fri"/>
    <n v="29"/>
  </r>
  <r>
    <s v="CMP-00689"/>
    <s v="Q1_Launch_CMP-00689"/>
    <d v="2023-06-26T00:00:00"/>
    <x v="9"/>
    <d v="2023-06-28T00:00:00"/>
    <x v="4"/>
    <n v="94714"/>
    <n v="1274"/>
    <n v="163"/>
    <x v="1"/>
    <x v="502"/>
    <n v="1.3451020968389045E-2"/>
    <n v="1.0059654631083201"/>
    <n v="7.8625766871165634"/>
    <n v="6868.4"/>
    <n v="0.12794348508634223"/>
    <x v="3"/>
    <x v="1"/>
    <n v="2023"/>
    <s v="Mon"/>
    <n v="2"/>
  </r>
  <r>
    <s v="CMP-00690"/>
    <s v="Q2_BlackFriday_CMP-00690"/>
    <d v="2023-05-29T00:00:00"/>
    <x v="1"/>
    <d v="2023-06-09T00:00:00"/>
    <x v="1"/>
    <n v="95246"/>
    <n v="1854"/>
    <n v="278"/>
    <x v="1"/>
    <x v="503"/>
    <n v="1.9465384373097035E-2"/>
    <n v="0.96786947141316082"/>
    <n v="6.4547841726618707"/>
    <n v="12105.57"/>
    <n v="0.1499460625674218"/>
    <x v="1"/>
    <x v="3"/>
    <n v="2023"/>
    <s v="Mon"/>
    <n v="11"/>
  </r>
  <r>
    <s v="CMP-00691"/>
    <s v="Q3_BlackFriday_CMP-00691"/>
    <d v="2024-01-01T00:00:00"/>
    <x v="11"/>
    <d v="2024-01-18T00:00:00"/>
    <x v="2"/>
    <n v="16485"/>
    <n v="647"/>
    <n v="111"/>
    <x v="1"/>
    <x v="504"/>
    <n v="3.9247801031240523E-2"/>
    <n v="0.68316846986089641"/>
    <n v="3.9820720720720719"/>
    <n v="5107.99"/>
    <n v="0.17156105100463678"/>
    <x v="2"/>
    <x v="3"/>
    <n v="2024"/>
    <s v="Mon"/>
    <n v="17"/>
  </r>
  <r>
    <s v="CMP-00692"/>
    <s v="Q4_Winter_CMP-00692"/>
    <d v="2023-08-15T00:00:00"/>
    <x v="7"/>
    <d v="2023-09-14T00:00:00"/>
    <x v="3"/>
    <n v="45482"/>
    <n v="1452"/>
    <n v="129"/>
    <x v="0"/>
    <x v="505"/>
    <n v="3.1924717470647727E-2"/>
    <n v="0.66670798898071626"/>
    <n v="7.5043410852713173"/>
    <n v="5481.9400000000005"/>
    <n v="8.8842975206611566E-2"/>
    <x v="3"/>
    <x v="2"/>
    <n v="2023"/>
    <s v="Tue"/>
    <n v="30"/>
  </r>
  <r>
    <s v="CMP-00693"/>
    <s v="Q2_Winter_CMP-00693"/>
    <d v="2023-04-20T00:00:00"/>
    <x v="4"/>
    <d v="2023-05-18T00:00:00"/>
    <x v="3"/>
    <n v="87188"/>
    <n v="1318"/>
    <n v="124"/>
    <x v="0"/>
    <x v="506"/>
    <n v="1.5116759187044089E-2"/>
    <n v="1.4721547799696511"/>
    <n v="15.647580645161289"/>
    <n v="4259.7"/>
    <n v="9.4081942336874058E-2"/>
    <x v="1"/>
    <x v="2"/>
    <n v="2023"/>
    <s v="Thu"/>
    <n v="28"/>
  </r>
  <r>
    <s v="CMP-00694"/>
    <s v="Q2_Summer_CMP-00694"/>
    <d v="2023-10-15T00:00:00"/>
    <x v="3"/>
    <d v="2023-11-14T00:00:00"/>
    <x v="4"/>
    <n v="5748"/>
    <n v="260"/>
    <n v="13"/>
    <x v="1"/>
    <x v="507"/>
    <n v="4.5233124565066112E-2"/>
    <n v="1.8126923076923078"/>
    <n v="36.253846153846155"/>
    <n v="178.7"/>
    <n v="0.05"/>
    <x v="0"/>
    <x v="0"/>
    <n v="2023"/>
    <s v="Sun"/>
    <n v="30"/>
  </r>
  <r>
    <s v="CMP-00695"/>
    <s v="Q2_Summer_CMP-00695"/>
    <d v="2023-11-12T00:00:00"/>
    <x v="0"/>
    <d v="2023-11-17T00:00:00"/>
    <x v="3"/>
    <n v="87769"/>
    <n v="2258"/>
    <n v="439"/>
    <x v="0"/>
    <x v="10"/>
    <n v="2.5726623295240916E-2"/>
    <n v="1.6083968113374667"/>
    <n v="8.2728018223234621"/>
    <n v="18318.240000000002"/>
    <n v="0.19441984056687334"/>
    <x v="0"/>
    <x v="0"/>
    <n v="2023"/>
    <s v="Sun"/>
    <n v="5"/>
  </r>
  <r>
    <s v="CMP-00696"/>
    <s v="Q1_Winter_CMP-00696"/>
    <d v="2023-01-26T00:00:00"/>
    <x v="11"/>
    <d v="2023-02-15T00:00:00"/>
    <x v="3"/>
    <n v="10435"/>
    <n v="449"/>
    <n v="84"/>
    <x v="0"/>
    <x v="0"/>
    <n v="4.3028270244369907E-2"/>
    <n v="0.73303452115812917"/>
    <n v="3.9182440476190474"/>
    <n v="3870.8674999999998"/>
    <n v="0.18708240534521159"/>
    <x v="2"/>
    <x v="2"/>
    <n v="2023"/>
    <s v="Thu"/>
    <n v="20"/>
  </r>
  <r>
    <s v="CMP-00697"/>
    <s v="Q4_BlackFriday_CMP-00697"/>
    <d v="2023-11-23T00:00:00"/>
    <x v="0"/>
    <d v="2023-12-04T00:00:00"/>
    <x v="4"/>
    <n v="4709"/>
    <n v="195"/>
    <n v="32"/>
    <x v="0"/>
    <x v="0"/>
    <n v="4.1410065831386705E-2"/>
    <n v="1.6878589743589743"/>
    <n v="10.285390625"/>
    <n v="1270.8675000000001"/>
    <n v="0.1641025641025641"/>
    <x v="0"/>
    <x v="3"/>
    <n v="2023"/>
    <s v="Thu"/>
    <n v="11"/>
  </r>
  <r>
    <s v="CMP-00698"/>
    <s v="Q1_Winter_CMP-00698"/>
    <d v="2023-06-19T00:00:00"/>
    <x v="9"/>
    <d v="2023-07-07T00:00:00"/>
    <x v="0"/>
    <n v="31355"/>
    <n v="1096"/>
    <n v="67"/>
    <x v="1"/>
    <x v="508"/>
    <n v="3.4954552702918196E-2"/>
    <n v="0.65838503649635038"/>
    <n v="10.770000000000001"/>
    <n v="2628.41"/>
    <n v="6.113138686131387E-2"/>
    <x v="3"/>
    <x v="2"/>
    <n v="2023"/>
    <s v="Mon"/>
    <n v="18"/>
  </r>
  <r>
    <s v="CMP-00699"/>
    <s v="Q1_BlackFriday_CMP-00699"/>
    <d v="2023-12-03T00:00:00"/>
    <x v="2"/>
    <d v="2024-01-02T00:00:00"/>
    <x v="0"/>
    <n v="56771"/>
    <n v="1690"/>
    <n v="197"/>
    <x v="0"/>
    <x v="509"/>
    <n v="2.9768719945042363E-2"/>
    <n v="0.56794082840236693"/>
    <n v="4.8721827411167515"/>
    <n v="8890.18"/>
    <n v="0.1165680473372781"/>
    <x v="2"/>
    <x v="3"/>
    <n v="2023"/>
    <s v="Sun"/>
    <n v="30"/>
  </r>
  <r>
    <s v="CMP-00700"/>
    <s v="Q3_Summer_CMP-00700"/>
    <d v="2023-10-09T00:00:00"/>
    <x v="3"/>
    <d v="2023-11-05T00:00:00"/>
    <x v="2"/>
    <n v="58799"/>
    <n v="2891"/>
    <n v="188"/>
    <x v="0"/>
    <x v="10"/>
    <n v="4.91675028486879E-2"/>
    <n v="1.2562296783120026"/>
    <n v="19.317872340425531"/>
    <n v="5768.24"/>
    <n v="6.5029401591144939E-2"/>
    <x v="0"/>
    <x v="0"/>
    <n v="2023"/>
    <s v="Mon"/>
    <n v="27"/>
  </r>
  <r>
    <s v="CMP-00701"/>
    <s v="Q3_Summer_CMP-00701"/>
    <d v="2023-12-01T00:00:00"/>
    <x v="2"/>
    <d v="2023-12-25T00:00:00"/>
    <x v="1"/>
    <n v="14116"/>
    <n v="223"/>
    <n v="11"/>
    <x v="0"/>
    <x v="0"/>
    <n v="1.5797676395579486E-2"/>
    <n v="1.4759304932735426"/>
    <n v="29.921136363636364"/>
    <n v="220.86750000000001"/>
    <n v="4.9327354260089683E-2"/>
    <x v="2"/>
    <x v="0"/>
    <n v="2023"/>
    <s v="Fri"/>
    <n v="24"/>
  </r>
  <r>
    <s v="CMP-00702"/>
    <s v="Q2_BlackFriday_CMP-00702"/>
    <d v="2023-09-02T00:00:00"/>
    <x v="10"/>
    <d v="2023-09-08T00:00:00"/>
    <x v="2"/>
    <n v="26470"/>
    <n v="1032"/>
    <n v="146"/>
    <x v="1"/>
    <x v="510"/>
    <n v="3.8987533056290137E-2"/>
    <n v="0.62303294573643409"/>
    <n v="4.4039041095890417"/>
    <n v="6657.03"/>
    <n v="0.14147286821705427"/>
    <x v="0"/>
    <x v="3"/>
    <n v="2023"/>
    <s v="Sat"/>
    <n v="6"/>
  </r>
  <r>
    <s v="CMP-00703"/>
    <s v="Q1_Summer_CMP-00703"/>
    <d v="2023-05-28T00:00:00"/>
    <x v="1"/>
    <d v="2023-06-25T00:00:00"/>
    <x v="1"/>
    <n v="43344"/>
    <n v="764"/>
    <n v="148"/>
    <x v="1"/>
    <x v="511"/>
    <n v="1.7626430417128091E-2"/>
    <n v="0.55240837696335077"/>
    <n v="2.8516216216216219"/>
    <n v="6977.96"/>
    <n v="0.193717277486911"/>
    <x v="1"/>
    <x v="0"/>
    <n v="2023"/>
    <s v="Sun"/>
    <n v="28"/>
  </r>
  <r>
    <s v="CMP-00704"/>
    <s v="Q4_Summer_CMP-00704"/>
    <d v="2023-02-15T00:00:00"/>
    <x v="6"/>
    <d v="2023-03-13T00:00:00"/>
    <x v="3"/>
    <n v="43918"/>
    <n v="1033"/>
    <m/>
    <x v="1"/>
    <x v="512"/>
    <n v="2.3521107518557311E-2"/>
    <n v="1.9846369796708616"/>
    <n v="0"/>
    <n v="-2050.13"/>
    <n v="0"/>
    <x v="2"/>
    <x v="0"/>
    <n v="2023"/>
    <s v="Wed"/>
    <n v="26"/>
  </r>
  <r>
    <s v="CMP-00705"/>
    <s v="Q1_Winter_CMP-00705"/>
    <d v="2023-01-20T00:00:00"/>
    <x v="11"/>
    <d v="2023-02-08T00:00:00"/>
    <x v="3"/>
    <n v="53224"/>
    <n v="1189"/>
    <n v="183"/>
    <x v="1"/>
    <x v="513"/>
    <n v="2.2339546069442356E-2"/>
    <n v="0.54502943650126157"/>
    <n v="3.5412021857923497"/>
    <n v="8501.9599999999991"/>
    <n v="0.15391084945332212"/>
    <x v="2"/>
    <x v="2"/>
    <n v="2023"/>
    <s v="Fri"/>
    <n v="19"/>
  </r>
  <r>
    <s v="CMP-00706"/>
    <s v="Q2_BlackFriday_CMP-00706"/>
    <d v="2023-04-01T00:00:00"/>
    <x v="4"/>
    <d v="2023-05-01T00:00:00"/>
    <x v="2"/>
    <n v="40298"/>
    <n v="1929"/>
    <n v="124"/>
    <x v="0"/>
    <x v="514"/>
    <n v="4.7868380564792298E-2"/>
    <n v="1.166791083462934"/>
    <n v="18.151129032258062"/>
    <n v="3949.26"/>
    <n v="6.4282011404872996E-2"/>
    <x v="1"/>
    <x v="3"/>
    <n v="2023"/>
    <s v="Sat"/>
    <n v="30"/>
  </r>
  <r>
    <s v="CMP-00707"/>
    <s v="Q3_Launch_CMP-00707"/>
    <d v="2023-07-23T00:00:00"/>
    <x v="8"/>
    <d v="2023-08-19T00:00:00"/>
    <x v="4"/>
    <n v="81219"/>
    <n v="3954"/>
    <n v="360"/>
    <x v="0"/>
    <x v="10"/>
    <n v="4.8683189893990321E-2"/>
    <n v="0.91850278199291846"/>
    <n v="10.088222222222221"/>
    <n v="14368.24"/>
    <n v="9.1047040971168433E-2"/>
    <x v="3"/>
    <x v="1"/>
    <n v="2023"/>
    <s v="Sun"/>
    <n v="27"/>
  </r>
  <r>
    <s v="CMP-00708"/>
    <s v="Q1_Launch_CMP-00708"/>
    <d v="2023-05-29T00:00:00"/>
    <x v="1"/>
    <d v="2023-06-24T00:00:00"/>
    <x v="4"/>
    <n v="62629"/>
    <n v="1084"/>
    <n v="106"/>
    <x v="1"/>
    <x v="515"/>
    <n v="1.7308275718916157E-2"/>
    <n v="0.67592250922509234"/>
    <n v="6.9122641509433969"/>
    <n v="4567.3"/>
    <n v="9.7785977859778592E-2"/>
    <x v="1"/>
    <x v="1"/>
    <n v="2023"/>
    <s v="Mon"/>
    <n v="26"/>
  </r>
  <r>
    <s v="CMP-00709"/>
    <s v="Q3_Winter_CMP-00709"/>
    <d v="2023-10-18T00:00:00"/>
    <x v="3"/>
    <d v="2023-10-25T00:00:00"/>
    <x v="2"/>
    <n v="67040"/>
    <n v="729"/>
    <n v="119"/>
    <x v="0"/>
    <x v="516"/>
    <n v="1.0874105011933173E-2"/>
    <n v="0.75359396433470505"/>
    <n v="4.6165546218487394"/>
    <n v="5400.63"/>
    <n v="0.16323731138545952"/>
    <x v="0"/>
    <x v="2"/>
    <n v="2023"/>
    <s v="Wed"/>
    <n v="7"/>
  </r>
  <r>
    <s v="CMP-00710"/>
    <s v="Q1_BlackFriday_CMP-00710"/>
    <d v="2023-06-21T00:00:00"/>
    <x v="9"/>
    <d v="2023-07-18T00:00:00"/>
    <x v="2"/>
    <n v="29016"/>
    <n v="1125"/>
    <n v="191"/>
    <x v="0"/>
    <x v="517"/>
    <n v="3.8771712158808931E-2"/>
    <n v="1.0277066666666668"/>
    <n v="6.0532460732984301"/>
    <n v="8393.83"/>
    <n v="0.16977777777777778"/>
    <x v="3"/>
    <x v="3"/>
    <n v="2023"/>
    <s v="Wed"/>
    <n v="27"/>
  </r>
  <r>
    <s v="CMP-00711"/>
    <s v="Q3_BlackFriday_CMP-00711"/>
    <d v="2023-10-06T00:00:00"/>
    <x v="3"/>
    <d v="2023-10-29T00:00:00"/>
    <x v="0"/>
    <n v="24960"/>
    <n v="666"/>
    <n v="71"/>
    <x v="0"/>
    <x v="518"/>
    <n v="2.6682692307692307E-2"/>
    <n v="1.6425075075075077"/>
    <n v="15.407183098591551"/>
    <n v="2456.09"/>
    <n v="0.1066066066066066"/>
    <x v="0"/>
    <x v="3"/>
    <n v="2023"/>
    <s v="Fri"/>
    <n v="23"/>
  </r>
  <r>
    <s v="CMP-00712"/>
    <s v="Q4_BlackFriday_CMP-00712"/>
    <d v="2023-03-10T00:00:00"/>
    <x v="5"/>
    <d v="2023-03-23T00:00:00"/>
    <x v="0"/>
    <n v="34591"/>
    <n v="468"/>
    <n v="52"/>
    <x v="1"/>
    <x v="519"/>
    <n v="1.352953080280998E-2"/>
    <n v="1.2606196581196583"/>
    <n v="11.345576923076923"/>
    <n v="2010.03"/>
    <n v="0.1111111111111111"/>
    <x v="1"/>
    <x v="3"/>
    <n v="2023"/>
    <s v="Fri"/>
    <n v="13"/>
  </r>
  <r>
    <s v="CMP-00713"/>
    <s v="Q4_BlackFriday_CMP-00713"/>
    <d v="2023-04-09T00:00:00"/>
    <x v="4"/>
    <d v="2023-04-12T00:00:00"/>
    <x v="3"/>
    <n v="83848"/>
    <n v="3131"/>
    <n v="177"/>
    <x v="0"/>
    <x v="10"/>
    <n v="3.7341379639347388E-2"/>
    <n v="1.1599361226445224"/>
    <n v="20.518418079096044"/>
    <n v="5218.24"/>
    <n v="5.6531459597572657E-2"/>
    <x v="1"/>
    <x v="3"/>
    <n v="2023"/>
    <s v="Sun"/>
    <n v="3"/>
  </r>
  <r>
    <s v="CMP-00714"/>
    <s v="Q1_Winter_CMP-00714"/>
    <d v="2023-08-23T00:00:00"/>
    <x v="7"/>
    <d v="2023-09-19T00:00:00"/>
    <x v="3"/>
    <n v="68641"/>
    <n v="2183"/>
    <n v="203"/>
    <x v="0"/>
    <x v="10"/>
    <n v="3.1803149721012225E-2"/>
    <n v="1.6636555199267062"/>
    <n v="17.890443349753692"/>
    <n v="6518.24"/>
    <n v="9.2991296381126895E-2"/>
    <x v="3"/>
    <x v="2"/>
    <n v="2023"/>
    <s v="Wed"/>
    <n v="27"/>
  </r>
  <r>
    <s v="CMP-00715"/>
    <s v="Q3_Summer_CMP-00715"/>
    <d v="2023-01-08T00:00:00"/>
    <x v="11"/>
    <d v="2023-01-22T00:00:00"/>
    <x v="0"/>
    <n v="37395"/>
    <n v="1840"/>
    <n v="216"/>
    <x v="1"/>
    <x v="520"/>
    <n v="4.9204439096135845E-2"/>
    <n v="1.6520108695652174"/>
    <n v="14.072685185185184"/>
    <n v="7760.3"/>
    <n v="0.11739130434782609"/>
    <x v="2"/>
    <x v="0"/>
    <n v="2023"/>
    <s v="Sun"/>
    <n v="14"/>
  </r>
  <r>
    <s v="CMP-00716"/>
    <s v="Q3_Winter_CMP-00716"/>
    <d v="2023-10-18T00:00:00"/>
    <x v="3"/>
    <d v="2023-11-16T00:00:00"/>
    <x v="0"/>
    <n v="23700"/>
    <n v="452"/>
    <n v="30"/>
    <x v="1"/>
    <x v="521"/>
    <n v="1.9071729957805907E-2"/>
    <n v="1.1515486725663717"/>
    <n v="17.350000000000001"/>
    <n v="979.5"/>
    <n v="6.637168141592921E-2"/>
    <x v="0"/>
    <x v="2"/>
    <n v="2023"/>
    <s v="Wed"/>
    <n v="29"/>
  </r>
  <r>
    <s v="CMP-00717"/>
    <s v="Q1_Summer_CMP-00717"/>
    <d v="2023-11-09T00:00:00"/>
    <x v="0"/>
    <d v="2023-11-13T00:00:00"/>
    <x v="2"/>
    <n v="35620"/>
    <n v="931"/>
    <n v="109"/>
    <x v="0"/>
    <x v="522"/>
    <n v="2.613700168444694E-2"/>
    <n v="1.1696670247046188"/>
    <n v="9.9904587155963309"/>
    <n v="4361.04"/>
    <n v="0.11707841031149302"/>
    <x v="0"/>
    <x v="0"/>
    <n v="2023"/>
    <s v="Thu"/>
    <n v="4"/>
  </r>
  <r>
    <s v="CMP-00718"/>
    <s v="Q2_BlackFriday_CMP-00718"/>
    <d v="2023-08-07T00:00:00"/>
    <x v="7"/>
    <d v="2023-09-06T00:00:00"/>
    <x v="4"/>
    <n v="21559"/>
    <n v="683"/>
    <n v="121"/>
    <x v="1"/>
    <x v="523"/>
    <n v="3.1680504661626238E-2"/>
    <n v="1.4281551976573938"/>
    <n v="8.0614049586776861"/>
    <n v="5074.57"/>
    <n v="0.17715959004392387"/>
    <x v="3"/>
    <x v="3"/>
    <n v="2023"/>
    <s v="Mon"/>
    <n v="30"/>
  </r>
  <r>
    <s v="CMP-00719"/>
    <s v="Q3_Winter_CMP-00719"/>
    <d v="2023-09-12T00:00:00"/>
    <x v="10"/>
    <d v="2023-12-27T00:00:00"/>
    <x v="3"/>
    <n v="94045"/>
    <n v="3918"/>
    <n v="537"/>
    <x v="0"/>
    <x v="10"/>
    <n v="4.1660907012600348E-2"/>
    <n v="0.92694231750893308"/>
    <n v="6.7630540037243945"/>
    <n v="23218.240000000002"/>
    <n v="0.13705972434915772"/>
    <x v="0"/>
    <x v="2"/>
    <n v="2023"/>
    <s v="Tue"/>
    <n v="106"/>
  </r>
  <r>
    <s v="CMP-00720"/>
    <s v="Q4_Summer_CMP-00720"/>
    <d v="2023-03-13T00:00:00"/>
    <x v="5"/>
    <d v="2023-03-15T00:00:00"/>
    <x v="0"/>
    <n v="94396"/>
    <n v="3016"/>
    <m/>
    <x v="1"/>
    <x v="10"/>
    <n v="3.1950506377388874E-2"/>
    <n v="1.2041644562334217"/>
    <n v="0"/>
    <n v="-3631.7599999999998"/>
    <n v="0"/>
    <x v="1"/>
    <x v="0"/>
    <n v="2023"/>
    <s v="Mon"/>
    <n v="2"/>
  </r>
  <r>
    <s v="CMP-00721"/>
    <s v="Q2_Launch_CMP-00721"/>
    <d v="2023-01-04T00:00:00"/>
    <x v="11"/>
    <d v="2023-01-21T00:00:00"/>
    <x v="0"/>
    <n v="62642"/>
    <n v="2162"/>
    <n v="170"/>
    <x v="0"/>
    <x v="524"/>
    <n v="3.4513585134574247E-2"/>
    <n v="1.4672895467160039"/>
    <n v="18.660470588235295"/>
    <n v="5327.7199999999993"/>
    <n v="7.8630897317298803E-2"/>
    <x v="2"/>
    <x v="1"/>
    <n v="2023"/>
    <s v="Wed"/>
    <n v="17"/>
  </r>
  <r>
    <s v="CMP-00722"/>
    <s v="Q1_Summer_CMP-00722"/>
    <d v="2023-05-17T00:00:00"/>
    <x v="1"/>
    <d v="2023-05-21T00:00:00"/>
    <x v="4"/>
    <n v="77539"/>
    <n v="1476"/>
    <n v="178"/>
    <x v="0"/>
    <x v="525"/>
    <n v="1.9035582094171964E-2"/>
    <n v="0.53529810298102987"/>
    <n v="4.4387640449438202"/>
    <n v="8109.9"/>
    <n v="0.12059620596205962"/>
    <x v="1"/>
    <x v="0"/>
    <n v="2023"/>
    <s v="Wed"/>
    <n v="4"/>
  </r>
  <r>
    <s v="CMP-00723"/>
    <s v="Q2_Launch_CMP-00723"/>
    <d v="2023-10-21T00:00:00"/>
    <x v="3"/>
    <d v="2023-11-09T00:00:00"/>
    <x v="0"/>
    <n v="22732"/>
    <n v="997"/>
    <n v="103"/>
    <x v="0"/>
    <x v="526"/>
    <n v="4.3858877353510468E-2"/>
    <n v="1.1444332998996991"/>
    <n v="11.077669902912621"/>
    <n v="4009"/>
    <n v="0.10330992978936811"/>
    <x v="0"/>
    <x v="1"/>
    <n v="2023"/>
    <s v="Sat"/>
    <n v="19"/>
  </r>
  <r>
    <s v="CMP-00724"/>
    <s v="Q1_Summer_CMP-00724"/>
    <d v="2023-12-01T00:00:00"/>
    <x v="2"/>
    <d v="2023-12-02T00:00:00"/>
    <x v="4"/>
    <n v="92362"/>
    <n v="2507"/>
    <n v="260"/>
    <x v="0"/>
    <x v="527"/>
    <n v="2.7143197418851909E-2"/>
    <n v="0.91840845632229751"/>
    <n v="8.8555769230769226"/>
    <n v="10697.55"/>
    <n v="0.10370961308336657"/>
    <x v="2"/>
    <x v="0"/>
    <n v="2023"/>
    <s v="Fri"/>
    <n v="1"/>
  </r>
  <r>
    <s v="CMP-00725"/>
    <s v="Q4_Launch_CMP-00725"/>
    <d v="2023-12-08T00:00:00"/>
    <x v="2"/>
    <d v="2023-12-17T00:00:00"/>
    <x v="0"/>
    <n v="31354"/>
    <n v="490"/>
    <n v="63"/>
    <x v="1"/>
    <x v="528"/>
    <n v="1.5627990049116539E-2"/>
    <n v="0.69375510204081636"/>
    <n v="5.3958730158730157"/>
    <n v="2810.06"/>
    <n v="0.12857142857142856"/>
    <x v="2"/>
    <x v="1"/>
    <n v="2023"/>
    <s v="Fri"/>
    <n v="9"/>
  </r>
  <r>
    <s v="CMP-00726"/>
    <s v="Q3_BlackFriday_CMP-00726"/>
    <d v="2023-07-27T00:00:00"/>
    <x v="8"/>
    <d v="2023-08-26T00:00:00"/>
    <x v="0"/>
    <n v="14843"/>
    <n v="542"/>
    <n v="74"/>
    <x v="1"/>
    <x v="529"/>
    <n v="3.6515529205686181E-2"/>
    <n v="0.6493173431734317"/>
    <n v="4.7558108108108108"/>
    <n v="3348.07"/>
    <n v="0.13653136531365315"/>
    <x v="3"/>
    <x v="3"/>
    <n v="2023"/>
    <s v="Thu"/>
    <n v="30"/>
  </r>
  <r>
    <s v="CMP-00727"/>
    <s v="Q2_BlackFriday_CMP-00727"/>
    <d v="2023-12-27T00:00:00"/>
    <x v="2"/>
    <d v="2024-01-14T00:00:00"/>
    <x v="4"/>
    <n v="72726"/>
    <n v="1355"/>
    <n v="229"/>
    <x v="0"/>
    <x v="530"/>
    <n v="1.8631576052580919E-2"/>
    <n v="1.4047896678966789"/>
    <n v="8.3121834061135367"/>
    <n v="9546.51"/>
    <n v="0.16900369003690036"/>
    <x v="2"/>
    <x v="3"/>
    <n v="2023"/>
    <s v="Wed"/>
    <n v="18"/>
  </r>
  <r>
    <s v="CMP-00728"/>
    <s v="Q2_BlackFriday_CMP-00728"/>
    <d v="2023-11-24T00:00:00"/>
    <x v="0"/>
    <d v="2023-12-16T00:00:00"/>
    <x v="0"/>
    <n v="18640"/>
    <n v="259"/>
    <n v="26"/>
    <x v="0"/>
    <x v="531"/>
    <n v="1.3894849785407726E-2"/>
    <n v="1.2854054054054054"/>
    <n v="12.804615384615385"/>
    <n v="967.07999999999993"/>
    <n v="0.10038610038610038"/>
    <x v="0"/>
    <x v="3"/>
    <n v="2023"/>
    <s v="Fri"/>
    <n v="22"/>
  </r>
  <r>
    <s v="CMP-00729"/>
    <s v="Q2_BlackFriday_CMP-00729"/>
    <d v="2023-11-11T00:00:00"/>
    <x v="0"/>
    <d v="2023-11-17T00:00:00"/>
    <x v="0"/>
    <n v="53528"/>
    <n v="2380"/>
    <n v="406"/>
    <x v="0"/>
    <x v="532"/>
    <n v="4.4462711104468693E-2"/>
    <n v="0.88037815126050423"/>
    <n v="5.1608374384236457"/>
    <n v="18204.7"/>
    <n v="0.17058823529411765"/>
    <x v="0"/>
    <x v="3"/>
    <n v="2023"/>
    <s v="Sat"/>
    <n v="6"/>
  </r>
  <r>
    <s v="CMP-00730"/>
    <s v="Q2_Launch_CMP-00730"/>
    <d v="2023-09-02T00:00:00"/>
    <x v="10"/>
    <d v="2023-09-26T00:00:00"/>
    <x v="2"/>
    <n v="39413"/>
    <n v="1119"/>
    <n v="112"/>
    <x v="0"/>
    <x v="533"/>
    <n v="2.8391647425976201E-2"/>
    <n v="1.2064253798033959"/>
    <n v="12.053482142857144"/>
    <n v="4250.01"/>
    <n v="0.10008936550491511"/>
    <x v="0"/>
    <x v="1"/>
    <n v="2023"/>
    <s v="Sat"/>
    <n v="24"/>
  </r>
  <r>
    <s v="CMP-00731"/>
    <s v="Q3_Summer_CMP-00731"/>
    <d v="2023-11-07T00:00:00"/>
    <x v="0"/>
    <d v="2023-11-15T00:00:00"/>
    <x v="1"/>
    <n v="53638"/>
    <n v="2143"/>
    <n v="124"/>
    <x v="0"/>
    <x v="534"/>
    <n v="3.9953018382490026E-2"/>
    <n v="1.2383481101259917"/>
    <n v="21.401451612903227"/>
    <n v="3546.22"/>
    <n v="5.7862809146056932E-2"/>
    <x v="0"/>
    <x v="0"/>
    <n v="2023"/>
    <s v="Tue"/>
    <n v="8"/>
  </r>
  <r>
    <s v="CMP-00732"/>
    <s v="Q2_Launch_CMP-00732"/>
    <d v="2023-08-30T00:00:00"/>
    <x v="7"/>
    <d v="2023-09-21T00:00:00"/>
    <x v="1"/>
    <n v="53736"/>
    <n v="1161"/>
    <n v="154"/>
    <x v="0"/>
    <x v="535"/>
    <n v="2.1605627512282267E-2"/>
    <n v="0.79251507321274761"/>
    <n v="5.9747402597402601"/>
    <n v="6779.89"/>
    <n v="0.13264427217915589"/>
    <x v="3"/>
    <x v="1"/>
    <n v="2023"/>
    <s v="Wed"/>
    <n v="22"/>
  </r>
  <r>
    <s v="CMP-00733"/>
    <s v="Q4_BlackFriday_CMP-00733"/>
    <d v="2023-04-22T00:00:00"/>
    <x v="4"/>
    <d v="2023-05-15T00:00:00"/>
    <x v="3"/>
    <n v="69866"/>
    <n v="2897"/>
    <n v="400"/>
    <x v="0"/>
    <x v="10"/>
    <n v="4.1465090315747286E-2"/>
    <n v="1.253627890921643"/>
    <n v="9.0793999999999997"/>
    <n v="16368.24"/>
    <n v="0.13807386952019329"/>
    <x v="1"/>
    <x v="3"/>
    <n v="2023"/>
    <s v="Sat"/>
    <n v="23"/>
  </r>
  <r>
    <s v="CMP-00734"/>
    <s v="Q1_BlackFriday_CMP-00734"/>
    <d v="2023-11-02T00:00:00"/>
    <x v="0"/>
    <d v="2023-12-02T00:00:00"/>
    <x v="4"/>
    <n v="20087"/>
    <n v="290"/>
    <n v="55"/>
    <x v="1"/>
    <x v="536"/>
    <n v="1.4437198187882709E-2"/>
    <n v="1.6713793103448276"/>
    <n v="8.8127272727272725"/>
    <n v="2265.3000000000002"/>
    <n v="0.18965517241379309"/>
    <x v="0"/>
    <x v="3"/>
    <n v="2023"/>
    <s v="Thu"/>
    <n v="30"/>
  </r>
  <r>
    <s v="CMP-00735"/>
    <s v="Q1_BlackFriday_CMP-00735"/>
    <d v="2023-08-17T00:00:00"/>
    <x v="7"/>
    <d v="2023-08-28T00:00:00"/>
    <x v="2"/>
    <n v="42430"/>
    <n v="1028"/>
    <n v="163"/>
    <x v="0"/>
    <x v="537"/>
    <n v="2.4228140466650956E-2"/>
    <n v="1.6871984435797667"/>
    <n v="10.640736196319018"/>
    <n v="6415.5599999999995"/>
    <n v="0.15856031128404668"/>
    <x v="3"/>
    <x v="3"/>
    <n v="2023"/>
    <s v="Thu"/>
    <n v="11"/>
  </r>
  <r>
    <s v="CMP-00736"/>
    <s v="Q4_Winter_CMP-00736"/>
    <d v="2023-10-16T00:00:00"/>
    <x v="3"/>
    <d v="2023-11-01T00:00:00"/>
    <x v="1"/>
    <n v="25504"/>
    <n v="1252"/>
    <n v="234"/>
    <x v="1"/>
    <x v="538"/>
    <n v="4.9090338770388958E-2"/>
    <n v="1.4037060702875399"/>
    <n v="7.5104273504273511"/>
    <n v="9942.56"/>
    <n v="0.18690095846645369"/>
    <x v="0"/>
    <x v="2"/>
    <n v="2023"/>
    <s v="Mon"/>
    <n v="16"/>
  </r>
  <r>
    <s v="CMP-00737"/>
    <s v="Q4_Launch_CMP-00737"/>
    <d v="2023-09-16T00:00:00"/>
    <x v="10"/>
    <d v="2023-09-20T00:00:00"/>
    <x v="2"/>
    <n v="8114"/>
    <n v="338"/>
    <n v="62"/>
    <x v="0"/>
    <x v="539"/>
    <n v="4.1656396351984225E-2"/>
    <n v="1.2674556213017751"/>
    <n v="6.9096774193548383"/>
    <n v="2671.6"/>
    <n v="0.18343195266272189"/>
    <x v="0"/>
    <x v="1"/>
    <n v="2023"/>
    <s v="Sat"/>
    <n v="4"/>
  </r>
  <r>
    <s v="CMP-00738"/>
    <s v="Q2_Winter_CMP-00738"/>
    <d v="2023-03-26T00:00:00"/>
    <x v="5"/>
    <d v="2023-04-06T00:00:00"/>
    <x v="4"/>
    <n v="79859"/>
    <n v="2387"/>
    <n v="335"/>
    <x v="1"/>
    <x v="540"/>
    <n v="2.9890181444796455E-2"/>
    <n v="0.59151235860913287"/>
    <n v="4.2147462686567163"/>
    <n v="15338.06"/>
    <n v="0.14034352744030162"/>
    <x v="1"/>
    <x v="2"/>
    <n v="2023"/>
    <s v="Sun"/>
    <n v="11"/>
  </r>
  <r>
    <s v="CMP-00739"/>
    <s v="Q2_Launch_CMP-00739"/>
    <d v="2023-03-01T00:00:00"/>
    <x v="5"/>
    <d v="2023-03-25T00:00:00"/>
    <x v="4"/>
    <n v="11975"/>
    <n v="282"/>
    <n v="36"/>
    <x v="0"/>
    <x v="0"/>
    <n v="2.3549060542797495E-2"/>
    <n v="1.167136524822695"/>
    <n v="9.1425694444444439"/>
    <n v="1470.8675000000001"/>
    <n v="0.1276595744680851"/>
    <x v="1"/>
    <x v="1"/>
    <n v="2023"/>
    <s v="Wed"/>
    <n v="24"/>
  </r>
  <r>
    <s v="CMP-00740"/>
    <s v="Q2_BlackFriday_CMP-00740"/>
    <d v="2023-08-09T00:00:00"/>
    <x v="7"/>
    <d v="2023-10-05T00:00:00"/>
    <x v="2"/>
    <n v="12023"/>
    <n v="539"/>
    <n v="72"/>
    <x v="1"/>
    <x v="541"/>
    <n v="4.483074107959744E-2"/>
    <n v="0.63990723562152141"/>
    <n v="4.7904166666666672"/>
    <n v="3255.09"/>
    <n v="0.13358070500927643"/>
    <x v="3"/>
    <x v="3"/>
    <n v="2023"/>
    <s v="Wed"/>
    <n v="57"/>
  </r>
  <r>
    <s v="CMP-00741"/>
    <s v="Q3_BlackFriday_CMP-00741"/>
    <d v="2023-09-19T00:00:00"/>
    <x v="10"/>
    <d v="2023-10-15T00:00:00"/>
    <x v="3"/>
    <n v="22447"/>
    <n v="713"/>
    <n v="140"/>
    <x v="1"/>
    <x v="542"/>
    <n v="3.1763710072615498E-2"/>
    <n v="1.9457363253856941"/>
    <n v="9.909357142857143"/>
    <n v="5612.6900000000005"/>
    <n v="0.19635343618513323"/>
    <x v="0"/>
    <x v="3"/>
    <n v="2023"/>
    <s v="Tue"/>
    <n v="26"/>
  </r>
  <r>
    <s v="CMP-00742"/>
    <s v="Q3_Summer_CMP-00742"/>
    <d v="2023-03-09T00:00:00"/>
    <x v="5"/>
    <d v="2023-03-21T00:00:00"/>
    <x v="2"/>
    <n v="91469"/>
    <n v="3689"/>
    <n v="612"/>
    <x v="0"/>
    <x v="543"/>
    <n v="4.0330603811127269E-2"/>
    <n v="0.70262130658715094"/>
    <n v="4.2352450980392158"/>
    <n v="28008.03"/>
    <n v="0.16589861751152074"/>
    <x v="1"/>
    <x v="0"/>
    <n v="2023"/>
    <s v="Thu"/>
    <n v="12"/>
  </r>
  <r>
    <s v="CMP-00743"/>
    <s v="Q1_Launch_CMP-00743"/>
    <d v="2023-01-30T00:00:00"/>
    <x v="11"/>
    <d v="2023-02-17T00:00:00"/>
    <x v="4"/>
    <n v="24959"/>
    <n v="1002"/>
    <n v="66"/>
    <x v="0"/>
    <x v="544"/>
    <n v="4.0145839176249046E-2"/>
    <n v="0.72766467065868268"/>
    <n v="11.047272727272727"/>
    <n v="2570.88"/>
    <n v="6.5868263473053898E-2"/>
    <x v="2"/>
    <x v="1"/>
    <n v="2023"/>
    <s v="Mon"/>
    <n v="18"/>
  </r>
  <r>
    <s v="CMP-00744"/>
    <s v="Q4_Winter_CMP-00744"/>
    <d v="2023-06-07T00:00:00"/>
    <x v="9"/>
    <d v="2023-07-07T00:00:00"/>
    <x v="3"/>
    <n v="67203"/>
    <n v="720"/>
    <n v="120"/>
    <x v="1"/>
    <x v="545"/>
    <n v="1.0713807419311638E-2"/>
    <n v="1.8343611111111111"/>
    <n v="11.006166666666667"/>
    <n v="4679.26"/>
    <n v="0.16666666666666666"/>
    <x v="3"/>
    <x v="2"/>
    <n v="2023"/>
    <s v="Wed"/>
    <n v="30"/>
  </r>
  <r>
    <s v="CMP-00745"/>
    <s v="Q4_Winter_CMP-00745"/>
    <d v="2023-01-02T00:00:00"/>
    <x v="11"/>
    <d v="2023-01-15T00:00:00"/>
    <x v="2"/>
    <n v="30703"/>
    <n v="462"/>
    <n v="34"/>
    <x v="1"/>
    <x v="546"/>
    <n v="1.5047389505911474E-2"/>
    <n v="1.9158874458874458"/>
    <n v="26.033529411764704"/>
    <n v="814.86"/>
    <n v="7.3593073593073599E-2"/>
    <x v="2"/>
    <x v="2"/>
    <n v="2023"/>
    <s v="Mon"/>
    <n v="13"/>
  </r>
  <r>
    <s v="CMP-00746"/>
    <s v="Q2_Launch_CMP-00746"/>
    <d v="2023-01-24T00:00:00"/>
    <x v="11"/>
    <d v="2023-02-10T00:00:00"/>
    <x v="4"/>
    <n v="10337"/>
    <n v="376"/>
    <n v="44"/>
    <x v="1"/>
    <x v="547"/>
    <n v="3.6374189803618069E-2"/>
    <n v="1.6487499999999999"/>
    <n v="14.089318181818181"/>
    <n v="1580.0700000000002"/>
    <n v="0.11702127659574468"/>
    <x v="2"/>
    <x v="1"/>
    <n v="2023"/>
    <s v="Tue"/>
    <n v="17"/>
  </r>
  <r>
    <s v="CMP-00747"/>
    <s v="Q1_Winter_CMP-00747"/>
    <d v="2023-10-05T00:00:00"/>
    <x v="3"/>
    <d v="2023-10-27T00:00:00"/>
    <x v="1"/>
    <n v="47427"/>
    <n v="780"/>
    <n v="63"/>
    <x v="0"/>
    <x v="548"/>
    <n v="1.6446328040989309E-2"/>
    <n v="0.50810256410256405"/>
    <n v="6.2907936507936508"/>
    <n v="2753.68"/>
    <n v="8.0769230769230774E-2"/>
    <x v="0"/>
    <x v="2"/>
    <n v="2023"/>
    <s v="Thu"/>
    <n v="22"/>
  </r>
  <r>
    <s v="CMP-00748"/>
    <s v="Q1_Launch_CMP-00748"/>
    <d v="2023-02-05T00:00:00"/>
    <x v="6"/>
    <d v="2023-03-04T00:00:00"/>
    <x v="0"/>
    <n v="62529"/>
    <n v="1264"/>
    <n v="193"/>
    <x v="1"/>
    <x v="549"/>
    <n v="2.0214620416126917E-2"/>
    <n v="0.50201740506329107"/>
    <n v="3.2878238341968911"/>
    <n v="9015.4500000000007"/>
    <n v="0.15268987341772153"/>
    <x v="2"/>
    <x v="1"/>
    <n v="2023"/>
    <s v="Sun"/>
    <n v="27"/>
  </r>
  <r>
    <s v="CMP-00749"/>
    <s v="Q3_Launch_CMP-00749"/>
    <d v="2023-05-27T00:00:00"/>
    <x v="1"/>
    <d v="2023-06-09T00:00:00"/>
    <x v="4"/>
    <n v="85665"/>
    <n v="4100"/>
    <n v="744"/>
    <x v="0"/>
    <x v="10"/>
    <n v="4.7860853323994632E-2"/>
    <n v="0.88579512195121946"/>
    <n v="4.8813978494623651"/>
    <n v="33568.239999999998"/>
    <n v="0.18146341463414634"/>
    <x v="1"/>
    <x v="1"/>
    <n v="2023"/>
    <s v="Sat"/>
    <n v="13"/>
  </r>
  <r>
    <s v="CMP-00750"/>
    <s v="Q1_Winter_CMP-00750"/>
    <d v="2023-11-25T00:00:00"/>
    <x v="0"/>
    <d v="2023-12-03T00:00:00"/>
    <x v="0"/>
    <n v="32921"/>
    <n v="1066"/>
    <n v="99"/>
    <x v="1"/>
    <x v="550"/>
    <n v="3.2380547370979007E-2"/>
    <n v="0.71509380863039396"/>
    <n v="7.6998989898989896"/>
    <n v="4187.71"/>
    <n v="9.2870544090056281E-2"/>
    <x v="0"/>
    <x v="2"/>
    <n v="2023"/>
    <s v="Sat"/>
    <n v="8"/>
  </r>
  <r>
    <s v="CMP-00751"/>
    <s v="Q1_Launch_CMP-00751"/>
    <d v="2023-08-04T00:00:00"/>
    <x v="7"/>
    <d v="2023-08-23T00:00:00"/>
    <x v="4"/>
    <n v="34307"/>
    <n v="1373"/>
    <n v="85"/>
    <x v="0"/>
    <x v="551"/>
    <n v="4.002098697058909E-2"/>
    <n v="0.52758193736343773"/>
    <n v="8.5220000000000002"/>
    <n v="3525.63"/>
    <n v="6.1908230152949745E-2"/>
    <x v="3"/>
    <x v="1"/>
    <n v="2023"/>
    <s v="Fri"/>
    <n v="19"/>
  </r>
  <r>
    <s v="CMP-00752"/>
    <s v="Q1_Winter_CMP-00752"/>
    <d v="2023-08-18T00:00:00"/>
    <x v="7"/>
    <d v="2023-08-30T00:00:00"/>
    <x v="4"/>
    <n v="28355"/>
    <n v="916"/>
    <n v="86"/>
    <x v="0"/>
    <x v="552"/>
    <n v="3.2304708164344914E-2"/>
    <n v="1.1961026200873364"/>
    <n v="12.739883720930234"/>
    <n v="3204.37"/>
    <n v="9.3886462882096067E-2"/>
    <x v="3"/>
    <x v="2"/>
    <n v="2023"/>
    <s v="Fri"/>
    <n v="12"/>
  </r>
  <r>
    <s v="CMP-00753"/>
    <s v="Q1_Winter_CMP-00753"/>
    <d v="2023-12-07T00:00:00"/>
    <x v="2"/>
    <d v="2024-01-06T00:00:00"/>
    <x v="0"/>
    <n v="5835"/>
    <n v="187"/>
    <n v="28"/>
    <x v="0"/>
    <x v="553"/>
    <n v="3.2047986289631535E-2"/>
    <n v="1.9145989304812834"/>
    <n v="12.786785714285713"/>
    <n v="1041.97"/>
    <n v="0.1497326203208556"/>
    <x v="2"/>
    <x v="2"/>
    <n v="2023"/>
    <s v="Thu"/>
    <n v="30"/>
  </r>
  <r>
    <s v="CMP-00754"/>
    <s v="Q4_Launch_CMP-00754"/>
    <d v="2023-12-05T00:00:00"/>
    <x v="2"/>
    <d v="2023-12-19T00:00:00"/>
    <x v="4"/>
    <n v="21159"/>
    <n v="291"/>
    <n v="28"/>
    <x v="0"/>
    <x v="0"/>
    <n v="1.3753012902311073E-2"/>
    <n v="1.1310395189003437"/>
    <n v="11.754732142857142"/>
    <n v="1070.8675000000001"/>
    <n v="9.6219931271477668E-2"/>
    <x v="2"/>
    <x v="1"/>
    <n v="2023"/>
    <s v="Tue"/>
    <n v="14"/>
  </r>
  <r>
    <s v="CMP-00755"/>
    <s v="Q3_Winter_CMP-00755"/>
    <d v="2023-06-28T00:00:00"/>
    <x v="9"/>
    <d v="2023-07-21T00:00:00"/>
    <x v="0"/>
    <n v="48605"/>
    <n v="1154"/>
    <n v="105"/>
    <x v="1"/>
    <x v="554"/>
    <n v="2.3742413331961733E-2"/>
    <n v="1.4917071057192375"/>
    <n v="16.394571428571428"/>
    <n v="3528.5699999999997"/>
    <n v="9.0987868284228765E-2"/>
    <x v="3"/>
    <x v="2"/>
    <n v="2023"/>
    <s v="Wed"/>
    <n v="23"/>
  </r>
  <r>
    <s v="CMP-00756"/>
    <s v="Q4_Winter_CMP-00756"/>
    <d v="2023-07-21T00:00:00"/>
    <x v="8"/>
    <d v="2023-08-15T00:00:00"/>
    <x v="3"/>
    <n v="39088"/>
    <n v="832"/>
    <n v="64"/>
    <x v="0"/>
    <x v="555"/>
    <n v="2.1285304952926729E-2"/>
    <n v="1.4783533653846155"/>
    <n v="19.21859375"/>
    <n v="1970.01"/>
    <n v="7.6923076923076927E-2"/>
    <x v="3"/>
    <x v="2"/>
    <n v="2023"/>
    <s v="Fri"/>
    <n v="25"/>
  </r>
  <r>
    <s v="CMP-00757"/>
    <s v="Q3_Summer_CMP-00757"/>
    <d v="2023-04-25T00:00:00"/>
    <x v="4"/>
    <d v="2023-04-29T00:00:00"/>
    <x v="0"/>
    <n v="79752"/>
    <n v="2043"/>
    <n v="254"/>
    <x v="1"/>
    <x v="556"/>
    <n v="2.5616912428528437E-2"/>
    <n v="0.87661771904062658"/>
    <n v="7.050905511811024"/>
    <n v="10909.07"/>
    <n v="0.12432697014194811"/>
    <x v="1"/>
    <x v="0"/>
    <n v="2023"/>
    <s v="Tue"/>
    <n v="4"/>
  </r>
  <r>
    <s v="CMP-00758"/>
    <s v="Q3_BlackFriday_CMP-00758"/>
    <d v="2023-06-02T00:00:00"/>
    <x v="9"/>
    <d v="2023-06-10T00:00:00"/>
    <x v="3"/>
    <n v="56284"/>
    <n v="2360"/>
    <n v="215"/>
    <x v="1"/>
    <x v="557"/>
    <n v="4.1930211072418448E-2"/>
    <n v="1.4756398305084746"/>
    <n v="16.19772093023256"/>
    <n v="7267.49"/>
    <n v="9.110169491525423E-2"/>
    <x v="3"/>
    <x v="3"/>
    <n v="2023"/>
    <s v="Fri"/>
    <n v="8"/>
  </r>
  <r>
    <s v="CMP-00759"/>
    <s v="Q1_Summer_CMP-00759"/>
    <d v="2023-08-06T00:00:00"/>
    <x v="7"/>
    <d v="2023-08-27T00:00:00"/>
    <x v="3"/>
    <n v="58043"/>
    <n v="1443"/>
    <n v="230"/>
    <x v="1"/>
    <x v="558"/>
    <n v="2.4860879003497406E-2"/>
    <n v="0.81850311850311841"/>
    <n v="5.1352173913043471"/>
    <n v="10318.9"/>
    <n v="0.15939015939015938"/>
    <x v="3"/>
    <x v="0"/>
    <n v="2023"/>
    <s v="Sun"/>
    <n v="21"/>
  </r>
  <r>
    <s v="CMP-00760"/>
    <s v="Q1_BlackFriday_CMP-00760"/>
    <d v="2023-05-07T00:00:00"/>
    <x v="1"/>
    <d v="2023-05-28T00:00:00"/>
    <x v="3"/>
    <n v="36547"/>
    <n v="1025"/>
    <m/>
    <x v="0"/>
    <x v="559"/>
    <n v="2.8046077653432568E-2"/>
    <n v="0.68301463414634145"/>
    <n v="0"/>
    <n v="-700.09"/>
    <n v="0"/>
    <x v="1"/>
    <x v="3"/>
    <n v="2023"/>
    <s v="Sun"/>
    <n v="21"/>
  </r>
  <r>
    <s v="CMP-00761"/>
    <s v="Q4_Launch_CMP-00761"/>
    <d v="2023-04-07T00:00:00"/>
    <x v="4"/>
    <d v="2023-04-22T00:00:00"/>
    <x v="0"/>
    <n v="98007"/>
    <n v="2537"/>
    <n v="379"/>
    <x v="0"/>
    <x v="10"/>
    <n v="2.5885906108747334E-2"/>
    <n v="1.4315175404020495"/>
    <n v="9.5824802110817942"/>
    <n v="15318.24"/>
    <n v="0.14938904217579818"/>
    <x v="1"/>
    <x v="1"/>
    <n v="2023"/>
    <s v="Fri"/>
    <n v="15"/>
  </r>
  <r>
    <s v="CMP-00762"/>
    <s v="Q4_Launch_CMP-00762"/>
    <d v="2023-02-27T00:00:00"/>
    <x v="6"/>
    <d v="2023-03-04T00:00:00"/>
    <x v="0"/>
    <n v="83844"/>
    <n v="1151"/>
    <n v="98"/>
    <x v="0"/>
    <x v="560"/>
    <n v="1.3727875578455227E-2"/>
    <n v="0.67016507384882706"/>
    <n v="7.8710204081632655"/>
    <n v="4128.6400000000003"/>
    <n v="8.5143353605560385E-2"/>
    <x v="2"/>
    <x v="1"/>
    <n v="2023"/>
    <s v="Mon"/>
    <n v="5"/>
  </r>
  <r>
    <s v="CMP-00763"/>
    <s v="Q3_Launch_CMP-00763"/>
    <d v="2023-12-05T00:00:00"/>
    <x v="2"/>
    <d v="2024-01-01T00:00:00"/>
    <x v="4"/>
    <n v="28532"/>
    <n v="788"/>
    <n v="97"/>
    <x v="1"/>
    <x v="561"/>
    <n v="2.7618112995934391E-2"/>
    <n v="1.9953680203045685"/>
    <n v="16.209793814432988"/>
    <n v="3277.65"/>
    <n v="0.12309644670050761"/>
    <x v="2"/>
    <x v="1"/>
    <n v="2023"/>
    <s v="Tue"/>
    <n v="27"/>
  </r>
  <r>
    <s v="CMP-00764"/>
    <s v="Q2_Winter_CMP-00764"/>
    <d v="2023-01-09T00:00:00"/>
    <x v="11"/>
    <d v="2023-09-24T00:00:00"/>
    <x v="2"/>
    <n v="35349"/>
    <n v="630"/>
    <n v="58"/>
    <x v="1"/>
    <x v="562"/>
    <n v="1.7822286344733939E-2"/>
    <n v="0.77517460317460318"/>
    <n v="8.42"/>
    <n v="2411.64"/>
    <n v="9.2063492063492069E-2"/>
    <x v="2"/>
    <x v="2"/>
    <n v="2023"/>
    <s v="Mon"/>
    <n v="258"/>
  </r>
  <r>
    <s v="CMP-00765"/>
    <s v="Q1_Winter_CMP-00765"/>
    <d v="2023-01-11T00:00:00"/>
    <x v="11"/>
    <d v="2023-11-30T00:00:00"/>
    <x v="0"/>
    <n v="46445"/>
    <n v="811"/>
    <n v="128"/>
    <x v="1"/>
    <x v="563"/>
    <n v="1.7461513618258154E-2"/>
    <n v="1.3912083847102343"/>
    <n v="8.8146093749999999"/>
    <n v="5271.73"/>
    <n v="0.15782983970406905"/>
    <x v="2"/>
    <x v="2"/>
    <n v="2023"/>
    <s v="Wed"/>
    <n v="323"/>
  </r>
  <r>
    <s v="CMP-00766"/>
    <s v="Q1_BlackFriday_CMP-00766"/>
    <d v="2023-11-03T00:00:00"/>
    <x v="0"/>
    <d v="2023-11-28T00:00:00"/>
    <x v="3"/>
    <n v="6713"/>
    <n v="92"/>
    <n v="17"/>
    <x v="1"/>
    <x v="0"/>
    <n v="1.3704751973782214E-2"/>
    <n v="3.5775271739130434"/>
    <n v="19.360735294117646"/>
    <n v="520.86750000000006"/>
    <n v="0.18478260869565216"/>
    <x v="0"/>
    <x v="3"/>
    <n v="2023"/>
    <s v="Fri"/>
    <n v="25"/>
  </r>
  <r>
    <s v="CMP-00767"/>
    <s v="Q4_Launch_CMP-00767"/>
    <d v="2023-05-06T00:00:00"/>
    <x v="1"/>
    <d v="2023-05-13T00:00:00"/>
    <x v="1"/>
    <n v="57178"/>
    <n v="1387"/>
    <m/>
    <x v="0"/>
    <x v="564"/>
    <n v="2.4257581587323798E-2"/>
    <n v="0.68958183129055517"/>
    <n v="0"/>
    <n v="-956.45"/>
    <n v="0"/>
    <x v="1"/>
    <x v="1"/>
    <n v="2023"/>
    <s v="Sat"/>
    <n v="7"/>
  </r>
  <r>
    <s v="CMP-00768"/>
    <s v="Q3_Launch_CMP-00768"/>
    <d v="2023-04-30T00:00:00"/>
    <x v="4"/>
    <d v="2023-05-23T00:00:00"/>
    <x v="4"/>
    <n v="50407"/>
    <n v="2031"/>
    <n v="279"/>
    <x v="1"/>
    <x v="565"/>
    <n v="4.0292022933322756E-2"/>
    <n v="0.54176760216642039"/>
    <n v="3.9438351254480284"/>
    <n v="12849.67"/>
    <n v="0.13737075332348597"/>
    <x v="1"/>
    <x v="1"/>
    <n v="2023"/>
    <s v="Sun"/>
    <n v="23"/>
  </r>
  <r>
    <s v="CMP-00769"/>
    <s v="Q2_BlackFriday_CMP-00769"/>
    <d v="2023-01-29T00:00:00"/>
    <x v="11"/>
    <d v="2023-01-30T00:00:00"/>
    <x v="3"/>
    <n v="71340"/>
    <n v="1502"/>
    <m/>
    <x v="0"/>
    <x v="566"/>
    <n v="2.1054107092795066E-2"/>
    <n v="1.4341011984021306"/>
    <n v="0"/>
    <n v="-2154.02"/>
    <n v="0"/>
    <x v="2"/>
    <x v="3"/>
    <n v="2023"/>
    <s v="Sun"/>
    <n v="1"/>
  </r>
  <r>
    <s v="CMP-00770"/>
    <s v="Q1_Winter_CMP-00770"/>
    <d v="2023-04-30T00:00:00"/>
    <x v="4"/>
    <d v="2023-05-29T00:00:00"/>
    <x v="4"/>
    <n v="51990"/>
    <n v="1169"/>
    <n v="201"/>
    <x v="0"/>
    <x v="567"/>
    <n v="2.2485093287170611E-2"/>
    <n v="1.7101368691189052"/>
    <n v="9.9460199004975127"/>
    <n v="8050.85"/>
    <n v="0.17194183062446536"/>
    <x v="1"/>
    <x v="2"/>
    <n v="2023"/>
    <s v="Sun"/>
    <n v="29"/>
  </r>
  <r>
    <s v="CMP-00771"/>
    <s v="Q3_Launch_CMP-00771"/>
    <d v="2023-06-13T00:00:00"/>
    <x v="9"/>
    <d v="2023-07-09T00:00:00"/>
    <x v="2"/>
    <n v="76672"/>
    <n v="2737"/>
    <n v="417"/>
    <x v="0"/>
    <x v="10"/>
    <n v="3.5697516694490818E-2"/>
    <n v="1.326912678114724"/>
    <n v="8.70925659472422"/>
    <n v="17218.240000000002"/>
    <n v="0.15235659481183778"/>
    <x v="3"/>
    <x v="1"/>
    <n v="2023"/>
    <s v="Tue"/>
    <n v="26"/>
  </r>
  <r>
    <s v="CMP-00772"/>
    <s v="Q3_Summer_CMP-00772"/>
    <d v="2023-06-14T00:00:00"/>
    <x v="9"/>
    <d v="2023-07-01T00:00:00"/>
    <x v="1"/>
    <n v="66545"/>
    <n v="1186"/>
    <n v="91"/>
    <x v="1"/>
    <x v="568"/>
    <n v="1.7822526110151025E-2"/>
    <n v="1.2240725126475549"/>
    <n v="15.953296703296703"/>
    <n v="3098.25"/>
    <n v="7.672849915682968E-2"/>
    <x v="3"/>
    <x v="0"/>
    <n v="2023"/>
    <s v="Wed"/>
    <n v="17"/>
  </r>
  <r>
    <s v="CMP-00773"/>
    <s v="Q4_BlackFriday_CMP-00773"/>
    <d v="2023-12-05T00:00:00"/>
    <x v="2"/>
    <d v="2023-12-31T00:00:00"/>
    <x v="2"/>
    <n v="85791"/>
    <n v="3935"/>
    <n v="681"/>
    <x v="0"/>
    <x v="10"/>
    <n v="4.586728211583966E-2"/>
    <n v="0.92293773824650571"/>
    <n v="5.3329809104258441"/>
    <n v="30418.240000000002"/>
    <n v="0.17306226175349429"/>
    <x v="2"/>
    <x v="3"/>
    <n v="2023"/>
    <s v="Tue"/>
    <n v="26"/>
  </r>
  <r>
    <s v="CMP-00774"/>
    <s v="Q3_Launch_CMP-00774"/>
    <d v="2023-05-21T00:00:00"/>
    <x v="1"/>
    <d v="2023-05-25T00:00:00"/>
    <x v="1"/>
    <n v="59141"/>
    <n v="1821"/>
    <n v="208"/>
    <x v="1"/>
    <x v="569"/>
    <n v="3.0790821934022081E-2"/>
    <n v="1.5092696320702912"/>
    <n v="13.213365384615384"/>
    <n v="7651.62"/>
    <n v="0.11422295442064799"/>
    <x v="1"/>
    <x v="1"/>
    <n v="2023"/>
    <s v="Sun"/>
    <n v="4"/>
  </r>
  <r>
    <s v="CMP-00775"/>
    <s v="Q3_Winter_CMP-00775"/>
    <d v="2023-10-30T00:00:00"/>
    <x v="3"/>
    <d v="2023-11-15T00:00:00"/>
    <x v="0"/>
    <n v="24793"/>
    <n v="691"/>
    <n v="54"/>
    <x v="1"/>
    <x v="570"/>
    <n v="2.7870769975396281E-2"/>
    <n v="1.5863820549927641"/>
    <n v="20.299814814814816"/>
    <n v="1603.81"/>
    <n v="7.8147612156295218E-2"/>
    <x v="0"/>
    <x v="2"/>
    <n v="2023"/>
    <s v="Mon"/>
    <n v="16"/>
  </r>
  <r>
    <s v="CMP-00776"/>
    <s v="Q2_Summer_CMP-00776"/>
    <d v="2023-11-17T00:00:00"/>
    <x v="0"/>
    <d v="2023-11-22T00:00:00"/>
    <x v="4"/>
    <n v="57570"/>
    <n v="1860"/>
    <n v="171"/>
    <x v="0"/>
    <x v="571"/>
    <n v="3.2308494007295463E-2"/>
    <n v="1.2388978494623655"/>
    <n v="13.475730994152046"/>
    <n v="6245.65"/>
    <n v="9.1935483870967741E-2"/>
    <x v="0"/>
    <x v="0"/>
    <n v="2023"/>
    <s v="Fri"/>
    <n v="5"/>
  </r>
  <r>
    <s v="CMP-00777"/>
    <s v="Q2_Launch_CMP-00777"/>
    <d v="2023-01-25T00:00:00"/>
    <x v="11"/>
    <d v="2023-02-24T00:00:00"/>
    <x v="1"/>
    <n v="96084"/>
    <n v="1598"/>
    <n v="144"/>
    <x v="0"/>
    <x v="572"/>
    <n v="1.6631280962491155E-2"/>
    <n v="1.4501188986232791"/>
    <n v="16.092291666666668"/>
    <n v="4882.71"/>
    <n v="9.0112640801001245E-2"/>
    <x v="2"/>
    <x v="1"/>
    <n v="2023"/>
    <s v="Wed"/>
    <n v="30"/>
  </r>
  <r>
    <s v="CMP-00778"/>
    <s v="Q3_BlackFriday_CMP-00778"/>
    <d v="2023-12-10T00:00:00"/>
    <x v="2"/>
    <d v="2023-12-13T00:00:00"/>
    <x v="2"/>
    <n v="38892"/>
    <n v="1343"/>
    <m/>
    <x v="1"/>
    <x v="573"/>
    <n v="3.4531523192430323E-2"/>
    <n v="1.7082874162323156"/>
    <n v="0"/>
    <n v="-2294.23"/>
    <n v="0"/>
    <x v="2"/>
    <x v="3"/>
    <n v="2023"/>
    <s v="Sun"/>
    <n v="3"/>
  </r>
  <r>
    <s v="CMP-00779"/>
    <s v="Q1_BlackFriday_CMP-00779"/>
    <d v="2023-12-23T00:00:00"/>
    <x v="2"/>
    <d v="2024-01-15T00:00:00"/>
    <x v="1"/>
    <n v="2015"/>
    <n v="49"/>
    <n v="4"/>
    <x v="1"/>
    <x v="0"/>
    <n v="2.4317617866004962E-2"/>
    <n v="6.7169897959183675"/>
    <n v="82.283124999999998"/>
    <n v="-129.13249999999999"/>
    <n v="8.1632653061224483E-2"/>
    <x v="2"/>
    <x v="3"/>
    <n v="2023"/>
    <s v="Sat"/>
    <n v="23"/>
  </r>
  <r>
    <s v="CMP-00780"/>
    <s v="Q3_Winter_CMP-00780"/>
    <d v="2023-07-12T00:00:00"/>
    <x v="8"/>
    <d v="2023-07-22T00:00:00"/>
    <x v="3"/>
    <n v="62813"/>
    <n v="2882"/>
    <n v="197"/>
    <x v="0"/>
    <x v="10"/>
    <n v="4.5882221833060038E-2"/>
    <n v="1.2601526717557252"/>
    <n v="18.435329949238579"/>
    <n v="6218.24"/>
    <n v="6.8355308813324078E-2"/>
    <x v="3"/>
    <x v="2"/>
    <n v="2023"/>
    <s v="Wed"/>
    <n v="10"/>
  </r>
  <r>
    <s v="CMP-00781"/>
    <s v="Q1_BlackFriday_CMP-00781"/>
    <d v="2023-05-04T00:00:00"/>
    <x v="1"/>
    <d v="2023-05-12T00:00:00"/>
    <x v="3"/>
    <n v="28712"/>
    <n v="481"/>
    <n v="32"/>
    <x v="0"/>
    <x v="574"/>
    <n v="1.6752577319587628E-2"/>
    <n v="1.388024948024948"/>
    <n v="20.86375"/>
    <n v="932.36"/>
    <n v="6.6528066528066532E-2"/>
    <x v="1"/>
    <x v="3"/>
    <n v="2023"/>
    <s v="Thu"/>
    <n v="8"/>
  </r>
  <r>
    <s v="CMP-00782"/>
    <s v="Q3_Launch_CMP-00782"/>
    <d v="2023-12-29T00:00:00"/>
    <x v="2"/>
    <d v="2024-01-23T00:00:00"/>
    <x v="0"/>
    <n v="9415"/>
    <n v="285"/>
    <n v="39"/>
    <x v="0"/>
    <x v="0"/>
    <n v="3.0270844397238449E-2"/>
    <n v="1.1548508771929824"/>
    <n v="8.4392948717948713"/>
    <n v="1620.8675000000001"/>
    <n v="0.1368421052631579"/>
    <x v="2"/>
    <x v="1"/>
    <n v="2023"/>
    <s v="Fri"/>
    <n v="25"/>
  </r>
  <r>
    <s v="CMP-00783"/>
    <s v="Q4_Winter_CMP-00783"/>
    <d v="2023-01-30T00:00:00"/>
    <x v="11"/>
    <d v="2023-02-12T00:00:00"/>
    <x v="4"/>
    <n v="63292"/>
    <n v="2147"/>
    <n v="343"/>
    <x v="1"/>
    <x v="575"/>
    <n v="3.392213865891424E-2"/>
    <n v="0.53702841173730786"/>
    <n v="3.361516034985423"/>
    <n v="15997"/>
    <n v="0.15975780158360503"/>
    <x v="2"/>
    <x v="2"/>
    <n v="2023"/>
    <s v="Mon"/>
    <n v="13"/>
  </r>
  <r>
    <s v="CMP-00784"/>
    <s v="Q2_BlackFriday_CMP-00784"/>
    <d v="2023-10-13T00:00:00"/>
    <x v="3"/>
    <d v="2023-10-23T00:00:00"/>
    <x v="1"/>
    <n v="24833"/>
    <n v="281"/>
    <n v="27"/>
    <x v="1"/>
    <x v="0"/>
    <n v="1.1315588128699714E-2"/>
    <n v="1.1712900355871887"/>
    <n v="12.190092592592592"/>
    <n v="1020.8675000000001"/>
    <n v="9.6085409252669035E-2"/>
    <x v="0"/>
    <x v="3"/>
    <n v="2023"/>
    <s v="Fri"/>
    <n v="10"/>
  </r>
  <r>
    <s v="CMP-00785"/>
    <s v="Q3_Summer_CMP-00785"/>
    <d v="2023-05-11T00:00:00"/>
    <x v="1"/>
    <d v="2023-06-07T00:00:00"/>
    <x v="1"/>
    <n v="5158"/>
    <n v="126"/>
    <n v="6"/>
    <x v="1"/>
    <x v="0"/>
    <n v="2.44280728964715E-2"/>
    <n v="2.6121626984126984"/>
    <n v="54.855416666666663"/>
    <n v="-29.132499999999993"/>
    <n v="4.7619047619047616E-2"/>
    <x v="1"/>
    <x v="0"/>
    <n v="2023"/>
    <s v="Thu"/>
    <n v="27"/>
  </r>
  <r>
    <s v="CMP-00786"/>
    <s v="Q2_BlackFriday_CMP-00786"/>
    <d v="2023-08-19T00:00:00"/>
    <x v="7"/>
    <d v="2023-08-26T00:00:00"/>
    <x v="0"/>
    <n v="63680"/>
    <n v="2502"/>
    <n v="172"/>
    <x v="0"/>
    <x v="10"/>
    <n v="3.9290201005025123E-2"/>
    <n v="1.4515427657873701"/>
    <n v="21.11488372093023"/>
    <n v="4968.24"/>
    <n v="6.8745003996802556E-2"/>
    <x v="3"/>
    <x v="3"/>
    <n v="2023"/>
    <s v="Sat"/>
    <n v="7"/>
  </r>
  <r>
    <s v="CMP-00787"/>
    <s v="Q2_Summer_CMP-00787"/>
    <d v="2023-08-04T00:00:00"/>
    <x v="7"/>
    <d v="2023-09-03T00:00:00"/>
    <x v="2"/>
    <n v="21309"/>
    <n v="912"/>
    <n v="170"/>
    <x v="0"/>
    <x v="576"/>
    <n v="4.279881740109813E-2"/>
    <n v="0.69122807017543852"/>
    <n v="3.7082352941176469"/>
    <n v="7869.6"/>
    <n v="0.18640350877192982"/>
    <x v="3"/>
    <x v="0"/>
    <n v="2023"/>
    <s v="Fri"/>
    <n v="30"/>
  </r>
  <r>
    <s v="CMP-00788"/>
    <s v="Q2_Winter_CMP-00788"/>
    <d v="2023-07-13T00:00:00"/>
    <x v="8"/>
    <d v="2023-08-03T00:00:00"/>
    <x v="1"/>
    <n v="7970"/>
    <n v="179"/>
    <n v="22"/>
    <x v="0"/>
    <x v="0"/>
    <n v="2.2459222082810541E-2"/>
    <n v="1.8387290502793296"/>
    <n v="14.960568181818182"/>
    <n v="770.86750000000006"/>
    <n v="0.12290502793296089"/>
    <x v="3"/>
    <x v="2"/>
    <n v="2023"/>
    <s v="Thu"/>
    <n v="21"/>
  </r>
  <r>
    <s v="CMP-00789"/>
    <s v="Q1_Summer_CMP-00789"/>
    <d v="2023-02-07T00:00:00"/>
    <x v="6"/>
    <d v="2023-02-11T00:00:00"/>
    <x v="4"/>
    <n v="73474"/>
    <n v="3081"/>
    <n v="363"/>
    <x v="0"/>
    <x v="10"/>
    <n v="4.1933200860168225E-2"/>
    <n v="1.1787601428107757"/>
    <n v="10.004848484848484"/>
    <n v="14518.24"/>
    <n v="0.11781888997078871"/>
    <x v="2"/>
    <x v="0"/>
    <n v="2023"/>
    <s v="Tue"/>
    <n v="4"/>
  </r>
  <r>
    <s v="CMP-00790"/>
    <s v="Q2_Summer_CMP-00790"/>
    <d v="2023-12-10T00:00:00"/>
    <x v="2"/>
    <d v="2024-01-06T00:00:00"/>
    <x v="1"/>
    <n v="87704"/>
    <n v="4272"/>
    <n v="237"/>
    <x v="1"/>
    <x v="10"/>
    <n v="4.8709294901030736E-2"/>
    <n v="0.85013108614232202"/>
    <n v="15.323881856540083"/>
    <n v="8218.24"/>
    <n v="5.5477528089887637E-2"/>
    <x v="2"/>
    <x v="0"/>
    <n v="2023"/>
    <s v="Sun"/>
    <n v="27"/>
  </r>
  <r>
    <s v="CMP-00791"/>
    <s v="Q4_Summer_CMP-00791"/>
    <d v="2023-06-20T00:00:00"/>
    <x v="9"/>
    <d v="2023-06-27T00:00:00"/>
    <x v="2"/>
    <n v="47540"/>
    <n v="2104"/>
    <n v="335"/>
    <x v="1"/>
    <x v="10"/>
    <n v="4.4257467395877159E-2"/>
    <n v="1.7261216730038023"/>
    <n v="10.841074626865671"/>
    <n v="13118.24"/>
    <n v="0.15922053231939162"/>
    <x v="3"/>
    <x v="0"/>
    <n v="2023"/>
    <s v="Tue"/>
    <n v="7"/>
  </r>
  <r>
    <s v="CMP-00792"/>
    <s v="Q3_Winter_CMP-00792"/>
    <d v="2023-04-19T00:00:00"/>
    <x v="4"/>
    <d v="2023-04-20T00:00:00"/>
    <x v="0"/>
    <n v="21384"/>
    <n v="314"/>
    <n v="40"/>
    <x v="1"/>
    <x v="577"/>
    <n v="1.4683875794986907E-2"/>
    <n v="1.9871656050955415"/>
    <n v="15.599250000000001"/>
    <n v="1376.03"/>
    <n v="0.12738853503184713"/>
    <x v="1"/>
    <x v="2"/>
    <n v="2023"/>
    <s v="Wed"/>
    <n v="1"/>
  </r>
  <r>
    <s v="CMP-00793"/>
    <s v="Q3_Launch_CMP-00793"/>
    <d v="2023-03-02T00:00:00"/>
    <x v="5"/>
    <d v="2023-03-03T00:00:00"/>
    <x v="4"/>
    <n v="19017"/>
    <n v="752"/>
    <n v="60"/>
    <x v="1"/>
    <x v="578"/>
    <n v="3.9543566282799598E-2"/>
    <n v="1.5902526595744679"/>
    <n v="19.931166666666666"/>
    <n v="1804.13"/>
    <n v="7.9787234042553196E-2"/>
    <x v="1"/>
    <x v="1"/>
    <n v="2023"/>
    <s v="Thu"/>
    <n v="1"/>
  </r>
  <r>
    <s v="CMP-00794"/>
    <s v="Q4_Winter_CMP-00794"/>
    <d v="2023-05-05T00:00:00"/>
    <x v="1"/>
    <d v="2023-05-06T00:00:00"/>
    <x v="0"/>
    <n v="76880"/>
    <n v="1751"/>
    <n v="116"/>
    <x v="0"/>
    <x v="579"/>
    <n v="2.2775754422476587E-2"/>
    <n v="1.6771559109080525"/>
    <n v="25.316379310344825"/>
    <n v="2863.3"/>
    <n v="6.6247858366647636E-2"/>
    <x v="1"/>
    <x v="2"/>
    <n v="2023"/>
    <s v="Fri"/>
    <n v="1"/>
  </r>
  <r>
    <s v="CMP-00795"/>
    <s v="Q4_BlackFriday_CMP-00795"/>
    <d v="2023-07-23T00:00:00"/>
    <x v="8"/>
    <d v="2023-08-02T00:00:00"/>
    <x v="3"/>
    <n v="9702"/>
    <n v="480"/>
    <n v="51"/>
    <x v="1"/>
    <x v="580"/>
    <n v="4.9474335188620905E-2"/>
    <n v="1.991625"/>
    <n v="18.744705882352942"/>
    <n v="1594.02"/>
    <n v="0.10625"/>
    <x v="3"/>
    <x v="3"/>
    <n v="2023"/>
    <s v="Sun"/>
    <n v="10"/>
  </r>
  <r>
    <s v="CMP-00796"/>
    <s v="Q1_Summer_CMP-00796"/>
    <d v="2023-05-25T00:00:00"/>
    <x v="1"/>
    <d v="2023-05-29T00:00:00"/>
    <x v="0"/>
    <n v="1384"/>
    <n v="40"/>
    <n v="7"/>
    <x v="1"/>
    <x v="0"/>
    <n v="2.8901734104046242E-2"/>
    <n v="8.2283124999999995"/>
    <n v="47.018928571428567"/>
    <n v="20.867500000000007"/>
    <n v="0.17499999999999999"/>
    <x v="1"/>
    <x v="0"/>
    <n v="2023"/>
    <s v="Thu"/>
    <n v="4"/>
  </r>
  <r>
    <s v="CMP-00797"/>
    <s v="Q4_Launch_CMP-00797"/>
    <d v="2023-07-03T00:00:00"/>
    <x v="8"/>
    <d v="2023-07-10T00:00:00"/>
    <x v="3"/>
    <n v="1404"/>
    <n v="20"/>
    <n v="3"/>
    <x v="0"/>
    <x v="0"/>
    <n v="1.4245014245014245E-2"/>
    <n v="16.456624999999999"/>
    <n v="109.71083333333333"/>
    <n v="-179.13249999999999"/>
    <n v="0.15"/>
    <x v="3"/>
    <x v="1"/>
    <n v="2023"/>
    <s v="Mon"/>
    <n v="7"/>
  </r>
  <r>
    <s v="CMP-00798"/>
    <s v="Q4_BlackFriday_CMP-00798"/>
    <d v="2023-09-12T00:00:00"/>
    <x v="10"/>
    <d v="2023-09-18T00:00:00"/>
    <x v="0"/>
    <n v="41943"/>
    <n v="1636"/>
    <n v="229"/>
    <x v="0"/>
    <x v="581"/>
    <n v="3.9005316739384406E-2"/>
    <n v="1.7562958435207825"/>
    <n v="12.547161572052403"/>
    <n v="8576.7000000000007"/>
    <n v="0.13997555012224938"/>
    <x v="0"/>
    <x v="3"/>
    <n v="2023"/>
    <s v="Tue"/>
    <n v="6"/>
  </r>
  <r>
    <s v="CMP-00799"/>
    <s v="Q1_Winter_CMP-00799"/>
    <d v="2023-08-29T00:00:00"/>
    <x v="7"/>
    <d v="2023-09-25T00:00:00"/>
    <x v="4"/>
    <n v="48926"/>
    <n v="1121"/>
    <n v="178"/>
    <x v="0"/>
    <x v="582"/>
    <n v="2.291215304745943E-2"/>
    <n v="1.4217305976806422"/>
    <n v="8.9537078651685391"/>
    <n v="7306.24"/>
    <n v="0.15878679750223015"/>
    <x v="3"/>
    <x v="2"/>
    <n v="2023"/>
    <s v="Tue"/>
    <n v="27"/>
  </r>
  <r>
    <s v="CMP-00800"/>
    <s v="Q3_Summer_CMP-00800"/>
    <d v="2023-04-15T00:00:00"/>
    <x v="4"/>
    <d v="2023-05-10T00:00:00"/>
    <x v="2"/>
    <n v="30189"/>
    <n v="1505"/>
    <n v="101"/>
    <x v="0"/>
    <x v="583"/>
    <n v="4.9852595316174766E-2"/>
    <n v="1.371794019933555"/>
    <n v="20.441089108910894"/>
    <n v="2985.45"/>
    <n v="6.7109634551495018E-2"/>
    <x v="1"/>
    <x v="0"/>
    <n v="2023"/>
    <s v="Sat"/>
    <n v="25"/>
  </r>
  <r>
    <s v="CMP-00801"/>
    <s v="Q3_Summer_CMP-00801"/>
    <d v="2023-10-16T00:00:00"/>
    <x v="3"/>
    <d v="2023-11-07T00:00:00"/>
    <x v="1"/>
    <n v="13763"/>
    <n v="677"/>
    <n v="93"/>
    <x v="0"/>
    <x v="584"/>
    <n v="4.9189856862602632E-2"/>
    <n v="0.88045790251107836"/>
    <n v="6.4093548387096781"/>
    <n v="4053.93"/>
    <n v="0.13737075332348597"/>
    <x v="0"/>
    <x v="0"/>
    <n v="2023"/>
    <s v="Mon"/>
    <n v="22"/>
  </r>
  <r>
    <s v="CMP-00802"/>
    <s v="Q2_Summer_CMP-00802"/>
    <d v="2023-01-09T00:00:00"/>
    <x v="11"/>
    <d v="2023-01-12T00:00:00"/>
    <x v="2"/>
    <n v="19384"/>
    <n v="702"/>
    <n v="105"/>
    <x v="0"/>
    <x v="585"/>
    <n v="3.6215435410647957E-2"/>
    <n v="1.6345014245014247"/>
    <n v="10.927809523809524"/>
    <n v="4102.58"/>
    <n v="0.14957264957264957"/>
    <x v="2"/>
    <x v="0"/>
    <n v="2023"/>
    <s v="Mon"/>
    <n v="3"/>
  </r>
  <r>
    <s v="CMP-00803"/>
    <s v="Q3_Winter_CMP-00803"/>
    <d v="2023-10-24T00:00:00"/>
    <x v="3"/>
    <d v="2023-11-23T00:00:00"/>
    <x v="0"/>
    <n v="61100"/>
    <n v="928"/>
    <n v="74"/>
    <x v="0"/>
    <x v="586"/>
    <n v="1.5188216039279868E-2"/>
    <n v="0.62249999999999994"/>
    <n v="7.8064864864864862"/>
    <n v="3122.32"/>
    <n v="7.9741379310344834E-2"/>
    <x v="0"/>
    <x v="2"/>
    <n v="2023"/>
    <s v="Tue"/>
    <n v="30"/>
  </r>
  <r>
    <s v="CMP-00804"/>
    <s v="Q3_BlackFriday_CMP-00804"/>
    <d v="2023-04-11T00:00:00"/>
    <x v="4"/>
    <d v="2023-05-11T00:00:00"/>
    <x v="0"/>
    <n v="99142"/>
    <n v="3715"/>
    <n v="676"/>
    <x v="0"/>
    <x v="10"/>
    <n v="3.7471505517338764E-2"/>
    <n v="0.97759353970390306"/>
    <n v="5.3724260355029578"/>
    <n v="30168.240000000002"/>
    <n v="0.1819650067294751"/>
    <x v="1"/>
    <x v="3"/>
    <n v="2023"/>
    <s v="Tue"/>
    <n v="30"/>
  </r>
  <r>
    <s v="CMP-00805"/>
    <s v="Q4_Summer_CMP-00805"/>
    <d v="2023-05-06T00:00:00"/>
    <x v="1"/>
    <d v="2023-06-05T00:00:00"/>
    <x v="0"/>
    <n v="10860"/>
    <n v="149"/>
    <n v="11"/>
    <x v="0"/>
    <x v="0"/>
    <n v="1.3720073664825047E-2"/>
    <n v="2.2089429530201343"/>
    <n v="29.921136363636364"/>
    <n v="220.86750000000001"/>
    <n v="7.3825503355704702E-2"/>
    <x v="1"/>
    <x v="0"/>
    <n v="2023"/>
    <s v="Sat"/>
    <n v="30"/>
  </r>
  <r>
    <s v="CMP-00806"/>
    <s v="Q3_Summer_CMP-00806"/>
    <d v="2023-12-17T00:00:00"/>
    <x v="2"/>
    <d v="2023-12-21T00:00:00"/>
    <x v="0"/>
    <n v="81642"/>
    <n v="912"/>
    <n v="88"/>
    <x v="0"/>
    <x v="587"/>
    <n v="1.1170720952450945E-2"/>
    <n v="0.69166666666666665"/>
    <n v="7.168181818181818"/>
    <n v="3769.2"/>
    <n v="9.6491228070175433E-2"/>
    <x v="2"/>
    <x v="0"/>
    <n v="2023"/>
    <s v="Sun"/>
    <n v="4"/>
  </r>
  <r>
    <s v="CMP-00807"/>
    <s v="Q4_Summer_CMP-00807"/>
    <d v="2023-09-08T00:00:00"/>
    <x v="10"/>
    <d v="2023-09-22T00:00:00"/>
    <x v="2"/>
    <n v="51612"/>
    <n v="2215"/>
    <n v="316"/>
    <x v="1"/>
    <x v="588"/>
    <n v="4.291637603658064E-2"/>
    <n v="1.163548532731377"/>
    <n v="8.1558860759493683"/>
    <n v="13222.74"/>
    <n v="0.14266365688487584"/>
    <x v="0"/>
    <x v="0"/>
    <n v="2023"/>
    <s v="Fri"/>
    <n v="14"/>
  </r>
  <r>
    <s v="CMP-00808"/>
    <s v="Q3_Winter_CMP-00808"/>
    <d v="2023-09-09T00:00:00"/>
    <x v="10"/>
    <d v="2023-09-21T00:00:00"/>
    <x v="0"/>
    <n v="24574"/>
    <n v="451"/>
    <n v="65"/>
    <x v="0"/>
    <x v="0"/>
    <n v="1.8352730528200537E-2"/>
    <n v="0.72978381374722834"/>
    <n v="5.0635769230769228"/>
    <n v="2920.8674999999998"/>
    <n v="0.14412416851441243"/>
    <x v="0"/>
    <x v="2"/>
    <n v="2023"/>
    <s v="Sat"/>
    <n v="12"/>
  </r>
  <r>
    <s v="CMP-00809"/>
    <s v="Q1_Summer_CMP-00809"/>
    <d v="2023-06-30T00:00:00"/>
    <x v="9"/>
    <d v="2023-07-22T00:00:00"/>
    <x v="2"/>
    <n v="24524"/>
    <n v="617"/>
    <n v="95"/>
    <x v="0"/>
    <x v="589"/>
    <n v="2.5159027891045505E-2"/>
    <n v="1.5269367909238249"/>
    <n v="9.9170526315789473"/>
    <n v="3807.88"/>
    <n v="0.1539708265802269"/>
    <x v="3"/>
    <x v="0"/>
    <n v="2023"/>
    <s v="Fri"/>
    <n v="22"/>
  </r>
  <r>
    <s v="CMP-00810"/>
    <s v="Q2_Winter_CMP-00810"/>
    <d v="2023-09-08T00:00:00"/>
    <x v="10"/>
    <d v="2023-09-21T00:00:00"/>
    <x v="2"/>
    <n v="70172"/>
    <n v="3434"/>
    <n v="229"/>
    <x v="0"/>
    <x v="10"/>
    <n v="4.893689790799749E-2"/>
    <n v="1.0575888177052999"/>
    <n v="15.859213973799125"/>
    <n v="7818.24"/>
    <n v="6.6686080372743151E-2"/>
    <x v="0"/>
    <x v="2"/>
    <n v="2023"/>
    <s v="Fri"/>
    <n v="13"/>
  </r>
  <r>
    <s v="CMP-00811"/>
    <s v="Q4_Winter_CMP-00811"/>
    <d v="2023-11-25T00:00:00"/>
    <x v="0"/>
    <d v="2023-11-26T00:00:00"/>
    <x v="3"/>
    <n v="11916"/>
    <n v="279"/>
    <m/>
    <x v="0"/>
    <x v="590"/>
    <n v="2.3413897280966767E-2"/>
    <n v="1.7558781362007168"/>
    <n v="0"/>
    <n v="-489.89"/>
    <n v="0"/>
    <x v="0"/>
    <x v="2"/>
    <n v="2023"/>
    <s v="Sat"/>
    <n v="1"/>
  </r>
  <r>
    <s v="CMP-00812"/>
    <s v="Q2_BlackFriday_CMP-00812"/>
    <d v="2023-02-08T00:00:00"/>
    <x v="6"/>
    <d v="2023-03-03T00:00:00"/>
    <x v="2"/>
    <n v="5809"/>
    <n v="126"/>
    <n v="16"/>
    <x v="0"/>
    <x v="0"/>
    <n v="2.1690480289206403E-2"/>
    <n v="2.6121626984126984"/>
    <n v="20.57078125"/>
    <n v="470.86750000000001"/>
    <n v="0.12698412698412698"/>
    <x v="2"/>
    <x v="3"/>
    <n v="2023"/>
    <s v="Wed"/>
    <n v="23"/>
  </r>
  <r>
    <s v="CMP-00813"/>
    <s v="Q4_Winter_CMP-00813"/>
    <d v="2023-01-04T00:00:00"/>
    <x v="11"/>
    <d v="2023-01-24T00:00:00"/>
    <x v="2"/>
    <n v="33201"/>
    <n v="1551"/>
    <n v="187"/>
    <x v="0"/>
    <x v="591"/>
    <n v="4.6715460377699469E-2"/>
    <n v="0.68940683430045135"/>
    <n v="5.7180213903743313"/>
    <n v="8280.73"/>
    <n v="0.12056737588652482"/>
    <x v="2"/>
    <x v="2"/>
    <n v="2023"/>
    <s v="Wed"/>
    <n v="20"/>
  </r>
  <r>
    <s v="CMP-00814"/>
    <s v="Q4_Winter_CMP-00814"/>
    <d v="2023-04-29T00:00:00"/>
    <x v="4"/>
    <d v="2023-05-09T00:00:00"/>
    <x v="0"/>
    <n v="54330"/>
    <n v="783"/>
    <n v="154"/>
    <x v="1"/>
    <x v="592"/>
    <n v="1.4411927112092767E-2"/>
    <n v="1.7201532567049811"/>
    <n v="8.7459740259740268"/>
    <n v="6353.12"/>
    <n v="0.19667943805874841"/>
    <x v="1"/>
    <x v="2"/>
    <n v="2023"/>
    <s v="Sat"/>
    <n v="10"/>
  </r>
  <r>
    <s v="CMP-00815"/>
    <s v="Q4_BlackFriday_CMP-00815"/>
    <d v="2023-03-19T00:00:00"/>
    <x v="5"/>
    <d v="2023-03-30T00:00:00"/>
    <x v="0"/>
    <n v="14456"/>
    <n v="583"/>
    <n v="93"/>
    <x v="1"/>
    <x v="593"/>
    <n v="4.0329275041505255E-2"/>
    <n v="1.8863807890222983"/>
    <n v="11.825376344086022"/>
    <n v="3550.24"/>
    <n v="0.15951972555746141"/>
    <x v="1"/>
    <x v="3"/>
    <n v="2023"/>
    <s v="Sun"/>
    <n v="11"/>
  </r>
  <r>
    <s v="CMP-00816"/>
    <s v="Q2_Winter_CMP-00816"/>
    <d v="2023-09-16T00:00:00"/>
    <x v="10"/>
    <d v="2023-09-29T00:00:00"/>
    <x v="3"/>
    <n v="57397"/>
    <n v="2842"/>
    <n v="192"/>
    <x v="1"/>
    <x v="594"/>
    <n v="4.9514783002595958E-2"/>
    <n v="1.19100633356791"/>
    <n v="17.629375"/>
    <n v="6215.16"/>
    <n v="6.755805770584096E-2"/>
    <x v="0"/>
    <x v="2"/>
    <n v="2023"/>
    <s v="Sat"/>
    <n v="13"/>
  </r>
  <r>
    <s v="CMP-00817"/>
    <s v="Q1_Winter_CMP-00817"/>
    <d v="2023-11-23T00:00:00"/>
    <x v="0"/>
    <d v="2023-12-05T00:00:00"/>
    <x v="4"/>
    <n v="39765"/>
    <n v="1831"/>
    <n v="299"/>
    <x v="0"/>
    <x v="595"/>
    <n v="4.6045517414812019E-2"/>
    <n v="1.2484543965046424"/>
    <n v="7.6452173913043477"/>
    <n v="12664.08"/>
    <n v="0.1632987438558165"/>
    <x v="0"/>
    <x v="2"/>
    <n v="2023"/>
    <s v="Thu"/>
    <n v="12"/>
  </r>
  <r>
    <s v="CMP-00818"/>
    <s v="Q1_Launch_CMP-00818"/>
    <d v="2023-09-05T00:00:00"/>
    <x v="10"/>
    <d v="2023-10-05T00:00:00"/>
    <x v="2"/>
    <n v="35816"/>
    <n v="1291"/>
    <n v="82"/>
    <x v="0"/>
    <x v="596"/>
    <n v="3.6045342863524683E-2"/>
    <n v="0.97738962044926414"/>
    <n v="15.387926829268292"/>
    <n v="2838.19"/>
    <n v="6.3516653756777688E-2"/>
    <x v="0"/>
    <x v="1"/>
    <n v="2023"/>
    <s v="Tue"/>
    <n v="30"/>
  </r>
  <r>
    <s v="CMP-00819"/>
    <s v="Q1_Launch_CMP-00819"/>
    <d v="2023-09-30T00:00:00"/>
    <x v="10"/>
    <d v="2023-10-10T00:00:00"/>
    <x v="2"/>
    <n v="46106"/>
    <n v="1040"/>
    <n v="56"/>
    <x v="1"/>
    <x v="597"/>
    <n v="2.2556717130091528E-2"/>
    <n v="1.8413942307692308"/>
    <n v="34.197321428571428"/>
    <n v="884.95"/>
    <n v="5.3846153846153849E-2"/>
    <x v="0"/>
    <x v="1"/>
    <n v="2023"/>
    <s v="Sat"/>
    <n v="10"/>
  </r>
  <r>
    <s v="CMP-00820"/>
    <s v="Q2_Winter_CMP-00820"/>
    <d v="2023-09-29T00:00:00"/>
    <x v="10"/>
    <d v="2023-10-13T00:00:00"/>
    <x v="1"/>
    <n v="54932"/>
    <n v="1108"/>
    <n v="122"/>
    <x v="1"/>
    <x v="598"/>
    <n v="2.0170392485254495E-2"/>
    <n v="1.4673555956678699"/>
    <n v="13.326475409836066"/>
    <n v="4474.17"/>
    <n v="0.11010830324909747"/>
    <x v="0"/>
    <x v="2"/>
    <n v="2023"/>
    <s v="Fri"/>
    <n v="14"/>
  </r>
  <r>
    <s v="CMP-00821"/>
    <s v="Q1_Launch_CMP-00821"/>
    <d v="2023-05-27T00:00:00"/>
    <x v="1"/>
    <d v="2023-06-16T00:00:00"/>
    <x v="2"/>
    <n v="18100"/>
    <n v="774"/>
    <n v="154"/>
    <x v="0"/>
    <x v="599"/>
    <n v="4.276243093922652E-2"/>
    <n v="0.93237726098191209"/>
    <n v="4.6861038961038961"/>
    <n v="6978.34"/>
    <n v="0.19896640826873385"/>
    <x v="1"/>
    <x v="1"/>
    <n v="2023"/>
    <s v="Sat"/>
    <n v="20"/>
  </r>
  <r>
    <s v="CMP-00822"/>
    <s v="Q3_Launch_CMP-00822"/>
    <d v="2023-12-24T00:00:00"/>
    <x v="2"/>
    <d v="2024-01-12T00:00:00"/>
    <x v="0"/>
    <n v="58091"/>
    <n v="2625"/>
    <n v="200"/>
    <x v="1"/>
    <x v="600"/>
    <n v="4.5187722710919073E-2"/>
    <n v="0.94817523809523807"/>
    <n v="12.444800000000001"/>
    <n v="7511.04"/>
    <n v="7.6190476190476197E-2"/>
    <x v="2"/>
    <x v="1"/>
    <n v="2023"/>
    <s v="Sun"/>
    <n v="19"/>
  </r>
  <r>
    <s v="CMP-00823"/>
    <s v="Q2_BlackFriday_CMP-00823"/>
    <d v="2023-04-02T00:00:00"/>
    <x v="4"/>
    <d v="2023-05-02T00:00:00"/>
    <x v="0"/>
    <n v="22949"/>
    <n v="711"/>
    <n v="107"/>
    <x v="0"/>
    <x v="601"/>
    <n v="3.098174212383982E-2"/>
    <n v="1.8367932489451477"/>
    <n v="12.205233644859813"/>
    <n v="4044.04"/>
    <n v="0.15049226441631505"/>
    <x v="1"/>
    <x v="3"/>
    <n v="2023"/>
    <s v="Sun"/>
    <n v="30"/>
  </r>
  <r>
    <s v="CMP-00824"/>
    <s v="Q4_Winter_CMP-00824"/>
    <d v="2023-03-18T00:00:00"/>
    <x v="5"/>
    <d v="2023-04-03T00:00:00"/>
    <x v="2"/>
    <n v="71080"/>
    <n v="1405"/>
    <n v="106"/>
    <x v="0"/>
    <x v="602"/>
    <n v="1.9766460326392798E-2"/>
    <n v="0.52044839857651248"/>
    <n v="6.8983962264150946"/>
    <n v="4568.7700000000004"/>
    <n v="7.5444839857651241E-2"/>
    <x v="1"/>
    <x v="2"/>
    <n v="2023"/>
    <s v="Sat"/>
    <n v="16"/>
  </r>
  <r>
    <s v="CMP-00825"/>
    <s v="Q3_Winter_CMP-00825"/>
    <d v="2023-05-10T00:00:00"/>
    <x v="1"/>
    <d v="2023-05-31T00:00:00"/>
    <x v="4"/>
    <n v="38744"/>
    <n v="562"/>
    <n v="89"/>
    <x v="1"/>
    <x v="603"/>
    <n v="1.4505471814990708E-2"/>
    <n v="0.98409252669039138"/>
    <n v="6.2141573033707855"/>
    <n v="3896.94"/>
    <n v="0.15836298932384341"/>
    <x v="1"/>
    <x v="2"/>
    <n v="2023"/>
    <s v="Wed"/>
    <n v="21"/>
  </r>
  <r>
    <s v="CMP-00826"/>
    <s v="Q3_Launch_CMP-00826"/>
    <d v="2023-07-23T00:00:00"/>
    <x v="8"/>
    <d v="2023-08-12T00:00:00"/>
    <x v="1"/>
    <n v="46543"/>
    <n v="627"/>
    <n v="78"/>
    <x v="0"/>
    <x v="604"/>
    <n v="1.3471413531572954E-2"/>
    <n v="1.3315311004784689"/>
    <n v="10.703461538461539"/>
    <n v="3065.13"/>
    <n v="0.12440191387559808"/>
    <x v="3"/>
    <x v="1"/>
    <n v="2023"/>
    <s v="Sun"/>
    <n v="20"/>
  </r>
  <r>
    <s v="CMP-00827"/>
    <s v="Q4_Launch_CMP-00827"/>
    <d v="2023-07-27T00:00:00"/>
    <x v="8"/>
    <d v="2023-08-15T00:00:00"/>
    <x v="1"/>
    <n v="93193"/>
    <n v="3612"/>
    <n v="549"/>
    <x v="1"/>
    <x v="605"/>
    <n v="3.8758275836167949E-2"/>
    <n v="0.72232558139534886"/>
    <n v="4.7523497267759565"/>
    <n v="24840.959999999999"/>
    <n v="0.15199335548172757"/>
    <x v="3"/>
    <x v="1"/>
    <n v="2023"/>
    <s v="Thu"/>
    <n v="19"/>
  </r>
  <r>
    <s v="CMP-00828"/>
    <s v="Q3_Launch_CMP-00828"/>
    <d v="2023-12-23T00:00:00"/>
    <x v="2"/>
    <d v="2023-12-25T00:00:00"/>
    <x v="0"/>
    <n v="37187"/>
    <n v="996"/>
    <n v="80"/>
    <x v="0"/>
    <x v="606"/>
    <n v="2.6783553392314519E-2"/>
    <n v="0.63815261044176708"/>
    <n v="7.9450000000000003"/>
    <n v="3364.4"/>
    <n v="8.0321285140562249E-2"/>
    <x v="2"/>
    <x v="1"/>
    <n v="2023"/>
    <s v="Sat"/>
    <n v="2"/>
  </r>
  <r>
    <s v="CMP-00829"/>
    <s v="Q3_Summer_CMP-00829"/>
    <d v="2023-02-11T00:00:00"/>
    <x v="6"/>
    <d v="2023-03-05T00:00:00"/>
    <x v="3"/>
    <n v="8239"/>
    <n v="380"/>
    <n v="61"/>
    <x v="0"/>
    <x v="607"/>
    <n v="4.6122102196868554E-2"/>
    <n v="1.722921052631579"/>
    <n v="10.732950819672132"/>
    <n v="2395.29"/>
    <n v="0.16052631578947368"/>
    <x v="2"/>
    <x v="0"/>
    <n v="2023"/>
    <s v="Sat"/>
    <n v="22"/>
  </r>
  <r>
    <s v="CMP-00830"/>
    <s v="Q2_Summer_CMP-00830"/>
    <d v="2023-01-17T00:00:00"/>
    <x v="11"/>
    <d v="2023-02-02T00:00:00"/>
    <x v="1"/>
    <n v="15489"/>
    <n v="613"/>
    <m/>
    <x v="0"/>
    <x v="608"/>
    <n v="3.9576473626444571E-2"/>
    <n v="1.841598694942904"/>
    <n v="0"/>
    <n v="-1128.9000000000001"/>
    <n v="0"/>
    <x v="2"/>
    <x v="0"/>
    <n v="2023"/>
    <s v="Tue"/>
    <n v="16"/>
  </r>
  <r>
    <s v="CMP-00831"/>
    <s v="Q3_Launch_CMP-00831"/>
    <d v="2023-07-14T00:00:00"/>
    <x v="8"/>
    <d v="2023-07-16T00:00:00"/>
    <x v="4"/>
    <n v="59017"/>
    <n v="1041"/>
    <n v="155"/>
    <x v="1"/>
    <x v="609"/>
    <n v="1.7638985377094737E-2"/>
    <n v="1.7354082612872237"/>
    <n v="11.655225806451613"/>
    <n v="5943.4400000000005"/>
    <n v="0.148895292987512"/>
    <x v="3"/>
    <x v="1"/>
    <n v="2023"/>
    <s v="Fri"/>
    <n v="2"/>
  </r>
  <r>
    <s v="CMP-00832"/>
    <s v="Q4_BlackFriday_CMP-00832"/>
    <d v="2023-11-23T00:00:00"/>
    <x v="0"/>
    <d v="2023-12-09T00:00:00"/>
    <x v="0"/>
    <n v="62877"/>
    <n v="2172"/>
    <n v="269"/>
    <x v="0"/>
    <x v="10"/>
    <n v="3.4543632806908725E-2"/>
    <n v="1.6720810313075505"/>
    <n v="13.500966542750929"/>
    <n v="9818.24"/>
    <n v="0.12384898710865562"/>
    <x v="0"/>
    <x v="3"/>
    <n v="2023"/>
    <s v="Thu"/>
    <n v="16"/>
  </r>
  <r>
    <s v="CMP-00833"/>
    <s v="Q2_Launch_CMP-00833"/>
    <d v="2023-03-29T00:00:00"/>
    <x v="5"/>
    <d v="2023-04-09T00:00:00"/>
    <x v="0"/>
    <n v="44125"/>
    <n v="1209"/>
    <n v="227"/>
    <x v="0"/>
    <x v="610"/>
    <n v="2.7399433427762038E-2"/>
    <n v="1.3296691480562448"/>
    <n v="7.081806167400881"/>
    <n v="9742.43"/>
    <n v="0.18775847808105872"/>
    <x v="1"/>
    <x v="1"/>
    <n v="2023"/>
    <s v="Wed"/>
    <n v="11"/>
  </r>
  <r>
    <s v="CMP-00834"/>
    <s v="Q1_Winter_CMP-00834"/>
    <d v="2023-08-11T00:00:00"/>
    <x v="7"/>
    <d v="2023-08-23T00:00:00"/>
    <x v="4"/>
    <n v="50922"/>
    <n v="1685"/>
    <n v="88"/>
    <x v="1"/>
    <x v="611"/>
    <n v="3.3089823651859709E-2"/>
    <n v="1.7183857566765579"/>
    <n v="32.903181818181821"/>
    <n v="1504.52"/>
    <n v="5.2225519287833831E-2"/>
    <x v="3"/>
    <x v="2"/>
    <n v="2023"/>
    <s v="Fri"/>
    <n v="12"/>
  </r>
  <r>
    <s v="CMP-00835"/>
    <s v="Q4_BlackFriday_CMP-00835"/>
    <d v="2023-02-18T00:00:00"/>
    <x v="6"/>
    <d v="2023-02-19T00:00:00"/>
    <x v="3"/>
    <n v="95074"/>
    <n v="3757"/>
    <n v="599"/>
    <x v="1"/>
    <x v="10"/>
    <n v="3.9516587079538042E-2"/>
    <n v="0.96666489220122431"/>
    <n v="6.0630383973288815"/>
    <n v="26318.240000000002"/>
    <n v="0.15943571998935321"/>
    <x v="2"/>
    <x v="3"/>
    <n v="2023"/>
    <s v="Sat"/>
    <n v="1"/>
  </r>
  <r>
    <s v="CMP-00836"/>
    <s v="Q1_BlackFriday_CMP-00836"/>
    <d v="2023-04-28T00:00:00"/>
    <x v="4"/>
    <d v="2023-05-07T00:00:00"/>
    <x v="1"/>
    <n v="33049"/>
    <n v="1396"/>
    <n v="255"/>
    <x v="0"/>
    <x v="612"/>
    <n v="4.2240309842960455E-2"/>
    <n v="1.4993982808022921"/>
    <n v="8.2084705882352935"/>
    <n v="10656.84"/>
    <n v="0.1826647564469914"/>
    <x v="1"/>
    <x v="3"/>
    <n v="2023"/>
    <s v="Fri"/>
    <n v="9"/>
  </r>
  <r>
    <s v="CMP-00837"/>
    <s v="Q4_Winter_CMP-00837"/>
    <d v="2023-10-18T00:00:00"/>
    <x v="3"/>
    <d v="2023-11-10T00:00:00"/>
    <x v="2"/>
    <n v="38131"/>
    <n v="1668"/>
    <m/>
    <x v="0"/>
    <x v="613"/>
    <n v="4.3743935380661403E-2"/>
    <n v="1.9832553956834533"/>
    <n v="0"/>
    <n v="-3308.07"/>
    <n v="0"/>
    <x v="0"/>
    <x v="2"/>
    <n v="2023"/>
    <s v="Wed"/>
    <n v="23"/>
  </r>
  <r>
    <s v="CMP-00838"/>
    <s v="Q4_Launch_CMP-00838"/>
    <d v="2023-02-08T00:00:00"/>
    <x v="6"/>
    <d v="2023-02-24T00:00:00"/>
    <x v="1"/>
    <n v="43944"/>
    <n v="885"/>
    <n v="103"/>
    <x v="0"/>
    <x v="614"/>
    <n v="2.0139268159475695E-2"/>
    <n v="0.83858757062146894"/>
    <n v="7.2053398058252425"/>
    <n v="4407.8500000000004"/>
    <n v="0.11638418079096045"/>
    <x v="2"/>
    <x v="1"/>
    <n v="2023"/>
    <s v="Wed"/>
    <n v="16"/>
  </r>
  <r>
    <s v="CMP-00839"/>
    <s v="Q4_Winter_CMP-00839"/>
    <d v="2023-10-06T00:00:00"/>
    <x v="3"/>
    <d v="2023-11-05T00:00:00"/>
    <x v="1"/>
    <n v="74963"/>
    <n v="842"/>
    <n v="67"/>
    <x v="1"/>
    <x v="615"/>
    <n v="1.1232207889225351E-2"/>
    <n v="1.0848456057007128"/>
    <n v="13.633432835820896"/>
    <n v="2436.56"/>
    <n v="7.9572446555819479E-2"/>
    <x v="0"/>
    <x v="2"/>
    <n v="2023"/>
    <s v="Fri"/>
    <n v="30"/>
  </r>
  <r>
    <s v="CMP-00840"/>
    <s v="Q1_BlackFriday_CMP-00840"/>
    <d v="2023-11-06T00:00:00"/>
    <x v="0"/>
    <d v="2023-12-06T00:00:00"/>
    <x v="1"/>
    <n v="25285"/>
    <n v="1000"/>
    <m/>
    <x v="0"/>
    <x v="616"/>
    <n v="3.9549139806209214E-2"/>
    <n v="1.22007"/>
    <n v="0"/>
    <n v="-1220.07"/>
    <n v="0"/>
    <x v="0"/>
    <x v="3"/>
    <n v="2023"/>
    <s v="Mon"/>
    <n v="30"/>
  </r>
  <r>
    <s v="CMP-00841"/>
    <s v="Q3_Winter_CMP-00841"/>
    <d v="2023-04-17T00:00:00"/>
    <x v="4"/>
    <d v="2023-04-30T00:00:00"/>
    <x v="0"/>
    <n v="38626"/>
    <n v="550"/>
    <n v="81"/>
    <x v="1"/>
    <x v="617"/>
    <n v="1.4239113550458241E-2"/>
    <n v="0.70701818181818188"/>
    <n v="4.800740740740741"/>
    <n v="3661.14"/>
    <n v="0.14727272727272728"/>
    <x v="1"/>
    <x v="2"/>
    <n v="2023"/>
    <s v="Mon"/>
    <n v="13"/>
  </r>
  <r>
    <s v="CMP-00842"/>
    <s v="Q4_Summer_CMP-00842"/>
    <d v="2023-12-31T00:00:00"/>
    <x v="2"/>
    <d v="2024-01-25T00:00:00"/>
    <x v="0"/>
    <n v="43808"/>
    <n v="989"/>
    <n v="94"/>
    <x v="0"/>
    <x v="618"/>
    <n v="2.2575785244704164E-2"/>
    <n v="0.62155712841253796"/>
    <n v="6.5395744680851067"/>
    <n v="4085.2799999999997"/>
    <n v="9.5045500505561167E-2"/>
    <x v="2"/>
    <x v="0"/>
    <n v="2023"/>
    <s v="Sun"/>
    <n v="25"/>
  </r>
  <r>
    <s v="CMP-00843"/>
    <s v="Q3_BlackFriday_CMP-00843"/>
    <d v="2023-06-03T00:00:00"/>
    <x v="9"/>
    <d v="2023-06-21T00:00:00"/>
    <x v="2"/>
    <n v="89464"/>
    <n v="908"/>
    <n v="108"/>
    <x v="0"/>
    <x v="619"/>
    <n v="1.0149333810247697E-2"/>
    <n v="1.7445814977973568"/>
    <n v="14.667407407407406"/>
    <n v="3815.92"/>
    <n v="0.11894273127753303"/>
    <x v="3"/>
    <x v="3"/>
    <n v="2023"/>
    <s v="Sat"/>
    <n v="18"/>
  </r>
  <r>
    <s v="CMP-00844"/>
    <s v="Q3_Launch_CMP-00844"/>
    <d v="2023-07-19T00:00:00"/>
    <x v="8"/>
    <d v="2023-08-13T00:00:00"/>
    <x v="4"/>
    <n v="54871"/>
    <n v="2044"/>
    <m/>
    <x v="0"/>
    <x v="10"/>
    <n v="3.7251006907109405E-2"/>
    <n v="1.7767906066536203"/>
    <n v="0"/>
    <n v="-3631.7599999999998"/>
    <n v="0"/>
    <x v="3"/>
    <x v="1"/>
    <n v="2023"/>
    <s v="Wed"/>
    <n v="25"/>
  </r>
  <r>
    <s v="CMP-00845"/>
    <s v="Q4_Launch_CMP-00845"/>
    <d v="2023-07-16T00:00:00"/>
    <x v="8"/>
    <d v="2023-07-20T00:00:00"/>
    <x v="2"/>
    <n v="20198"/>
    <n v="337"/>
    <n v="35"/>
    <x v="1"/>
    <x v="620"/>
    <n v="1.6684820279235568E-2"/>
    <n v="1.1070919881305636"/>
    <n v="10.659714285714285"/>
    <n v="1376.91"/>
    <n v="0.10385756676557864"/>
    <x v="3"/>
    <x v="1"/>
    <n v="2023"/>
    <s v="Sun"/>
    <n v="4"/>
  </r>
  <r>
    <s v="CMP-00846"/>
    <s v="Q4_Launch_CMP-00846"/>
    <d v="2023-12-19T00:00:00"/>
    <x v="2"/>
    <d v="2024-01-02T00:00:00"/>
    <x v="0"/>
    <n v="20758"/>
    <n v="751"/>
    <n v="55"/>
    <x v="0"/>
    <x v="621"/>
    <n v="3.6178822622603336E-2"/>
    <n v="0.63147802929427432"/>
    <n v="8.6225454545454543"/>
    <n v="2275.7600000000002"/>
    <n v="7.3235685752330221E-2"/>
    <x v="2"/>
    <x v="1"/>
    <n v="2023"/>
    <s v="Tue"/>
    <n v="14"/>
  </r>
  <r>
    <s v="CMP-00847"/>
    <s v="Q3_Summer_CMP-00847"/>
    <d v="2023-06-27T00:00:00"/>
    <x v="9"/>
    <d v="2023-07-20T00:00:00"/>
    <x v="1"/>
    <n v="16254"/>
    <n v="807"/>
    <n v="147"/>
    <x v="0"/>
    <x v="622"/>
    <n v="4.9649317091177557E-2"/>
    <n v="0.5987236679058241"/>
    <n v="3.2868707482993198"/>
    <n v="6866.83"/>
    <n v="0.18215613382899629"/>
    <x v="3"/>
    <x v="0"/>
    <n v="2023"/>
    <s v="Tue"/>
    <n v="23"/>
  </r>
  <r>
    <s v="CMP-00848"/>
    <s v="Q3_Launch_CMP-00848"/>
    <d v="2023-08-12T00:00:00"/>
    <x v="7"/>
    <d v="2023-12-27T00:00:00"/>
    <x v="1"/>
    <n v="45238"/>
    <n v="583"/>
    <n v="30"/>
    <x v="1"/>
    <x v="623"/>
    <n v="1.2887395552411689E-2"/>
    <n v="1.8369811320754719"/>
    <n v="35.698666666666668"/>
    <n v="429.03999999999996"/>
    <n v="5.1457975986277875E-2"/>
    <x v="3"/>
    <x v="1"/>
    <n v="2023"/>
    <s v="Sat"/>
    <n v="137"/>
  </r>
  <r>
    <s v="CMP-00849"/>
    <s v="Q2_BlackFriday_CMP-00849"/>
    <d v="2023-11-06T00:00:00"/>
    <x v="0"/>
    <d v="2023-11-26T00:00:00"/>
    <x v="1"/>
    <n v="2252"/>
    <n v="29"/>
    <n v="5"/>
    <x v="0"/>
    <x v="0"/>
    <n v="1.2877442273534635E-2"/>
    <n v="11.349396551724137"/>
    <n v="65.826499999999996"/>
    <n v="-79.132499999999993"/>
    <n v="0.17241379310344829"/>
    <x v="0"/>
    <x v="3"/>
    <n v="2023"/>
    <s v="Mon"/>
    <n v="20"/>
  </r>
  <r>
    <s v="CMP-00850"/>
    <s v="Q1_BlackFriday_CMP-00850"/>
    <d v="2023-07-23T00:00:00"/>
    <x v="8"/>
    <d v="2023-08-21T00:00:00"/>
    <x v="3"/>
    <n v="40764"/>
    <n v="962"/>
    <n v="130"/>
    <x v="0"/>
    <x v="440"/>
    <n v="2.3599254243940732E-2"/>
    <n v="0.98004158004158004"/>
    <n v="7.2523076923076921"/>
    <n v="5557.2"/>
    <n v="0.13513513513513514"/>
    <x v="3"/>
    <x v="3"/>
    <n v="2023"/>
    <s v="Sun"/>
    <n v="29"/>
  </r>
  <r>
    <s v="CMP-00851"/>
    <s v="Q4_Launch_CMP-00851"/>
    <d v="2023-11-21T00:00:00"/>
    <x v="0"/>
    <d v="2023-12-03T00:00:00"/>
    <x v="3"/>
    <n v="78709"/>
    <n v="3514"/>
    <m/>
    <x v="0"/>
    <x v="10"/>
    <n v="4.4645466210979687E-2"/>
    <n v="1.0335116676152531"/>
    <n v="0"/>
    <n v="-3631.7599999999998"/>
    <n v="0"/>
    <x v="0"/>
    <x v="1"/>
    <n v="2023"/>
    <s v="Tue"/>
    <n v="12"/>
  </r>
  <r>
    <s v="CMP-00852"/>
    <s v="Q2_Winter_CMP-00852"/>
    <d v="2023-09-09T00:00:00"/>
    <x v="10"/>
    <d v="2023-10-01T00:00:00"/>
    <x v="3"/>
    <n v="38441"/>
    <n v="715"/>
    <n v="113"/>
    <x v="1"/>
    <x v="624"/>
    <n v="1.8599932363882313E-2"/>
    <n v="0.97745454545454546"/>
    <n v="6.1847787610619465"/>
    <n v="4951.12"/>
    <n v="0.15804195804195803"/>
    <x v="0"/>
    <x v="2"/>
    <n v="2023"/>
    <s v="Sat"/>
    <n v="22"/>
  </r>
  <r>
    <s v="CMP-00853"/>
    <s v="Q2_Summer_CMP-00853"/>
    <d v="2023-07-12T00:00:00"/>
    <x v="8"/>
    <d v="2023-07-28T00:00:00"/>
    <x v="0"/>
    <n v="93234"/>
    <n v="2276"/>
    <n v="287"/>
    <x v="0"/>
    <x v="625"/>
    <n v="2.4411695304288134E-2"/>
    <n v="1.2335544815465731"/>
    <n v="9.7824738675958187"/>
    <n v="11542.43"/>
    <n v="0.12609841827768015"/>
    <x v="3"/>
    <x v="0"/>
    <n v="2023"/>
    <s v="Wed"/>
    <n v="16"/>
  </r>
  <r>
    <s v="CMP-00854"/>
    <s v="Q3_Winter_CMP-00854"/>
    <d v="2023-12-05T00:00:00"/>
    <x v="2"/>
    <d v="2023-12-06T00:00:00"/>
    <x v="2"/>
    <n v="54682"/>
    <n v="696"/>
    <n v="86"/>
    <x v="1"/>
    <x v="626"/>
    <n v="1.2728137229801397E-2"/>
    <n v="1.7893390804597702"/>
    <n v="14.481162790697676"/>
    <n v="3054.62"/>
    <n v="0.1235632183908046"/>
    <x v="2"/>
    <x v="2"/>
    <n v="2023"/>
    <s v="Tue"/>
    <n v="1"/>
  </r>
  <r>
    <s v="CMP-00855"/>
    <s v="Q1_Summer_CMP-00855"/>
    <d v="2023-06-01T00:00:00"/>
    <x v="9"/>
    <d v="2023-06-14T00:00:00"/>
    <x v="4"/>
    <n v="60494"/>
    <n v="2451"/>
    <n v="163"/>
    <x v="0"/>
    <x v="627"/>
    <n v="4.0516414851059612E-2"/>
    <n v="1.3884536923704609"/>
    <n v="20.877914110429447"/>
    <n v="4746.8999999999996"/>
    <n v="6.6503467972256217E-2"/>
    <x v="3"/>
    <x v="0"/>
    <n v="2023"/>
    <s v="Thu"/>
    <n v="13"/>
  </r>
  <r>
    <s v="CMP-00856"/>
    <s v="Q4_Summer_CMP-00856"/>
    <d v="2023-02-12T00:00:00"/>
    <x v="6"/>
    <d v="2023-02-14T00:00:00"/>
    <x v="3"/>
    <n v="82317"/>
    <n v="2167"/>
    <n v="234"/>
    <x v="0"/>
    <x v="628"/>
    <n v="2.632506043709076E-2"/>
    <n v="1.541979695431472"/>
    <n v="14.279786324786324"/>
    <n v="8358.5300000000007"/>
    <n v="0.10798338717120443"/>
    <x v="2"/>
    <x v="0"/>
    <n v="2023"/>
    <s v="Sun"/>
    <n v="2"/>
  </r>
  <r>
    <s v="CMP-00857"/>
    <s v="Q3_BlackFriday_CMP-00857"/>
    <d v="2023-11-21T00:00:00"/>
    <x v="0"/>
    <d v="2023-12-07T00:00:00"/>
    <x v="1"/>
    <n v="66215"/>
    <n v="2673"/>
    <n v="230"/>
    <x v="0"/>
    <x v="629"/>
    <n v="4.036849656422261E-2"/>
    <n v="1.0470071081182193"/>
    <n v="12.16804347826087"/>
    <n v="8701.35"/>
    <n v="8.6045641601197154E-2"/>
    <x v="0"/>
    <x v="3"/>
    <n v="2023"/>
    <s v="Tue"/>
    <n v="16"/>
  </r>
  <r>
    <s v="CMP-00858"/>
    <s v="Q1_Summer_CMP-00858"/>
    <d v="2023-07-04T00:00:00"/>
    <x v="8"/>
    <d v="2023-08-03T00:00:00"/>
    <x v="3"/>
    <n v="79587"/>
    <n v="3672"/>
    <n v="192"/>
    <x v="1"/>
    <x v="10"/>
    <n v="4.6138188397602621E-2"/>
    <n v="0.98904139433551197"/>
    <n v="18.915416666666665"/>
    <n v="5968.24"/>
    <n v="5.2287581699346407E-2"/>
    <x v="3"/>
    <x v="0"/>
    <n v="2023"/>
    <s v="Tue"/>
    <n v="30"/>
  </r>
  <r>
    <s v="CMP-00859"/>
    <s v="Q2_BlackFriday_CMP-00859"/>
    <d v="2023-06-07T00:00:00"/>
    <x v="9"/>
    <d v="2023-07-06T00:00:00"/>
    <x v="0"/>
    <n v="7949"/>
    <n v="153"/>
    <n v="15"/>
    <x v="1"/>
    <x v="0"/>
    <n v="1.9247704113724996E-2"/>
    <n v="2.1511928104575162"/>
    <n v="21.942166666666665"/>
    <n v="420.86750000000001"/>
    <n v="9.8039215686274508E-2"/>
    <x v="3"/>
    <x v="3"/>
    <n v="2023"/>
    <s v="Wed"/>
    <n v="29"/>
  </r>
  <r>
    <s v="CMP-00860"/>
    <s v="Q2_Winter_CMP-00860"/>
    <d v="2023-02-22T00:00:00"/>
    <x v="6"/>
    <d v="2023-02-25T00:00:00"/>
    <x v="0"/>
    <n v="56393"/>
    <n v="2385"/>
    <n v="151"/>
    <x v="0"/>
    <x v="630"/>
    <n v="4.2292483109605802E-2"/>
    <n v="0.67934171907756813"/>
    <n v="10.73"/>
    <n v="5929.77"/>
    <n v="6.3312368972746336E-2"/>
    <x v="2"/>
    <x v="2"/>
    <n v="2023"/>
    <s v="Wed"/>
    <n v="3"/>
  </r>
  <r>
    <s v="CMP-00861"/>
    <s v="Q4_Winter_CMP-00861"/>
    <d v="2023-08-18T00:00:00"/>
    <x v="7"/>
    <d v="2023-09-03T00:00:00"/>
    <x v="0"/>
    <n v="74553"/>
    <n v="921"/>
    <n v="81"/>
    <x v="1"/>
    <x v="631"/>
    <n v="1.2353627620618889E-2"/>
    <n v="1.3589685124864277"/>
    <n v="15.451975308641973"/>
    <n v="2798.3900000000003"/>
    <n v="8.7947882736156349E-2"/>
    <x v="3"/>
    <x v="2"/>
    <n v="2023"/>
    <s v="Fri"/>
    <n v="16"/>
  </r>
  <r>
    <s v="CMP-00862"/>
    <s v="Q3_Winter_CMP-00862"/>
    <d v="2023-02-22T00:00:00"/>
    <x v="6"/>
    <d v="2023-03-24T00:00:00"/>
    <x v="3"/>
    <n v="7941"/>
    <n v="364"/>
    <n v="23"/>
    <x v="1"/>
    <x v="0"/>
    <n v="4.583805566049616E-2"/>
    <n v="0.90421016483516481"/>
    <n v="14.310108695652174"/>
    <n v="820.86750000000006"/>
    <n v="6.3186813186813184E-2"/>
    <x v="2"/>
    <x v="2"/>
    <n v="2023"/>
    <s v="Wed"/>
    <n v="30"/>
  </r>
  <r>
    <s v="CMP-00863"/>
    <s v="Q3_BlackFriday_CMP-00863"/>
    <d v="2023-07-01T00:00:00"/>
    <x v="8"/>
    <d v="2023-07-19T00:00:00"/>
    <x v="0"/>
    <n v="26934"/>
    <n v="970"/>
    <n v="63"/>
    <x v="1"/>
    <x v="632"/>
    <n v="3.6013960050493801E-2"/>
    <n v="1.7061443298969072"/>
    <n v="26.26920634920635"/>
    <n v="1495.04"/>
    <n v="6.4948453608247428E-2"/>
    <x v="3"/>
    <x v="3"/>
    <n v="2023"/>
    <s v="Sat"/>
    <n v="18"/>
  </r>
  <r>
    <s v="CMP-00864"/>
    <s v="Q4_Winter_CMP-00864"/>
    <d v="2023-06-16T00:00:00"/>
    <x v="9"/>
    <d v="2023-06-19T00:00:00"/>
    <x v="1"/>
    <n v="24386"/>
    <n v="1096"/>
    <n v="87"/>
    <x v="1"/>
    <x v="633"/>
    <n v="4.49438202247191E-2"/>
    <n v="1.138905109489051"/>
    <n v="14.347586206896551"/>
    <n v="3101.76"/>
    <n v="7.9379562043795621E-2"/>
    <x v="3"/>
    <x v="2"/>
    <n v="2023"/>
    <s v="Fri"/>
    <n v="3"/>
  </r>
  <r>
    <s v="CMP-00865"/>
    <s v="Q2_Summer_CMP-00865"/>
    <d v="2023-07-31T00:00:00"/>
    <x v="8"/>
    <d v="2023-08-03T00:00:00"/>
    <x v="0"/>
    <n v="62886"/>
    <n v="629"/>
    <n v="125"/>
    <x v="1"/>
    <x v="634"/>
    <n v="1.0002226250675827E-2"/>
    <n v="1.9920190779014308"/>
    <n v="10.02384"/>
    <n v="4997.0200000000004"/>
    <n v="0.1987281399046105"/>
    <x v="3"/>
    <x v="0"/>
    <n v="2023"/>
    <s v="Mon"/>
    <n v="3"/>
  </r>
  <r>
    <s v="CMP-00866"/>
    <s v="Q1_Summer_CMP-00866"/>
    <d v="2023-10-14T00:00:00"/>
    <x v="3"/>
    <d v="2023-11-13T00:00:00"/>
    <x v="0"/>
    <n v="76745"/>
    <n v="1286"/>
    <n v="64"/>
    <x v="0"/>
    <x v="635"/>
    <n v="1.6756791973418464E-2"/>
    <n v="0.63874805598755824"/>
    <n v="12.834843749999999"/>
    <n v="2378.5700000000002"/>
    <n v="4.9766718506998445E-2"/>
    <x v="0"/>
    <x v="0"/>
    <n v="2023"/>
    <s v="Sat"/>
    <n v="30"/>
  </r>
  <r>
    <s v="CMP-00867"/>
    <s v="Q1_Launch_CMP-00867"/>
    <d v="2023-10-20T00:00:00"/>
    <x v="3"/>
    <d v="2023-11-13T00:00:00"/>
    <x v="2"/>
    <n v="84251"/>
    <n v="2156"/>
    <n v="314"/>
    <x v="0"/>
    <x v="636"/>
    <n v="2.5590200709783861E-2"/>
    <n v="1.6705194805194805"/>
    <n v="11.470191082802547"/>
    <n v="12098.36"/>
    <n v="0.1456400742115028"/>
    <x v="0"/>
    <x v="1"/>
    <n v="2023"/>
    <s v="Fri"/>
    <n v="24"/>
  </r>
  <r>
    <s v="CMP-00868"/>
    <s v="Q4_Summer_CMP-00868"/>
    <d v="2023-03-28T00:00:00"/>
    <x v="5"/>
    <d v="2023-04-24T00:00:00"/>
    <x v="4"/>
    <n v="95456"/>
    <n v="2403"/>
    <n v="171"/>
    <x v="1"/>
    <x v="637"/>
    <n v="2.5173902111967818E-2"/>
    <n v="1.5105534748231377"/>
    <n v="21.227251461988306"/>
    <n v="4920.1399999999994"/>
    <n v="7.116104868913857E-2"/>
    <x v="1"/>
    <x v="0"/>
    <n v="2023"/>
    <s v="Tue"/>
    <n v="27"/>
  </r>
  <r>
    <s v="CMP-00869"/>
    <s v="Q2_BlackFriday_CMP-00869"/>
    <d v="2023-09-10T00:00:00"/>
    <x v="10"/>
    <d v="2023-10-03T00:00:00"/>
    <x v="0"/>
    <n v="54413"/>
    <n v="1037"/>
    <n v="195"/>
    <x v="0"/>
    <x v="638"/>
    <n v="1.9057945711502766E-2"/>
    <n v="1.6512439729990356"/>
    <n v="8.7812307692307687"/>
    <n v="8037.66"/>
    <n v="0.18804243008678881"/>
    <x v="0"/>
    <x v="3"/>
    <n v="2023"/>
    <s v="Sun"/>
    <n v="23"/>
  </r>
  <r>
    <s v="CMP-00870"/>
    <s v="Q3_Summer_CMP-00870"/>
    <d v="2023-05-22T00:00:00"/>
    <x v="1"/>
    <d v="2023-06-12T00:00:00"/>
    <x v="2"/>
    <n v="57800"/>
    <n v="1460"/>
    <n v="93"/>
    <x v="0"/>
    <x v="639"/>
    <n v="2.5259515570934254E-2"/>
    <n v="0.96129452054794517"/>
    <n v="15.091290322580646"/>
    <n v="3246.51"/>
    <n v="6.3698630136986303E-2"/>
    <x v="1"/>
    <x v="0"/>
    <n v="2023"/>
    <s v="Mon"/>
    <n v="21"/>
  </r>
  <r>
    <s v="CMP-00871"/>
    <s v="Q2_Winter_CMP-00871"/>
    <d v="2023-02-09T00:00:00"/>
    <x v="6"/>
    <d v="2023-03-11T00:00:00"/>
    <x v="0"/>
    <n v="98239"/>
    <n v="1488"/>
    <n v="287"/>
    <x v="0"/>
    <x v="640"/>
    <n v="1.5146733985484381E-2"/>
    <n v="1.2380846774193548"/>
    <n v="6.4190592334494774"/>
    <n v="12507.73"/>
    <n v="0.1928763440860215"/>
    <x v="2"/>
    <x v="2"/>
    <n v="2023"/>
    <s v="Thu"/>
    <n v="30"/>
  </r>
  <r>
    <s v="CMP-00872"/>
    <s v="Q1_BlackFriday_CMP-00872"/>
    <d v="2023-11-17T00:00:00"/>
    <x v="0"/>
    <d v="2023-11-21T00:00:00"/>
    <x v="1"/>
    <n v="43318"/>
    <n v="1148"/>
    <n v="162"/>
    <x v="0"/>
    <x v="641"/>
    <n v="2.6501685211690291E-2"/>
    <n v="1.6947648083623692"/>
    <n v="12.009814814814815"/>
    <n v="6154.41"/>
    <n v="0.14111498257839722"/>
    <x v="0"/>
    <x v="3"/>
    <n v="2023"/>
    <s v="Fri"/>
    <n v="4"/>
  </r>
  <r>
    <s v="CMP-00873"/>
    <s v="Q1_Launch_CMP-00873"/>
    <d v="2023-08-23T00:00:00"/>
    <x v="7"/>
    <d v="2023-09-07T00:00:00"/>
    <x v="0"/>
    <n v="71173"/>
    <n v="2995"/>
    <n v="150"/>
    <x v="0"/>
    <x v="642"/>
    <n v="4.2080564258918408E-2"/>
    <n v="0.84881135225375626"/>
    <n v="16.947933333333335"/>
    <n v="4957.8099999999995"/>
    <n v="5.0083472454090151E-2"/>
    <x v="3"/>
    <x v="1"/>
    <n v="2023"/>
    <s v="Wed"/>
    <n v="15"/>
  </r>
  <r>
    <s v="CMP-00874"/>
    <s v="Q4_Winter_CMP-00874"/>
    <d v="2023-07-22T00:00:00"/>
    <x v="8"/>
    <d v="2023-08-04T00:00:00"/>
    <x v="2"/>
    <n v="71390"/>
    <n v="2081"/>
    <n v="383"/>
    <x v="0"/>
    <x v="643"/>
    <n v="2.9149740860064433E-2"/>
    <n v="0.83904853435848148"/>
    <n v="4.5589033942558741"/>
    <n v="17403.939999999999"/>
    <n v="0.18404613166746756"/>
    <x v="3"/>
    <x v="2"/>
    <n v="2023"/>
    <s v="Sat"/>
    <n v="13"/>
  </r>
  <r>
    <s v="CMP-00875"/>
    <s v="Q3_Summer_CMP-00875"/>
    <d v="2023-06-18T00:00:00"/>
    <x v="9"/>
    <d v="2023-07-12T00:00:00"/>
    <x v="0"/>
    <n v="53329"/>
    <n v="571"/>
    <n v="73"/>
    <x v="0"/>
    <x v="644"/>
    <n v="1.0707119953496222E-2"/>
    <n v="1.326584938704028"/>
    <n v="10.376438356164384"/>
    <n v="2892.52"/>
    <n v="0.12784588441330999"/>
    <x v="3"/>
    <x v="0"/>
    <n v="2023"/>
    <s v="Sun"/>
    <n v="24"/>
  </r>
  <r>
    <s v="CMP-00876"/>
    <s v="Q1_Summer_CMP-00876"/>
    <d v="2023-11-30T00:00:00"/>
    <x v="0"/>
    <d v="2023-12-11T00:00:00"/>
    <x v="1"/>
    <n v="44088"/>
    <n v="1184"/>
    <n v="105"/>
    <x v="0"/>
    <x v="645"/>
    <n v="2.6855380148793323E-2"/>
    <n v="1.2853462837837837"/>
    <n v="14.493809523809523"/>
    <n v="3728.15"/>
    <n v="8.8682432432432429E-2"/>
    <x v="0"/>
    <x v="0"/>
    <n v="2023"/>
    <s v="Thu"/>
    <n v="11"/>
  </r>
  <r>
    <s v="CMP-00877"/>
    <s v="Q4_Summer_CMP-00877"/>
    <d v="2023-06-14T00:00:00"/>
    <x v="9"/>
    <d v="2023-06-22T00:00:00"/>
    <x v="4"/>
    <n v="40811"/>
    <n v="452"/>
    <n v="74"/>
    <x v="0"/>
    <x v="646"/>
    <n v="1.1075445345617604E-2"/>
    <n v="0.92338495575221236"/>
    <n v="5.640135135135135"/>
    <n v="3282.63"/>
    <n v="0.16371681415929204"/>
    <x v="3"/>
    <x v="0"/>
    <n v="2023"/>
    <s v="Wed"/>
    <n v="8"/>
  </r>
  <r>
    <s v="CMP-00878"/>
    <s v="Q1_Winter_CMP-00878"/>
    <d v="2023-09-03T00:00:00"/>
    <x v="10"/>
    <d v="2023-09-23T00:00:00"/>
    <x v="0"/>
    <n v="56479"/>
    <n v="2747"/>
    <n v="519"/>
    <x v="1"/>
    <x v="647"/>
    <n v="4.8637546698772995E-2"/>
    <n v="0.94711321441572616"/>
    <n v="5.0129479768786123"/>
    <n v="23348.28"/>
    <n v="0.18893338187113215"/>
    <x v="0"/>
    <x v="2"/>
    <n v="2023"/>
    <s v="Sun"/>
    <n v="20"/>
  </r>
  <r>
    <s v="CMP-00879"/>
    <s v="Q1_Launch_CMP-00879"/>
    <d v="2023-06-13T00:00:00"/>
    <x v="9"/>
    <d v="2023-06-29T00:00:00"/>
    <x v="4"/>
    <n v="86392"/>
    <n v="1304"/>
    <n v="159"/>
    <x v="1"/>
    <x v="648"/>
    <n v="1.5093990184276321E-2"/>
    <n v="0.91677147239263801"/>
    <n v="7.5186792452830193"/>
    <n v="6754.53"/>
    <n v="0.12193251533742332"/>
    <x v="3"/>
    <x v="1"/>
    <n v="2023"/>
    <s v="Tue"/>
    <n v="16"/>
  </r>
  <r>
    <s v="CMP-00880"/>
    <s v="Q2_BlackFriday_CMP-00880"/>
    <d v="2023-09-09T00:00:00"/>
    <x v="10"/>
    <d v="2023-09-11T00:00:00"/>
    <x v="0"/>
    <n v="88369"/>
    <n v="3385"/>
    <n v="329"/>
    <x v="0"/>
    <x v="10"/>
    <n v="3.8305288053502924E-2"/>
    <n v="1.0728980797636631"/>
    <n v="11.038784194528874"/>
    <n v="12818.24"/>
    <n v="9.7193500738552444E-2"/>
    <x v="0"/>
    <x v="3"/>
    <n v="2023"/>
    <s v="Sat"/>
    <n v="2"/>
  </r>
  <r>
    <s v="CMP-00881"/>
    <s v="Q3_Launch_CMP-00881"/>
    <d v="2023-06-16T00:00:00"/>
    <x v="9"/>
    <d v="2023-06-27T00:00:00"/>
    <x v="3"/>
    <n v="20963"/>
    <n v="1025"/>
    <n v="172"/>
    <x v="1"/>
    <x v="649"/>
    <n v="4.8895673329199064E-2"/>
    <n v="1.4778536585365853"/>
    <n v="8.8069767441860467"/>
    <n v="7085.2"/>
    <n v="0.1678048780487805"/>
    <x v="3"/>
    <x v="1"/>
    <n v="2023"/>
    <s v="Fri"/>
    <n v="11"/>
  </r>
  <r>
    <s v="CMP-00882"/>
    <s v="Q1_BlackFriday_CMP-00882"/>
    <d v="2023-07-21T00:00:00"/>
    <x v="8"/>
    <d v="2023-07-31T00:00:00"/>
    <x v="2"/>
    <n v="56123"/>
    <n v="2415"/>
    <n v="367"/>
    <x v="1"/>
    <x v="10"/>
    <n v="4.3030486609767833E-2"/>
    <n v="1.5038343685300206"/>
    <n v="9.8958038147138954"/>
    <n v="14718.24"/>
    <n v="0.15196687370600415"/>
    <x v="3"/>
    <x v="3"/>
    <n v="2023"/>
    <s v="Fri"/>
    <n v="10"/>
  </r>
  <r>
    <s v="CMP-00883"/>
    <s v="Q3_Launch_CMP-00883"/>
    <d v="2023-04-13T00:00:00"/>
    <x v="4"/>
    <d v="2023-05-01T00:00:00"/>
    <x v="4"/>
    <n v="93705"/>
    <n v="3558"/>
    <n v="652"/>
    <x v="0"/>
    <x v="10"/>
    <n v="3.7970225708340001E-2"/>
    <n v="1.0207307476110175"/>
    <n v="5.5701840490797538"/>
    <n v="28968.240000000002"/>
    <n v="0.18324901630129287"/>
    <x v="1"/>
    <x v="1"/>
    <n v="2023"/>
    <s v="Thu"/>
    <n v="18"/>
  </r>
  <r>
    <s v="CMP-00884"/>
    <s v="Q2_Summer_CMP-00884"/>
    <d v="2023-12-16T00:00:00"/>
    <x v="2"/>
    <d v="2024-01-10T00:00:00"/>
    <x v="0"/>
    <n v="74477"/>
    <n v="3245"/>
    <n v="499"/>
    <x v="1"/>
    <x v="10"/>
    <n v="4.3570498274635119E-2"/>
    <n v="1.1191864406779661"/>
    <n v="7.2780761523046085"/>
    <n v="21318.240000000002"/>
    <n v="0.15377503852080124"/>
    <x v="2"/>
    <x v="0"/>
    <n v="2023"/>
    <s v="Sat"/>
    <n v="25"/>
  </r>
  <r>
    <s v="CMP-00885"/>
    <s v="Q3_Launch_CMP-00885"/>
    <d v="2023-08-25T00:00:00"/>
    <x v="7"/>
    <d v="2023-09-17T00:00:00"/>
    <x v="4"/>
    <n v="15388"/>
    <n v="758"/>
    <n v="65"/>
    <x v="1"/>
    <x v="650"/>
    <n v="4.9259162984143491E-2"/>
    <n v="0.6000395778364116"/>
    <n v="6.9973846153846155"/>
    <n v="2795.17"/>
    <n v="8.5751978891820582E-2"/>
    <x v="3"/>
    <x v="1"/>
    <n v="2023"/>
    <s v="Fri"/>
    <n v="23"/>
  </r>
  <r>
    <s v="CMP-00886"/>
    <s v="Q4_BlackFriday_CMP-00886"/>
    <d v="2023-05-30T00:00:00"/>
    <x v="1"/>
    <d v="2023-06-27T00:00:00"/>
    <x v="0"/>
    <n v="6569"/>
    <n v="228"/>
    <n v="43"/>
    <x v="0"/>
    <x v="0"/>
    <n v="3.4708479220581519E-2"/>
    <n v="1.4435635964912281"/>
    <n v="7.6542441860465118"/>
    <n v="1820.8675000000001"/>
    <n v="0.18859649122807018"/>
    <x v="1"/>
    <x v="3"/>
    <n v="2023"/>
    <s v="Tue"/>
    <n v="28"/>
  </r>
  <r>
    <s v="CMP-00887"/>
    <s v="Q4_Summer_CMP-00887"/>
    <d v="2023-07-29T00:00:00"/>
    <x v="8"/>
    <d v="2023-08-13T00:00:00"/>
    <x v="4"/>
    <n v="70836"/>
    <n v="2292"/>
    <n v="150"/>
    <x v="0"/>
    <x v="651"/>
    <n v="3.2356428934440115E-2"/>
    <n v="0.94349912739965092"/>
    <n v="14.416666666666666"/>
    <n v="5337.5"/>
    <n v="6.5445026178010471E-2"/>
    <x v="3"/>
    <x v="0"/>
    <n v="2023"/>
    <s v="Sat"/>
    <n v="15"/>
  </r>
  <r>
    <s v="CMP-00888"/>
    <s v="Q2_Launch_CMP-00888"/>
    <d v="2023-06-05T00:00:00"/>
    <x v="9"/>
    <d v="2023-06-12T00:00:00"/>
    <x v="3"/>
    <n v="37586"/>
    <n v="1320"/>
    <n v="119"/>
    <x v="0"/>
    <x v="652"/>
    <n v="3.5119459373170861E-2"/>
    <n v="1.898818181818182"/>
    <n v="21.062521008403362"/>
    <n v="3443.56"/>
    <n v="9.0151515151515149E-2"/>
    <x v="3"/>
    <x v="1"/>
    <n v="2023"/>
    <s v="Mon"/>
    <n v="7"/>
  </r>
  <r>
    <s v="CMP-00889"/>
    <s v="Q3_Launch_CMP-00889"/>
    <d v="2023-08-05T00:00:00"/>
    <x v="7"/>
    <d v="2023-09-04T00:00:00"/>
    <x v="4"/>
    <n v="13015"/>
    <n v="407"/>
    <n v="52"/>
    <x v="1"/>
    <x v="653"/>
    <n v="3.1271609681137152E-2"/>
    <n v="1.2848157248157248"/>
    <n v="10.056153846153846"/>
    <n v="2077.08"/>
    <n v="0.12776412776412777"/>
    <x v="3"/>
    <x v="1"/>
    <n v="2023"/>
    <s v="Sat"/>
    <n v="30"/>
  </r>
  <r>
    <s v="CMP-00890"/>
    <s v="Q3_Winter_CMP-00890"/>
    <d v="2023-11-03T00:00:00"/>
    <x v="0"/>
    <d v="2023-11-17T00:00:00"/>
    <x v="1"/>
    <n v="46002"/>
    <n v="1628"/>
    <n v="219"/>
    <x v="1"/>
    <x v="654"/>
    <n v="3.5389765662362509E-2"/>
    <n v="0.90767813267813269"/>
    <n v="6.747488584474886"/>
    <n v="9472.2999999999993"/>
    <n v="0.13452088452088451"/>
    <x v="0"/>
    <x v="2"/>
    <n v="2023"/>
    <s v="Fri"/>
    <n v="14"/>
  </r>
  <r>
    <s v="CMP-00891"/>
    <s v="Q4_Summer_CMP-00891"/>
    <d v="2023-09-17T00:00:00"/>
    <x v="10"/>
    <d v="2023-09-21T00:00:00"/>
    <x v="3"/>
    <n v="7254"/>
    <n v="203"/>
    <n v="10"/>
    <x v="0"/>
    <x v="0"/>
    <n v="2.7984560242624759E-2"/>
    <n v="1.6213423645320197"/>
    <n v="32.913249999999998"/>
    <n v="170.86750000000001"/>
    <n v="4.9261083743842367E-2"/>
    <x v="0"/>
    <x v="0"/>
    <n v="2023"/>
    <s v="Sun"/>
    <n v="4"/>
  </r>
  <r>
    <s v="CMP-00892"/>
    <s v="Q4_Launch_CMP-00892"/>
    <d v="2023-08-03T00:00:00"/>
    <x v="7"/>
    <d v="2023-08-04T00:00:00"/>
    <x v="3"/>
    <n v="18144"/>
    <n v="339"/>
    <n v="56"/>
    <x v="1"/>
    <x v="655"/>
    <n v="1.8683862433862435E-2"/>
    <n v="1.397905604719764"/>
    <n v="8.4623214285714283"/>
    <n v="2326.11"/>
    <n v="0.16519174041297935"/>
    <x v="3"/>
    <x v="1"/>
    <n v="2023"/>
    <s v="Thu"/>
    <n v="1"/>
  </r>
  <r>
    <s v="CMP-00893"/>
    <s v="Q3_Summer_CMP-00893"/>
    <d v="2023-07-04T00:00:00"/>
    <x v="8"/>
    <d v="2023-07-26T00:00:00"/>
    <x v="1"/>
    <n v="25214"/>
    <n v="373"/>
    <n v="38"/>
    <x v="1"/>
    <x v="656"/>
    <n v="1.479336876338542E-2"/>
    <n v="1.4794369973190349"/>
    <n v="14.521842105263159"/>
    <n v="1348.17"/>
    <n v="0.10187667560321716"/>
    <x v="3"/>
    <x v="0"/>
    <n v="2023"/>
    <s v="Tue"/>
    <n v="22"/>
  </r>
  <r>
    <s v="CMP-00894"/>
    <s v="Q4_Winter_CMP-00894"/>
    <d v="2023-11-01T00:00:00"/>
    <x v="0"/>
    <d v="2023-12-01T00:00:00"/>
    <x v="0"/>
    <n v="81719"/>
    <n v="1040"/>
    <n v="115"/>
    <x v="0"/>
    <x v="657"/>
    <n v="1.2726538503897503E-2"/>
    <n v="0.73087500000000005"/>
    <n v="6.6096521739130436"/>
    <n v="4989.8900000000003"/>
    <n v="0.11057692307692307"/>
    <x v="0"/>
    <x v="2"/>
    <n v="2023"/>
    <s v="Wed"/>
    <n v="30"/>
  </r>
  <r>
    <s v="CMP-00895"/>
    <s v="Q1_Launch_CMP-00895"/>
    <d v="2023-05-08T00:00:00"/>
    <x v="1"/>
    <d v="2023-05-27T00:00:00"/>
    <x v="3"/>
    <n v="72774"/>
    <n v="1494"/>
    <n v="256"/>
    <x v="1"/>
    <x v="658"/>
    <n v="2.0529309918377443E-2"/>
    <n v="1.9655488621151274"/>
    <n v="11.470820312500001"/>
    <n v="9863.4699999999993"/>
    <n v="0.17135207496653279"/>
    <x v="1"/>
    <x v="1"/>
    <n v="2023"/>
    <s v="Mon"/>
    <n v="19"/>
  </r>
  <r>
    <s v="CMP-00896"/>
    <s v="Q2_Launch_CMP-00896"/>
    <d v="2023-11-28T00:00:00"/>
    <x v="0"/>
    <d v="2023-12-26T00:00:00"/>
    <x v="1"/>
    <n v="7090"/>
    <n v="83"/>
    <n v="8"/>
    <x v="0"/>
    <x v="0"/>
    <n v="1.1706629055007052E-2"/>
    <n v="3.9654518072289155"/>
    <n v="41.141562499999999"/>
    <n v="70.867500000000007"/>
    <n v="9.6385542168674704E-2"/>
    <x v="0"/>
    <x v="1"/>
    <n v="2023"/>
    <s v="Tue"/>
    <n v="28"/>
  </r>
  <r>
    <s v="CMP-00897"/>
    <s v="Q3_Launch_CMP-00897"/>
    <d v="2023-11-27T00:00:00"/>
    <x v="0"/>
    <d v="2023-12-19T00:00:00"/>
    <x v="4"/>
    <n v="12637"/>
    <n v="413"/>
    <n v="23"/>
    <x v="1"/>
    <x v="0"/>
    <n v="3.2681807390994695E-2"/>
    <n v="0.79693099273607748"/>
    <n v="14.310108695652174"/>
    <n v="820.86750000000006"/>
    <n v="5.569007263922518E-2"/>
    <x v="0"/>
    <x v="1"/>
    <n v="2023"/>
    <s v="Mon"/>
    <n v="22"/>
  </r>
  <r>
    <s v="CMP-00898"/>
    <s v="Q1_BlackFriday_CMP-00898"/>
    <d v="2023-06-19T00:00:00"/>
    <x v="9"/>
    <d v="2023-07-14T00:00:00"/>
    <x v="3"/>
    <n v="23415"/>
    <n v="499"/>
    <m/>
    <x v="0"/>
    <x v="659"/>
    <n v="2.1311125346999787E-2"/>
    <n v="1.8404609218436874"/>
    <n v="0"/>
    <n v="-918.39"/>
    <n v="0"/>
    <x v="3"/>
    <x v="3"/>
    <n v="2023"/>
    <s v="Mon"/>
    <n v="25"/>
  </r>
  <r>
    <s v="CMP-00899"/>
    <s v="Q3_Winter_CMP-00899"/>
    <d v="2023-06-01T00:00:00"/>
    <x v="9"/>
    <d v="2023-07-01T00:00:00"/>
    <x v="2"/>
    <n v="25071"/>
    <n v="1077"/>
    <n v="208"/>
    <x v="0"/>
    <x v="660"/>
    <n v="4.2957999282039007E-2"/>
    <n v="0.61195914577530175"/>
    <n v="3.1686538461538465"/>
    <n v="9740.92"/>
    <n v="0.19312906220984216"/>
    <x v="3"/>
    <x v="2"/>
    <n v="2023"/>
    <s v="Thu"/>
    <n v="30"/>
  </r>
  <r>
    <s v="CMP-00900"/>
    <s v="Q1_Summer_CMP-00900"/>
    <d v="2023-04-24T00:00:00"/>
    <x v="4"/>
    <d v="2023-05-24T00:00:00"/>
    <x v="1"/>
    <n v="59243"/>
    <n v="768"/>
    <n v="46"/>
    <x v="0"/>
    <x v="661"/>
    <n v="1.2963556875917831E-2"/>
    <n v="1.8616015625"/>
    <n v="31.080652173913045"/>
    <n v="870.29"/>
    <n v="5.9895833333333336E-2"/>
    <x v="1"/>
    <x v="0"/>
    <n v="2023"/>
    <s v="Mon"/>
    <n v="30"/>
  </r>
  <r>
    <s v="CMP-00901"/>
    <s v="Q2_Winter_CMP-00901"/>
    <d v="2023-10-25T00:00:00"/>
    <x v="3"/>
    <d v="2023-11-11T00:00:00"/>
    <x v="1"/>
    <n v="42240"/>
    <n v="804"/>
    <n v="83"/>
    <x v="1"/>
    <x v="662"/>
    <n v="1.903409090909091E-2"/>
    <n v="1.9948507462686567"/>
    <n v="19.323614457831326"/>
    <n v="2546.1400000000003"/>
    <n v="0.10323383084577115"/>
    <x v="0"/>
    <x v="2"/>
    <n v="2023"/>
    <s v="Wed"/>
    <n v="17"/>
  </r>
  <r>
    <s v="CMP-00902"/>
    <s v="Q4_Winter_CMP-00902"/>
    <d v="2023-07-11T00:00:00"/>
    <x v="8"/>
    <d v="2023-07-26T00:00:00"/>
    <x v="1"/>
    <n v="84807"/>
    <n v="3325"/>
    <n v="417"/>
    <x v="1"/>
    <x v="10"/>
    <n v="3.9206669260792151E-2"/>
    <n v="1.0922586466165414"/>
    <n v="8.70925659472422"/>
    <n v="17218.240000000002"/>
    <n v="0.12541353383458648"/>
    <x v="3"/>
    <x v="2"/>
    <n v="2023"/>
    <s v="Tue"/>
    <n v="15"/>
  </r>
  <r>
    <s v="CMP-00903"/>
    <s v="Q1_Winter_CMP-00903"/>
    <d v="2023-10-29T00:00:00"/>
    <x v="3"/>
    <d v="2023-11-01T00:00:00"/>
    <x v="0"/>
    <n v="34434"/>
    <n v="1169"/>
    <n v="144"/>
    <x v="0"/>
    <x v="663"/>
    <n v="3.3949003891502585E-2"/>
    <n v="1.6556715141146279"/>
    <n v="13.440833333333334"/>
    <n v="5264.52"/>
    <n v="0.12318220701454234"/>
    <x v="0"/>
    <x v="2"/>
    <n v="2023"/>
    <s v="Sun"/>
    <n v="3"/>
  </r>
  <r>
    <s v="CMP-00904"/>
    <s v="Q4_Launch_CMP-00904"/>
    <d v="2023-01-13T00:00:00"/>
    <x v="11"/>
    <d v="2023-01-30T00:00:00"/>
    <x v="4"/>
    <n v="70724"/>
    <n v="889"/>
    <n v="44"/>
    <x v="0"/>
    <x v="664"/>
    <n v="1.256999038515921E-2"/>
    <n v="1.0059505061867267"/>
    <n v="20.324772727272727"/>
    <n v="1305.71"/>
    <n v="4.9493813273340834E-2"/>
    <x v="2"/>
    <x v="1"/>
    <n v="2023"/>
    <s v="Fri"/>
    <n v="17"/>
  </r>
  <r>
    <s v="CMP-00905"/>
    <s v="Q2_Summer_CMP-00905"/>
    <d v="2023-02-13T00:00:00"/>
    <x v="6"/>
    <d v="2023-02-19T00:00:00"/>
    <x v="1"/>
    <n v="76697"/>
    <n v="3458"/>
    <n v="432"/>
    <x v="1"/>
    <x v="10"/>
    <n v="4.5086509250687773E-2"/>
    <n v="1.0502486986697512"/>
    <n v="8.4068518518518509"/>
    <n v="17968.240000000002"/>
    <n v="0.12492770387507229"/>
    <x v="2"/>
    <x v="0"/>
    <n v="2023"/>
    <s v="Mon"/>
    <n v="6"/>
  </r>
  <r>
    <s v="CMP-00906"/>
    <s v="Q4_BlackFriday_CMP-00906"/>
    <d v="2023-03-14T00:00:00"/>
    <x v="5"/>
    <d v="2023-03-29T00:00:00"/>
    <x v="2"/>
    <n v="29732"/>
    <n v="1340"/>
    <n v="144"/>
    <x v="1"/>
    <x v="665"/>
    <n v="4.5069285618189153E-2"/>
    <n v="1.2945746268656717"/>
    <n v="12.046736111111111"/>
    <n v="5465.27"/>
    <n v="0.10746268656716418"/>
    <x v="1"/>
    <x v="3"/>
    <n v="2023"/>
    <s v="Tue"/>
    <n v="15"/>
  </r>
  <r>
    <s v="CMP-00907"/>
    <s v="Q4_BlackFriday_CMP-00907"/>
    <d v="2023-04-16T00:00:00"/>
    <x v="4"/>
    <d v="2023-04-25T00:00:00"/>
    <x v="2"/>
    <n v="12314"/>
    <n v="285"/>
    <n v="55"/>
    <x v="1"/>
    <x v="666"/>
    <n v="2.3144388500893291E-2"/>
    <n v="1.5985964912280703"/>
    <n v="8.2836363636363632"/>
    <n v="2294.4"/>
    <n v="0.19298245614035087"/>
    <x v="1"/>
    <x v="3"/>
    <n v="2023"/>
    <s v="Sun"/>
    <n v="9"/>
  </r>
  <r>
    <s v="CMP-00908"/>
    <s v="Q3_Winter_CMP-00908"/>
    <d v="2023-02-19T00:00:00"/>
    <x v="6"/>
    <d v="2023-03-14T00:00:00"/>
    <x v="2"/>
    <n v="24954"/>
    <n v="589"/>
    <n v="43"/>
    <x v="0"/>
    <x v="667"/>
    <n v="2.3603430311773664E-2"/>
    <n v="1.88616298811545"/>
    <n v="25.836046511627909"/>
    <n v="1039.05"/>
    <n v="7.3005093378607805E-2"/>
    <x v="2"/>
    <x v="2"/>
    <n v="2023"/>
    <s v="Sun"/>
    <n v="23"/>
  </r>
  <r>
    <s v="CMP-00909"/>
    <s v="Q1_BlackFriday_CMP-00909"/>
    <d v="2023-06-13T00:00:00"/>
    <x v="9"/>
    <d v="2023-07-02T00:00:00"/>
    <x v="1"/>
    <n v="58108"/>
    <n v="2879"/>
    <n v="296"/>
    <x v="0"/>
    <x v="10"/>
    <n v="4.9545673573346181E-2"/>
    <n v="1.261465786731504"/>
    <n v="12.269459459459458"/>
    <n v="11168.24"/>
    <n v="0.10281347690170198"/>
    <x v="3"/>
    <x v="3"/>
    <n v="2023"/>
    <s v="Tue"/>
    <n v="19"/>
  </r>
  <r>
    <s v="CMP-00910"/>
    <s v="Q4_Summer_CMP-00910"/>
    <d v="2023-01-23T00:00:00"/>
    <x v="11"/>
    <d v="2023-02-05T00:00:00"/>
    <x v="1"/>
    <n v="88044"/>
    <n v="3085"/>
    <n v="348"/>
    <x v="0"/>
    <x v="10"/>
    <n v="3.5039298532551909E-2"/>
    <n v="1.1772317666126417"/>
    <n v="10.436091954022988"/>
    <n v="13768.24"/>
    <n v="0.11280388978930309"/>
    <x v="2"/>
    <x v="0"/>
    <n v="2023"/>
    <s v="Mon"/>
    <n v="13"/>
  </r>
  <r>
    <s v="CMP-00911"/>
    <s v="Q3_Winter_CMP-00911"/>
    <d v="2023-06-25T00:00:00"/>
    <x v="9"/>
    <d v="2023-07-21T00:00:00"/>
    <x v="1"/>
    <n v="88505"/>
    <n v="2766"/>
    <n v="300"/>
    <x v="1"/>
    <x v="668"/>
    <n v="3.1252471611773344E-2"/>
    <n v="0.954526391901663"/>
    <n v="8.8007333333333335"/>
    <n v="12359.78"/>
    <n v="0.10845986984815618"/>
    <x v="3"/>
    <x v="2"/>
    <n v="2023"/>
    <s v="Sun"/>
    <n v="26"/>
  </r>
  <r>
    <s v="CMP-00912"/>
    <s v="Q4_Launch_CMP-00912"/>
    <d v="2023-03-26T00:00:00"/>
    <x v="5"/>
    <d v="2023-04-25T00:00:00"/>
    <x v="2"/>
    <n v="37668"/>
    <n v="1639"/>
    <n v="245"/>
    <x v="1"/>
    <x v="669"/>
    <n v="4.3511734097908039E-2"/>
    <n v="1.9498230628431972"/>
    <n v="13.04391836734694"/>
    <n v="9054.24"/>
    <n v="0.14948139109212935"/>
    <x v="1"/>
    <x v="1"/>
    <n v="2023"/>
    <s v="Sun"/>
    <n v="30"/>
  </r>
  <r>
    <s v="CMP-00913"/>
    <s v="Q3_Winter_CMP-00913"/>
    <d v="2023-09-22T00:00:00"/>
    <x v="10"/>
    <d v="2023-10-10T00:00:00"/>
    <x v="1"/>
    <n v="24061"/>
    <n v="515"/>
    <n v="42"/>
    <x v="0"/>
    <x v="670"/>
    <n v="2.1403931673662772E-2"/>
    <n v="1.4421747572815535"/>
    <n v="17.683809523809526"/>
    <n v="1357.28"/>
    <n v="8.155339805825243E-2"/>
    <x v="0"/>
    <x v="2"/>
    <n v="2023"/>
    <s v="Fri"/>
    <n v="18"/>
  </r>
  <r>
    <s v="CMP-00914"/>
    <s v="Q3_Launch_CMP-00914"/>
    <d v="2023-10-14T00:00:00"/>
    <x v="3"/>
    <d v="2023-11-04T00:00:00"/>
    <x v="1"/>
    <n v="80252"/>
    <n v="2180"/>
    <n v="181"/>
    <x v="1"/>
    <x v="10"/>
    <n v="2.7164432039076907E-2"/>
    <n v="1.6659449541284403"/>
    <n v="20.064972375690605"/>
    <n v="5418.24"/>
    <n v="8.3027522935779821E-2"/>
    <x v="0"/>
    <x v="1"/>
    <n v="2023"/>
    <s v="Sat"/>
    <n v="21"/>
  </r>
  <r>
    <s v="CMP-00915"/>
    <s v="Q4_Summer_CMP-00915"/>
    <d v="2023-07-27T00:00:00"/>
    <x v="8"/>
    <d v="2023-08-20T00:00:00"/>
    <x v="3"/>
    <n v="40749"/>
    <n v="843"/>
    <m/>
    <x v="1"/>
    <x v="671"/>
    <n v="2.0687624236177576E-2"/>
    <n v="1.5141518386714117"/>
    <n v="0"/>
    <n v="-1276.43"/>
    <n v="0"/>
    <x v="3"/>
    <x v="0"/>
    <n v="2023"/>
    <s v="Thu"/>
    <n v="24"/>
  </r>
  <r>
    <s v="CMP-00916"/>
    <s v="Q1_Launch_CMP-00916"/>
    <d v="2023-12-03T00:00:00"/>
    <x v="2"/>
    <d v="2024-01-02T00:00:00"/>
    <x v="3"/>
    <n v="17907"/>
    <n v="744"/>
    <n v="93"/>
    <x v="0"/>
    <x v="672"/>
    <n v="4.1547997989612999E-2"/>
    <n v="0.9608602150537634"/>
    <n v="7.6868817204301072"/>
    <n v="3935.12"/>
    <n v="0.125"/>
    <x v="2"/>
    <x v="1"/>
    <n v="2023"/>
    <s v="Sun"/>
    <n v="30"/>
  </r>
  <r>
    <s v="CMP-00917"/>
    <s v="Q1_Launch_CMP-00917"/>
    <d v="2023-11-11T00:00:00"/>
    <x v="0"/>
    <d v="2023-11-20T00:00:00"/>
    <x v="3"/>
    <n v="19777"/>
    <n v="651"/>
    <n v="73"/>
    <x v="0"/>
    <x v="673"/>
    <n v="3.2917024826819033E-2"/>
    <n v="1.0550384024577573"/>
    <n v="9.4086301369863019"/>
    <n v="2963.17"/>
    <n v="0.11213517665130568"/>
    <x v="0"/>
    <x v="1"/>
    <n v="2023"/>
    <s v="Sat"/>
    <n v="9"/>
  </r>
  <r>
    <s v="CMP-00918"/>
    <s v="Q2_Summer_CMP-00918"/>
    <d v="2023-08-08T00:00:00"/>
    <x v="7"/>
    <d v="2023-08-27T00:00:00"/>
    <x v="0"/>
    <n v="94229"/>
    <n v="3425"/>
    <n v="258"/>
    <x v="0"/>
    <x v="10"/>
    <n v="3.6347621220643327E-2"/>
    <n v="1.0603678832116787"/>
    <n v="14.076589147286821"/>
    <n v="9268.24"/>
    <n v="7.5328467153284673E-2"/>
    <x v="3"/>
    <x v="0"/>
    <n v="2023"/>
    <s v="Tue"/>
    <n v="19"/>
  </r>
  <r>
    <s v="CMP-00919"/>
    <s v="Q2_Summer_CMP-00919"/>
    <d v="2023-04-16T00:00:00"/>
    <x v="4"/>
    <d v="2023-04-20T00:00:00"/>
    <x v="0"/>
    <n v="52745"/>
    <n v="1059"/>
    <n v="82"/>
    <x v="0"/>
    <x v="674"/>
    <n v="2.0077732486491612E-2"/>
    <n v="1.6850236071765818"/>
    <n v="21.761463414634147"/>
    <n v="2315.56"/>
    <n v="7.7431539187913123E-2"/>
    <x v="1"/>
    <x v="0"/>
    <n v="2023"/>
    <s v="Sun"/>
    <n v="4"/>
  </r>
  <r>
    <s v="CMP-00920"/>
    <s v="Q2_Winter_CMP-00920"/>
    <d v="2023-02-02T00:00:00"/>
    <x v="6"/>
    <d v="2023-02-25T00:00:00"/>
    <x v="1"/>
    <n v="92865"/>
    <n v="1746"/>
    <m/>
    <x v="1"/>
    <x v="675"/>
    <n v="1.8801486028105316E-2"/>
    <n v="0.9769759450171821"/>
    <n v="0"/>
    <n v="-1705.8"/>
    <n v="0"/>
    <x v="2"/>
    <x v="2"/>
    <n v="2023"/>
    <s v="Thu"/>
    <n v="23"/>
  </r>
  <r>
    <s v="CMP-00921"/>
    <s v="Q4_Summer_CMP-00921"/>
    <d v="2023-10-02T00:00:00"/>
    <x v="3"/>
    <d v="2023-10-19T00:00:00"/>
    <x v="4"/>
    <n v="82818"/>
    <n v="2446"/>
    <n v="155"/>
    <x v="1"/>
    <x v="676"/>
    <n v="2.9534642227535077E-2"/>
    <n v="1.3695952575633688"/>
    <n v="21.613096774193551"/>
    <n v="4399.9699999999993"/>
    <n v="6.3368765331152904E-2"/>
    <x v="0"/>
    <x v="0"/>
    <n v="2023"/>
    <s v="Mon"/>
    <n v="17"/>
  </r>
  <r>
    <s v="CMP-00922"/>
    <s v="Q1_Launch_CMP-00922"/>
    <d v="2023-08-23T00:00:00"/>
    <x v="7"/>
    <d v="2023-09-08T00:00:00"/>
    <x v="3"/>
    <n v="24624"/>
    <n v="972"/>
    <n v="129"/>
    <x v="1"/>
    <x v="677"/>
    <n v="3.9473684210526314E-2"/>
    <n v="1.0184362139917695"/>
    <n v="7.673798449612403"/>
    <n v="5460.08"/>
    <n v="0.13271604938271606"/>
    <x v="3"/>
    <x v="1"/>
    <n v="2023"/>
    <s v="Wed"/>
    <n v="16"/>
  </r>
  <r>
    <s v="CMP-00923"/>
    <s v="Q4_Winter_CMP-00923"/>
    <d v="2023-09-08T00:00:00"/>
    <x v="10"/>
    <d v="2023-09-14T00:00:00"/>
    <x v="3"/>
    <n v="24321"/>
    <n v="754"/>
    <n v="138"/>
    <x v="0"/>
    <x v="678"/>
    <n v="3.1002014719789483E-2"/>
    <n v="1.7236604774535811"/>
    <n v="9.4176811594202903"/>
    <n v="5600.36"/>
    <n v="0.1830238726790451"/>
    <x v="0"/>
    <x v="2"/>
    <n v="2023"/>
    <s v="Fri"/>
    <n v="6"/>
  </r>
  <r>
    <s v="CMP-00924"/>
    <s v="Q4_Winter_CMP-00924"/>
    <d v="2023-11-02T00:00:00"/>
    <x v="0"/>
    <d v="2023-12-01T00:00:00"/>
    <x v="0"/>
    <n v="11488"/>
    <n v="129"/>
    <n v="12"/>
    <x v="0"/>
    <x v="0"/>
    <n v="1.1229108635097493E-2"/>
    <n v="2.5514147286821705"/>
    <n v="27.427708333333332"/>
    <n v="270.86750000000001"/>
    <n v="9.3023255813953487E-2"/>
    <x v="0"/>
    <x v="2"/>
    <n v="2023"/>
    <s v="Thu"/>
    <n v="29"/>
  </r>
  <r>
    <s v="CMP-00925"/>
    <s v="Q4_Launch_CMP-00925"/>
    <d v="2023-02-28T00:00:00"/>
    <x v="6"/>
    <d v="2023-03-15T00:00:00"/>
    <x v="1"/>
    <n v="23574"/>
    <n v="1054"/>
    <n v="104"/>
    <x v="0"/>
    <x v="679"/>
    <n v="4.4710274030711802E-2"/>
    <n v="0.61508538899430731"/>
    <n v="6.233653846153846"/>
    <n v="4551.7"/>
    <n v="9.8671726755218223E-2"/>
    <x v="2"/>
    <x v="1"/>
    <n v="2023"/>
    <s v="Tue"/>
    <n v="15"/>
  </r>
  <r>
    <s v="CMP-00926"/>
    <s v="Q1_BlackFriday_CMP-00926"/>
    <d v="2023-11-13T00:00:00"/>
    <x v="0"/>
    <d v="2023-11-23T00:00:00"/>
    <x v="0"/>
    <n v="6240"/>
    <n v="78"/>
    <m/>
    <x v="0"/>
    <x v="0"/>
    <n v="1.2500000000000001E-2"/>
    <n v="4.2196474358974356"/>
    <n v="0"/>
    <n v="-329.13249999999999"/>
    <n v="0"/>
    <x v="0"/>
    <x v="3"/>
    <n v="2023"/>
    <s v="Mon"/>
    <n v="10"/>
  </r>
  <r>
    <s v="CMP-00927"/>
    <s v="Q1_Launch_CMP-00927"/>
    <d v="2023-06-02T00:00:00"/>
    <x v="9"/>
    <d v="2023-06-30T00:00:00"/>
    <x v="2"/>
    <n v="44221"/>
    <n v="2132"/>
    <n v="230"/>
    <x v="1"/>
    <x v="680"/>
    <n v="4.8212387779561744E-2"/>
    <n v="0.59165572232645403"/>
    <n v="5.4843913043478265"/>
    <n v="10238.59"/>
    <n v="0.10787992495309569"/>
    <x v="3"/>
    <x v="1"/>
    <n v="2023"/>
    <s v="Fri"/>
    <n v="28"/>
  </r>
  <r>
    <s v="CMP-00928"/>
    <s v="Q3_BlackFriday_CMP-00928"/>
    <d v="2023-12-11T00:00:00"/>
    <x v="2"/>
    <d v="2023-12-17T00:00:00"/>
    <x v="4"/>
    <n v="11478"/>
    <n v="126"/>
    <n v="7"/>
    <x v="1"/>
    <x v="0"/>
    <n v="1.097752221641401E-2"/>
    <n v="2.6121626984126984"/>
    <n v="47.018928571428567"/>
    <n v="20.867500000000007"/>
    <n v="5.5555555555555552E-2"/>
    <x v="2"/>
    <x v="3"/>
    <n v="2023"/>
    <s v="Mon"/>
    <n v="6"/>
  </r>
  <r>
    <s v="CMP-00929"/>
    <s v="Q3_BlackFriday_CMP-00929"/>
    <d v="2023-06-06T00:00:00"/>
    <x v="9"/>
    <d v="2023-06-08T00:00:00"/>
    <x v="0"/>
    <n v="56645"/>
    <n v="2139"/>
    <n v="401"/>
    <x v="1"/>
    <x v="681"/>
    <n v="3.7761497042987022E-2"/>
    <n v="0.65950444132772323"/>
    <n v="3.517905236907731"/>
    <n v="18639.32"/>
    <n v="0.18747078073866294"/>
    <x v="3"/>
    <x v="3"/>
    <n v="2023"/>
    <s v="Tue"/>
    <n v="2"/>
  </r>
  <r>
    <s v="CMP-00930"/>
    <s v="Q2_Winter_CMP-00930"/>
    <d v="2023-03-14T00:00:00"/>
    <x v="5"/>
    <d v="2023-03-24T00:00:00"/>
    <x v="3"/>
    <n v="20262"/>
    <n v="269"/>
    <n v="40"/>
    <x v="1"/>
    <x v="0"/>
    <n v="1.3276083308656598E-2"/>
    <n v="1.2235408921933084"/>
    <n v="8.2283124999999995"/>
    <n v="1670.8675000000001"/>
    <n v="0.14869888475836432"/>
    <x v="1"/>
    <x v="2"/>
    <n v="2023"/>
    <s v="Tue"/>
    <n v="10"/>
  </r>
  <r>
    <s v="CMP-00931"/>
    <s v="Q3_Winter_CMP-00931"/>
    <d v="2023-03-12T00:00:00"/>
    <x v="5"/>
    <d v="2023-04-01T00:00:00"/>
    <x v="2"/>
    <n v="53796"/>
    <n v="2497"/>
    <n v="495"/>
    <x v="0"/>
    <x v="10"/>
    <n v="4.6416090415644283E-2"/>
    <n v="1.4544493392070483"/>
    <n v="7.3368888888888888"/>
    <n v="21118.240000000002"/>
    <n v="0.19823788546255505"/>
    <x v="1"/>
    <x v="2"/>
    <n v="2023"/>
    <s v="Sun"/>
    <n v="20"/>
  </r>
  <r>
    <s v="CMP-00932"/>
    <s v="Q3_BlackFriday_CMP-00932"/>
    <d v="2023-09-07T00:00:00"/>
    <x v="10"/>
    <d v="2023-09-18T00:00:00"/>
    <x v="3"/>
    <n v="5432"/>
    <n v="155"/>
    <n v="28"/>
    <x v="0"/>
    <x v="0"/>
    <n v="2.853460972017673E-2"/>
    <n v="2.1234354838709675"/>
    <n v="11.754732142857142"/>
    <n v="1070.8675000000001"/>
    <n v="0.18064516129032257"/>
    <x v="0"/>
    <x v="3"/>
    <n v="2023"/>
    <s v="Thu"/>
    <n v="11"/>
  </r>
  <r>
    <s v="CMP-00933"/>
    <s v="Q4_Launch_CMP-00933"/>
    <d v="2023-11-27T00:00:00"/>
    <x v="0"/>
    <d v="2023-12-27T00:00:00"/>
    <x v="0"/>
    <n v="96257"/>
    <n v="1492"/>
    <m/>
    <x v="0"/>
    <x v="682"/>
    <n v="1.5500171416104803E-2"/>
    <n v="1.1781300268096515"/>
    <n v="0"/>
    <n v="-1757.77"/>
    <n v="0"/>
    <x v="0"/>
    <x v="1"/>
    <n v="2023"/>
    <s v="Mon"/>
    <n v="30"/>
  </r>
  <r>
    <s v="CMP-00934"/>
    <s v="Q2_BlackFriday_CMP-00934"/>
    <d v="2023-03-27T00:00:00"/>
    <x v="5"/>
    <d v="2023-03-31T00:00:00"/>
    <x v="0"/>
    <n v="65291"/>
    <n v="1542"/>
    <n v="197"/>
    <x v="1"/>
    <x v="683"/>
    <n v="2.3617343891194804E-2"/>
    <n v="1.978709468223087"/>
    <n v="15.488172588832487"/>
    <n v="6798.83"/>
    <n v="0.12775616083009078"/>
    <x v="1"/>
    <x v="3"/>
    <n v="2023"/>
    <s v="Mon"/>
    <n v="4"/>
  </r>
  <r>
    <s v="CMP-00935"/>
    <s v="Q2_Winter_CMP-00935"/>
    <d v="2023-06-11T00:00:00"/>
    <x v="9"/>
    <d v="2023-07-03T00:00:00"/>
    <x v="2"/>
    <n v="80104"/>
    <n v="1329"/>
    <n v="104"/>
    <x v="0"/>
    <x v="684"/>
    <n v="1.6590931788674722E-2"/>
    <n v="0.50027840481565089"/>
    <n v="6.3929807692307694"/>
    <n v="4535.13"/>
    <n v="7.8254326561324306E-2"/>
    <x v="3"/>
    <x v="2"/>
    <n v="2023"/>
    <s v="Sun"/>
    <n v="22"/>
  </r>
  <r>
    <s v="CMP-00936"/>
    <s v="Q4_Summer_CMP-00936"/>
    <d v="2023-07-03T00:00:00"/>
    <x v="8"/>
    <d v="2023-07-08T00:00:00"/>
    <x v="4"/>
    <n v="60399"/>
    <n v="1016"/>
    <n v="121"/>
    <x v="0"/>
    <x v="685"/>
    <n v="1.6821470554148246E-2"/>
    <n v="1.420964566929134"/>
    <n v="11.931404958677687"/>
    <n v="4606.3"/>
    <n v="0.11909448818897637"/>
    <x v="3"/>
    <x v="0"/>
    <n v="2023"/>
    <s v="Mon"/>
    <n v="5"/>
  </r>
  <r>
    <s v="CMP-00937"/>
    <s v="Q3_Launch_CMP-00937"/>
    <d v="2023-04-10T00:00:00"/>
    <x v="4"/>
    <d v="2023-05-07T00:00:00"/>
    <x v="0"/>
    <n v="80714"/>
    <n v="3868"/>
    <n v="717"/>
    <x v="1"/>
    <x v="10"/>
    <n v="4.7922293530242584E-2"/>
    <n v="0.93892450879007228"/>
    <n v="5.0652161785216174"/>
    <n v="32218.240000000002"/>
    <n v="0.18536711478800413"/>
    <x v="1"/>
    <x v="1"/>
    <n v="2023"/>
    <s v="Mon"/>
    <n v="27"/>
  </r>
  <r>
    <s v="CMP-00938"/>
    <s v="Q2_Winter_CMP-00938"/>
    <d v="2023-09-16T00:00:00"/>
    <x v="10"/>
    <d v="2023-09-19T00:00:00"/>
    <x v="1"/>
    <n v="51428"/>
    <n v="1430"/>
    <n v="82"/>
    <x v="1"/>
    <x v="686"/>
    <n v="2.7805864509605663E-2"/>
    <n v="1.1861678321678322"/>
    <n v="20.685609756097563"/>
    <n v="2403.7799999999997"/>
    <n v="5.7342657342657345E-2"/>
    <x v="0"/>
    <x v="2"/>
    <n v="2023"/>
    <s v="Sat"/>
    <n v="3"/>
  </r>
  <r>
    <s v="CMP-00939"/>
    <s v="Q4_Summer_CMP-00939"/>
    <d v="2023-09-09T00:00:00"/>
    <x v="10"/>
    <d v="2023-09-16T00:00:00"/>
    <x v="2"/>
    <n v="88731"/>
    <n v="3686"/>
    <n v="661"/>
    <x v="1"/>
    <x v="10"/>
    <n v="4.1541287712298973E-2"/>
    <n v="0.9852848616386326"/>
    <n v="5.494341906202723"/>
    <n v="29418.240000000002"/>
    <n v="0.17932718393922953"/>
    <x v="0"/>
    <x v="0"/>
    <n v="2023"/>
    <s v="Sat"/>
    <n v="7"/>
  </r>
  <r>
    <s v="CMP-00940"/>
    <s v="Q1_BlackFriday_CMP-00940"/>
    <d v="2023-09-08T00:00:00"/>
    <x v="10"/>
    <d v="2023-09-24T00:00:00"/>
    <x v="1"/>
    <n v="1302"/>
    <n v="46"/>
    <n v="4"/>
    <x v="0"/>
    <x v="0"/>
    <n v="3.5330261136712747E-2"/>
    <n v="7.1550543478260868"/>
    <n v="82.283124999999998"/>
    <n v="-129.13249999999999"/>
    <n v="8.6956521739130432E-2"/>
    <x v="0"/>
    <x v="3"/>
    <n v="2023"/>
    <s v="Fri"/>
    <n v="16"/>
  </r>
  <r>
    <s v="CMP-00941"/>
    <s v="Q2_Winter_CMP-00941"/>
    <d v="2023-04-23T00:00:00"/>
    <x v="4"/>
    <d v="2023-05-09T00:00:00"/>
    <x v="0"/>
    <n v="83558"/>
    <n v="3096"/>
    <n v="572"/>
    <x v="1"/>
    <x v="687"/>
    <n v="3.7052107518131115E-2"/>
    <n v="1.1224418604651163"/>
    <n v="6.0753146853146855"/>
    <n v="25124.92"/>
    <n v="0.1847545219638243"/>
    <x v="1"/>
    <x v="2"/>
    <n v="2023"/>
    <s v="Sun"/>
    <n v="16"/>
  </r>
  <r>
    <s v="CMP-00942"/>
    <s v="Q1_Launch_CMP-00942"/>
    <d v="2023-10-03T00:00:00"/>
    <x v="3"/>
    <d v="2023-10-11T00:00:00"/>
    <x v="3"/>
    <n v="1055"/>
    <n v="16"/>
    <n v="3"/>
    <x v="0"/>
    <x v="0"/>
    <n v="1.5165876777251185E-2"/>
    <n v="20.57078125"/>
    <n v="109.71083333333333"/>
    <n v="-179.13249999999999"/>
    <n v="0.1875"/>
    <x v="0"/>
    <x v="1"/>
    <n v="2023"/>
    <s v="Tue"/>
    <n v="8"/>
  </r>
  <r>
    <s v="CMP-00943"/>
    <s v="Q3_Summer_CMP-00943"/>
    <d v="2023-10-17T00:00:00"/>
    <x v="3"/>
    <d v="2023-10-18T00:00:00"/>
    <x v="0"/>
    <n v="9717"/>
    <n v="188"/>
    <n v="28"/>
    <x v="1"/>
    <x v="0"/>
    <n v="1.9347535247504374E-2"/>
    <n v="1.7507047872340424"/>
    <n v="11.754732142857142"/>
    <n v="1070.8675000000001"/>
    <n v="0.14893617021276595"/>
    <x v="0"/>
    <x v="0"/>
    <n v="2023"/>
    <s v="Tue"/>
    <n v="1"/>
  </r>
  <r>
    <s v="CMP-00944"/>
    <s v="Q1_Launch_CMP-00944"/>
    <d v="2023-10-09T00:00:00"/>
    <x v="3"/>
    <d v="2023-10-22T00:00:00"/>
    <x v="3"/>
    <n v="29699"/>
    <n v="1231"/>
    <n v="184"/>
    <x v="1"/>
    <x v="688"/>
    <n v="4.1449207044008216E-2"/>
    <n v="0.79645816409423242"/>
    <n v="5.3284782608695656"/>
    <n v="8219.56"/>
    <n v="0.14947197400487408"/>
    <x v="0"/>
    <x v="1"/>
    <n v="2023"/>
    <s v="Mon"/>
    <n v="13"/>
  </r>
  <r>
    <s v="CMP-00945"/>
    <s v="Q2_Summer_CMP-00945"/>
    <d v="2023-05-18T00:00:00"/>
    <x v="1"/>
    <d v="2023-06-12T00:00:00"/>
    <x v="3"/>
    <n v="74686"/>
    <n v="3646"/>
    <n v="429"/>
    <x v="0"/>
    <x v="689"/>
    <n v="4.881771684117505E-2"/>
    <n v="0.77077619308831591"/>
    <n v="6.5506993006993008"/>
    <n v="18639.75"/>
    <n v="0.1176631925397696"/>
    <x v="1"/>
    <x v="0"/>
    <n v="2023"/>
    <s v="Thu"/>
    <n v="25"/>
  </r>
  <r>
    <s v="CMP-00946"/>
    <s v="Q3_Winter_CMP-00946"/>
    <d v="2023-07-07T00:00:00"/>
    <x v="8"/>
    <d v="2023-07-31T00:00:00"/>
    <x v="2"/>
    <n v="68661"/>
    <n v="1408"/>
    <n v="246"/>
    <x v="1"/>
    <x v="690"/>
    <n v="2.0506546656762936E-2"/>
    <n v="0.89370738636363634"/>
    <n v="5.1152032520325204"/>
    <n v="11041.66"/>
    <n v="0.17471590909090909"/>
    <x v="3"/>
    <x v="2"/>
    <n v="2023"/>
    <s v="Fri"/>
    <n v="24"/>
  </r>
  <r>
    <s v="CMP-00947"/>
    <s v="Q3_Summer_CMP-00947"/>
    <d v="2023-08-14T00:00:00"/>
    <x v="7"/>
    <d v="2023-09-09T00:00:00"/>
    <x v="0"/>
    <n v="45247"/>
    <n v="943"/>
    <n v="183"/>
    <x v="0"/>
    <x v="691"/>
    <n v="2.0841160739938559E-2"/>
    <n v="1.2878897136797456"/>
    <n v="6.6365027322404373"/>
    <n v="7935.52"/>
    <n v="0.19406150583244963"/>
    <x v="3"/>
    <x v="0"/>
    <n v="2023"/>
    <s v="Mon"/>
    <n v="26"/>
  </r>
  <r>
    <s v="CMP-00948"/>
    <s v="Q2_BlackFriday_CMP-00948"/>
    <d v="2023-02-22T00:00:00"/>
    <x v="6"/>
    <d v="2023-03-15T00:00:00"/>
    <x v="2"/>
    <n v="17748"/>
    <n v="513"/>
    <n v="85"/>
    <x v="0"/>
    <x v="692"/>
    <n v="2.8904665314401622E-2"/>
    <n v="0.66682261208576998"/>
    <n v="4.0244705882352942"/>
    <n v="3907.92"/>
    <n v="0.16569200779727095"/>
    <x v="2"/>
    <x v="3"/>
    <n v="2023"/>
    <s v="Wed"/>
    <n v="21"/>
  </r>
  <r>
    <s v="CMP-00949"/>
    <s v="Q3_Launch_CMP-00949"/>
    <d v="2023-05-07T00:00:00"/>
    <x v="1"/>
    <d v="2023-06-05T00:00:00"/>
    <x v="4"/>
    <n v="5621"/>
    <n v="277"/>
    <n v="39"/>
    <x v="0"/>
    <x v="693"/>
    <n v="4.9279487635652021E-2"/>
    <n v="1.8022382671480146"/>
    <n v="12.800512820512822"/>
    <n v="1450.78"/>
    <n v="0.1407942238267148"/>
    <x v="1"/>
    <x v="1"/>
    <n v="2023"/>
    <s v="Sun"/>
    <n v="29"/>
  </r>
  <r>
    <s v="CMP-00950"/>
    <s v="Q3_BlackFriday_CMP-00950"/>
    <d v="2023-08-19T00:00:00"/>
    <x v="7"/>
    <d v="2023-08-25T00:00:00"/>
    <x v="1"/>
    <n v="16034"/>
    <n v="332"/>
    <n v="46"/>
    <x v="1"/>
    <x v="0"/>
    <n v="2.0705999750530123E-2"/>
    <n v="0.99136295180722889"/>
    <n v="7.1550543478260868"/>
    <n v="1970.8675000000001"/>
    <n v="0.13855421686746988"/>
    <x v="3"/>
    <x v="3"/>
    <n v="2023"/>
    <s v="Sat"/>
    <n v="6"/>
  </r>
  <r>
    <s v="CMP-00951"/>
    <s v="Q4_BlackFriday_CMP-00951"/>
    <d v="2023-02-14T00:00:00"/>
    <x v="6"/>
    <d v="2023-03-11T00:00:00"/>
    <x v="2"/>
    <n v="6126"/>
    <n v="160"/>
    <n v="28"/>
    <x v="1"/>
    <x v="0"/>
    <n v="2.6118184786157361E-2"/>
    <n v="2.0570781249999999"/>
    <n v="11.754732142857142"/>
    <n v="1070.8675000000001"/>
    <n v="0.17499999999999999"/>
    <x v="2"/>
    <x v="3"/>
    <n v="2023"/>
    <s v="Tue"/>
    <n v="25"/>
  </r>
  <r>
    <s v="CMP-00952"/>
    <s v="Q2_Summer_CMP-00952"/>
    <d v="2023-05-02T00:00:00"/>
    <x v="1"/>
    <d v="2023-05-15T00:00:00"/>
    <x v="3"/>
    <n v="6122"/>
    <n v="279"/>
    <n v="36"/>
    <x v="1"/>
    <x v="694"/>
    <n v="4.5573342045083308E-2"/>
    <n v="1.5134408602150538"/>
    <n v="11.729166666666666"/>
    <n v="1377.75"/>
    <n v="0.12903225806451613"/>
    <x v="1"/>
    <x v="0"/>
    <n v="2023"/>
    <s v="Tue"/>
    <n v="13"/>
  </r>
  <r>
    <s v="CMP-00953"/>
    <s v="Q2_Summer_CMP-00953"/>
    <d v="2023-12-19T00:00:00"/>
    <x v="2"/>
    <d v="2023-12-21T00:00:00"/>
    <x v="0"/>
    <n v="19030"/>
    <n v="192"/>
    <n v="32"/>
    <x v="0"/>
    <x v="0"/>
    <n v="1.0089332632685234E-2"/>
    <n v="1.7142317708333332"/>
    <n v="10.285390625"/>
    <n v="1270.8675000000001"/>
    <n v="0.16666666666666666"/>
    <x v="2"/>
    <x v="0"/>
    <n v="2023"/>
    <s v="Tue"/>
    <n v="2"/>
  </r>
  <r>
    <s v="CMP-00954"/>
    <s v="Q2_BlackFriday_CMP-00954"/>
    <d v="2023-11-20T00:00:00"/>
    <x v="0"/>
    <d v="2023-11-30T00:00:00"/>
    <x v="2"/>
    <n v="83838"/>
    <n v="971"/>
    <n v="122"/>
    <x v="1"/>
    <x v="695"/>
    <n v="1.1581860254299959E-2"/>
    <n v="1.4299485066941298"/>
    <n v="11.380983606557377"/>
    <n v="4711.5200000000004"/>
    <n v="0.12564366632337795"/>
    <x v="0"/>
    <x v="3"/>
    <n v="2023"/>
    <s v="Mon"/>
    <n v="10"/>
  </r>
  <r>
    <s v="CMP-00955"/>
    <s v="Q2_BlackFriday_CMP-00955"/>
    <d v="2023-04-16T00:00:00"/>
    <x v="4"/>
    <d v="2023-04-22T00:00:00"/>
    <x v="2"/>
    <n v="85717"/>
    <n v="2928"/>
    <n v="173"/>
    <x v="0"/>
    <x v="10"/>
    <n v="3.4158918300920472E-2"/>
    <n v="1.2403551912568305"/>
    <n v="20.992832369942196"/>
    <n v="5018.24"/>
    <n v="5.9084699453551916E-2"/>
    <x v="1"/>
    <x v="3"/>
    <n v="2023"/>
    <s v="Sun"/>
    <n v="6"/>
  </r>
  <r>
    <s v="CMP-00956"/>
    <s v="Q1_Winter_CMP-00956"/>
    <d v="2023-10-19T00:00:00"/>
    <x v="3"/>
    <d v="2023-10-27T00:00:00"/>
    <x v="4"/>
    <n v="56658"/>
    <n v="2622"/>
    <n v="282"/>
    <x v="1"/>
    <x v="696"/>
    <n v="4.6277665995975853E-2"/>
    <n v="0.82237604881769644"/>
    <n v="7.6463475177304963"/>
    <n v="11943.73"/>
    <n v="0.10755148741418764"/>
    <x v="0"/>
    <x v="2"/>
    <n v="2023"/>
    <s v="Thu"/>
    <n v="8"/>
  </r>
  <r>
    <s v="CMP-00957"/>
    <s v="Q4_BlackFriday_CMP-00957"/>
    <d v="2023-10-03T00:00:00"/>
    <x v="3"/>
    <d v="2023-10-14T00:00:00"/>
    <x v="0"/>
    <n v="39638"/>
    <n v="775"/>
    <n v="90"/>
    <x v="0"/>
    <x v="697"/>
    <n v="1.9551945103183813E-2"/>
    <n v="0.56294193548387095"/>
    <n v="4.8475555555555552"/>
    <n v="4063.7200000000003"/>
    <n v="0.11612903225806452"/>
    <x v="0"/>
    <x v="3"/>
    <n v="2023"/>
    <s v="Tue"/>
    <n v="11"/>
  </r>
  <r>
    <s v="CMP-00958"/>
    <s v="Q3_Launch_CMP-00958"/>
    <d v="2023-05-30T00:00:00"/>
    <x v="1"/>
    <d v="2023-06-27T00:00:00"/>
    <x v="4"/>
    <n v="68067"/>
    <n v="1959"/>
    <n v="139"/>
    <x v="0"/>
    <x v="698"/>
    <n v="2.8780466305258056E-2"/>
    <n v="1.0454670750382848"/>
    <n v="14.734316546762591"/>
    <n v="4901.93"/>
    <n v="7.0954568657478304E-2"/>
    <x v="1"/>
    <x v="1"/>
    <n v="2023"/>
    <s v="Tue"/>
    <n v="28"/>
  </r>
  <r>
    <s v="CMP-00959"/>
    <s v="Q2_Winter_CMP-00959"/>
    <d v="2023-09-21T00:00:00"/>
    <x v="10"/>
    <d v="2023-10-13T00:00:00"/>
    <x v="2"/>
    <n v="89869"/>
    <n v="2518"/>
    <n v="164"/>
    <x v="0"/>
    <x v="699"/>
    <n v="2.8018560348952365E-2"/>
    <n v="0.64789118347895158"/>
    <n v="9.9474999999999998"/>
    <n v="6568.61"/>
    <n v="6.5131056393963466E-2"/>
    <x v="0"/>
    <x v="2"/>
    <n v="2023"/>
    <s v="Thu"/>
    <n v="22"/>
  </r>
  <r>
    <s v="CMP-00960"/>
    <s v="Q1_Winter_CMP-00960"/>
    <d v="2023-02-18T00:00:00"/>
    <x v="6"/>
    <d v="2023-03-09T00:00:00"/>
    <x v="3"/>
    <n v="35674"/>
    <n v="1031"/>
    <n v="134"/>
    <x v="1"/>
    <x v="700"/>
    <n v="2.8900599876660875E-2"/>
    <n v="0.674713870029098"/>
    <n v="5.1912686567164181"/>
    <n v="6004.37"/>
    <n v="0.12997090203685743"/>
    <x v="2"/>
    <x v="2"/>
    <n v="2023"/>
    <s v="Sat"/>
    <n v="19"/>
  </r>
  <r>
    <s v="CMP-00961"/>
    <s v="Q2_Summer_CMP-00961"/>
    <d v="2023-07-30T00:00:00"/>
    <x v="8"/>
    <d v="2023-08-29T00:00:00"/>
    <x v="3"/>
    <n v="36854"/>
    <n v="1286"/>
    <n v="80"/>
    <x v="1"/>
    <x v="701"/>
    <n v="3.4894448363813967E-2"/>
    <n v="0.88139191290824259"/>
    <n v="14.168375000000001"/>
    <n v="2866.5299999999997"/>
    <n v="6.2208398133748059E-2"/>
    <x v="3"/>
    <x v="0"/>
    <n v="2023"/>
    <s v="Sun"/>
    <n v="30"/>
  </r>
  <r>
    <s v="CMP-00962"/>
    <s v="Q2_Winter_CMP-00962"/>
    <d v="2023-12-02T00:00:00"/>
    <x v="2"/>
    <d v="2023-12-18T00:00:00"/>
    <x v="1"/>
    <n v="47271"/>
    <n v="1360"/>
    <n v="129"/>
    <x v="1"/>
    <x v="702"/>
    <n v="2.877028199107275E-2"/>
    <n v="0.94319852941176474"/>
    <n v="9.9437984496124034"/>
    <n v="5167.25"/>
    <n v="9.4852941176470584E-2"/>
    <x v="2"/>
    <x v="2"/>
    <n v="2023"/>
    <s v="Sat"/>
    <n v="16"/>
  </r>
  <r>
    <s v="CMP-00963"/>
    <s v="Q2_Launch_CMP-00963"/>
    <d v="2023-05-08T00:00:00"/>
    <x v="1"/>
    <d v="2023-05-16T00:00:00"/>
    <x v="4"/>
    <n v="74688"/>
    <n v="2083"/>
    <n v="336"/>
    <x v="0"/>
    <x v="703"/>
    <n v="2.7889353041988002E-2"/>
    <n v="1.2949543927028324"/>
    <n v="8.027946428571429"/>
    <n v="14102.61"/>
    <n v="0.1613058089294287"/>
    <x v="1"/>
    <x v="1"/>
    <n v="2023"/>
    <s v="Mon"/>
    <n v="8"/>
  </r>
  <r>
    <s v="CMP-00964"/>
    <s v="Q1_BlackFriday_CMP-00964"/>
    <d v="2023-05-07T00:00:00"/>
    <x v="1"/>
    <d v="2023-05-30T00:00:00"/>
    <x v="3"/>
    <n v="39518"/>
    <n v="1144"/>
    <n v="222"/>
    <x v="1"/>
    <x v="704"/>
    <n v="2.8948833442988004E-2"/>
    <n v="1.5175874125874125"/>
    <n v="7.8203603603603602"/>
    <n v="9363.880000000001"/>
    <n v="0.19405594405594406"/>
    <x v="1"/>
    <x v="3"/>
    <n v="2023"/>
    <s v="Sun"/>
    <n v="23"/>
  </r>
  <r>
    <s v="CMP-00965"/>
    <s v="Q1_Summer_CMP-00965"/>
    <d v="2023-09-08T00:00:00"/>
    <x v="10"/>
    <d v="2023-09-23T00:00:00"/>
    <x v="2"/>
    <n v="11267"/>
    <n v="378"/>
    <m/>
    <x v="0"/>
    <x v="705"/>
    <n v="3.3549303275051033E-2"/>
    <n v="1.3891534391534393"/>
    <n v="0"/>
    <n v="-525.1"/>
    <n v="0"/>
    <x v="0"/>
    <x v="0"/>
    <n v="2023"/>
    <s v="Fri"/>
    <n v="15"/>
  </r>
  <r>
    <s v="CMP-00966"/>
    <s v="Q2_Launch_CMP-00966"/>
    <d v="2023-11-18T00:00:00"/>
    <x v="0"/>
    <d v="2023-12-14T00:00:00"/>
    <x v="3"/>
    <n v="91825"/>
    <n v="2890"/>
    <n v="574"/>
    <x v="0"/>
    <x v="706"/>
    <n v="3.1472910427443504E-2"/>
    <n v="0.72253979238754318"/>
    <n v="3.63787456445993"/>
    <n v="26611.86"/>
    <n v="0.19861591695501729"/>
    <x v="0"/>
    <x v="1"/>
    <n v="2023"/>
    <s v="Sat"/>
    <n v="26"/>
  </r>
  <r>
    <s v="CMP-00967"/>
    <s v="Q4_Launch_CMP-00967"/>
    <d v="2023-11-21T00:00:00"/>
    <x v="0"/>
    <d v="2023-12-14T00:00:00"/>
    <x v="4"/>
    <n v="2062"/>
    <n v="91"/>
    <n v="14"/>
    <x v="0"/>
    <x v="0"/>
    <n v="4.4131910766246361E-2"/>
    <n v="3.6168406593406592"/>
    <n v="23.509464285714284"/>
    <n v="370.86750000000001"/>
    <n v="0.15384615384615385"/>
    <x v="0"/>
    <x v="1"/>
    <n v="2023"/>
    <s v="Tue"/>
    <n v="23"/>
  </r>
  <r>
    <s v="CMP-00968"/>
    <s v="Q3_BlackFriday_CMP-00968"/>
    <d v="2023-07-26T00:00:00"/>
    <x v="8"/>
    <d v="2023-08-25T00:00:00"/>
    <x v="2"/>
    <n v="51448"/>
    <n v="616"/>
    <n v="57"/>
    <x v="1"/>
    <x v="707"/>
    <n v="1.1973254548281759E-2"/>
    <n v="1.8181493506493507"/>
    <n v="19.648771929824562"/>
    <n v="1730.02"/>
    <n v="9.2532467532467536E-2"/>
    <x v="3"/>
    <x v="3"/>
    <n v="2023"/>
    <s v="Wed"/>
    <n v="30"/>
  </r>
  <r>
    <s v="CMP-00969"/>
    <s v="Q1_Winter_CMP-00969"/>
    <d v="2023-07-08T00:00:00"/>
    <x v="8"/>
    <d v="2023-07-12T00:00:00"/>
    <x v="1"/>
    <n v="96462"/>
    <n v="4179"/>
    <n v="630"/>
    <x v="0"/>
    <x v="10"/>
    <n v="4.3322759221247745E-2"/>
    <n v="0.86905001196458476"/>
    <n v="5.7646984126984124"/>
    <n v="27868.240000000002"/>
    <n v="0.15075376884422109"/>
    <x v="3"/>
    <x v="2"/>
    <n v="2023"/>
    <s v="Sat"/>
    <n v="4"/>
  </r>
  <r>
    <s v="CMP-00970"/>
    <s v="Q4_Launch_CMP-00970"/>
    <d v="2023-10-25T00:00:00"/>
    <x v="3"/>
    <d v="2023-10-29T00:00:00"/>
    <x v="4"/>
    <n v="7229"/>
    <n v="316"/>
    <n v="49"/>
    <x v="1"/>
    <x v="708"/>
    <n v="4.3712823350394246E-2"/>
    <n v="1.8049050632911394"/>
    <n v="11.639795918367348"/>
    <n v="1879.65"/>
    <n v="0.1550632911392405"/>
    <x v="0"/>
    <x v="1"/>
    <n v="2023"/>
    <s v="Wed"/>
    <n v="4"/>
  </r>
  <r>
    <s v="CMP-00971"/>
    <s v="Q4_Launch_CMP-00971"/>
    <d v="2023-02-17T00:00:00"/>
    <x v="6"/>
    <d v="2023-02-23T00:00:00"/>
    <x v="4"/>
    <n v="57793"/>
    <n v="1236"/>
    <n v="130"/>
    <x v="0"/>
    <x v="709"/>
    <n v="2.1386673126503209E-2"/>
    <n v="1.0573220064724917"/>
    <n v="10.052692307692308"/>
    <n v="5193.1499999999996"/>
    <n v="0.10517799352750809"/>
    <x v="2"/>
    <x v="1"/>
    <n v="2023"/>
    <s v="Fri"/>
    <n v="6"/>
  </r>
  <r>
    <s v="CMP-00972"/>
    <s v="Q3_BlackFriday_CMP-00972"/>
    <d v="2023-12-07T00:00:00"/>
    <x v="2"/>
    <d v="2023-12-12T00:00:00"/>
    <x v="1"/>
    <n v="48915"/>
    <n v="1394"/>
    <n v="73"/>
    <x v="1"/>
    <x v="710"/>
    <n v="2.8498415618930798E-2"/>
    <n v="1.4215997130559541"/>
    <n v="27.146712328767123"/>
    <n v="1668.29"/>
    <n v="5.2367288378766141E-2"/>
    <x v="2"/>
    <x v="3"/>
    <n v="2023"/>
    <s v="Thu"/>
    <n v="5"/>
  </r>
  <r>
    <s v="CMP-00973"/>
    <s v="Q3_Summer_CMP-00973"/>
    <d v="2023-10-01T00:00:00"/>
    <x v="3"/>
    <d v="2023-10-06T00:00:00"/>
    <x v="2"/>
    <n v="5632"/>
    <n v="155"/>
    <m/>
    <x v="0"/>
    <x v="0"/>
    <n v="2.752130681818182E-2"/>
    <n v="2.1234354838709675"/>
    <n v="0"/>
    <n v="-329.13249999999999"/>
    <n v="0"/>
    <x v="0"/>
    <x v="0"/>
    <n v="2023"/>
    <s v="Sun"/>
    <n v="5"/>
  </r>
  <r>
    <s v="CMP-00974"/>
    <s v="Q2_Winter_CMP-00974"/>
    <d v="2023-04-19T00:00:00"/>
    <x v="4"/>
    <d v="2023-05-13T00:00:00"/>
    <x v="0"/>
    <n v="4596"/>
    <n v="86"/>
    <n v="4"/>
    <x v="1"/>
    <x v="0"/>
    <n v="1.8711923411662314E-2"/>
    <n v="3.8271220930232559"/>
    <n v="82.283124999999998"/>
    <n v="-129.13249999999999"/>
    <n v="4.6511627906976744E-2"/>
    <x v="1"/>
    <x v="2"/>
    <n v="2023"/>
    <s v="Wed"/>
    <n v="24"/>
  </r>
  <r>
    <s v="CMP-00975"/>
    <s v="Q3_Winter_CMP-00975"/>
    <d v="2023-05-26T00:00:00"/>
    <x v="1"/>
    <d v="2023-06-15T00:00:00"/>
    <x v="3"/>
    <n v="7168"/>
    <n v="185"/>
    <n v="26"/>
    <x v="1"/>
    <x v="0"/>
    <n v="2.5809151785714284E-2"/>
    <n v="1.7790945945945946"/>
    <n v="12.658942307692307"/>
    <n v="970.86750000000006"/>
    <n v="0.14054054054054055"/>
    <x v="1"/>
    <x v="2"/>
    <n v="2023"/>
    <s v="Fri"/>
    <n v="20"/>
  </r>
  <r>
    <s v="CMP-00976"/>
    <s v="Q4_Launch_CMP-00976"/>
    <d v="2023-10-17T00:00:00"/>
    <x v="3"/>
    <d v="2023-11-16T00:00:00"/>
    <x v="2"/>
    <n v="8561"/>
    <n v="100"/>
    <n v="7"/>
    <x v="0"/>
    <x v="0"/>
    <n v="1.1680878402055835E-2"/>
    <n v="3.2913250000000001"/>
    <n v="47.018928571428567"/>
    <n v="20.867500000000007"/>
    <n v="7.0000000000000007E-2"/>
    <x v="0"/>
    <x v="1"/>
    <n v="2023"/>
    <s v="Tue"/>
    <n v="30"/>
  </r>
  <r>
    <s v="CMP-00977"/>
    <s v="Q4_BlackFriday_CMP-00977"/>
    <d v="2023-12-16T00:00:00"/>
    <x v="2"/>
    <d v="2023-12-17T00:00:00"/>
    <x v="2"/>
    <n v="74794"/>
    <n v="1579"/>
    <n v="212"/>
    <x v="1"/>
    <x v="711"/>
    <n v="2.1111319089766559E-2"/>
    <n v="0.80115896136795439"/>
    <n v="5.9671226415094338"/>
    <n v="9334.9699999999993"/>
    <n v="0.13426219126029132"/>
    <x v="2"/>
    <x v="3"/>
    <n v="2023"/>
    <s v="Sat"/>
    <n v="1"/>
  </r>
  <r>
    <s v="CMP-00978"/>
    <s v="Q1_Launch_CMP-00978"/>
    <d v="2023-11-17T00:00:00"/>
    <x v="0"/>
    <d v="2023-12-02T00:00:00"/>
    <x v="3"/>
    <n v="83152"/>
    <n v="3547"/>
    <n v="445"/>
    <x v="0"/>
    <x v="712"/>
    <n v="4.265682124302482E-2"/>
    <n v="0.97251480124048495"/>
    <n v="7.75170786516854"/>
    <n v="18800.489999999998"/>
    <n v="0.12545813363405695"/>
    <x v="0"/>
    <x v="1"/>
    <n v="2023"/>
    <s v="Fri"/>
    <n v="15"/>
  </r>
  <r>
    <s v="CMP-00979"/>
    <s v="Q3_Winter_CMP-00979"/>
    <d v="2023-03-05T00:00:00"/>
    <x v="5"/>
    <d v="2023-03-21T00:00:00"/>
    <x v="4"/>
    <n v="27734"/>
    <n v="593"/>
    <n v="30"/>
    <x v="0"/>
    <x v="713"/>
    <n v="2.1381697555347228E-2"/>
    <n v="1.6871163575042158"/>
    <n v="33.348666666666666"/>
    <n v="499.53999999999996"/>
    <n v="5.0590219224283306E-2"/>
    <x v="1"/>
    <x v="2"/>
    <n v="2023"/>
    <s v="Sun"/>
    <n v="16"/>
  </r>
  <r>
    <s v="CMP-00980"/>
    <s v="Q1_BlackFriday_CMP-00980"/>
    <d v="2023-08-22T00:00:00"/>
    <x v="7"/>
    <d v="2023-09-03T00:00:00"/>
    <x v="2"/>
    <n v="7371"/>
    <n v="314"/>
    <n v="32"/>
    <x v="0"/>
    <x v="714"/>
    <n v="4.2599375932709266E-2"/>
    <n v="1.8736942675159236"/>
    <n v="18.385625000000001"/>
    <n v="1011.66"/>
    <n v="0.10191082802547771"/>
    <x v="3"/>
    <x v="3"/>
    <n v="2023"/>
    <s v="Tue"/>
    <n v="12"/>
  </r>
  <r>
    <s v="CMP-00981"/>
    <s v="Q4_BlackFriday_CMP-00981"/>
    <d v="2023-08-08T00:00:00"/>
    <x v="7"/>
    <d v="2023-09-03T00:00:00"/>
    <x v="0"/>
    <n v="27069"/>
    <n v="846"/>
    <n v="118"/>
    <x v="1"/>
    <x v="715"/>
    <n v="3.1253463371384238E-2"/>
    <n v="1.0396926713947992"/>
    <n v="7.45406779661017"/>
    <n v="5020.42"/>
    <n v="0.13947990543735225"/>
    <x v="3"/>
    <x v="3"/>
    <n v="2023"/>
    <s v="Tue"/>
    <n v="26"/>
  </r>
  <r>
    <s v="CMP-00982"/>
    <s v="Q4_Winter_CMP-00982"/>
    <d v="2023-03-09T00:00:00"/>
    <x v="5"/>
    <d v="2023-04-01T00:00:00"/>
    <x v="3"/>
    <n v="80905"/>
    <n v="3656"/>
    <m/>
    <x v="0"/>
    <x v="716"/>
    <n v="4.5188801680983867E-2"/>
    <n v="0.96045951859956236"/>
    <n v="0"/>
    <n v="-3511.44"/>
    <n v="0"/>
    <x v="1"/>
    <x v="2"/>
    <n v="2023"/>
    <s v="Thu"/>
    <n v="23"/>
  </r>
  <r>
    <s v="CMP-00983"/>
    <s v="Q2_Launch_CMP-00983"/>
    <d v="2023-05-21T00:00:00"/>
    <x v="1"/>
    <d v="2023-06-04T00:00:00"/>
    <x v="2"/>
    <n v="13910"/>
    <n v="458"/>
    <n v="83"/>
    <x v="0"/>
    <x v="717"/>
    <n v="3.2925952552120774E-2"/>
    <n v="0.79279475982532754"/>
    <n v="4.3746987951807235"/>
    <n v="3786.9"/>
    <n v="0.18122270742358079"/>
    <x v="1"/>
    <x v="1"/>
    <n v="2023"/>
    <s v="Sun"/>
    <n v="14"/>
  </r>
  <r>
    <s v="CMP-00984"/>
    <s v="Q3_Winter_CMP-00984"/>
    <d v="2023-07-04T00:00:00"/>
    <x v="8"/>
    <d v="2023-07-05T00:00:00"/>
    <x v="4"/>
    <n v="74479"/>
    <n v="833"/>
    <n v="102"/>
    <x v="0"/>
    <x v="718"/>
    <n v="1.1184360692275675E-2"/>
    <n v="1.5177310924369747"/>
    <n v="12.394803921568627"/>
    <n v="3835.73"/>
    <n v="0.12244897959183673"/>
    <x v="3"/>
    <x v="2"/>
    <n v="2023"/>
    <s v="Tue"/>
    <n v="1"/>
  </r>
  <r>
    <s v="CMP-00985"/>
    <s v="Q1_Winter_CMP-00985"/>
    <d v="2023-11-29T00:00:00"/>
    <x v="0"/>
    <d v="2023-12-22T00:00:00"/>
    <x v="3"/>
    <n v="78735"/>
    <n v="2914"/>
    <n v="464"/>
    <x v="1"/>
    <x v="719"/>
    <n v="3.7010224169683116E-2"/>
    <n v="0.98464996568291008"/>
    <n v="6.1837715517241376"/>
    <n v="20330.73"/>
    <n v="0.15923129718599863"/>
    <x v="0"/>
    <x v="2"/>
    <n v="2023"/>
    <s v="Wed"/>
    <n v="23"/>
  </r>
  <r>
    <s v="CMP-00986"/>
    <s v="Q4_BlackFriday_CMP-00986"/>
    <d v="2023-06-06T00:00:00"/>
    <x v="9"/>
    <d v="2023-07-06T00:00:00"/>
    <x v="0"/>
    <n v="82264"/>
    <n v="970"/>
    <n v="94"/>
    <x v="0"/>
    <x v="720"/>
    <n v="1.179130603909365E-2"/>
    <n v="1.9816288659793815"/>
    <n v="20.448723404255318"/>
    <n v="2777.8199999999997"/>
    <n v="9.6907216494845363E-2"/>
    <x v="3"/>
    <x v="3"/>
    <n v="2023"/>
    <s v="Tue"/>
    <n v="30"/>
  </r>
  <r>
    <s v="CMP-00987"/>
    <s v="Q2_Summer_CMP-00987"/>
    <d v="2023-08-08T00:00:00"/>
    <x v="7"/>
    <d v="2023-09-06T00:00:00"/>
    <x v="1"/>
    <n v="24275"/>
    <n v="680"/>
    <n v="68"/>
    <x v="0"/>
    <x v="721"/>
    <n v="2.8012358393408855E-2"/>
    <n v="0.98852941176470599"/>
    <n v="9.8852941176470601"/>
    <n v="2727.8"/>
    <n v="0.1"/>
    <x v="3"/>
    <x v="0"/>
    <n v="2023"/>
    <s v="Tue"/>
    <n v="29"/>
  </r>
  <r>
    <s v="CMP-00988"/>
    <s v="Q3_BlackFriday_CMP-00988"/>
    <d v="2023-01-01T00:00:00"/>
    <x v="11"/>
    <d v="2023-01-24T00:00:00"/>
    <x v="3"/>
    <n v="73274"/>
    <n v="3456"/>
    <n v="273"/>
    <x v="1"/>
    <x v="10"/>
    <n v="4.7165433851024917E-2"/>
    <n v="1.0508564814814814"/>
    <n v="13.303150183150182"/>
    <n v="10018.24"/>
    <n v="7.8993055555555552E-2"/>
    <x v="2"/>
    <x v="3"/>
    <n v="2023"/>
    <s v="Sun"/>
    <n v="23"/>
  </r>
  <r>
    <s v="CMP-00989"/>
    <s v="Q1_BlackFriday_CMP-00989"/>
    <d v="2023-10-31T00:00:00"/>
    <x v="3"/>
    <d v="2023-11-12T00:00:00"/>
    <x v="0"/>
    <n v="82449"/>
    <n v="1369"/>
    <n v="183"/>
    <x v="0"/>
    <x v="722"/>
    <n v="1.6604203810840643E-2"/>
    <n v="1.4050036523009497"/>
    <n v="10.510655737704917"/>
    <n v="7226.55"/>
    <n v="0.13367421475529584"/>
    <x v="0"/>
    <x v="3"/>
    <n v="2023"/>
    <s v="Tue"/>
    <n v="12"/>
  </r>
  <r>
    <s v="CMP-00990"/>
    <s v="Q3_Summer_CMP-00990"/>
    <d v="2023-05-01T00:00:00"/>
    <x v="1"/>
    <d v="2023-05-31T00:00:00"/>
    <x v="2"/>
    <n v="61004"/>
    <n v="1561"/>
    <n v="151"/>
    <x v="1"/>
    <x v="723"/>
    <n v="2.5588486000917971E-2"/>
    <n v="1.7025240230621397"/>
    <n v="17.60026490066225"/>
    <n v="4892.3600000000006"/>
    <n v="9.673286354900705E-2"/>
    <x v="1"/>
    <x v="0"/>
    <n v="2023"/>
    <s v="Mon"/>
    <n v="30"/>
  </r>
  <r>
    <s v="CMP-00991"/>
    <s v="Q3_Summer_CMP-00991"/>
    <d v="2023-06-25T00:00:00"/>
    <x v="9"/>
    <d v="2023-07-13T00:00:00"/>
    <x v="2"/>
    <n v="63981"/>
    <n v="2507"/>
    <n v="157"/>
    <x v="0"/>
    <x v="724"/>
    <n v="3.9183507603819882E-2"/>
    <n v="1.2042760271240527"/>
    <n v="19.230063694267514"/>
    <n v="4830.88"/>
    <n v="6.2624650977263663E-2"/>
    <x v="3"/>
    <x v="0"/>
    <n v="2023"/>
    <s v="Sun"/>
    <n v="18"/>
  </r>
  <r>
    <s v="CMP-00992"/>
    <s v="Q3_Launch_CMP-00992"/>
    <d v="2023-08-05T00:00:00"/>
    <x v="7"/>
    <d v="2023-08-09T00:00:00"/>
    <x v="0"/>
    <n v="85659"/>
    <n v="3879"/>
    <n v="592"/>
    <x v="0"/>
    <x v="10"/>
    <n v="4.5284208314362764E-2"/>
    <n v="0.93626192317607626"/>
    <n v="6.1347297297297292"/>
    <n v="25968.240000000002"/>
    <n v="0.15261665377674657"/>
    <x v="3"/>
    <x v="1"/>
    <n v="2023"/>
    <s v="Sat"/>
    <n v="4"/>
  </r>
  <r>
    <s v="CMP-00993"/>
    <s v="Q4_Summer_CMP-00993"/>
    <d v="2023-04-28T00:00:00"/>
    <x v="4"/>
    <d v="2023-05-12T00:00:00"/>
    <x v="2"/>
    <n v="55553"/>
    <n v="2046"/>
    <n v="319"/>
    <x v="1"/>
    <x v="10"/>
    <n v="3.6829694165931633E-2"/>
    <n v="1.7750537634408601"/>
    <n v="11.384827586206896"/>
    <n v="12318.24"/>
    <n v="0.15591397849462366"/>
    <x v="1"/>
    <x v="0"/>
    <n v="2023"/>
    <s v="Fri"/>
    <n v="14"/>
  </r>
  <r>
    <s v="CMP-00994"/>
    <s v="Q3_BlackFriday_CMP-00994"/>
    <d v="2023-02-22T00:00:00"/>
    <x v="6"/>
    <d v="2023-03-10T00:00:00"/>
    <x v="0"/>
    <n v="49447"/>
    <n v="1005"/>
    <n v="104"/>
    <x v="0"/>
    <x v="725"/>
    <n v="2.032479220175137E-2"/>
    <n v="0.51574129353233833"/>
    <n v="4.9838461538461543"/>
    <n v="4681.68"/>
    <n v="0.10348258706467661"/>
    <x v="2"/>
    <x v="3"/>
    <n v="2023"/>
    <s v="Wed"/>
    <n v="16"/>
  </r>
  <r>
    <s v="CMP-00995"/>
    <s v="Q1_Summer_CMP-00995"/>
    <d v="2023-06-03T00:00:00"/>
    <x v="9"/>
    <d v="2023-06-05T00:00:00"/>
    <x v="0"/>
    <n v="35529"/>
    <n v="1314"/>
    <n v="80"/>
    <x v="0"/>
    <x v="726"/>
    <n v="3.6983872329646207E-2"/>
    <n v="1.8425951293759513"/>
    <n v="30.264625000000002"/>
    <n v="1578.83"/>
    <n v="6.0882800608828003E-2"/>
    <x v="3"/>
    <x v="0"/>
    <n v="2023"/>
    <s v="Sat"/>
    <n v="2"/>
  </r>
  <r>
    <s v="CMP-00996"/>
    <s v="Q4_Launch_CMP-00996"/>
    <d v="2023-03-10T00:00:00"/>
    <x v="5"/>
    <d v="2023-03-19T00:00:00"/>
    <x v="0"/>
    <n v="76703"/>
    <n v="1677"/>
    <n v="191"/>
    <x v="0"/>
    <x v="727"/>
    <n v="2.1863551621188221E-2"/>
    <n v="0.72370900417412054"/>
    <n v="6.3542408376963353"/>
    <n v="8336.34"/>
    <n v="0.1138938580799046"/>
    <x v="1"/>
    <x v="1"/>
    <n v="2023"/>
    <s v="Fri"/>
    <n v="9"/>
  </r>
  <r>
    <s v="CMP-00997"/>
    <s v="Q4_Winter_CMP-00997"/>
    <d v="2023-02-05T00:00:00"/>
    <x v="6"/>
    <d v="2023-05-16T00:00:00"/>
    <x v="3"/>
    <n v="77090"/>
    <n v="2986"/>
    <n v="347"/>
    <x v="1"/>
    <x v="10"/>
    <n v="3.8733947334284605E-2"/>
    <n v="1.2162625586068319"/>
    <n v="10.466167146974064"/>
    <n v="13718.24"/>
    <n v="0.11620897521768252"/>
    <x v="2"/>
    <x v="2"/>
    <n v="2023"/>
    <s v="Sun"/>
    <n v="100"/>
  </r>
  <r>
    <s v="CMP-00998"/>
    <s v="Q4_Summer_CMP-00998"/>
    <d v="2023-11-29T00:00:00"/>
    <x v="0"/>
    <d v="2023-12-17T00:00:00"/>
    <x v="0"/>
    <n v="18260"/>
    <n v="879"/>
    <n v="132"/>
    <x v="0"/>
    <x v="728"/>
    <n v="4.8138006571741512E-2"/>
    <n v="1.4268941979522185"/>
    <n v="9.5018181818181819"/>
    <n v="5345.76"/>
    <n v="0.15017064846416384"/>
    <x v="0"/>
    <x v="0"/>
    <n v="2023"/>
    <s v="Wed"/>
    <n v="18"/>
  </r>
  <r>
    <s v="CMP-00999"/>
    <s v="Q1_BlackFriday_CMP-00999"/>
    <d v="2023-04-20T00:00:00"/>
    <x v="4"/>
    <d v="2023-05-13T00:00:00"/>
    <x v="3"/>
    <n v="4812"/>
    <n v="186"/>
    <n v="18"/>
    <x v="0"/>
    <x v="0"/>
    <n v="3.8653366583541147E-2"/>
    <n v="1.7695295698924731"/>
    <n v="18.285138888888888"/>
    <n v="570.86750000000006"/>
    <n v="9.6774193548387094E-2"/>
    <x v="1"/>
    <x v="3"/>
    <n v="2023"/>
    <s v="Thu"/>
    <n v="23"/>
  </r>
  <r>
    <s v="CMP-01000"/>
    <s v="Q1_Winter_CMP-01000"/>
    <d v="2023-07-30T00:00:00"/>
    <x v="8"/>
    <d v="2023-08-13T00:00:00"/>
    <x v="2"/>
    <n v="29024"/>
    <n v="1292"/>
    <n v="196"/>
    <x v="0"/>
    <x v="729"/>
    <n v="4.4514884233737596E-2"/>
    <n v="1.8108126934984521"/>
    <n v="11.936581632653063"/>
    <n v="7460.43"/>
    <n v="0.15170278637770898"/>
    <x v="3"/>
    <x v="2"/>
    <n v="2023"/>
    <s v="Sun"/>
    <n v="14"/>
  </r>
  <r>
    <s v="CMP-01001"/>
    <s v="Q2_Winter_CMP-01001"/>
    <d v="2023-04-22T00:00:00"/>
    <x v="4"/>
    <d v="2023-04-25T00:00:00"/>
    <x v="1"/>
    <n v="59656"/>
    <n v="601"/>
    <n v="108"/>
    <x v="1"/>
    <x v="0"/>
    <n v="1.0074426713155425E-2"/>
    <n v="0.54764143094841933"/>
    <n v="3.047523148148148"/>
    <n v="5070.8675000000003"/>
    <n v="0.17970049916805325"/>
    <x v="1"/>
    <x v="2"/>
    <n v="2023"/>
    <s v="Sat"/>
    <n v="3"/>
  </r>
  <r>
    <s v="CMP-01002"/>
    <s v="Q1_Launch_CMP-01002"/>
    <d v="2023-02-21T00:00:00"/>
    <x v="6"/>
    <d v="2023-02-24T00:00:00"/>
    <x v="0"/>
    <n v="28285"/>
    <n v="1094"/>
    <n v="93"/>
    <x v="1"/>
    <x v="730"/>
    <n v="3.8677744387484531E-2"/>
    <n v="0.84003656307129804"/>
    <n v="9.8817204301075261"/>
    <n v="3731"/>
    <n v="8.5009140767824495E-2"/>
    <x v="2"/>
    <x v="1"/>
    <n v="2023"/>
    <s v="Tue"/>
    <n v="3"/>
  </r>
  <r>
    <s v="CMP-01003"/>
    <s v="Q1_Summer_CMP-01003"/>
    <d v="2023-07-16T00:00:00"/>
    <x v="8"/>
    <d v="2023-07-19T00:00:00"/>
    <x v="3"/>
    <n v="93436"/>
    <n v="4034"/>
    <n v="794"/>
    <x v="0"/>
    <x v="10"/>
    <n v="4.3173937240464061E-2"/>
    <n v="0.9002875557759048"/>
    <n v="4.5740050377833752"/>
    <n v="36068.239999999998"/>
    <n v="0.19682697074863659"/>
    <x v="3"/>
    <x v="0"/>
    <n v="2023"/>
    <s v="Sun"/>
    <n v="3"/>
  </r>
  <r>
    <s v="CMP-01004"/>
    <s v="Q4_Summer_CMP-01004"/>
    <d v="2023-03-13T00:00:00"/>
    <x v="5"/>
    <d v="2023-03-22T00:00:00"/>
    <x v="4"/>
    <n v="2605"/>
    <n v="30"/>
    <n v="3"/>
    <x v="1"/>
    <x v="0"/>
    <n v="1.1516314779270634E-2"/>
    <n v="10.971083333333333"/>
    <n v="109.71083333333333"/>
    <n v="-179.13249999999999"/>
    <n v="0.1"/>
    <x v="1"/>
    <x v="0"/>
    <n v="2023"/>
    <s v="Mon"/>
    <n v="9"/>
  </r>
  <r>
    <s v="CMP-01005"/>
    <s v="Q3_Summer_CMP-01005"/>
    <d v="2023-05-08T00:00:00"/>
    <x v="1"/>
    <d v="2023-06-06T00:00:00"/>
    <x v="1"/>
    <n v="72158"/>
    <n v="3237"/>
    <n v="291"/>
    <x v="0"/>
    <x v="10"/>
    <n v="4.4859890795199427E-2"/>
    <n v="1.1219524250849551"/>
    <n v="12.480274914089346"/>
    <n v="10918.24"/>
    <n v="8.989805375347544E-2"/>
    <x v="1"/>
    <x v="0"/>
    <n v="2023"/>
    <s v="Mon"/>
    <n v="29"/>
  </r>
  <r>
    <s v="CMP-01006"/>
    <s v="Q3_Winter_CMP-01006"/>
    <d v="2023-11-08T00:00:00"/>
    <x v="0"/>
    <d v="2023-11-30T00:00:00"/>
    <x v="0"/>
    <n v="73303"/>
    <n v="1485"/>
    <n v="168"/>
    <x v="0"/>
    <x v="731"/>
    <n v="2.025837960247193E-2"/>
    <n v="0.53616835016835018"/>
    <n v="4.7393452380952379"/>
    <n v="7603.79"/>
    <n v="0.11313131313131314"/>
    <x v="0"/>
    <x v="2"/>
    <n v="2023"/>
    <s v="Wed"/>
    <n v="22"/>
  </r>
  <r>
    <s v="CMP-01007"/>
    <s v="Q1_BlackFriday_CMP-01007"/>
    <d v="2023-01-14T00:00:00"/>
    <x v="11"/>
    <d v="2023-01-26T00:00:00"/>
    <x v="4"/>
    <n v="28139"/>
    <n v="1030"/>
    <n v="66"/>
    <x v="0"/>
    <x v="732"/>
    <n v="3.6604001563666083E-2"/>
    <n v="0.6746893203883495"/>
    <n v="10.529242424242424"/>
    <n v="2605.0700000000002"/>
    <n v="6.4077669902912623E-2"/>
    <x v="2"/>
    <x v="3"/>
    <n v="2023"/>
    <s v="Sat"/>
    <n v="12"/>
  </r>
  <r>
    <s v="CMP-01008"/>
    <s v="Q3_Winter_CMP-01008"/>
    <d v="2023-06-04T00:00:00"/>
    <x v="9"/>
    <d v="2023-06-20T00:00:00"/>
    <x v="1"/>
    <n v="78149"/>
    <n v="3283"/>
    <n v="226"/>
    <x v="0"/>
    <x v="733"/>
    <n v="4.2009494683233312E-2"/>
    <n v="0.69064575083764845"/>
    <n v="10.032699115044247"/>
    <n v="9032.61"/>
    <n v="6.8839476088943044E-2"/>
    <x v="3"/>
    <x v="2"/>
    <n v="2023"/>
    <s v="Sun"/>
    <n v="16"/>
  </r>
  <r>
    <s v="CMP-01009"/>
    <s v="Q3_Summer_CMP-01009"/>
    <d v="2023-04-07T00:00:00"/>
    <x v="4"/>
    <d v="2023-04-20T00:00:00"/>
    <x v="1"/>
    <n v="57138"/>
    <n v="2085"/>
    <m/>
    <x v="0"/>
    <x v="734"/>
    <n v="3.6490601701144598E-2"/>
    <n v="0.7839232613908873"/>
    <n v="0"/>
    <n v="-1634.48"/>
    <n v="0"/>
    <x v="1"/>
    <x v="0"/>
    <n v="2023"/>
    <s v="Fri"/>
    <n v="13"/>
  </r>
  <r>
    <s v="CMP-01010"/>
    <s v="Q4_Launch_CMP-01010"/>
    <d v="2023-01-28T00:00:00"/>
    <x v="11"/>
    <d v="2023-02-14T00:00:00"/>
    <x v="4"/>
    <n v="77125"/>
    <n v="1055"/>
    <n v="173"/>
    <x v="1"/>
    <x v="735"/>
    <n v="1.3679092382495948E-2"/>
    <n v="1.1889952606635072"/>
    <n v="7.2508092485549138"/>
    <n v="7395.61"/>
    <n v="0.16398104265402844"/>
    <x v="2"/>
    <x v="1"/>
    <n v="2023"/>
    <s v="Sat"/>
    <n v="17"/>
  </r>
  <r>
    <s v="CMP-01011"/>
    <s v="Q1_Summer_CMP-01011"/>
    <d v="2023-05-03T00:00:00"/>
    <x v="1"/>
    <d v="2023-06-02T00:00:00"/>
    <x v="0"/>
    <n v="14918"/>
    <n v="505"/>
    <n v="93"/>
    <x v="1"/>
    <x v="736"/>
    <n v="3.3851722751039016E-2"/>
    <n v="1.6281980198019803"/>
    <n v="8.8412903225806456"/>
    <n v="3827.76"/>
    <n v="0.18415841584158416"/>
    <x v="1"/>
    <x v="0"/>
    <n v="2023"/>
    <s v="Wed"/>
    <n v="30"/>
  </r>
  <r>
    <s v="CMP-01012"/>
    <s v="Q2_Winter_CMP-01012"/>
    <d v="2023-09-13T00:00:00"/>
    <x v="10"/>
    <d v="2023-09-21T00:00:00"/>
    <x v="3"/>
    <n v="86655"/>
    <n v="2771"/>
    <n v="414"/>
    <x v="0"/>
    <x v="10"/>
    <n v="3.1977381570596042E-2"/>
    <n v="1.3106315409599423"/>
    <n v="8.7723671497584537"/>
    <n v="17068.240000000002"/>
    <n v="0.14940454709491158"/>
    <x v="0"/>
    <x v="2"/>
    <n v="2023"/>
    <s v="Wed"/>
    <n v="8"/>
  </r>
  <r>
    <s v="CMP-01013"/>
    <s v="Q3_Summer_CMP-01013"/>
    <d v="2023-01-07T00:00:00"/>
    <x v="11"/>
    <d v="2023-02-06T00:00:00"/>
    <x v="2"/>
    <n v="28446"/>
    <n v="1308"/>
    <n v="86"/>
    <x v="1"/>
    <x v="737"/>
    <n v="4.5981860367011178E-2"/>
    <n v="1.7530581039755351"/>
    <n v="26.662790697674417"/>
    <n v="2007"/>
    <n v="6.5749235474006115E-2"/>
    <x v="2"/>
    <x v="0"/>
    <n v="2023"/>
    <s v="Sat"/>
    <n v="30"/>
  </r>
  <r>
    <s v="CMP-01014"/>
    <s v="Q2_Launch_CMP-01014"/>
    <d v="2023-03-09T00:00:00"/>
    <x v="5"/>
    <d v="2023-04-08T00:00:00"/>
    <x v="4"/>
    <n v="14046"/>
    <n v="367"/>
    <n v="55"/>
    <x v="0"/>
    <x v="0"/>
    <n v="2.6128435141677345E-2"/>
    <n v="0.89681880108991818"/>
    <n v="5.9842272727272725"/>
    <n v="2420.8674999999998"/>
    <n v="0.14986376021798364"/>
    <x v="1"/>
    <x v="1"/>
    <n v="2023"/>
    <s v="Thu"/>
    <n v="30"/>
  </r>
  <r>
    <s v="CMP-01015"/>
    <s v="Q1_BlackFriday_CMP-01015"/>
    <d v="2023-08-04T00:00:00"/>
    <x v="7"/>
    <d v="2023-09-03T00:00:00"/>
    <x v="3"/>
    <n v="25818"/>
    <n v="589"/>
    <n v="85"/>
    <x v="1"/>
    <x v="738"/>
    <n v="2.2813540940429158E-2"/>
    <n v="1.1617317487266554"/>
    <n v="8.0501176470588227"/>
    <n v="3565.74"/>
    <n v="0.14431239388794567"/>
    <x v="3"/>
    <x v="3"/>
    <n v="2023"/>
    <s v="Fri"/>
    <n v="30"/>
  </r>
  <r>
    <s v="CMP-01016"/>
    <s v="Q2_Launch_CMP-01016"/>
    <d v="2023-08-30T00:00:00"/>
    <x v="7"/>
    <d v="2023-09-04T00:00:00"/>
    <x v="0"/>
    <n v="5324"/>
    <n v="212"/>
    <n v="36"/>
    <x v="0"/>
    <x v="0"/>
    <n v="3.9819684447783624E-2"/>
    <n v="1.5525117924528302"/>
    <n v="9.1425694444444439"/>
    <n v="1470.8675000000001"/>
    <n v="0.16981132075471697"/>
    <x v="3"/>
    <x v="1"/>
    <n v="2023"/>
    <s v="Wed"/>
    <n v="5"/>
  </r>
  <r>
    <s v="CMP-01017"/>
    <s v="Q2_Summer_CMP-01017"/>
    <d v="2023-01-09T00:00:00"/>
    <x v="11"/>
    <d v="2023-09-05T00:00:00"/>
    <x v="2"/>
    <n v="77323"/>
    <n v="2049"/>
    <m/>
    <x v="0"/>
    <x v="739"/>
    <n v="2.649923050062724E-2"/>
    <n v="0.89670571010248901"/>
    <n v="0"/>
    <n v="-1837.35"/>
    <n v="0"/>
    <x v="2"/>
    <x v="0"/>
    <n v="2023"/>
    <s v="Mon"/>
    <n v="239"/>
  </r>
  <r>
    <s v="CMP-01018"/>
    <s v="Q3_BlackFriday_CMP-01018"/>
    <d v="2023-04-21T00:00:00"/>
    <x v="4"/>
    <d v="2023-04-22T00:00:00"/>
    <x v="1"/>
    <n v="10111"/>
    <n v="362"/>
    <n v="65"/>
    <x v="1"/>
    <x v="740"/>
    <n v="3.580259123726634E-2"/>
    <n v="1.2553314917127072"/>
    <n v="6.9912307692307696"/>
    <n v="2795.57"/>
    <n v="0.17955801104972377"/>
    <x v="1"/>
    <x v="3"/>
    <n v="2023"/>
    <s v="Fri"/>
    <n v="1"/>
  </r>
  <r>
    <s v="CMP-01019"/>
    <s v="Q3_Summer_CMP-01019"/>
    <d v="2023-01-31T00:00:00"/>
    <x v="11"/>
    <d v="2023-02-06T00:00:00"/>
    <x v="1"/>
    <n v="39110"/>
    <n v="1402"/>
    <n v="157"/>
    <x v="0"/>
    <x v="741"/>
    <n v="3.5847609307082591E-2"/>
    <n v="0.60216119828815984"/>
    <n v="5.3772611464968154"/>
    <n v="7005.77"/>
    <n v="0.11198288159771755"/>
    <x v="2"/>
    <x v="0"/>
    <n v="2023"/>
    <s v="Tue"/>
    <n v="6"/>
  </r>
  <r>
    <s v="CMP-01020"/>
    <s v="Q3_Launch_CMP-01020"/>
    <d v="2023-05-27T00:00:00"/>
    <x v="1"/>
    <d v="2023-05-30T00:00:00"/>
    <x v="0"/>
    <n v="17389"/>
    <n v="791"/>
    <n v="122"/>
    <x v="1"/>
    <x v="742"/>
    <n v="4.5488527229857953E-2"/>
    <n v="0.82725663716814157"/>
    <n v="5.3636065573770493"/>
    <n v="5445.64"/>
    <n v="0.15423514538558786"/>
    <x v="1"/>
    <x v="1"/>
    <n v="2023"/>
    <s v="Sat"/>
    <n v="3"/>
  </r>
  <r>
    <s v="CMP-01021"/>
    <s v="Q1_Launch_CMP-01021"/>
    <d v="2023-08-01T00:00:00"/>
    <x v="7"/>
    <d v="2023-08-20T00:00:00"/>
    <x v="0"/>
    <n v="42427"/>
    <n v="1440"/>
    <m/>
    <x v="0"/>
    <x v="743"/>
    <n v="3.394065100054211E-2"/>
    <n v="1.9030694444444445"/>
    <n v="0"/>
    <n v="-2740.42"/>
    <n v="0"/>
    <x v="3"/>
    <x v="1"/>
    <n v="2023"/>
    <s v="Tue"/>
    <n v="19"/>
  </r>
  <r>
    <s v="CMP-01022"/>
    <s v="Q1_Summer_CMP-01022"/>
    <d v="2023-11-24T00:00:00"/>
    <x v="0"/>
    <d v="2023-12-24T00:00:00"/>
    <x v="2"/>
    <n v="80579"/>
    <n v="2424"/>
    <n v="484"/>
    <x v="0"/>
    <x v="744"/>
    <n v="3.0082279502103525E-2"/>
    <n v="1.1991749174917492"/>
    <n v="6.0057851239669429"/>
    <n v="21293.200000000001"/>
    <n v="0.19966996699669967"/>
    <x v="0"/>
    <x v="0"/>
    <n v="2023"/>
    <s v="Fri"/>
    <n v="30"/>
  </r>
  <r>
    <s v="CMP-01023"/>
    <s v="Q1_Winter_CMP-01023"/>
    <d v="2023-05-23T00:00:00"/>
    <x v="1"/>
    <d v="2023-06-14T00:00:00"/>
    <x v="3"/>
    <n v="29746"/>
    <n v="462"/>
    <n v="35"/>
    <x v="0"/>
    <x v="745"/>
    <n v="1.5531500033617966E-2"/>
    <n v="1.168073593073593"/>
    <n v="15.418571428571427"/>
    <n v="1210.3499999999999"/>
    <n v="7.575757575757576E-2"/>
    <x v="1"/>
    <x v="2"/>
    <n v="2023"/>
    <s v="Tue"/>
    <n v="22"/>
  </r>
  <r>
    <s v="CMP-01024"/>
    <s v="Q1_Winter_CMP-01024"/>
    <d v="2023-02-10T00:00:00"/>
    <x v="6"/>
    <d v="2023-02-17T00:00:00"/>
    <x v="0"/>
    <n v="88886"/>
    <n v="1300"/>
    <n v="66"/>
    <x v="0"/>
    <x v="746"/>
    <n v="1.4625475327948159E-2"/>
    <n v="0.52185384615384611"/>
    <n v="10.278939393939394"/>
    <n v="2621.59"/>
    <n v="5.0769230769230768E-2"/>
    <x v="2"/>
    <x v="2"/>
    <n v="2023"/>
    <s v="Fri"/>
    <n v="7"/>
  </r>
  <r>
    <s v="CMP-01025"/>
    <s v="Q3_Summer_CMP-01025"/>
    <d v="2023-03-21T00:00:00"/>
    <x v="5"/>
    <d v="2023-04-05T00:00:00"/>
    <x v="0"/>
    <n v="1117"/>
    <n v="18"/>
    <n v="1"/>
    <x v="1"/>
    <x v="0"/>
    <n v="1.611459265890779E-2"/>
    <n v="18.285138888888888"/>
    <n v="329.13249999999999"/>
    <n v="-279.13249999999999"/>
    <n v="5.5555555555555552E-2"/>
    <x v="1"/>
    <x v="0"/>
    <n v="2023"/>
    <s v="Tue"/>
    <n v="15"/>
  </r>
  <r>
    <s v="CMP-01026"/>
    <s v="Q2_Summer_CMP-01026"/>
    <d v="2023-11-21T00:00:00"/>
    <x v="0"/>
    <d v="2023-12-13T00:00:00"/>
    <x v="4"/>
    <n v="85471"/>
    <n v="1442"/>
    <n v="239"/>
    <x v="1"/>
    <x v="747"/>
    <n v="1.6871219477951584E-2"/>
    <n v="1.7994382801664355"/>
    <n v="10.856861924686193"/>
    <n v="9355.2099999999991"/>
    <n v="0.16574202496532595"/>
    <x v="0"/>
    <x v="0"/>
    <n v="2023"/>
    <s v="Tue"/>
    <n v="22"/>
  </r>
  <r>
    <s v="CMP-01027"/>
    <s v="Q2_BlackFriday_CMP-01027"/>
    <d v="2023-11-26T00:00:00"/>
    <x v="0"/>
    <d v="2023-12-14T00:00:00"/>
    <x v="2"/>
    <n v="14234"/>
    <n v="505"/>
    <n v="59"/>
    <x v="0"/>
    <x v="748"/>
    <n v="3.54784319235633E-2"/>
    <n v="0.74695049504950495"/>
    <n v="6.3933898305084744"/>
    <n v="2572.79"/>
    <n v="0.11683168316831684"/>
    <x v="0"/>
    <x v="3"/>
    <n v="2023"/>
    <s v="Sun"/>
    <n v="18"/>
  </r>
  <r>
    <s v="CMP-01028"/>
    <s v="Q4_Summer_CMP-01028"/>
    <d v="2023-12-24T00:00:00"/>
    <x v="2"/>
    <d v="2024-01-05T00:00:00"/>
    <x v="0"/>
    <n v="54441"/>
    <n v="2158"/>
    <n v="252"/>
    <x v="0"/>
    <x v="749"/>
    <n v="3.963924248268768E-2"/>
    <n v="1.1226876737720113"/>
    <n v="9.614126984126985"/>
    <n v="10177.24"/>
    <n v="0.11677479147358666"/>
    <x v="2"/>
    <x v="0"/>
    <n v="2023"/>
    <s v="Sun"/>
    <n v="12"/>
  </r>
  <r>
    <s v="CMP-01029"/>
    <s v="Q2_BlackFriday_CMP-01029"/>
    <d v="2023-03-05T00:00:00"/>
    <x v="5"/>
    <d v="2023-04-04T00:00:00"/>
    <x v="0"/>
    <n v="1846"/>
    <n v="57"/>
    <m/>
    <x v="0"/>
    <x v="0"/>
    <n v="3.0877573131094259E-2"/>
    <n v="5.7742543859649125"/>
    <n v="0"/>
    <n v="-329.13249999999999"/>
    <n v="0"/>
    <x v="1"/>
    <x v="3"/>
    <n v="2023"/>
    <s v="Sun"/>
    <n v="30"/>
  </r>
  <r>
    <s v="CMP-01030"/>
    <s v="Q2_Winter_CMP-01030"/>
    <d v="2023-02-14T00:00:00"/>
    <x v="6"/>
    <d v="2023-02-23T00:00:00"/>
    <x v="1"/>
    <n v="11954"/>
    <n v="515"/>
    <n v="96"/>
    <x v="0"/>
    <x v="750"/>
    <n v="4.3081813618872346E-2"/>
    <n v="1.2174951456310679"/>
    <n v="6.5313541666666666"/>
    <n v="4172.99"/>
    <n v="0.18640776699029127"/>
    <x v="2"/>
    <x v="2"/>
    <n v="2023"/>
    <s v="Tue"/>
    <n v="9"/>
  </r>
  <r>
    <s v="CMP-01031"/>
    <s v="Q3_Summer_CMP-01031"/>
    <d v="2023-11-10T00:00:00"/>
    <x v="0"/>
    <d v="2023-11-26T00:00:00"/>
    <x v="0"/>
    <n v="80239"/>
    <n v="3983"/>
    <n v="385"/>
    <x v="1"/>
    <x v="751"/>
    <n v="4.9639202881391842E-2"/>
    <n v="0.53153150891287981"/>
    <n v="5.4989350649350657"/>
    <n v="17132.91"/>
    <n v="9.6660808435852369E-2"/>
    <x v="0"/>
    <x v="0"/>
    <n v="2023"/>
    <s v="Fri"/>
    <n v="16"/>
  </r>
  <r>
    <s v="CMP-01032"/>
    <s v="Q4_BlackFriday_CMP-01032"/>
    <d v="2023-12-03T00:00:00"/>
    <x v="2"/>
    <d v="2023-12-06T00:00:00"/>
    <x v="1"/>
    <n v="47514"/>
    <n v="2033"/>
    <n v="165"/>
    <x v="0"/>
    <x v="752"/>
    <n v="4.2787388980090081E-2"/>
    <n v="1.7294146581406789"/>
    <n v="21.308484848484849"/>
    <n v="4734.1000000000004"/>
    <n v="8.1160846040334481E-2"/>
    <x v="2"/>
    <x v="3"/>
    <n v="2023"/>
    <s v="Sun"/>
    <n v="3"/>
  </r>
  <r>
    <s v="CMP-01033"/>
    <s v="Q2_BlackFriday_CMP-01033"/>
    <d v="2023-12-29T00:00:00"/>
    <x v="2"/>
    <d v="2024-01-24T00:00:00"/>
    <x v="1"/>
    <n v="89236"/>
    <n v="3372"/>
    <n v="597"/>
    <x v="1"/>
    <x v="10"/>
    <n v="3.7787440046617958E-2"/>
    <n v="1.0770344009489916"/>
    <n v="6.0833500837520935"/>
    <n v="26218.240000000002"/>
    <n v="0.17704626334519574"/>
    <x v="2"/>
    <x v="3"/>
    <n v="2023"/>
    <s v="Fri"/>
    <n v="26"/>
  </r>
  <r>
    <s v="CMP-01034"/>
    <s v="Q2_BlackFriday_CMP-01034"/>
    <d v="2023-09-12T00:00:00"/>
    <x v="10"/>
    <d v="2023-10-04T00:00:00"/>
    <x v="4"/>
    <n v="98579"/>
    <n v="3085"/>
    <n v="573"/>
    <x v="0"/>
    <x v="10"/>
    <n v="3.1294697653658485E-2"/>
    <n v="1.1772317666126417"/>
    <n v="6.3381500872600345"/>
    <n v="25018.240000000002"/>
    <n v="0.18573743922204214"/>
    <x v="0"/>
    <x v="3"/>
    <n v="2023"/>
    <s v="Tue"/>
    <n v="22"/>
  </r>
  <r>
    <s v="CMP-01035"/>
    <s v="Q4_Winter_CMP-01035"/>
    <d v="2023-05-13T00:00:00"/>
    <x v="1"/>
    <d v="2023-05-19T00:00:00"/>
    <x v="1"/>
    <n v="7469"/>
    <n v="208"/>
    <n v="27"/>
    <x v="1"/>
    <x v="0"/>
    <n v="2.7848440219574239E-2"/>
    <n v="1.5823677884615384"/>
    <n v="12.190092592592592"/>
    <n v="1020.8675000000001"/>
    <n v="0.12980769230769232"/>
    <x v="1"/>
    <x v="2"/>
    <n v="2023"/>
    <s v="Sat"/>
    <n v="6"/>
  </r>
  <r>
    <s v="CMP-01036"/>
    <s v="Q2_BlackFriday_CMP-01036"/>
    <d v="2023-05-18T00:00:00"/>
    <x v="1"/>
    <d v="2023-06-06T00:00:00"/>
    <x v="1"/>
    <n v="31105"/>
    <n v="416"/>
    <n v="60"/>
    <x v="1"/>
    <x v="753"/>
    <n v="1.3374055618067834E-2"/>
    <n v="1.7558653846153847"/>
    <n v="12.174000000000001"/>
    <n v="2269.56"/>
    <n v="0.14423076923076922"/>
    <x v="1"/>
    <x v="3"/>
    <n v="2023"/>
    <s v="Thu"/>
    <n v="19"/>
  </r>
  <r>
    <s v="CMP-01037"/>
    <s v="Q2_Winter_CMP-01037"/>
    <d v="2023-01-16T00:00:00"/>
    <x v="11"/>
    <d v="2023-01-30T00:00:00"/>
    <x v="2"/>
    <n v="43101"/>
    <n v="1119"/>
    <n v="99"/>
    <x v="0"/>
    <x v="754"/>
    <n v="2.5962274657200531E-2"/>
    <n v="1.3144950848972297"/>
    <n v="14.857777777777779"/>
    <n v="3479.08"/>
    <n v="8.8471849865951746E-2"/>
    <x v="2"/>
    <x v="2"/>
    <n v="2023"/>
    <s v="Mon"/>
    <n v="14"/>
  </r>
  <r>
    <s v="CMP-01038"/>
    <s v="Q3_BlackFriday_CMP-01038"/>
    <d v="2023-09-26T00:00:00"/>
    <x v="10"/>
    <d v="2023-09-30T00:00:00"/>
    <x v="1"/>
    <n v="65323"/>
    <n v="3031"/>
    <n v="515"/>
    <x v="1"/>
    <x v="755"/>
    <n v="4.6400195949359339E-2"/>
    <n v="1.0607126360936985"/>
    <n v="6.2427572815533976"/>
    <n v="22534.98"/>
    <n v="0.16991092048828768"/>
    <x v="0"/>
    <x v="3"/>
    <n v="2023"/>
    <s v="Tue"/>
    <n v="4"/>
  </r>
  <r>
    <s v="CMP-01039"/>
    <s v="Q4_BlackFriday_CMP-01039"/>
    <d v="2023-12-31T00:00:00"/>
    <x v="2"/>
    <d v="2024-01-18T00:00:00"/>
    <x v="2"/>
    <n v="92922"/>
    <n v="3932"/>
    <n v="569"/>
    <x v="0"/>
    <x v="10"/>
    <n v="4.2315059942747681E-2"/>
    <n v="0.9236419125127161"/>
    <n v="6.3827065026362035"/>
    <n v="24818.240000000002"/>
    <n v="0.14471007121057985"/>
    <x v="2"/>
    <x v="3"/>
    <n v="2023"/>
    <s v="Sun"/>
    <n v="18"/>
  </r>
  <r>
    <s v="CMP-01040"/>
    <s v="Q1_Launch_CMP-01040"/>
    <d v="2023-09-12T00:00:00"/>
    <x v="10"/>
    <d v="2023-09-14T00:00:00"/>
    <x v="0"/>
    <n v="59067"/>
    <n v="1101"/>
    <n v="138"/>
    <x v="0"/>
    <x v="756"/>
    <n v="1.8639849662247954E-2"/>
    <n v="0.51851044504995458"/>
    <n v="4.1368115942028982"/>
    <n v="6329.12"/>
    <n v="0.12534059945504086"/>
    <x v="0"/>
    <x v="1"/>
    <n v="2023"/>
    <s v="Tue"/>
    <n v="2"/>
  </r>
  <r>
    <s v="CMP-01041"/>
    <s v="Q3_BlackFriday_CMP-01041"/>
    <d v="2023-09-13T00:00:00"/>
    <x v="10"/>
    <d v="2023-09-21T00:00:00"/>
    <x v="1"/>
    <n v="50376"/>
    <n v="1443"/>
    <n v="85"/>
    <x v="0"/>
    <x v="757"/>
    <n v="2.864459266317294E-2"/>
    <n v="0.71444213444213445"/>
    <n v="12.128705882352941"/>
    <n v="3219.06"/>
    <n v="5.8905058905058906E-2"/>
    <x v="0"/>
    <x v="3"/>
    <n v="2023"/>
    <s v="Wed"/>
    <n v="8"/>
  </r>
  <r>
    <s v="CMP-01042"/>
    <s v="Q3_Launch_CMP-01042"/>
    <d v="2023-03-22T00:00:00"/>
    <x v="5"/>
    <d v="2023-03-29T00:00:00"/>
    <x v="2"/>
    <n v="46587"/>
    <n v="1987"/>
    <n v="372"/>
    <x v="0"/>
    <x v="758"/>
    <n v="4.2651383433146589E-2"/>
    <n v="1.6134423754403622"/>
    <n v="8.6180376344086014"/>
    <n v="15394.09"/>
    <n v="0.1872169099144439"/>
    <x v="1"/>
    <x v="1"/>
    <n v="2023"/>
    <s v="Wed"/>
    <n v="7"/>
  </r>
  <r>
    <s v="CMP-01043"/>
    <s v="Q2_Summer_CMP-01043"/>
    <d v="2023-10-21T00:00:00"/>
    <x v="3"/>
    <d v="2023-10-26T00:00:00"/>
    <x v="2"/>
    <n v="37976"/>
    <n v="482"/>
    <n v="68"/>
    <x v="0"/>
    <x v="759"/>
    <n v="1.2692226669475459E-2"/>
    <n v="0.86624481327800829"/>
    <n v="6.140147058823529"/>
    <n v="2982.4700000000003"/>
    <n v="0.14107883817427386"/>
    <x v="0"/>
    <x v="0"/>
    <n v="2023"/>
    <s v="Sat"/>
    <n v="5"/>
  </r>
  <r>
    <s v="CMP-01044"/>
    <s v="Q4_Winter_CMP-01044"/>
    <d v="2023-09-18T00:00:00"/>
    <x v="10"/>
    <d v="2023-09-28T00:00:00"/>
    <x v="3"/>
    <n v="68584"/>
    <n v="1748"/>
    <n v="137"/>
    <x v="1"/>
    <x v="760"/>
    <n v="2.5486994051090634E-2"/>
    <n v="1.3970137299771168"/>
    <n v="17.824671532846715"/>
    <n v="4408.0200000000004"/>
    <n v="7.8375286041189929E-2"/>
    <x v="0"/>
    <x v="2"/>
    <n v="2023"/>
    <s v="Mon"/>
    <n v="10"/>
  </r>
  <r>
    <s v="CMP-01045"/>
    <s v="Q2_Launch_CMP-01045"/>
    <d v="2023-01-07T00:00:00"/>
    <x v="11"/>
    <d v="2023-01-12T00:00:00"/>
    <x v="2"/>
    <n v="79477"/>
    <n v="3502"/>
    <n v="493"/>
    <x v="0"/>
    <x v="10"/>
    <n v="4.4063062269587429E-2"/>
    <n v="1.0370531125071387"/>
    <n v="7.3666531440162268"/>
    <n v="21018.240000000002"/>
    <n v="0.14077669902912621"/>
    <x v="2"/>
    <x v="1"/>
    <n v="2023"/>
    <s v="Sat"/>
    <n v="5"/>
  </r>
  <r>
    <s v="CMP-01046"/>
    <s v="Q3_BlackFriday_CMP-01046"/>
    <d v="2023-07-16T00:00:00"/>
    <x v="8"/>
    <d v="2023-08-09T00:00:00"/>
    <x v="2"/>
    <n v="43533"/>
    <n v="1138"/>
    <n v="172"/>
    <x v="0"/>
    <x v="761"/>
    <n v="2.6141088369742493E-2"/>
    <n v="1.7822056239015818"/>
    <n v="11.79156976744186"/>
    <n v="6571.85"/>
    <n v="0.15114235500878734"/>
    <x v="3"/>
    <x v="3"/>
    <n v="2023"/>
    <s v="Sun"/>
    <n v="24"/>
  </r>
  <r>
    <s v="CMP-01047"/>
    <s v="Q2_BlackFriday_CMP-01047"/>
    <d v="2023-01-19T00:00:00"/>
    <x v="11"/>
    <d v="2023-02-11T00:00:00"/>
    <x v="0"/>
    <n v="2828"/>
    <n v="37"/>
    <n v="4"/>
    <x v="1"/>
    <x v="0"/>
    <n v="1.3083451202263084E-2"/>
    <n v="8.8954729729729731"/>
    <n v="82.283124999999998"/>
    <n v="-129.13249999999999"/>
    <n v="0.10810810810810811"/>
    <x v="2"/>
    <x v="3"/>
    <n v="2023"/>
    <s v="Thu"/>
    <n v="23"/>
  </r>
  <r>
    <s v="CMP-01048"/>
    <s v="Q3_Summer_CMP-01048"/>
    <d v="2023-12-02T00:00:00"/>
    <x v="2"/>
    <d v="2023-12-15T00:00:00"/>
    <x v="0"/>
    <n v="2917"/>
    <n v="92"/>
    <n v="14"/>
    <x v="0"/>
    <x v="0"/>
    <n v="3.1539252656839219E-2"/>
    <n v="3.5775271739130434"/>
    <n v="23.509464285714284"/>
    <n v="370.86750000000001"/>
    <n v="0.15217391304347827"/>
    <x v="2"/>
    <x v="0"/>
    <n v="2023"/>
    <s v="Sat"/>
    <n v="13"/>
  </r>
  <r>
    <s v="CMP-01049"/>
    <s v="Q2_BlackFriday_CMP-01049"/>
    <d v="2023-08-02T00:00:00"/>
    <x v="7"/>
    <d v="2023-08-03T00:00:00"/>
    <x v="1"/>
    <n v="21618"/>
    <n v="961"/>
    <n v="131"/>
    <x v="0"/>
    <x v="762"/>
    <n v="4.4453695994079008E-2"/>
    <n v="0.90593132154006251"/>
    <n v="6.6458015267175572"/>
    <n v="5679.4"/>
    <n v="0.13631633714880334"/>
    <x v="3"/>
    <x v="3"/>
    <n v="2023"/>
    <s v="Wed"/>
    <n v="1"/>
  </r>
  <r>
    <s v="CMP-01050"/>
    <s v="Q2_Launch_CMP-01050"/>
    <d v="2023-02-09T00:00:00"/>
    <x v="6"/>
    <d v="2023-02-21T00:00:00"/>
    <x v="3"/>
    <n v="33254"/>
    <n v="1117"/>
    <n v="214"/>
    <x v="1"/>
    <x v="763"/>
    <n v="3.3589944066879172E-2"/>
    <n v="0.79124440465532686"/>
    <n v="4.13"/>
    <n v="9816.18"/>
    <n v="0.19158460161145927"/>
    <x v="2"/>
    <x v="1"/>
    <n v="2023"/>
    <s v="Thu"/>
    <n v="12"/>
  </r>
  <r>
    <s v="CMP-01051"/>
    <s v="Q3_Summer_CMP-01051"/>
    <d v="2023-12-11T00:00:00"/>
    <x v="2"/>
    <d v="2023-12-13T00:00:00"/>
    <x v="2"/>
    <n v="48362"/>
    <n v="921"/>
    <n v="53"/>
    <x v="0"/>
    <x v="764"/>
    <n v="1.9043877424424135E-2"/>
    <n v="1.2116503800217155"/>
    <n v="21.055283018867925"/>
    <n v="1534.07"/>
    <n v="5.7546145494028228E-2"/>
    <x v="2"/>
    <x v="0"/>
    <n v="2023"/>
    <s v="Mon"/>
    <n v="2"/>
  </r>
  <r>
    <s v="CMP-01052"/>
    <s v="Q1_Winter_CMP-01052"/>
    <d v="2023-09-22T00:00:00"/>
    <x v="10"/>
    <d v="2023-10-09T00:00:00"/>
    <x v="4"/>
    <n v="21128"/>
    <n v="536"/>
    <n v="35"/>
    <x v="0"/>
    <x v="0"/>
    <n v="2.5369178341537298E-2"/>
    <n v="0.61405317164179107"/>
    <n v="9.4037857142857142"/>
    <n v="1420.8675000000001"/>
    <n v="6.5298507462686561E-2"/>
    <x v="0"/>
    <x v="2"/>
    <n v="2023"/>
    <s v="Fri"/>
    <n v="17"/>
  </r>
  <r>
    <s v="CMP-01053"/>
    <s v="Q4_Winter_CMP-01053"/>
    <d v="2023-02-05T00:00:00"/>
    <x v="6"/>
    <d v="2023-03-03T00:00:00"/>
    <x v="1"/>
    <n v="60383"/>
    <n v="1691"/>
    <n v="128"/>
    <x v="1"/>
    <x v="765"/>
    <n v="2.8004570822913733E-2"/>
    <n v="0.53871673565937317"/>
    <n v="7.1169531250000002"/>
    <n v="5489.03"/>
    <n v="7.5694855115316387E-2"/>
    <x v="2"/>
    <x v="2"/>
    <n v="2023"/>
    <s v="Sun"/>
    <n v="26"/>
  </r>
  <r>
    <s v="CMP-01054"/>
    <s v="Q4_BlackFriday_CMP-01054"/>
    <d v="2023-06-09T00:00:00"/>
    <x v="9"/>
    <d v="2023-06-10T00:00:00"/>
    <x v="4"/>
    <n v="66545"/>
    <n v="2207"/>
    <n v="338"/>
    <x v="0"/>
    <x v="766"/>
    <n v="3.3165527086933655E-2"/>
    <n v="1.3299365654734934"/>
    <n v="8.6839349112426039"/>
    <n v="13964.83"/>
    <n v="0.15314907113729043"/>
    <x v="3"/>
    <x v="3"/>
    <n v="2023"/>
    <s v="Fri"/>
    <n v="1"/>
  </r>
  <r>
    <s v="CMP-01055"/>
    <s v="Q3_Launch_CMP-01055"/>
    <d v="2023-01-05T00:00:00"/>
    <x v="11"/>
    <d v="2023-01-09T00:00:00"/>
    <x v="4"/>
    <n v="83180"/>
    <n v="3358"/>
    <n v="493"/>
    <x v="0"/>
    <x v="10"/>
    <n v="4.0370281317624428E-2"/>
    <n v="1.0815247170935081"/>
    <n v="7.3666531440162268"/>
    <n v="21018.240000000002"/>
    <n v="0.14681357951161406"/>
    <x v="2"/>
    <x v="1"/>
    <n v="2023"/>
    <s v="Thu"/>
    <n v="4"/>
  </r>
  <r>
    <s v="CMP-01056"/>
    <s v="Q1_BlackFriday_CMP-01056"/>
    <d v="2023-06-05T00:00:00"/>
    <x v="9"/>
    <d v="2023-06-22T00:00:00"/>
    <x v="3"/>
    <n v="88958"/>
    <n v="1241"/>
    <n v="228"/>
    <x v="1"/>
    <x v="767"/>
    <n v="1.3950403561231143E-2"/>
    <n v="1.9918694601128122"/>
    <n v="10.841710526315788"/>
    <n v="8928.09"/>
    <n v="0.18372280419016923"/>
    <x v="3"/>
    <x v="3"/>
    <n v="2023"/>
    <s v="Mon"/>
    <n v="17"/>
  </r>
  <r>
    <s v="CMP-01057"/>
    <s v="Q1_BlackFriday_CMP-01057"/>
    <d v="2023-07-08T00:00:00"/>
    <x v="8"/>
    <d v="2023-07-30T00:00:00"/>
    <x v="0"/>
    <n v="10865"/>
    <n v="495"/>
    <n v="79"/>
    <x v="1"/>
    <x v="768"/>
    <n v="4.5559134836631383E-2"/>
    <n v="0.8027676767676768"/>
    <n v="5.03"/>
    <n v="3552.63"/>
    <n v="0.1595959595959596"/>
    <x v="3"/>
    <x v="3"/>
    <n v="2023"/>
    <s v="Sat"/>
    <n v="22"/>
  </r>
  <r>
    <s v="CMP-01058"/>
    <s v="Q1_Winter_CMP-01058"/>
    <d v="2023-04-11T00:00:00"/>
    <x v="4"/>
    <d v="2023-04-20T00:00:00"/>
    <x v="1"/>
    <n v="3219"/>
    <n v="33"/>
    <n v="4"/>
    <x v="0"/>
    <x v="0"/>
    <n v="1.0251630941286114E-2"/>
    <n v="9.9737121212121203"/>
    <n v="82.283124999999998"/>
    <n v="-129.13249999999999"/>
    <n v="0.12121212121212122"/>
    <x v="1"/>
    <x v="2"/>
    <n v="2023"/>
    <s v="Tue"/>
    <n v="9"/>
  </r>
  <r>
    <s v="CMP-01059"/>
    <s v="Q4_Launch_CMP-01059"/>
    <d v="2023-05-06T00:00:00"/>
    <x v="1"/>
    <d v="2023-05-25T00:00:00"/>
    <x v="4"/>
    <n v="40809"/>
    <n v="1012"/>
    <n v="201"/>
    <x v="1"/>
    <x v="769"/>
    <n v="2.4798451322012301E-2"/>
    <n v="0.67030632411067192"/>
    <n v="3.3748756218905474"/>
    <n v="9371.65"/>
    <n v="0.19861660079051383"/>
    <x v="1"/>
    <x v="1"/>
    <n v="2023"/>
    <s v="Sat"/>
    <n v="19"/>
  </r>
  <r>
    <s v="CMP-01060"/>
    <s v="Q3_BlackFriday_CMP-01060"/>
    <d v="2023-01-13T00:00:00"/>
    <x v="11"/>
    <d v="2023-01-30T00:00:00"/>
    <x v="1"/>
    <n v="6287"/>
    <n v="69"/>
    <n v="6"/>
    <x v="0"/>
    <x v="0"/>
    <n v="1.0975027835215524E-2"/>
    <n v="4.7700362318840579"/>
    <n v="54.855416666666663"/>
    <n v="-29.132499999999993"/>
    <n v="8.6956521739130432E-2"/>
    <x v="2"/>
    <x v="3"/>
    <n v="2023"/>
    <s v="Fri"/>
    <n v="17"/>
  </r>
  <r>
    <s v="CMP-01061"/>
    <s v="Q1_Winter_CMP-01061"/>
    <d v="2023-12-22T00:00:00"/>
    <x v="2"/>
    <d v="2023-12-23T00:00:00"/>
    <x v="1"/>
    <n v="35387"/>
    <n v="910"/>
    <n v="159"/>
    <x v="1"/>
    <x v="770"/>
    <n v="2.5715658292593327E-2"/>
    <n v="1.6667142857142858"/>
    <n v="9.5390566037735844"/>
    <n v="6433.29"/>
    <n v="0.17472527472527472"/>
    <x v="2"/>
    <x v="2"/>
    <n v="2023"/>
    <s v="Fri"/>
    <n v="1"/>
  </r>
  <r>
    <s v="CMP-01062"/>
    <s v="Q3_BlackFriday_CMP-01062"/>
    <d v="2023-01-01T00:00:00"/>
    <x v="11"/>
    <d v="2023-01-11T00:00:00"/>
    <x v="0"/>
    <n v="9512"/>
    <n v="295"/>
    <n v="33"/>
    <x v="0"/>
    <x v="771"/>
    <n v="3.1013456686291001E-2"/>
    <n v="1.7335254237288136"/>
    <n v="15.496666666666666"/>
    <n v="1138.6100000000001"/>
    <n v="0.11186440677966102"/>
    <x v="2"/>
    <x v="3"/>
    <n v="2023"/>
    <s v="Sun"/>
    <n v="10"/>
  </r>
  <r>
    <s v="CMP-01063"/>
    <s v="Q2_Launch_CMP-01063"/>
    <d v="2023-06-07T00:00:00"/>
    <x v="9"/>
    <d v="2023-07-06T00:00:00"/>
    <x v="4"/>
    <n v="2342"/>
    <n v="71"/>
    <n v="10"/>
    <x v="0"/>
    <x v="0"/>
    <n v="3.0315969257045262E-2"/>
    <n v="4.6356690140845069"/>
    <n v="32.913249999999998"/>
    <n v="170.86750000000001"/>
    <n v="0.14084507042253522"/>
    <x v="3"/>
    <x v="1"/>
    <n v="2023"/>
    <s v="Wed"/>
    <n v="29"/>
  </r>
  <r>
    <s v="CMP-01064"/>
    <s v="Q2_Summer_CMP-01064"/>
    <d v="2023-05-02T00:00:00"/>
    <x v="1"/>
    <d v="2023-05-28T00:00:00"/>
    <x v="1"/>
    <n v="64076"/>
    <n v="1065"/>
    <n v="169"/>
    <x v="0"/>
    <x v="772"/>
    <n v="1.6620887695861165E-2"/>
    <n v="1.2873521126760563"/>
    <n v="8.1126035502958587"/>
    <n v="7078.97"/>
    <n v="0.15868544600938966"/>
    <x v="1"/>
    <x v="0"/>
    <n v="2023"/>
    <s v="Tue"/>
    <n v="26"/>
  </r>
  <r>
    <s v="CMP-01065"/>
    <s v="Q4_Launch_CMP-01065"/>
    <d v="2023-03-14T00:00:00"/>
    <x v="5"/>
    <d v="2023-03-19T00:00:00"/>
    <x v="3"/>
    <n v="20216"/>
    <n v="724"/>
    <n v="105"/>
    <x v="1"/>
    <x v="773"/>
    <n v="3.5813217253660469E-2"/>
    <n v="1.1767955801104972"/>
    <n v="8.1142857142857139"/>
    <n v="4398"/>
    <n v="0.14502762430939226"/>
    <x v="1"/>
    <x v="1"/>
    <n v="2023"/>
    <s v="Tue"/>
    <n v="5"/>
  </r>
  <r>
    <s v="CMP-01066"/>
    <s v="Q4_Launch_CMP-01066"/>
    <d v="2023-04-29T00:00:00"/>
    <x v="4"/>
    <d v="2023-05-10T00:00:00"/>
    <x v="2"/>
    <n v="94070"/>
    <n v="1109"/>
    <n v="78"/>
    <x v="1"/>
    <x v="774"/>
    <n v="1.1789093228446901E-2"/>
    <n v="0.995590622182146"/>
    <n v="14.15525641025641"/>
    <n v="2795.8900000000003"/>
    <n v="7.0333633904418394E-2"/>
    <x v="1"/>
    <x v="1"/>
    <n v="2023"/>
    <s v="Sat"/>
    <n v="11"/>
  </r>
  <r>
    <s v="CMP-01067"/>
    <s v="Q4_Winter_CMP-01067"/>
    <d v="2023-12-25T00:00:00"/>
    <x v="2"/>
    <d v="2024-01-24T00:00:00"/>
    <x v="2"/>
    <n v="80767"/>
    <n v="3269"/>
    <n v="380"/>
    <x v="1"/>
    <x v="10"/>
    <n v="4.0474451199128354E-2"/>
    <n v="1.1109697155093301"/>
    <n v="9.5572631578947362"/>
    <n v="15368.24"/>
    <n v="0.11624349954114407"/>
    <x v="2"/>
    <x v="2"/>
    <n v="2023"/>
    <s v="Mon"/>
    <n v="30"/>
  </r>
  <r>
    <s v="CMP-01068"/>
    <s v="Q3_BlackFriday_CMP-01068"/>
    <d v="2023-02-13T00:00:00"/>
    <x v="6"/>
    <d v="2023-02-21T00:00:00"/>
    <x v="0"/>
    <n v="98829"/>
    <n v="4730"/>
    <n v="634"/>
    <x v="1"/>
    <x v="10"/>
    <n v="4.786044582055874E-2"/>
    <n v="0.767813953488372"/>
    <n v="5.7283280757097792"/>
    <n v="28068.240000000002"/>
    <n v="0.13403805496828752"/>
    <x v="2"/>
    <x v="3"/>
    <n v="2023"/>
    <s v="Mon"/>
    <n v="8"/>
  </r>
  <r>
    <s v="CMP-01069"/>
    <s v="Q3_Launch_CMP-01069"/>
    <d v="2023-11-23T00:00:00"/>
    <x v="0"/>
    <d v="2023-12-21T00:00:00"/>
    <x v="4"/>
    <n v="27614"/>
    <n v="651"/>
    <n v="115"/>
    <x v="1"/>
    <x v="775"/>
    <n v="2.3574998189324257E-2"/>
    <n v="1.1773425499231951"/>
    <n v="6.6647826086956528"/>
    <n v="4983.55"/>
    <n v="0.17665130568356374"/>
    <x v="0"/>
    <x v="1"/>
    <n v="2023"/>
    <s v="Thu"/>
    <n v="28"/>
  </r>
  <r>
    <s v="CMP-01070"/>
    <s v="Q4_BlackFriday_CMP-01070"/>
    <d v="2023-10-18T00:00:00"/>
    <x v="3"/>
    <d v="2023-11-03T00:00:00"/>
    <x v="0"/>
    <n v="37258"/>
    <n v="1143"/>
    <n v="133"/>
    <x v="0"/>
    <x v="776"/>
    <n v="3.0677975199957058E-2"/>
    <n v="1.9053893263342083"/>
    <n v="16.374887218045114"/>
    <n v="4472.1399999999994"/>
    <n v="0.1163604549431321"/>
    <x v="0"/>
    <x v="3"/>
    <n v="2023"/>
    <s v="Wed"/>
    <n v="16"/>
  </r>
  <r>
    <s v="CMP-01071"/>
    <s v="Q1_Winter_CMP-01071"/>
    <d v="2023-12-06T00:00:00"/>
    <x v="2"/>
    <d v="2024-01-01T00:00:00"/>
    <x v="1"/>
    <n v="94789"/>
    <n v="2384"/>
    <n v="447"/>
    <x v="0"/>
    <x v="10"/>
    <n v="2.5150597643186445E-2"/>
    <n v="1.5233892617449662"/>
    <n v="8.1247427293064867"/>
    <n v="18718.240000000002"/>
    <n v="0.1875"/>
    <x v="2"/>
    <x v="2"/>
    <n v="2023"/>
    <s v="Wed"/>
    <n v="26"/>
  </r>
  <r>
    <s v="CMP-01072"/>
    <s v="Q1_Launch_CMP-01072"/>
    <d v="2023-05-14T00:00:00"/>
    <x v="1"/>
    <d v="2023-05-21T00:00:00"/>
    <x v="0"/>
    <n v="43078"/>
    <n v="442"/>
    <n v="51"/>
    <x v="0"/>
    <x v="777"/>
    <n v="1.0260457774269928E-2"/>
    <n v="1.6947285067873303"/>
    <n v="14.687647058823531"/>
    <n v="1800.9299999999998"/>
    <n v="0.11538461538461539"/>
    <x v="1"/>
    <x v="1"/>
    <n v="2023"/>
    <s v="Sun"/>
    <n v="7"/>
  </r>
  <r>
    <s v="CMP-01073"/>
    <s v="Q4_BlackFriday_CMP-01073"/>
    <d v="2023-07-21T00:00:00"/>
    <x v="8"/>
    <d v="2023-07-28T00:00:00"/>
    <x v="1"/>
    <n v="84524"/>
    <n v="2149"/>
    <n v="284"/>
    <x v="0"/>
    <x v="778"/>
    <n v="2.5424731437224929E-2"/>
    <n v="1.6351372731503024"/>
    <n v="12.372922535211266"/>
    <n v="10686.09"/>
    <n v="0.1321544904606794"/>
    <x v="3"/>
    <x v="3"/>
    <n v="2023"/>
    <s v="Fri"/>
    <n v="7"/>
  </r>
  <r>
    <s v="CMP-01074"/>
    <s v="Q4_Summer_CMP-01074"/>
    <d v="2023-06-12T00:00:00"/>
    <x v="9"/>
    <d v="2023-07-04T00:00:00"/>
    <x v="1"/>
    <n v="97573"/>
    <n v="4065"/>
    <n v="688"/>
    <x v="0"/>
    <x v="10"/>
    <n v="4.1661115267543278E-2"/>
    <n v="0.89342189421894214"/>
    <n v="5.2787209302325575"/>
    <n v="30768.240000000002"/>
    <n v="0.16924969249692498"/>
    <x v="3"/>
    <x v="0"/>
    <n v="2023"/>
    <s v="Mon"/>
    <n v="22"/>
  </r>
  <r>
    <s v="CMP-01075"/>
    <s v="Q2_Winter_CMP-01075"/>
    <d v="2023-04-14T00:00:00"/>
    <x v="4"/>
    <d v="2023-04-30T00:00:00"/>
    <x v="3"/>
    <n v="13219"/>
    <n v="447"/>
    <n v="61"/>
    <x v="0"/>
    <x v="779"/>
    <n v="3.3814963310386567E-2"/>
    <n v="0.7491051454138703"/>
    <n v="5.4893442622950825"/>
    <n v="2715.15"/>
    <n v="0.13646532438478748"/>
    <x v="1"/>
    <x v="2"/>
    <n v="2023"/>
    <s v="Fri"/>
    <n v="16"/>
  </r>
  <r>
    <s v="CMP-01076"/>
    <s v="Q3_Winter_CMP-01076"/>
    <d v="2023-02-25T00:00:00"/>
    <x v="6"/>
    <d v="2023-03-13T00:00:00"/>
    <x v="3"/>
    <n v="1235"/>
    <n v="17"/>
    <n v="3"/>
    <x v="0"/>
    <x v="0"/>
    <n v="1.3765182186234818E-2"/>
    <n v="19.360735294117646"/>
    <n v="109.71083333333333"/>
    <n v="-179.13249999999999"/>
    <n v="0.17647058823529413"/>
    <x v="2"/>
    <x v="2"/>
    <n v="2023"/>
    <s v="Sat"/>
    <n v="16"/>
  </r>
  <r>
    <s v="CMP-01077"/>
    <s v="Q2_Winter_CMP-01077"/>
    <d v="2023-08-27T00:00:00"/>
    <x v="7"/>
    <d v="2023-09-12T00:00:00"/>
    <x v="0"/>
    <n v="43929"/>
    <n v="1927"/>
    <n v="287"/>
    <x v="1"/>
    <x v="780"/>
    <n v="4.3866238703362245E-2"/>
    <n v="1.5360871821484172"/>
    <n v="10.313728222996515"/>
    <n v="11389.96"/>
    <n v="0.14893617021276595"/>
    <x v="3"/>
    <x v="2"/>
    <n v="2023"/>
    <s v="Sun"/>
    <n v="16"/>
  </r>
  <r>
    <s v="CMP-01078"/>
    <s v="Q3_Summer_CMP-01078"/>
    <d v="2023-07-03T00:00:00"/>
    <x v="8"/>
    <d v="2023-07-10T00:00:00"/>
    <x v="2"/>
    <n v="68444"/>
    <n v="2138"/>
    <n v="274"/>
    <x v="0"/>
    <x v="781"/>
    <n v="3.1237215826076793E-2"/>
    <n v="1.5931805425631431"/>
    <n v="12.431459854014598"/>
    <n v="10293.780000000001"/>
    <n v="0.12815715622076707"/>
    <x v="3"/>
    <x v="0"/>
    <n v="2023"/>
    <s v="Mon"/>
    <n v="7"/>
  </r>
  <r>
    <s v="CMP-01079"/>
    <s v="Q1_BlackFriday_CMP-01079"/>
    <d v="2023-06-07T00:00:00"/>
    <x v="9"/>
    <d v="2023-06-11T00:00:00"/>
    <x v="3"/>
    <n v="9567"/>
    <n v="417"/>
    <n v="22"/>
    <x v="1"/>
    <x v="0"/>
    <n v="4.3587331451865788E-2"/>
    <n v="0.78928657074340525"/>
    <n v="14.960568181818182"/>
    <n v="770.86750000000006"/>
    <n v="5.2757793764988008E-2"/>
    <x v="3"/>
    <x v="3"/>
    <n v="2023"/>
    <s v="Wed"/>
    <n v="4"/>
  </r>
  <r>
    <s v="CMP-01080"/>
    <s v="Q2_BlackFriday_CMP-01080"/>
    <d v="2023-02-16T00:00:00"/>
    <x v="6"/>
    <d v="2023-02-22T00:00:00"/>
    <x v="3"/>
    <n v="71792"/>
    <n v="2384"/>
    <n v="267"/>
    <x v="1"/>
    <x v="10"/>
    <n v="3.3207042567416981E-2"/>
    <n v="1.5233892617449662"/>
    <n v="13.602097378277152"/>
    <n v="9718.24"/>
    <n v="0.11199664429530201"/>
    <x v="2"/>
    <x v="3"/>
    <n v="2023"/>
    <s v="Thu"/>
    <n v="6"/>
  </r>
  <r>
    <s v="CMP-01081"/>
    <s v="Q4_Launch_CMP-01081"/>
    <d v="2023-12-27T00:00:00"/>
    <x v="2"/>
    <d v="2024-01-09T00:00:00"/>
    <x v="2"/>
    <n v="66441"/>
    <n v="2151"/>
    <n v="204"/>
    <x v="1"/>
    <x v="782"/>
    <n v="3.2374587980313362E-2"/>
    <n v="0.63671315667131567"/>
    <n v="6.7135784313725484"/>
    <n v="8830.43"/>
    <n v="9.4839609483960946E-2"/>
    <x v="2"/>
    <x v="1"/>
    <n v="2023"/>
    <s v="Wed"/>
    <n v="13"/>
  </r>
  <r>
    <s v="CMP-01082"/>
    <s v="Q2_Launch_CMP-01082"/>
    <d v="2023-06-17T00:00:00"/>
    <x v="9"/>
    <d v="2023-07-05T00:00:00"/>
    <x v="2"/>
    <n v="85555"/>
    <n v="1215"/>
    <m/>
    <x v="0"/>
    <x v="783"/>
    <n v="1.4201390918122845E-2"/>
    <n v="0.92884773662551434"/>
    <n v="0"/>
    <n v="-1128.55"/>
    <n v="0"/>
    <x v="3"/>
    <x v="1"/>
    <n v="2023"/>
    <s v="Sat"/>
    <n v="18"/>
  </r>
  <r>
    <s v="CMP-01083"/>
    <s v="Q1_Winter_CMP-01083"/>
    <d v="2023-07-02T00:00:00"/>
    <x v="8"/>
    <d v="2023-08-01T00:00:00"/>
    <x v="1"/>
    <n v="74698"/>
    <n v="1247"/>
    <n v="101"/>
    <x v="0"/>
    <x v="784"/>
    <n v="1.6693887386543146E-2"/>
    <n v="1.5085886126704091"/>
    <n v="18.625841584158415"/>
    <n v="3168.79"/>
    <n v="8.0994386527666398E-2"/>
    <x v="3"/>
    <x v="2"/>
    <n v="2023"/>
    <s v="Sun"/>
    <n v="30"/>
  </r>
  <r>
    <s v="CMP-01084"/>
    <s v="Q2_Winter_CMP-01084"/>
    <d v="2023-06-03T00:00:00"/>
    <x v="9"/>
    <d v="2023-06-24T00:00:00"/>
    <x v="2"/>
    <n v="6415"/>
    <n v="313"/>
    <n v="25"/>
    <x v="1"/>
    <x v="0"/>
    <n v="4.8791893998441152E-2"/>
    <n v="1.0515415335463258"/>
    <n v="13.1653"/>
    <n v="920.86750000000006"/>
    <n v="7.9872204472843447E-2"/>
    <x v="3"/>
    <x v="2"/>
    <n v="2023"/>
    <s v="Sat"/>
    <n v="21"/>
  </r>
  <r>
    <s v="CMP-01085"/>
    <s v="Q3_BlackFriday_CMP-01085"/>
    <d v="2023-01-16T00:00:00"/>
    <x v="11"/>
    <d v="2023-02-15T00:00:00"/>
    <x v="3"/>
    <n v="37159"/>
    <n v="711"/>
    <n v="55"/>
    <x v="0"/>
    <x v="785"/>
    <n v="1.9133991765117469E-2"/>
    <n v="0.58312236286919839"/>
    <n v="7.538181818181819"/>
    <n v="2335.4"/>
    <n v="7.7355836849507739E-2"/>
    <x v="2"/>
    <x v="3"/>
    <n v="2023"/>
    <s v="Mon"/>
    <n v="30"/>
  </r>
  <r>
    <s v="CMP-01086"/>
    <s v="Q1_Winter_CMP-01086"/>
    <d v="2023-10-12T00:00:00"/>
    <x v="3"/>
    <d v="2023-11-09T00:00:00"/>
    <x v="0"/>
    <n v="44925"/>
    <n v="2205"/>
    <n v="151"/>
    <x v="0"/>
    <x v="786"/>
    <n v="4.9081803005008348E-2"/>
    <n v="0.9967210884353741"/>
    <n v="14.55476821192053"/>
    <n v="5352.23"/>
    <n v="6.8480725623582761E-2"/>
    <x v="0"/>
    <x v="2"/>
    <n v="2023"/>
    <s v="Thu"/>
    <n v="28"/>
  </r>
  <r>
    <s v="CMP-01087"/>
    <s v="Q2_Winter_CMP-01087"/>
    <d v="2023-08-25T00:00:00"/>
    <x v="7"/>
    <d v="2023-09-20T00:00:00"/>
    <x v="4"/>
    <n v="6951"/>
    <n v="217"/>
    <n v="20"/>
    <x v="1"/>
    <x v="787"/>
    <n v="3.1218529707955689E-2"/>
    <n v="1.6489400921658985"/>
    <n v="17.890999999999998"/>
    <n v="642.18000000000006"/>
    <n v="9.2165898617511524E-2"/>
    <x v="3"/>
    <x v="2"/>
    <n v="2023"/>
    <s v="Fri"/>
    <n v="26"/>
  </r>
  <r>
    <s v="CMP-01088"/>
    <s v="Q4_Summer_CMP-01088"/>
    <d v="2023-04-03T00:00:00"/>
    <x v="4"/>
    <d v="2023-05-03T00:00:00"/>
    <x v="0"/>
    <n v="88388"/>
    <n v="1363"/>
    <n v="249"/>
    <x v="1"/>
    <x v="788"/>
    <n v="1.5420645336471014E-2"/>
    <n v="1.120520909757887"/>
    <n v="6.1336144578313254"/>
    <n v="10922.73"/>
    <n v="0.18268525311812178"/>
    <x v="1"/>
    <x v="0"/>
    <n v="2023"/>
    <s v="Mon"/>
    <n v="30"/>
  </r>
  <r>
    <s v="CMP-01089"/>
    <s v="Q2_Winter_CMP-01089"/>
    <d v="2023-04-24T00:00:00"/>
    <x v="4"/>
    <d v="2023-04-29T00:00:00"/>
    <x v="3"/>
    <n v="9007"/>
    <n v="125"/>
    <n v="20"/>
    <x v="1"/>
    <x v="0"/>
    <n v="1.3878094815143778E-2"/>
    <n v="2.63306"/>
    <n v="16.456624999999999"/>
    <n v="670.86750000000006"/>
    <n v="0.16"/>
    <x v="1"/>
    <x v="2"/>
    <n v="2023"/>
    <s v="Mon"/>
    <n v="5"/>
  </r>
  <r>
    <s v="CMP-01090"/>
    <s v="Q3_Summer_CMP-01090"/>
    <d v="2023-07-10T00:00:00"/>
    <x v="8"/>
    <d v="2023-08-01T00:00:00"/>
    <x v="2"/>
    <n v="42832"/>
    <n v="786"/>
    <n v="125"/>
    <x v="1"/>
    <x v="789"/>
    <n v="1.8350765782592454E-2"/>
    <n v="1.3694274809160305"/>
    <n v="8.6109599999999986"/>
    <n v="5173.63"/>
    <n v="0.15903307888040713"/>
    <x v="3"/>
    <x v="0"/>
    <n v="2023"/>
    <s v="Mon"/>
    <n v="22"/>
  </r>
  <r>
    <s v="CMP-01091"/>
    <s v="Q4_Winter_CMP-01091"/>
    <d v="2023-02-13T00:00:00"/>
    <x v="6"/>
    <d v="2023-02-18T00:00:00"/>
    <x v="3"/>
    <n v="59596"/>
    <n v="2802"/>
    <n v="475"/>
    <x v="1"/>
    <x v="790"/>
    <n v="4.7016578293845222E-2"/>
    <n v="0.5333261955745896"/>
    <n v="3.1460631578947371"/>
    <n v="22255.62"/>
    <n v="0.16952177016416844"/>
    <x v="2"/>
    <x v="2"/>
    <n v="2023"/>
    <s v="Mon"/>
    <n v="5"/>
  </r>
  <r>
    <s v="CMP-01092"/>
    <s v="Q3_Summer_CMP-01092"/>
    <d v="2023-08-02T00:00:00"/>
    <x v="7"/>
    <d v="2023-09-01T00:00:00"/>
    <x v="2"/>
    <n v="31523"/>
    <n v="837"/>
    <n v="75"/>
    <x v="0"/>
    <x v="791"/>
    <n v="2.6552041366621197E-2"/>
    <n v="1.9828076463560333"/>
    <n v="22.128133333333331"/>
    <n v="2090.3900000000003"/>
    <n v="8.9605734767025089E-2"/>
    <x v="3"/>
    <x v="0"/>
    <n v="2023"/>
    <s v="Wed"/>
    <n v="30"/>
  </r>
  <r>
    <s v="CMP-01093"/>
    <s v="Q4_Launch_CMP-01093"/>
    <d v="2023-02-03T00:00:00"/>
    <x v="6"/>
    <d v="2023-02-20T00:00:00"/>
    <x v="1"/>
    <n v="89861"/>
    <n v="2319"/>
    <n v="424"/>
    <x v="1"/>
    <x v="792"/>
    <n v="2.5806523408375158E-2"/>
    <n v="0.56214316515739537"/>
    <n v="3.0745518867924524"/>
    <n v="19896.39"/>
    <n v="0.18283742992669255"/>
    <x v="2"/>
    <x v="1"/>
    <n v="2023"/>
    <s v="Fri"/>
    <n v="17"/>
  </r>
  <r>
    <s v="CMP-01094"/>
    <s v="Q2_Launch_CMP-01094"/>
    <d v="2023-07-03T00:00:00"/>
    <x v="8"/>
    <d v="2023-08-02T00:00:00"/>
    <x v="1"/>
    <n v="87740"/>
    <n v="1976"/>
    <n v="139"/>
    <x v="1"/>
    <x v="10"/>
    <n v="2.2521085023934351E-2"/>
    <n v="1.8379352226720647"/>
    <n v="26.12776978417266"/>
    <n v="3318.2400000000002"/>
    <n v="7.0344129554655868E-2"/>
    <x v="3"/>
    <x v="1"/>
    <n v="2023"/>
    <s v="Mon"/>
    <n v="30"/>
  </r>
  <r>
    <s v="CMP-01095"/>
    <s v="Q4_Launch_CMP-01095"/>
    <d v="2023-06-19T00:00:00"/>
    <x v="9"/>
    <d v="2023-07-17T00:00:00"/>
    <x v="2"/>
    <n v="16524"/>
    <n v="262"/>
    <n v="26"/>
    <x v="1"/>
    <x v="793"/>
    <n v="1.5855725006051802E-2"/>
    <n v="1.3248091603053436"/>
    <n v="13.350000000000001"/>
    <n v="952.9"/>
    <n v="9.9236641221374045E-2"/>
    <x v="3"/>
    <x v="1"/>
    <n v="2023"/>
    <s v="Mon"/>
    <n v="28"/>
  </r>
  <r>
    <s v="CMP-01096"/>
    <s v="Q2_Summer_CMP-01096"/>
    <d v="2023-01-26T00:00:00"/>
    <x v="11"/>
    <d v="2023-02-20T00:00:00"/>
    <x v="0"/>
    <n v="20282"/>
    <n v="598"/>
    <m/>
    <x v="1"/>
    <x v="794"/>
    <n v="2.9484271768070211E-2"/>
    <n v="1.9447324414715721"/>
    <n v="0"/>
    <n v="-1162.95"/>
    <n v="0"/>
    <x v="2"/>
    <x v="0"/>
    <n v="2023"/>
    <s v="Thu"/>
    <n v="25"/>
  </r>
  <r>
    <s v="CMP-01097"/>
    <s v="Q4_Winter_CMP-01097"/>
    <d v="2023-07-22T00:00:00"/>
    <x v="8"/>
    <d v="2023-07-25T00:00:00"/>
    <x v="2"/>
    <n v="24930"/>
    <n v="378"/>
    <n v="24"/>
    <x v="0"/>
    <x v="0"/>
    <n v="1.516245487364621E-2"/>
    <n v="0.87072089947089948"/>
    <n v="13.713854166666666"/>
    <n v="870.86750000000006"/>
    <n v="6.3492063492063489E-2"/>
    <x v="3"/>
    <x v="2"/>
    <n v="2023"/>
    <s v="Sat"/>
    <n v="3"/>
  </r>
  <r>
    <s v="CMP-01098"/>
    <s v="Q3_Winter_CMP-01098"/>
    <d v="2023-08-07T00:00:00"/>
    <x v="7"/>
    <d v="2023-08-23T00:00:00"/>
    <x v="4"/>
    <n v="1077"/>
    <n v="46"/>
    <m/>
    <x v="1"/>
    <x v="0"/>
    <n v="4.2711234911792018E-2"/>
    <n v="7.1550543478260868"/>
    <n v="0"/>
    <n v="-329.13249999999999"/>
    <n v="0"/>
    <x v="3"/>
    <x v="2"/>
    <n v="2023"/>
    <s v="Mon"/>
    <n v="16"/>
  </r>
  <r>
    <s v="CMP-01099"/>
    <s v="Q4_BlackFriday_CMP-01099"/>
    <d v="2023-04-06T00:00:00"/>
    <x v="4"/>
    <d v="2023-04-23T00:00:00"/>
    <x v="4"/>
    <n v="21611"/>
    <n v="536"/>
    <m/>
    <x v="1"/>
    <x v="795"/>
    <n v="2.4802184072925827E-2"/>
    <n v="0.75425373134328355"/>
    <n v="0"/>
    <n v="-404.28"/>
    <n v="0"/>
    <x v="1"/>
    <x v="3"/>
    <n v="2023"/>
    <s v="Thu"/>
    <n v="17"/>
  </r>
  <r>
    <s v="CMP-01100"/>
    <s v="Q3_Launch_CMP-01100"/>
    <d v="2023-03-18T00:00:00"/>
    <x v="5"/>
    <d v="2023-03-21T00:00:00"/>
    <x v="0"/>
    <n v="17984"/>
    <n v="449"/>
    <n v="75"/>
    <x v="0"/>
    <x v="0"/>
    <n v="2.4966637010676158E-2"/>
    <n v="0.73303452115812917"/>
    <n v="4.3884333333333334"/>
    <n v="3420.8674999999998"/>
    <n v="0.16703786191536749"/>
    <x v="1"/>
    <x v="1"/>
    <n v="2023"/>
    <s v="Sat"/>
    <n v="3"/>
  </r>
  <r>
    <s v="CMP-01101"/>
    <s v="Q4_Summer_CMP-01101"/>
    <d v="2023-11-14T00:00:00"/>
    <x v="0"/>
    <d v="2023-12-03T00:00:00"/>
    <x v="4"/>
    <n v="15060"/>
    <n v="436"/>
    <n v="54"/>
    <x v="1"/>
    <x v="796"/>
    <n v="2.895086321381142E-2"/>
    <n v="1.4262844036697249"/>
    <n v="11.515925925925925"/>
    <n v="2078.14"/>
    <n v="0.12385321100917432"/>
    <x v="0"/>
    <x v="0"/>
    <n v="2023"/>
    <s v="Tue"/>
    <n v="19"/>
  </r>
  <r>
    <s v="CMP-01102"/>
    <s v="Q3_Launch_CMP-01102"/>
    <d v="2023-09-13T00:00:00"/>
    <x v="10"/>
    <d v="2023-09-19T00:00:00"/>
    <x v="0"/>
    <n v="83985"/>
    <n v="2331"/>
    <m/>
    <x v="1"/>
    <x v="797"/>
    <n v="2.7754956242186105E-2"/>
    <n v="0.81167310167310169"/>
    <n v="0"/>
    <n v="-1892.01"/>
    <n v="0"/>
    <x v="0"/>
    <x v="1"/>
    <n v="2023"/>
    <s v="Wed"/>
    <n v="6"/>
  </r>
  <r>
    <s v="CMP-01103"/>
    <s v="Q1_Winter_CMP-01103"/>
    <d v="2023-01-02T00:00:00"/>
    <x v="11"/>
    <d v="2023-02-09T00:00:00"/>
    <x v="4"/>
    <n v="85056"/>
    <n v="4235"/>
    <n v="678"/>
    <x v="1"/>
    <x v="10"/>
    <n v="4.9790726109857034E-2"/>
    <n v="0.85755844155844152"/>
    <n v="5.3565781710914449"/>
    <n v="30268.240000000002"/>
    <n v="0.16009445100354192"/>
    <x v="2"/>
    <x v="2"/>
    <n v="2023"/>
    <s v="Mon"/>
    <n v="38"/>
  </r>
  <r>
    <s v="CMP-01104"/>
    <s v="Q2_Winter_CMP-01104"/>
    <d v="2023-07-16T00:00:00"/>
    <x v="8"/>
    <d v="2023-08-06T00:00:00"/>
    <x v="3"/>
    <n v="44303"/>
    <n v="1409"/>
    <m/>
    <x v="0"/>
    <x v="798"/>
    <n v="3.180371532401869E-2"/>
    <n v="0.66854506742370479"/>
    <n v="0"/>
    <n v="-941.98"/>
    <n v="0"/>
    <x v="3"/>
    <x v="2"/>
    <n v="2023"/>
    <s v="Sun"/>
    <n v="21"/>
  </r>
  <r>
    <s v="CMP-01105"/>
    <s v="Q3_BlackFriday_CMP-01105"/>
    <d v="2023-09-27T00:00:00"/>
    <x v="10"/>
    <d v="2023-10-22T00:00:00"/>
    <x v="1"/>
    <n v="60207"/>
    <n v="814"/>
    <n v="100"/>
    <x v="0"/>
    <x v="799"/>
    <n v="1.3520022588735529E-2"/>
    <n v="0.99798525798525806"/>
    <n v="8.1235999999999997"/>
    <n v="4187.6400000000003"/>
    <n v="0.12285012285012285"/>
    <x v="0"/>
    <x v="3"/>
    <n v="2023"/>
    <s v="Wed"/>
    <n v="25"/>
  </r>
  <r>
    <s v="CMP-01106"/>
    <s v="Q3_Summer_CMP-01106"/>
    <d v="2023-10-06T00:00:00"/>
    <x v="3"/>
    <d v="2023-10-20T00:00:00"/>
    <x v="1"/>
    <n v="76046"/>
    <n v="2606"/>
    <n v="159"/>
    <x v="0"/>
    <x v="10"/>
    <n v="3.4268732083212794E-2"/>
    <n v="1.3936147352264006"/>
    <n v="22.841257861635217"/>
    <n v="4318.24"/>
    <n v="6.1013046815042209E-2"/>
    <x v="0"/>
    <x v="0"/>
    <n v="2023"/>
    <s v="Fri"/>
    <n v="14"/>
  </r>
  <r>
    <s v="CMP-01107"/>
    <s v="Q4_Summer_CMP-01107"/>
    <d v="2024-01-01T00:00:00"/>
    <x v="11"/>
    <d v="2024-01-28T00:00:00"/>
    <x v="3"/>
    <n v="30287"/>
    <n v="486"/>
    <n v="69"/>
    <x v="1"/>
    <x v="800"/>
    <n v="1.6046488592465415E-2"/>
    <n v="1.1555761316872428"/>
    <n v="8.1392753623188412"/>
    <n v="2888.39"/>
    <n v="0.1419753086419753"/>
    <x v="2"/>
    <x v="0"/>
    <n v="2024"/>
    <s v="Mon"/>
    <n v="27"/>
  </r>
  <r>
    <s v="CMP-01108"/>
    <s v="Q2_Winter_CMP-01108"/>
    <d v="2023-09-06T00:00:00"/>
    <x v="10"/>
    <d v="2023-09-27T00:00:00"/>
    <x v="0"/>
    <n v="94709"/>
    <n v="1064"/>
    <n v="159"/>
    <x v="0"/>
    <x v="801"/>
    <n v="1.1234412780200403E-2"/>
    <n v="1.4416165413533835"/>
    <n v="9.6470440251572338"/>
    <n v="6416.12"/>
    <n v="0.14943609022556392"/>
    <x v="0"/>
    <x v="2"/>
    <n v="2023"/>
    <s v="Wed"/>
    <n v="21"/>
  </r>
  <r>
    <s v="CMP-01109"/>
    <s v="Q4_Winter_CMP-01109"/>
    <d v="2023-06-14T00:00:00"/>
    <x v="9"/>
    <d v="2023-06-26T00:00:00"/>
    <x v="2"/>
    <n v="40711"/>
    <n v="1987"/>
    <n v="212"/>
    <x v="0"/>
    <x v="802"/>
    <n v="4.8807447618579747E-2"/>
    <n v="1.4711877201811776"/>
    <n v="13.788915094339623"/>
    <n v="7676.75"/>
    <n v="0.10669350780070458"/>
    <x v="3"/>
    <x v="2"/>
    <n v="2023"/>
    <s v="Wed"/>
    <n v="12"/>
  </r>
  <r>
    <s v="CMP-01110"/>
    <s v="Q1_Winter_CMP-01110"/>
    <d v="2023-06-13T00:00:00"/>
    <x v="9"/>
    <d v="2023-07-13T00:00:00"/>
    <x v="1"/>
    <n v="12954"/>
    <n v="530"/>
    <n v="102"/>
    <x v="0"/>
    <x v="803"/>
    <n v="4.0914003396634244E-2"/>
    <n v="1.7656415094339621"/>
    <n v="9.1744117647058818"/>
    <n v="4164.21"/>
    <n v="0.19245283018867926"/>
    <x v="3"/>
    <x v="2"/>
    <n v="2023"/>
    <s v="Tue"/>
    <n v="30"/>
  </r>
  <r>
    <s v="CMP-01111"/>
    <s v="Q3_Launch_CMP-01111"/>
    <d v="2023-05-24T00:00:00"/>
    <x v="1"/>
    <d v="2023-06-20T00:00:00"/>
    <x v="0"/>
    <n v="74340"/>
    <n v="3657"/>
    <n v="662"/>
    <x v="0"/>
    <x v="804"/>
    <n v="4.9192897497982245E-2"/>
    <n v="0.98738310090237902"/>
    <n v="5.4544712990936555"/>
    <n v="29489.14"/>
    <n v="0.18102269619907027"/>
    <x v="1"/>
    <x v="1"/>
    <n v="2023"/>
    <s v="Wed"/>
    <n v="27"/>
  </r>
  <r>
    <s v="CMP-01112"/>
    <s v="Q1_BlackFriday_CMP-01112"/>
    <d v="2023-08-30T00:00:00"/>
    <x v="7"/>
    <d v="2023-09-08T00:00:00"/>
    <x v="4"/>
    <n v="73101"/>
    <n v="2128"/>
    <n v="332"/>
    <x v="1"/>
    <x v="805"/>
    <n v="2.9110408886335343E-2"/>
    <n v="1.5309445488721805"/>
    <n v="9.8128012048192765"/>
    <n v="13342.15"/>
    <n v="0.15601503759398497"/>
    <x v="3"/>
    <x v="3"/>
    <n v="2023"/>
    <s v="Wed"/>
    <n v="9"/>
  </r>
  <r>
    <s v="CMP-01113"/>
    <s v="Q4_Winter_CMP-01113"/>
    <d v="2023-04-30T00:00:00"/>
    <x v="4"/>
    <d v="2023-05-14T00:00:00"/>
    <x v="0"/>
    <n v="72520"/>
    <n v="2269"/>
    <n v="356"/>
    <x v="0"/>
    <x v="10"/>
    <n v="3.1287920573634859E-2"/>
    <n v="1.6005993829881004"/>
    <n v="10.201573033707865"/>
    <n v="14168.24"/>
    <n v="0.15689731159100925"/>
    <x v="1"/>
    <x v="2"/>
    <n v="2023"/>
    <s v="Sun"/>
    <n v="14"/>
  </r>
  <r>
    <s v="CMP-01114"/>
    <s v="Q4_Winter_CMP-01114"/>
    <d v="2023-12-03T00:00:00"/>
    <x v="2"/>
    <d v="2023-12-05T00:00:00"/>
    <x v="4"/>
    <n v="88062"/>
    <n v="1473"/>
    <n v="129"/>
    <x v="1"/>
    <x v="806"/>
    <n v="1.6726851536417522E-2"/>
    <n v="1.5953632043448742"/>
    <n v="18.216821705426355"/>
    <n v="4100.0300000000007"/>
    <n v="8.7576374745417518E-2"/>
    <x v="2"/>
    <x v="2"/>
    <n v="2023"/>
    <s v="Sun"/>
    <n v="2"/>
  </r>
  <r>
    <s v="CMP-01115"/>
    <s v="Q3_BlackFriday_CMP-01115"/>
    <d v="2023-01-29T00:00:00"/>
    <x v="11"/>
    <d v="2023-02-23T00:00:00"/>
    <x v="1"/>
    <n v="19574"/>
    <n v="389"/>
    <n v="57"/>
    <x v="1"/>
    <x v="807"/>
    <n v="1.9873301318074996E-2"/>
    <n v="1.2348071979434447"/>
    <n v="8.4270175438596482"/>
    <n v="2369.66"/>
    <n v="0.14652956298200515"/>
    <x v="2"/>
    <x v="3"/>
    <n v="2023"/>
    <s v="Sun"/>
    <n v="25"/>
  </r>
  <r>
    <s v="CMP-01116"/>
    <s v="Q4_Launch_CMP-01116"/>
    <d v="2023-10-22T00:00:00"/>
    <x v="3"/>
    <d v="2023-11-05T00:00:00"/>
    <x v="4"/>
    <n v="10184"/>
    <n v="443"/>
    <m/>
    <x v="0"/>
    <x v="808"/>
    <n v="4.3499607227022778E-2"/>
    <n v="1.4460722347629797"/>
    <n v="0"/>
    <n v="-640.61"/>
    <n v="0"/>
    <x v="0"/>
    <x v="1"/>
    <n v="2023"/>
    <s v="Sun"/>
    <n v="14"/>
  </r>
  <r>
    <s v="CMP-01117"/>
    <s v="Q1_BlackFriday_CMP-01117"/>
    <d v="2023-07-01T00:00:00"/>
    <x v="8"/>
    <d v="2023-07-03T00:00:00"/>
    <x v="0"/>
    <n v="20096"/>
    <n v="487"/>
    <n v="34"/>
    <x v="1"/>
    <x v="809"/>
    <n v="2.4233678343949044E-2"/>
    <n v="1.6095277207392198"/>
    <n v="23.054117647058824"/>
    <n v="916.16"/>
    <n v="6.9815195071868577E-2"/>
    <x v="3"/>
    <x v="3"/>
    <n v="2023"/>
    <s v="Sat"/>
    <n v="2"/>
  </r>
  <r>
    <s v="CMP-01118"/>
    <s v="Q4_Winter_CMP-01118"/>
    <d v="2023-03-30T00:00:00"/>
    <x v="5"/>
    <d v="2023-04-27T00:00:00"/>
    <x v="1"/>
    <n v="68728"/>
    <n v="2960"/>
    <n v="591"/>
    <x v="0"/>
    <x v="10"/>
    <n v="4.3068327319287628E-2"/>
    <n v="1.226945945945946"/>
    <n v="6.1451099830795259"/>
    <n v="25918.240000000002"/>
    <n v="0.19966216216216215"/>
    <x v="1"/>
    <x v="2"/>
    <n v="2023"/>
    <s v="Thu"/>
    <n v="28"/>
  </r>
  <r>
    <s v="CMP-01119"/>
    <s v="Q2_Launch_CMP-01119"/>
    <d v="2023-12-24T00:00:00"/>
    <x v="2"/>
    <d v="2024-01-04T00:00:00"/>
    <x v="4"/>
    <n v="35016"/>
    <n v="1343"/>
    <n v="192"/>
    <x v="1"/>
    <x v="810"/>
    <n v="3.8353895362120173E-2"/>
    <n v="0.5250111690245719"/>
    <n v="3.67234375"/>
    <n v="8894.91"/>
    <n v="0.14296351451973194"/>
    <x v="2"/>
    <x v="1"/>
    <n v="2023"/>
    <s v="Sun"/>
    <n v="11"/>
  </r>
  <r>
    <s v="CMP-01120"/>
    <s v="Q1_Launch_CMP-01120"/>
    <d v="2023-12-27T00:00:00"/>
    <x v="2"/>
    <d v="2024-01-21T00:00:00"/>
    <x v="2"/>
    <n v="12246"/>
    <n v="209"/>
    <n v="23"/>
    <x v="0"/>
    <x v="0"/>
    <n v="1.706679732157439E-2"/>
    <n v="1.5747966507177034"/>
    <n v="14.310108695652174"/>
    <n v="820.86750000000006"/>
    <n v="0.11004784688995216"/>
    <x v="2"/>
    <x v="1"/>
    <n v="2023"/>
    <s v="Wed"/>
    <n v="25"/>
  </r>
  <r>
    <s v="CMP-01121"/>
    <s v="Q1_BlackFriday_CMP-01121"/>
    <d v="2023-10-16T00:00:00"/>
    <x v="3"/>
    <d v="2023-10-29T00:00:00"/>
    <x v="3"/>
    <n v="46558"/>
    <n v="1410"/>
    <n v="131"/>
    <x v="0"/>
    <x v="811"/>
    <n v="3.0284806048369774E-2"/>
    <n v="1.7157021276595743"/>
    <n v="18.466717557251908"/>
    <n v="4130.8600000000006"/>
    <n v="9.2907801418439712E-2"/>
    <x v="0"/>
    <x v="3"/>
    <n v="2023"/>
    <s v="Mon"/>
    <n v="13"/>
  </r>
  <r>
    <s v="CMP-01122"/>
    <s v="Q1_Launch_CMP-01122"/>
    <d v="2023-09-10T00:00:00"/>
    <x v="10"/>
    <d v="2023-09-11T00:00:00"/>
    <x v="0"/>
    <n v="19381"/>
    <n v="718"/>
    <n v="100"/>
    <x v="1"/>
    <x v="812"/>
    <n v="3.7046592023115422E-2"/>
    <n v="0.90896935933147627"/>
    <n v="6.5263999999999998"/>
    <n v="4347.3599999999997"/>
    <n v="0.1392757660167131"/>
    <x v="0"/>
    <x v="1"/>
    <n v="2023"/>
    <s v="Sun"/>
    <n v="1"/>
  </r>
  <r>
    <s v="CMP-01123"/>
    <s v="Q1_Winter_CMP-01123"/>
    <d v="2023-01-20T00:00:00"/>
    <x v="11"/>
    <d v="2023-01-27T00:00:00"/>
    <x v="1"/>
    <n v="37455"/>
    <n v="726"/>
    <n v="41"/>
    <x v="0"/>
    <x v="813"/>
    <n v="1.9383259911894272E-2"/>
    <n v="1.5973415977961434"/>
    <n v="28.284634146341464"/>
    <n v="890.32999999999993"/>
    <n v="5.647382920110193E-2"/>
    <x v="2"/>
    <x v="2"/>
    <n v="2023"/>
    <s v="Fri"/>
    <n v="7"/>
  </r>
  <r>
    <s v="CMP-01124"/>
    <s v="Q3_Winter_CMP-01124"/>
    <d v="2023-04-30T00:00:00"/>
    <x v="4"/>
    <d v="2023-05-22T00:00:00"/>
    <x v="2"/>
    <n v="93263"/>
    <n v="4031"/>
    <n v="258"/>
    <x v="0"/>
    <x v="10"/>
    <n v="4.3221856470411629E-2"/>
    <n v="0.9009575787645745"/>
    <n v="14.076589147286821"/>
    <n v="9268.24"/>
    <n v="6.4003969238402375E-2"/>
    <x v="1"/>
    <x v="2"/>
    <n v="2023"/>
    <s v="Sun"/>
    <n v="22"/>
  </r>
  <r>
    <s v="CMP-01125"/>
    <s v="Q4_Launch_CMP-01125"/>
    <d v="2023-02-09T00:00:00"/>
    <x v="6"/>
    <d v="2023-09-26T00:00:00"/>
    <x v="3"/>
    <n v="5018"/>
    <n v="159"/>
    <n v="8"/>
    <x v="1"/>
    <x v="0"/>
    <n v="3.1685930649661222E-2"/>
    <n v="2.0700157232704401"/>
    <n v="41.141562499999999"/>
    <n v="70.867500000000007"/>
    <n v="5.0314465408805034E-2"/>
    <x v="2"/>
    <x v="1"/>
    <n v="2023"/>
    <s v="Thu"/>
    <n v="229"/>
  </r>
  <r>
    <s v="CMP-01126"/>
    <s v="Q1_Launch_CMP-01126"/>
    <d v="2023-11-11T00:00:00"/>
    <x v="0"/>
    <d v="2023-12-11T00:00:00"/>
    <x v="0"/>
    <n v="12302"/>
    <n v="204"/>
    <n v="25"/>
    <x v="0"/>
    <x v="0"/>
    <n v="1.6582669484636645E-2"/>
    <n v="1.6133946078431372"/>
    <n v="13.1653"/>
    <n v="920.86750000000006"/>
    <n v="0.12254901960784313"/>
    <x v="0"/>
    <x v="1"/>
    <n v="2023"/>
    <s v="Sat"/>
    <n v="30"/>
  </r>
  <r>
    <s v="CMP-01127"/>
    <s v="Q4_Launch_CMP-01127"/>
    <d v="2023-04-01T00:00:00"/>
    <x v="4"/>
    <d v="2023-04-13T00:00:00"/>
    <x v="4"/>
    <n v="68506"/>
    <n v="2282"/>
    <n v="319"/>
    <x v="0"/>
    <x v="814"/>
    <n v="3.3310950865617611E-2"/>
    <n v="0.77184049079754602"/>
    <n v="5.5214420062695924"/>
    <n v="14188.66"/>
    <n v="0.13978965819456618"/>
    <x v="1"/>
    <x v="1"/>
    <n v="2023"/>
    <s v="Sat"/>
    <n v="12"/>
  </r>
  <r>
    <s v="CMP-01128"/>
    <s v="Q1_BlackFriday_CMP-01128"/>
    <d v="2023-06-15T00:00:00"/>
    <x v="9"/>
    <d v="2023-06-28T00:00:00"/>
    <x v="0"/>
    <n v="42157"/>
    <n v="2107"/>
    <n v="125"/>
    <x v="1"/>
    <x v="10"/>
    <n v="4.997983727494841E-2"/>
    <n v="1.7236639772187943"/>
    <n v="29.054079999999999"/>
    <n v="2618.2400000000002"/>
    <n v="5.9326056003796868E-2"/>
    <x v="3"/>
    <x v="3"/>
    <n v="2023"/>
    <s v="Thu"/>
    <n v="13"/>
  </r>
  <r>
    <s v="CMP-01129"/>
    <s v="Q4_BlackFriday_CMP-01129"/>
    <d v="2023-03-17T00:00:00"/>
    <x v="5"/>
    <d v="2023-04-01T00:00:00"/>
    <x v="3"/>
    <n v="55917"/>
    <n v="895"/>
    <n v="141"/>
    <x v="0"/>
    <x v="815"/>
    <n v="1.6005865836865352E-2"/>
    <n v="1.8352067039106146"/>
    <n v="11.649007092198582"/>
    <n v="5407.49"/>
    <n v="0.15754189944134078"/>
    <x v="1"/>
    <x v="3"/>
    <n v="2023"/>
    <s v="Fri"/>
    <n v="15"/>
  </r>
  <r>
    <s v="CMP-01130"/>
    <s v="Q1_Launch_CMP-01130"/>
    <d v="2023-02-26T00:00:00"/>
    <x v="6"/>
    <d v="2023-03-18T00:00:00"/>
    <x v="2"/>
    <n v="93738"/>
    <n v="3999"/>
    <n v="338"/>
    <x v="1"/>
    <x v="10"/>
    <n v="4.266146066696537E-2"/>
    <n v="0.90816704176044005"/>
    <n v="10.744852071005916"/>
    <n v="13268.24"/>
    <n v="8.4521130282570647E-2"/>
    <x v="2"/>
    <x v="1"/>
    <n v="2023"/>
    <s v="Sun"/>
    <n v="20"/>
  </r>
  <r>
    <s v="CMP-01131"/>
    <s v="Q3_Launch_CMP-01131"/>
    <d v="2023-02-07T00:00:00"/>
    <x v="6"/>
    <d v="2023-03-06T00:00:00"/>
    <x v="2"/>
    <n v="97646"/>
    <n v="1786"/>
    <n v="272"/>
    <x v="0"/>
    <x v="816"/>
    <n v="1.829055977715421E-2"/>
    <n v="1.1894680851063828"/>
    <n v="7.8102573529411758"/>
    <n v="11475.61"/>
    <n v="0.1522956326987682"/>
    <x v="2"/>
    <x v="1"/>
    <n v="2023"/>
    <s v="Tue"/>
    <n v="27"/>
  </r>
  <r>
    <s v="CMP-01132"/>
    <s v="Q3_BlackFriday_CMP-01132"/>
    <d v="2023-07-22T00:00:00"/>
    <x v="8"/>
    <d v="2023-08-19T00:00:00"/>
    <x v="1"/>
    <n v="84122"/>
    <n v="3473"/>
    <n v="685"/>
    <x v="0"/>
    <x v="10"/>
    <n v="4.128527614654906E-2"/>
    <n v="1.0457126403685573"/>
    <n v="5.3018394160583941"/>
    <n v="30618.240000000002"/>
    <n v="0.19723581917650446"/>
    <x v="3"/>
    <x v="3"/>
    <n v="2023"/>
    <s v="Sat"/>
    <n v="28"/>
  </r>
  <r>
    <s v="CMP-01133"/>
    <s v="Q1_Winter_CMP-01133"/>
    <d v="2023-06-15T00:00:00"/>
    <x v="9"/>
    <d v="2023-06-23T00:00:00"/>
    <x v="1"/>
    <n v="25519"/>
    <n v="1005"/>
    <n v="154"/>
    <x v="0"/>
    <x v="817"/>
    <n v="3.9382420941259454E-2"/>
    <n v="1.4279203980099502"/>
    <n v="9.3185714285714276"/>
    <n v="6264.9400000000005"/>
    <n v="0.15323383084577114"/>
    <x v="3"/>
    <x v="2"/>
    <n v="2023"/>
    <s v="Thu"/>
    <n v="8"/>
  </r>
  <r>
    <s v="CMP-01134"/>
    <s v="Q4_Launch_CMP-01134"/>
    <d v="2023-08-12T00:00:00"/>
    <x v="7"/>
    <d v="2023-09-05T00:00:00"/>
    <x v="2"/>
    <n v="97809"/>
    <n v="2153"/>
    <n v="392"/>
    <x v="0"/>
    <x v="818"/>
    <n v="2.2012289257634779E-2"/>
    <n v="1.35282861124013"/>
    <n v="7.4302040816326524"/>
    <n v="16687.36"/>
    <n v="0.18207152810032512"/>
    <x v="3"/>
    <x v="1"/>
    <n v="2023"/>
    <s v="Sat"/>
    <n v="24"/>
  </r>
  <r>
    <s v="CMP-01135"/>
    <s v="Q1_Winter_CMP-01135"/>
    <d v="2023-11-29T00:00:00"/>
    <x v="0"/>
    <d v="2023-12-29T00:00:00"/>
    <x v="2"/>
    <n v="88487"/>
    <n v="2038"/>
    <n v="391"/>
    <x v="0"/>
    <x v="819"/>
    <n v="2.3031631765118039E-2"/>
    <n v="0.58876349362119729"/>
    <n v="3.0687979539641947"/>
    <n v="18350.099999999999"/>
    <n v="0.19185475956820411"/>
    <x v="0"/>
    <x v="2"/>
    <n v="2023"/>
    <s v="Wed"/>
    <n v="30"/>
  </r>
  <r>
    <s v="CMP-01136"/>
    <s v="Q1_BlackFriday_CMP-01136"/>
    <d v="2023-10-15T00:00:00"/>
    <x v="3"/>
    <d v="2023-10-20T00:00:00"/>
    <x v="4"/>
    <n v="57819"/>
    <n v="2411"/>
    <n v="296"/>
    <x v="0"/>
    <x v="820"/>
    <n v="4.1699095453051768E-2"/>
    <n v="1.4492036499377852"/>
    <n v="11.804155405405407"/>
    <n v="11305.97"/>
    <n v="0.12277063459145583"/>
    <x v="0"/>
    <x v="3"/>
    <n v="2023"/>
    <s v="Sun"/>
    <n v="5"/>
  </r>
  <r>
    <s v="CMP-01137"/>
    <s v="Q3_Winter_CMP-01137"/>
    <d v="2023-07-02T00:00:00"/>
    <x v="8"/>
    <d v="2023-07-18T00:00:00"/>
    <x v="1"/>
    <n v="81910"/>
    <n v="2330"/>
    <n v="361"/>
    <x v="1"/>
    <x v="10"/>
    <n v="2.8445855206934441E-2"/>
    <n v="1.5586952789699571"/>
    <n v="10.06027700831025"/>
    <n v="14418.24"/>
    <n v="0.15493562231759656"/>
    <x v="3"/>
    <x v="2"/>
    <n v="2023"/>
    <s v="Sun"/>
    <n v="16"/>
  </r>
  <r>
    <s v="CMP-01138"/>
    <s v="Q4_Launch_CMP-01138"/>
    <d v="2023-03-31T00:00:00"/>
    <x v="5"/>
    <d v="2023-04-20T00:00:00"/>
    <x v="2"/>
    <n v="72324"/>
    <n v="2837"/>
    <n v="504"/>
    <x v="0"/>
    <x v="10"/>
    <n v="3.9226259609534873E-2"/>
    <n v="1.2801409940077546"/>
    <n v="7.2058730158730153"/>
    <n v="21568.240000000002"/>
    <n v="0.17765244977088473"/>
    <x v="1"/>
    <x v="1"/>
    <n v="2023"/>
    <s v="Fri"/>
    <n v="20"/>
  </r>
  <r>
    <s v="CMP-01139"/>
    <s v="Q1_Launch_CMP-01139"/>
    <d v="2023-05-31T00:00:00"/>
    <x v="1"/>
    <d v="2023-06-26T00:00:00"/>
    <x v="2"/>
    <n v="6408"/>
    <n v="102"/>
    <m/>
    <x v="1"/>
    <x v="0"/>
    <n v="1.5917602996254682E-2"/>
    <n v="3.2267892156862743"/>
    <n v="0"/>
    <n v="-329.13249999999999"/>
    <n v="0"/>
    <x v="1"/>
    <x v="1"/>
    <n v="2023"/>
    <s v="Wed"/>
    <n v="26"/>
  </r>
  <r>
    <s v="CMP-01140"/>
    <s v="Q3_Summer_CMP-01140"/>
    <d v="2023-12-26T00:00:00"/>
    <x v="2"/>
    <d v="2024-01-12T00:00:00"/>
    <x v="1"/>
    <n v="60379"/>
    <n v="2662"/>
    <n v="237"/>
    <x v="1"/>
    <x v="10"/>
    <n v="4.4088176352705413E-2"/>
    <n v="1.3642975206611569"/>
    <n v="15.323881856540083"/>
    <n v="8218.24"/>
    <n v="8.9030803906836958E-2"/>
    <x v="2"/>
    <x v="0"/>
    <n v="2023"/>
    <s v="Tue"/>
    <n v="17"/>
  </r>
  <r>
    <s v="CMP-01141"/>
    <s v="Q1_Launch_CMP-01141"/>
    <d v="2023-10-18T00:00:00"/>
    <x v="3"/>
    <d v="2023-11-16T00:00:00"/>
    <x v="1"/>
    <n v="26053"/>
    <n v="1001"/>
    <n v="192"/>
    <x v="1"/>
    <x v="821"/>
    <n v="3.8421678885349093E-2"/>
    <n v="1.3576823176823176"/>
    <n v="7.0783333333333331"/>
    <n v="8240.9599999999991"/>
    <n v="0.19180819180819181"/>
    <x v="0"/>
    <x v="1"/>
    <n v="2023"/>
    <s v="Wed"/>
    <n v="29"/>
  </r>
  <r>
    <s v="CMP-01142"/>
    <s v="Q4_BlackFriday_CMP-01142"/>
    <d v="2023-11-05T00:00:00"/>
    <x v="0"/>
    <d v="2023-11-19T00:00:00"/>
    <x v="4"/>
    <n v="10446"/>
    <n v="483"/>
    <m/>
    <x v="0"/>
    <x v="822"/>
    <n v="4.6237794371051119E-2"/>
    <n v="1.1510766045548655"/>
    <n v="0"/>
    <n v="-555.97"/>
    <n v="0"/>
    <x v="0"/>
    <x v="3"/>
    <n v="2023"/>
    <s v="Sun"/>
    <n v="14"/>
  </r>
  <r>
    <s v="CMP-01143"/>
    <s v="Q1_BlackFriday_CMP-01143"/>
    <d v="2023-11-10T00:00:00"/>
    <x v="0"/>
    <d v="2023-12-01T00:00:00"/>
    <x v="4"/>
    <n v="1922"/>
    <n v="29"/>
    <n v="2"/>
    <x v="0"/>
    <x v="0"/>
    <n v="1.5088449531737774E-2"/>
    <n v="11.349396551724137"/>
    <n v="164.56625"/>
    <n v="-229.13249999999999"/>
    <n v="6.8965517241379309E-2"/>
    <x v="0"/>
    <x v="3"/>
    <n v="2023"/>
    <s v="Fri"/>
    <n v="21"/>
  </r>
  <r>
    <s v="CMP-01144"/>
    <s v="Q3_Launch_CMP-01144"/>
    <d v="2023-09-12T00:00:00"/>
    <x v="10"/>
    <d v="2023-10-10T00:00:00"/>
    <x v="2"/>
    <n v="99723"/>
    <n v="3362"/>
    <n v="394"/>
    <x v="0"/>
    <x v="10"/>
    <n v="3.371338607944005E-2"/>
    <n v="1.0802379535990481"/>
    <n v="9.2176649746192894"/>
    <n v="16068.24"/>
    <n v="0.11719214753123142"/>
    <x v="0"/>
    <x v="1"/>
    <n v="2023"/>
    <s v="Tue"/>
    <n v="28"/>
  </r>
  <r>
    <s v="CMP-01145"/>
    <s v="Q3_BlackFriday_CMP-01145"/>
    <d v="2023-05-02T00:00:00"/>
    <x v="1"/>
    <d v="2023-05-27T00:00:00"/>
    <x v="4"/>
    <n v="52356"/>
    <n v="1778"/>
    <n v="301"/>
    <x v="0"/>
    <x v="823"/>
    <n v="3.3959813583925434E-2"/>
    <n v="1.0315635545556805"/>
    <n v="6.0934219269102989"/>
    <n v="13215.880000000001"/>
    <n v="0.16929133858267717"/>
    <x v="1"/>
    <x v="3"/>
    <n v="2023"/>
    <s v="Tue"/>
    <n v="25"/>
  </r>
  <r>
    <s v="CMP-01146"/>
    <s v="Q1_BlackFriday_CMP-01146"/>
    <d v="2023-11-22T00:00:00"/>
    <x v="0"/>
    <d v="2023-12-13T00:00:00"/>
    <x v="1"/>
    <n v="11789"/>
    <n v="284"/>
    <n v="37"/>
    <x v="0"/>
    <x v="0"/>
    <n v="2.4090253626261771E-2"/>
    <n v="1.1589172535211267"/>
    <n v="8.8954729729729731"/>
    <n v="1520.8675000000001"/>
    <n v="0.13028169014084506"/>
    <x v="0"/>
    <x v="3"/>
    <n v="2023"/>
    <s v="Wed"/>
    <n v="21"/>
  </r>
  <r>
    <s v="CMP-01147"/>
    <s v="Q2_BlackFriday_CMP-01147"/>
    <d v="2023-12-29T00:00:00"/>
    <x v="2"/>
    <d v="2024-01-04T00:00:00"/>
    <x v="3"/>
    <n v="98720"/>
    <n v="2797"/>
    <n v="412"/>
    <x v="0"/>
    <x v="10"/>
    <n v="2.8332658022690436E-2"/>
    <n v="1.2984483375044691"/>
    <n v="8.8149514563106788"/>
    <n v="16968.240000000002"/>
    <n v="0.1473006792992492"/>
    <x v="2"/>
    <x v="3"/>
    <n v="2023"/>
    <s v="Fri"/>
    <n v="6"/>
  </r>
  <r>
    <s v="CMP-01148"/>
    <s v="Q3_Launch_CMP-01148"/>
    <d v="2023-06-21T00:00:00"/>
    <x v="9"/>
    <d v="2023-06-29T00:00:00"/>
    <x v="0"/>
    <n v="67656"/>
    <n v="779"/>
    <n v="127"/>
    <x v="1"/>
    <x v="824"/>
    <n v="1.1514130306255173E-2"/>
    <n v="1.5510911424903722"/>
    <n v="9.514173228346456"/>
    <n v="5141.7"/>
    <n v="0.16302952503209242"/>
    <x v="3"/>
    <x v="1"/>
    <n v="2023"/>
    <s v="Wed"/>
    <n v="8"/>
  </r>
  <r>
    <s v="CMP-01149"/>
    <s v="Q1_Launch_CMP-01149"/>
    <d v="2023-05-08T00:00:00"/>
    <x v="1"/>
    <d v="2023-05-28T00:00:00"/>
    <x v="4"/>
    <n v="45028"/>
    <n v="1793"/>
    <n v="256"/>
    <x v="0"/>
    <x v="825"/>
    <n v="3.9819667762281248E-2"/>
    <n v="1.3835303959843837"/>
    <n v="9.6901171875000003"/>
    <n v="10319.33"/>
    <n v="0.14277746793084217"/>
    <x v="1"/>
    <x v="1"/>
    <n v="2023"/>
    <s v="Mon"/>
    <n v="20"/>
  </r>
  <r>
    <s v="CMP-01150"/>
    <s v="Q3_BlackFriday_CMP-01150"/>
    <d v="2023-02-25T00:00:00"/>
    <x v="6"/>
    <d v="2023-03-14T00:00:00"/>
    <x v="3"/>
    <n v="65484"/>
    <n v="2093"/>
    <n v="274"/>
    <x v="1"/>
    <x v="10"/>
    <n v="3.1962005986195099E-2"/>
    <n v="1.7351935021500238"/>
    <n v="13.254598540145984"/>
    <n v="10068.24"/>
    <n v="0.1309125656951744"/>
    <x v="2"/>
    <x v="3"/>
    <n v="2023"/>
    <s v="Sat"/>
    <n v="17"/>
  </r>
  <r>
    <s v="CMP-01151"/>
    <s v="Q1_Summer_CMP-01151"/>
    <d v="2023-08-13T00:00:00"/>
    <x v="7"/>
    <d v="2023-08-23T00:00:00"/>
    <x v="2"/>
    <n v="33154"/>
    <n v="408"/>
    <m/>
    <x v="0"/>
    <x v="826"/>
    <n v="1.2306207395789347E-2"/>
    <n v="1.024779411764706"/>
    <n v="0"/>
    <n v="-418.11"/>
    <n v="0"/>
    <x v="3"/>
    <x v="0"/>
    <n v="2023"/>
    <s v="Sun"/>
    <n v="10"/>
  </r>
  <r>
    <s v="CMP-01152"/>
    <s v="Q3_Summer_CMP-01152"/>
    <d v="2023-07-31T00:00:00"/>
    <x v="8"/>
    <d v="2023-08-16T00:00:00"/>
    <x v="3"/>
    <n v="83870"/>
    <n v="3122"/>
    <m/>
    <x v="0"/>
    <x v="827"/>
    <n v="3.7224275664719211E-2"/>
    <n v="0.86570147341447778"/>
    <n v="0"/>
    <n v="-2702.72"/>
    <n v="0"/>
    <x v="3"/>
    <x v="0"/>
    <n v="2023"/>
    <s v="Mon"/>
    <n v="16"/>
  </r>
  <r>
    <s v="CMP-01153"/>
    <s v="Q4_Winter_CMP-01153"/>
    <d v="2023-10-07T00:00:00"/>
    <x v="3"/>
    <d v="2023-11-01T00:00:00"/>
    <x v="0"/>
    <n v="3336"/>
    <n v="95"/>
    <n v="13"/>
    <x v="0"/>
    <x v="0"/>
    <n v="2.8477218225419664E-2"/>
    <n v="3.4645526315789472"/>
    <n v="25.317884615384614"/>
    <n v="320.86750000000001"/>
    <n v="0.1368421052631579"/>
    <x v="0"/>
    <x v="2"/>
    <n v="2023"/>
    <s v="Sat"/>
    <n v="25"/>
  </r>
  <r>
    <s v="CMP-01154"/>
    <s v="Q2_Summer_CMP-01154"/>
    <d v="2023-10-23T00:00:00"/>
    <x v="3"/>
    <d v="2023-10-26T00:00:00"/>
    <x v="3"/>
    <n v="68779"/>
    <n v="782"/>
    <n v="81"/>
    <x v="1"/>
    <x v="828"/>
    <n v="1.1369749487488914E-2"/>
    <n v="0.79822250639386194"/>
    <n v="7.7062962962962969"/>
    <n v="3425.79"/>
    <n v="0.10358056265984655"/>
    <x v="0"/>
    <x v="0"/>
    <n v="2023"/>
    <s v="Mon"/>
    <n v="3"/>
  </r>
  <r>
    <s v="CMP-01155"/>
    <s v="Q1_Winter_CMP-01155"/>
    <d v="2023-03-25T00:00:00"/>
    <x v="5"/>
    <d v="2023-04-08T00:00:00"/>
    <x v="4"/>
    <n v="20029"/>
    <n v="977"/>
    <n v="108"/>
    <x v="0"/>
    <x v="829"/>
    <n v="4.87792700584153E-2"/>
    <n v="0.97251791197543502"/>
    <n v="8.7976851851851858"/>
    <n v="4449.8500000000004"/>
    <n v="0.1105424769703173"/>
    <x v="1"/>
    <x v="2"/>
    <n v="2023"/>
    <s v="Sat"/>
    <n v="14"/>
  </r>
  <r>
    <s v="CMP-01156"/>
    <s v="Q2_Launch_CMP-01156"/>
    <d v="2023-01-18T00:00:00"/>
    <x v="11"/>
    <d v="2023-02-07T00:00:00"/>
    <x v="1"/>
    <n v="60201"/>
    <n v="2887"/>
    <n v="564"/>
    <x v="1"/>
    <x v="830"/>
    <n v="4.795601401970067E-2"/>
    <n v="0.8369033598891582"/>
    <n v="4.2839361702127654"/>
    <n v="25783.86"/>
    <n v="0.19535850363699342"/>
    <x v="2"/>
    <x v="1"/>
    <n v="2023"/>
    <s v="Wed"/>
    <n v="20"/>
  </r>
  <r>
    <s v="CMP-01157"/>
    <s v="Q4_BlackFriday_CMP-01157"/>
    <d v="2023-02-23T00:00:00"/>
    <x v="6"/>
    <d v="2023-02-24T00:00:00"/>
    <x v="0"/>
    <n v="33265"/>
    <n v="1015"/>
    <n v="67"/>
    <x v="0"/>
    <x v="831"/>
    <n v="3.0512550728994437E-2"/>
    <n v="0.60373399014778317"/>
    <n v="9.1461194029850734"/>
    <n v="2737.21"/>
    <n v="6.6009852216748766E-2"/>
    <x v="2"/>
    <x v="3"/>
    <n v="2023"/>
    <s v="Thu"/>
    <n v="1"/>
  </r>
  <r>
    <s v="CMP-01158"/>
    <s v="Q3_Launch_CMP-01158"/>
    <d v="2023-03-29T00:00:00"/>
    <x v="5"/>
    <d v="2023-04-12T00:00:00"/>
    <x v="2"/>
    <n v="44872"/>
    <n v="616"/>
    <m/>
    <x v="1"/>
    <x v="832"/>
    <n v="1.3727937243715457E-2"/>
    <n v="1.7412499999999997"/>
    <n v="0"/>
    <n v="-1072.6099999999999"/>
    <n v="0"/>
    <x v="1"/>
    <x v="1"/>
    <n v="2023"/>
    <s v="Wed"/>
    <n v="14"/>
  </r>
  <r>
    <s v="CMP-01159"/>
    <s v="Q2_Launch_CMP-01159"/>
    <d v="2023-02-08T00:00:00"/>
    <x v="6"/>
    <d v="2023-02-11T00:00:00"/>
    <x v="4"/>
    <n v="47197"/>
    <n v="1896"/>
    <n v="234"/>
    <x v="1"/>
    <x v="833"/>
    <n v="4.0172044833358053E-2"/>
    <n v="0.88180907172995782"/>
    <n v="7.14491452991453"/>
    <n v="10028.09"/>
    <n v="0.12341772151898735"/>
    <x v="2"/>
    <x v="1"/>
    <n v="2023"/>
    <s v="Wed"/>
    <n v="3"/>
  </r>
  <r>
    <s v="CMP-01160"/>
    <s v="Q1_Summer_CMP-01160"/>
    <d v="2023-02-17T00:00:00"/>
    <x v="6"/>
    <d v="2023-03-07T00:00:00"/>
    <x v="3"/>
    <n v="56180"/>
    <n v="1667"/>
    <n v="292"/>
    <x v="0"/>
    <x v="834"/>
    <n v="2.9672481310074758E-2"/>
    <n v="1.2095440911817636"/>
    <n v="6.9051712328767119"/>
    <n v="12583.69"/>
    <n v="0.17516496700659867"/>
    <x v="2"/>
    <x v="0"/>
    <n v="2023"/>
    <s v="Fri"/>
    <n v="18"/>
  </r>
  <r>
    <s v="CMP-01161"/>
    <s v="Q3_BlackFriday_CMP-01161"/>
    <d v="2023-09-05T00:00:00"/>
    <x v="10"/>
    <d v="2023-09-08T00:00:00"/>
    <x v="3"/>
    <n v="24710"/>
    <n v="546"/>
    <n v="40"/>
    <x v="0"/>
    <x v="0"/>
    <n v="2.2096317280453259E-2"/>
    <n v="0.6028067765567765"/>
    <n v="8.2283124999999995"/>
    <n v="1670.8675000000001"/>
    <n v="7.3260073260073263E-2"/>
    <x v="0"/>
    <x v="3"/>
    <n v="2023"/>
    <s v="Tue"/>
    <n v="3"/>
  </r>
  <r>
    <s v="CMP-01162"/>
    <s v="Q1_Winter_CMP-01162"/>
    <d v="2023-12-01T00:00:00"/>
    <x v="2"/>
    <d v="2023-12-24T00:00:00"/>
    <x v="1"/>
    <n v="30486"/>
    <n v="904"/>
    <n v="82"/>
    <x v="0"/>
    <x v="835"/>
    <n v="2.9652955454962934E-2"/>
    <n v="1.5490044247787611"/>
    <n v="17.076829268292684"/>
    <n v="2699.7"/>
    <n v="9.0707964601769914E-2"/>
    <x v="2"/>
    <x v="2"/>
    <n v="2023"/>
    <s v="Fri"/>
    <n v="23"/>
  </r>
  <r>
    <s v="CMP-01163"/>
    <s v="Q1_Launch_CMP-01163"/>
    <d v="2023-03-22T00:00:00"/>
    <x v="5"/>
    <d v="2023-04-20T00:00:00"/>
    <x v="2"/>
    <n v="72907"/>
    <n v="2252"/>
    <m/>
    <x v="1"/>
    <x v="836"/>
    <n v="3.0888666383200515E-2"/>
    <n v="0.99584369449378329"/>
    <n v="0"/>
    <n v="-2242.64"/>
    <n v="0"/>
    <x v="1"/>
    <x v="1"/>
    <n v="2023"/>
    <s v="Wed"/>
    <n v="29"/>
  </r>
  <r>
    <s v="CMP-01164"/>
    <s v="Q1_BlackFriday_CMP-01164"/>
    <d v="2023-06-19T00:00:00"/>
    <x v="9"/>
    <d v="2023-07-14T00:00:00"/>
    <x v="1"/>
    <n v="72895"/>
    <n v="2369"/>
    <n v="369"/>
    <x v="1"/>
    <x v="10"/>
    <n v="3.2498799643322585E-2"/>
    <n v="1.5330350358801181"/>
    <n v="9.8421680216802159"/>
    <n v="14818.24"/>
    <n v="0.15576192486281132"/>
    <x v="3"/>
    <x v="3"/>
    <n v="2023"/>
    <s v="Mon"/>
    <n v="25"/>
  </r>
  <r>
    <s v="CMP-01165"/>
    <s v="Q3_Launch_CMP-01165"/>
    <d v="2023-12-23T00:00:00"/>
    <x v="2"/>
    <d v="2023-12-28T00:00:00"/>
    <x v="2"/>
    <n v="65435"/>
    <n v="1809"/>
    <n v="155"/>
    <x v="0"/>
    <x v="837"/>
    <n v="2.7645755329716512E-2"/>
    <n v="1.1186069651741293"/>
    <n v="13.055225806451613"/>
    <n v="5726.4400000000005"/>
    <n v="8.5682697622996129E-2"/>
    <x v="2"/>
    <x v="1"/>
    <n v="2023"/>
    <s v="Sat"/>
    <n v="5"/>
  </r>
  <r>
    <s v="CMP-01166"/>
    <s v="Q4_Summer_CMP-01166"/>
    <d v="2023-10-04T00:00:00"/>
    <x v="3"/>
    <d v="2023-10-29T00:00:00"/>
    <x v="1"/>
    <n v="41631"/>
    <n v="1425"/>
    <n v="154"/>
    <x v="1"/>
    <x v="838"/>
    <n v="3.422930028104057E-2"/>
    <n v="0.79363508771929825"/>
    <n v="7.3437012987012995"/>
    <n v="6569.07"/>
    <n v="0.1080701754385965"/>
    <x v="0"/>
    <x v="0"/>
    <n v="2023"/>
    <s v="Wed"/>
    <n v="25"/>
  </r>
  <r>
    <s v="CMP-01167"/>
    <s v="Q2_BlackFriday_CMP-01167"/>
    <d v="2023-02-05T00:00:00"/>
    <x v="6"/>
    <d v="2023-05-23T00:00:00"/>
    <x v="2"/>
    <n v="21103"/>
    <n v="986"/>
    <n v="114"/>
    <x v="1"/>
    <x v="839"/>
    <n v="4.6723214708809177E-2"/>
    <n v="1.2697667342799188"/>
    <n v="10.982368421052632"/>
    <n v="4448.01"/>
    <n v="0.11561866125760649"/>
    <x v="2"/>
    <x v="3"/>
    <n v="2023"/>
    <s v="Sun"/>
    <n v="107"/>
  </r>
  <r>
    <s v="CMP-01168"/>
    <s v="Q1_Launch_CMP-01168"/>
    <d v="2023-07-21T00:00:00"/>
    <x v="8"/>
    <d v="2023-07-23T00:00:00"/>
    <x v="1"/>
    <n v="65772"/>
    <n v="1610"/>
    <n v="295"/>
    <x v="0"/>
    <x v="840"/>
    <n v="2.4478501489995742E-2"/>
    <n v="0.69575776397515532"/>
    <n v="3.7971864406779665"/>
    <n v="13629.83"/>
    <n v="0.18322981366459629"/>
    <x v="3"/>
    <x v="1"/>
    <n v="2023"/>
    <s v="Fri"/>
    <n v="2"/>
  </r>
  <r>
    <s v="CMP-01169"/>
    <s v="Q1_Winter_CMP-01169"/>
    <d v="2023-03-20T00:00:00"/>
    <x v="5"/>
    <d v="2023-04-01T00:00:00"/>
    <x v="0"/>
    <n v="15382"/>
    <n v="600"/>
    <n v="67"/>
    <x v="0"/>
    <x v="841"/>
    <n v="3.9006631127291642E-2"/>
    <n v="1.1608166666666666"/>
    <n v="10.395373134328358"/>
    <n v="2653.51"/>
    <n v="0.11166666666666666"/>
    <x v="1"/>
    <x v="2"/>
    <n v="2023"/>
    <s v="Mon"/>
    <n v="12"/>
  </r>
  <r>
    <s v="CMP-01170"/>
    <s v="Q3_BlackFriday_CMP-01170"/>
    <d v="2023-01-02T00:00:00"/>
    <x v="11"/>
    <d v="2023-01-11T00:00:00"/>
    <x v="1"/>
    <n v="85291"/>
    <n v="3904"/>
    <n v="280"/>
    <x v="0"/>
    <x v="10"/>
    <n v="4.5772707554138183E-2"/>
    <n v="0.93026639344262285"/>
    <n v="12.970571428571427"/>
    <n v="10368.24"/>
    <n v="7.1721311475409832E-2"/>
    <x v="2"/>
    <x v="3"/>
    <n v="2023"/>
    <s v="Mon"/>
    <n v="9"/>
  </r>
  <r>
    <s v="CMP-01171"/>
    <s v="Q2_Summer_CMP-01171"/>
    <d v="2023-12-05T00:00:00"/>
    <x v="2"/>
    <d v="2023-12-18T00:00:00"/>
    <x v="1"/>
    <n v="4756"/>
    <n v="134"/>
    <n v="17"/>
    <x v="1"/>
    <x v="0"/>
    <n v="2.8174936921783012E-2"/>
    <n v="2.4562126865671643"/>
    <n v="19.360735294117646"/>
    <n v="520.86750000000006"/>
    <n v="0.12686567164179105"/>
    <x v="2"/>
    <x v="0"/>
    <n v="2023"/>
    <s v="Tue"/>
    <n v="13"/>
  </r>
  <r>
    <s v="CMP-01172"/>
    <s v="Q3_Launch_CMP-01172"/>
    <d v="2023-02-19T00:00:00"/>
    <x v="6"/>
    <d v="2023-02-28T00:00:00"/>
    <x v="0"/>
    <n v="21609"/>
    <n v="599"/>
    <n v="116"/>
    <x v="0"/>
    <x v="842"/>
    <n v="2.7719931510018975E-2"/>
    <n v="0.59138564273789651"/>
    <n v="3.0537931034482759"/>
    <n v="5445.76"/>
    <n v="0.19365609348914858"/>
    <x v="2"/>
    <x v="1"/>
    <n v="2023"/>
    <s v="Sun"/>
    <n v="9"/>
  </r>
  <r>
    <s v="CMP-01173"/>
    <s v="Q2_Launch_CMP-01173"/>
    <d v="2023-03-29T00:00:00"/>
    <x v="5"/>
    <d v="2023-04-13T00:00:00"/>
    <x v="2"/>
    <n v="17478"/>
    <n v="595"/>
    <n v="83"/>
    <x v="1"/>
    <x v="843"/>
    <n v="3.4042796658656595E-2"/>
    <n v="1.5410252100840336"/>
    <n v="11.047108433734939"/>
    <n v="3233.09"/>
    <n v="0.13949579831932774"/>
    <x v="1"/>
    <x v="1"/>
    <n v="2023"/>
    <s v="Wed"/>
    <n v="15"/>
  </r>
  <r>
    <s v="CMP-01174"/>
    <s v="Q3_Winter_CMP-01174"/>
    <d v="2023-08-31T00:00:00"/>
    <x v="7"/>
    <d v="2023-09-21T00:00:00"/>
    <x v="1"/>
    <n v="40666"/>
    <n v="1368"/>
    <n v="270"/>
    <x v="0"/>
    <x v="844"/>
    <n v="3.363989573599567E-2"/>
    <n v="0.77413011695906431"/>
    <n v="3.9222592592592593"/>
    <n v="12440.99"/>
    <n v="0.19736842105263158"/>
    <x v="3"/>
    <x v="2"/>
    <n v="2023"/>
    <s v="Thu"/>
    <n v="21"/>
  </r>
  <r>
    <s v="CMP-01175"/>
    <s v="Q3_Summer_CMP-01175"/>
    <d v="2023-07-23T00:00:00"/>
    <x v="8"/>
    <d v="2023-08-18T00:00:00"/>
    <x v="1"/>
    <n v="76683"/>
    <n v="3240"/>
    <n v="570"/>
    <x v="0"/>
    <x v="845"/>
    <n v="4.2251868080278553E-2"/>
    <n v="0.97856790123456794"/>
    <n v="5.5623859649122807"/>
    <n v="25329.439999999999"/>
    <n v="0.17592592592592593"/>
    <x v="3"/>
    <x v="0"/>
    <n v="2023"/>
    <s v="Sun"/>
    <n v="26"/>
  </r>
  <r>
    <s v="CMP-01176"/>
    <s v="Q4_Winter_CMP-01176"/>
    <d v="2023-05-16T00:00:00"/>
    <x v="1"/>
    <d v="2023-06-15T00:00:00"/>
    <x v="4"/>
    <n v="72315"/>
    <n v="2101"/>
    <n v="116"/>
    <x v="1"/>
    <x v="846"/>
    <n v="2.9053446726128741E-2"/>
    <n v="1.1232698714897666"/>
    <n v="20.344741379310342"/>
    <n v="3440.01"/>
    <n v="5.5211803902903381E-2"/>
    <x v="1"/>
    <x v="2"/>
    <n v="2023"/>
    <s v="Tue"/>
    <n v="30"/>
  </r>
  <r>
    <s v="CMP-01177"/>
    <s v="Q3_BlackFriday_CMP-01177"/>
    <d v="2023-10-06T00:00:00"/>
    <x v="3"/>
    <d v="2023-10-17T00:00:00"/>
    <x v="0"/>
    <n v="78834"/>
    <n v="3929"/>
    <n v="584"/>
    <x v="1"/>
    <x v="10"/>
    <n v="4.9838901996600453E-2"/>
    <n v="0.9243471621277678"/>
    <n v="6.2187671232876705"/>
    <n v="25568.240000000002"/>
    <n v="0.14863833036396029"/>
    <x v="0"/>
    <x v="3"/>
    <n v="2023"/>
    <s v="Fri"/>
    <n v="11"/>
  </r>
  <r>
    <s v="CMP-01178"/>
    <s v="Q1_Launch_CMP-01178"/>
    <d v="2023-07-15T00:00:00"/>
    <x v="8"/>
    <d v="2023-07-25T00:00:00"/>
    <x v="0"/>
    <n v="15153"/>
    <n v="187"/>
    <n v="17"/>
    <x v="1"/>
    <x v="0"/>
    <n v="1.2340790602520952E-2"/>
    <n v="1.760066844919786"/>
    <n v="19.360735294117646"/>
    <n v="520.86750000000006"/>
    <n v="9.0909090909090912E-2"/>
    <x v="3"/>
    <x v="1"/>
    <n v="2023"/>
    <s v="Sat"/>
    <n v="10"/>
  </r>
  <r>
    <s v="CMP-01179"/>
    <s v="Q2_Summer_CMP-01179"/>
    <d v="2023-05-15T00:00:00"/>
    <x v="1"/>
    <d v="2023-06-11T00:00:00"/>
    <x v="2"/>
    <n v="77325"/>
    <n v="783"/>
    <n v="104"/>
    <x v="0"/>
    <x v="847"/>
    <n v="1.0126091173617846E-2"/>
    <n v="0.63696040868454662"/>
    <n v="4.795576923076923"/>
    <n v="4701.26"/>
    <n v="0.13282247765006386"/>
    <x v="1"/>
    <x v="0"/>
    <n v="2023"/>
    <s v="Mon"/>
    <n v="27"/>
  </r>
  <r>
    <s v="CMP-01180"/>
    <s v="Q4_Winter_CMP-01180"/>
    <d v="2023-05-18T00:00:00"/>
    <x v="1"/>
    <d v="2023-06-05T00:00:00"/>
    <x v="2"/>
    <n v="13999"/>
    <n v="498"/>
    <n v="45"/>
    <x v="0"/>
    <x v="848"/>
    <n v="3.5573969569254946E-2"/>
    <n v="0.97803212851405619"/>
    <n v="10.823555555555556"/>
    <n v="1762.94"/>
    <n v="9.036144578313253E-2"/>
    <x v="1"/>
    <x v="2"/>
    <n v="2023"/>
    <s v="Thu"/>
    <n v="18"/>
  </r>
  <r>
    <s v="CMP-01181"/>
    <s v="Q3_BlackFriday_CMP-01181"/>
    <d v="2023-12-23T00:00:00"/>
    <x v="2"/>
    <d v="2024-01-12T00:00:00"/>
    <x v="0"/>
    <n v="56318"/>
    <n v="1235"/>
    <n v="126"/>
    <x v="0"/>
    <x v="849"/>
    <n v="2.1929045775773287E-2"/>
    <n v="0.65701214574898781"/>
    <n v="6.4397619047619044"/>
    <n v="5488.59"/>
    <n v="0.10202429149797571"/>
    <x v="2"/>
    <x v="3"/>
    <n v="2023"/>
    <s v="Sat"/>
    <n v="20"/>
  </r>
  <r>
    <s v="CMP-01182"/>
    <s v="Q4_BlackFriday_CMP-01182"/>
    <d v="2023-06-26T00:00:00"/>
    <x v="9"/>
    <d v="2023-07-07T00:00:00"/>
    <x v="0"/>
    <n v="1814"/>
    <n v="35"/>
    <n v="6"/>
    <x v="1"/>
    <x v="0"/>
    <n v="1.9294377067254686E-2"/>
    <n v="9.4037857142857142"/>
    <n v="54.855416666666663"/>
    <n v="-29.132499999999993"/>
    <n v="0.17142857142857143"/>
    <x v="3"/>
    <x v="3"/>
    <n v="2023"/>
    <s v="Mon"/>
    <n v="11"/>
  </r>
  <r>
    <s v="CMP-01183"/>
    <s v="Q1_Winter_CMP-01183"/>
    <d v="2023-10-29T00:00:00"/>
    <x v="3"/>
    <d v="2023-11-28T00:00:00"/>
    <x v="2"/>
    <n v="77077"/>
    <n v="1732"/>
    <n v="140"/>
    <x v="0"/>
    <x v="850"/>
    <n v="2.2471035458048447E-2"/>
    <n v="1.3607736720554273"/>
    <n v="16.834714285714288"/>
    <n v="4643.1399999999994"/>
    <n v="8.0831408775981523E-2"/>
    <x v="0"/>
    <x v="2"/>
    <n v="2023"/>
    <s v="Sun"/>
    <n v="30"/>
  </r>
  <r>
    <s v="CMP-01184"/>
    <s v="Q2_Summer_CMP-01184"/>
    <d v="2023-07-18T00:00:00"/>
    <x v="8"/>
    <d v="2023-07-28T00:00:00"/>
    <x v="1"/>
    <n v="91474"/>
    <n v="1851"/>
    <m/>
    <x v="1"/>
    <x v="851"/>
    <n v="2.0235258106128518E-2"/>
    <n v="0.59135062128579141"/>
    <n v="0"/>
    <n v="-1094.5899999999999"/>
    <n v="0"/>
    <x v="3"/>
    <x v="0"/>
    <n v="2023"/>
    <s v="Tue"/>
    <n v="10"/>
  </r>
  <r>
    <s v="CMP-01185"/>
    <s v="Q3_Winter_CMP-01185"/>
    <d v="2023-10-02T00:00:00"/>
    <x v="3"/>
    <d v="2023-10-30T00:00:00"/>
    <x v="4"/>
    <n v="3443"/>
    <n v="38"/>
    <n v="2"/>
    <x v="0"/>
    <x v="0"/>
    <n v="1.1036886436247459E-2"/>
    <n v="8.6613815789473687"/>
    <n v="164.56625"/>
    <n v="-229.13249999999999"/>
    <n v="5.2631578947368418E-2"/>
    <x v="0"/>
    <x v="2"/>
    <n v="2023"/>
    <s v="Mon"/>
    <n v="28"/>
  </r>
  <r>
    <s v="CMP-01186"/>
    <s v="Q1_BlackFriday_CMP-01186"/>
    <d v="2023-10-21T00:00:00"/>
    <x v="3"/>
    <d v="2023-11-20T00:00:00"/>
    <x v="1"/>
    <n v="76993"/>
    <n v="3761"/>
    <n v="239"/>
    <x v="0"/>
    <x v="10"/>
    <n v="4.8848596625667269E-2"/>
    <n v="0.96563679872374364"/>
    <n v="15.195648535564853"/>
    <n v="8318.24"/>
    <n v="6.3546929008242492E-2"/>
    <x v="0"/>
    <x v="3"/>
    <n v="2023"/>
    <s v="Sat"/>
    <n v="30"/>
  </r>
  <r>
    <s v="CMP-01187"/>
    <s v="Q4_Launch_CMP-01187"/>
    <d v="2023-02-10T00:00:00"/>
    <x v="6"/>
    <d v="2023-02-27T00:00:00"/>
    <x v="2"/>
    <n v="76916"/>
    <n v="1448"/>
    <n v="258"/>
    <x v="0"/>
    <x v="852"/>
    <n v="1.8825731967340994E-2"/>
    <n v="1.0424723756906078"/>
    <n v="5.8507751937984498"/>
    <n v="11390.5"/>
    <n v="0.17817679558011049"/>
    <x v="2"/>
    <x v="1"/>
    <n v="2023"/>
    <s v="Fri"/>
    <n v="17"/>
  </r>
  <r>
    <s v="CMP-01188"/>
    <s v="Q3_Launch_CMP-01188"/>
    <d v="2023-01-18T00:00:00"/>
    <x v="11"/>
    <d v="2023-02-03T00:00:00"/>
    <x v="2"/>
    <n v="74319"/>
    <n v="2925"/>
    <n v="422"/>
    <x v="1"/>
    <x v="853"/>
    <n v="3.9357364873047272E-2"/>
    <n v="0.68806153846153839"/>
    <n v="4.7691469194312797"/>
    <n v="19087.419999999998"/>
    <n v="0.14427350427350427"/>
    <x v="2"/>
    <x v="1"/>
    <n v="2023"/>
    <s v="Wed"/>
    <n v="16"/>
  </r>
  <r>
    <s v="CMP-01189"/>
    <s v="Q4_Summer_CMP-01189"/>
    <d v="2023-10-20T00:00:00"/>
    <x v="3"/>
    <d v="2023-11-02T00:00:00"/>
    <x v="3"/>
    <n v="18368"/>
    <n v="743"/>
    <n v="120"/>
    <x v="1"/>
    <x v="854"/>
    <n v="4.0450783972125433E-2"/>
    <n v="0.88041722745625839"/>
    <n v="5.4512499999999999"/>
    <n v="5345.85"/>
    <n v="0.16150740242261102"/>
    <x v="0"/>
    <x v="0"/>
    <n v="2023"/>
    <s v="Fri"/>
    <n v="13"/>
  </r>
  <r>
    <s v="CMP-01190"/>
    <s v="Q3_BlackFriday_CMP-01190"/>
    <d v="2023-03-03T00:00:00"/>
    <x v="5"/>
    <d v="2023-03-28T00:00:00"/>
    <x v="3"/>
    <n v="16328"/>
    <n v="770"/>
    <n v="62"/>
    <x v="0"/>
    <x v="855"/>
    <n v="4.7158255756981869E-2"/>
    <n v="1.4631298701298701"/>
    <n v="18.171129032258062"/>
    <n v="1973.39"/>
    <n v="8.0519480519480519E-2"/>
    <x v="1"/>
    <x v="3"/>
    <n v="2023"/>
    <s v="Fri"/>
    <n v="25"/>
  </r>
  <r>
    <s v="CMP-01191"/>
    <s v="Q3_BlackFriday_CMP-01191"/>
    <d v="2023-03-27T00:00:00"/>
    <x v="5"/>
    <d v="2023-04-24T00:00:00"/>
    <x v="4"/>
    <n v="57942"/>
    <n v="650"/>
    <n v="84"/>
    <x v="1"/>
    <x v="856"/>
    <n v="1.1218114666390529E-2"/>
    <n v="0.91330769230769226"/>
    <n v="7.0672619047619047"/>
    <n v="3606.35"/>
    <n v="0.12923076923076923"/>
    <x v="1"/>
    <x v="3"/>
    <n v="2023"/>
    <s v="Mon"/>
    <n v="28"/>
  </r>
  <r>
    <s v="CMP-01192"/>
    <s v="Q4_Winter_CMP-01192"/>
    <d v="2023-06-03T00:00:00"/>
    <x v="9"/>
    <d v="2023-07-03T00:00:00"/>
    <x v="0"/>
    <n v="92751"/>
    <n v="4162"/>
    <n v="668"/>
    <x v="0"/>
    <x v="10"/>
    <n v="4.4872831559767547E-2"/>
    <n v="0.87259971167707828"/>
    <n v="5.4367664670658682"/>
    <n v="29768.240000000002"/>
    <n v="0.16049975973089861"/>
    <x v="3"/>
    <x v="2"/>
    <n v="2023"/>
    <s v="Sat"/>
    <n v="30"/>
  </r>
  <r>
    <s v="CMP-01193"/>
    <s v="Q4_Launch_CMP-01193"/>
    <d v="2023-02-10T00:00:00"/>
    <x v="6"/>
    <d v="2023-03-05T00:00:00"/>
    <x v="0"/>
    <n v="28306"/>
    <n v="880"/>
    <n v="126"/>
    <x v="1"/>
    <x v="857"/>
    <n v="3.1088815092206599E-2"/>
    <n v="0.68254545454545457"/>
    <n v="4.7669841269841271"/>
    <n v="5699.36"/>
    <n v="0.14318181818181819"/>
    <x v="2"/>
    <x v="1"/>
    <n v="2023"/>
    <s v="Fri"/>
    <n v="23"/>
  </r>
  <r>
    <s v="CMP-01194"/>
    <s v="Q2_Winter_CMP-01194"/>
    <d v="2023-11-18T00:00:00"/>
    <x v="0"/>
    <d v="2023-12-07T00:00:00"/>
    <x v="3"/>
    <n v="86451"/>
    <n v="3051"/>
    <m/>
    <x v="0"/>
    <x v="10"/>
    <n v="3.5291668112572443E-2"/>
    <n v="1.1903507046869879"/>
    <n v="0"/>
    <n v="-3631.7599999999998"/>
    <n v="0"/>
    <x v="0"/>
    <x v="2"/>
    <n v="2023"/>
    <s v="Sat"/>
    <n v="19"/>
  </r>
  <r>
    <s v="CMP-01195"/>
    <s v="Q4_BlackFriday_CMP-01195"/>
    <d v="2023-06-13T00:00:00"/>
    <x v="9"/>
    <d v="2023-07-06T00:00:00"/>
    <x v="1"/>
    <n v="40915"/>
    <n v="1463"/>
    <n v="283"/>
    <x v="0"/>
    <x v="858"/>
    <n v="3.575705731394354E-2"/>
    <n v="0.97411483253588527"/>
    <n v="5.0357950530035342"/>
    <n v="12724.869999999999"/>
    <n v="0.19343814080656185"/>
    <x v="3"/>
    <x v="3"/>
    <n v="2023"/>
    <s v="Tue"/>
    <n v="23"/>
  </r>
  <r>
    <s v="CMP-01196"/>
    <s v="Q4_Summer_CMP-01196"/>
    <d v="2023-04-02T00:00:00"/>
    <x v="4"/>
    <d v="2023-05-02T00:00:00"/>
    <x v="2"/>
    <n v="38219"/>
    <n v="1635"/>
    <n v="247"/>
    <x v="0"/>
    <x v="859"/>
    <n v="4.2779769224731153E-2"/>
    <n v="1.4404525993883792"/>
    <n v="9.5349797570850203"/>
    <n v="9994.86"/>
    <n v="0.1510703363914373"/>
    <x v="1"/>
    <x v="0"/>
    <n v="2023"/>
    <s v="Sun"/>
    <n v="30"/>
  </r>
  <r>
    <s v="CMP-01197"/>
    <s v="Q1_Launch_CMP-01197"/>
    <d v="2023-10-12T00:00:00"/>
    <x v="3"/>
    <d v="2023-11-11T00:00:00"/>
    <x v="4"/>
    <n v="81879"/>
    <n v="1910"/>
    <n v="355"/>
    <x v="0"/>
    <x v="860"/>
    <n v="2.3327104630002808E-2"/>
    <n v="1.7125916230366494"/>
    <n v="9.2142253521126758"/>
    <n v="14478.95"/>
    <n v="0.18586387434554974"/>
    <x v="0"/>
    <x v="1"/>
    <n v="2023"/>
    <s v="Thu"/>
    <n v="30"/>
  </r>
  <r>
    <s v="CMP-01198"/>
    <s v="Q3_Summer_CMP-01198"/>
    <d v="2023-05-22T00:00:00"/>
    <x v="1"/>
    <d v="2023-06-13T00:00:00"/>
    <x v="2"/>
    <n v="65644"/>
    <n v="2581"/>
    <n v="411"/>
    <x v="0"/>
    <x v="10"/>
    <n v="3.9318140271768935E-2"/>
    <n v="1.40711352189074"/>
    <n v="8.8363990267639902"/>
    <n v="16918.240000000002"/>
    <n v="0.15924060441689267"/>
    <x v="1"/>
    <x v="0"/>
    <n v="2023"/>
    <s v="Mon"/>
    <n v="22"/>
  </r>
  <r>
    <s v="CMP-01199"/>
    <s v="Q2_BlackFriday_CMP-01199"/>
    <d v="2023-01-07T00:00:00"/>
    <x v="11"/>
    <d v="2023-01-27T00:00:00"/>
    <x v="3"/>
    <n v="61279"/>
    <n v="1908"/>
    <m/>
    <x v="0"/>
    <x v="861"/>
    <n v="3.1136278333523719E-2"/>
    <n v="0.9436215932914046"/>
    <n v="0"/>
    <n v="-1800.43"/>
    <n v="0"/>
    <x v="2"/>
    <x v="3"/>
    <n v="2023"/>
    <s v="Sat"/>
    <n v="20"/>
  </r>
  <r>
    <s v="CMP-01200"/>
    <s v="Q3_BlackFriday_CMP-01200"/>
    <d v="2023-09-25T00:00:00"/>
    <x v="10"/>
    <d v="2023-10-15T00:00:00"/>
    <x v="2"/>
    <n v="54028"/>
    <n v="2254"/>
    <n v="139"/>
    <x v="1"/>
    <x v="862"/>
    <n v="4.1719108610350192E-2"/>
    <n v="0.88361579414374447"/>
    <n v="14.328561151079137"/>
    <n v="4958.33"/>
    <n v="6.1668145519077198E-2"/>
    <x v="0"/>
    <x v="3"/>
    <n v="2023"/>
    <s v="Mon"/>
    <n v="20"/>
  </r>
  <r>
    <s v="CMP-01201"/>
    <s v="Q3_Launch_CMP-01201"/>
    <d v="2023-03-18T00:00:00"/>
    <x v="5"/>
    <d v="2023-04-09T00:00:00"/>
    <x v="4"/>
    <n v="1126"/>
    <n v="55"/>
    <n v="5"/>
    <x v="1"/>
    <x v="0"/>
    <n v="4.8845470692717587E-2"/>
    <n v="5.9842272727272725"/>
    <n v="65.826499999999996"/>
    <n v="-79.132499999999993"/>
    <n v="9.0909090909090912E-2"/>
    <x v="1"/>
    <x v="1"/>
    <n v="2023"/>
    <s v="Sat"/>
    <n v="22"/>
  </r>
  <r>
    <s v="CMP-01202"/>
    <s v="Q4_Summer_CMP-01202"/>
    <d v="2023-02-21T00:00:00"/>
    <x v="6"/>
    <d v="2023-03-19T00:00:00"/>
    <x v="2"/>
    <n v="53329"/>
    <n v="961"/>
    <n v="171"/>
    <x v="1"/>
    <x v="863"/>
    <n v="1.8020214142399071E-2"/>
    <n v="0.74693028095733605"/>
    <n v="4.1976608187134499"/>
    <n v="7832.2"/>
    <n v="0.17793964620187305"/>
    <x v="2"/>
    <x v="0"/>
    <n v="2023"/>
    <s v="Tue"/>
    <n v="26"/>
  </r>
  <r>
    <s v="CMP-01203"/>
    <s v="Q2_Winter_CMP-01203"/>
    <d v="2023-02-21T00:00:00"/>
    <x v="6"/>
    <d v="2023-03-12T00:00:00"/>
    <x v="3"/>
    <n v="28632"/>
    <n v="1425"/>
    <m/>
    <x v="1"/>
    <x v="864"/>
    <n v="4.9769488683989942E-2"/>
    <n v="0.7717543859649123"/>
    <n v="0"/>
    <n v="-1099.75"/>
    <n v="0"/>
    <x v="2"/>
    <x v="2"/>
    <n v="2023"/>
    <s v="Tue"/>
    <n v="19"/>
  </r>
  <r>
    <s v="CMP-01204"/>
    <s v="Q3_Launch_CMP-01204"/>
    <d v="2023-06-26T00:00:00"/>
    <x v="9"/>
    <d v="2023-07-01T00:00:00"/>
    <x v="2"/>
    <n v="66310"/>
    <n v="901"/>
    <n v="60"/>
    <x v="1"/>
    <x v="865"/>
    <n v="1.3587694163776204E-2"/>
    <n v="1.6860377358490566"/>
    <n v="25.318666666666665"/>
    <n v="1480.88"/>
    <n v="6.6592674805771371E-2"/>
    <x v="3"/>
    <x v="1"/>
    <n v="2023"/>
    <s v="Mon"/>
    <n v="5"/>
  </r>
  <r>
    <s v="CMP-01205"/>
    <s v="Q4_Summer_CMP-01205"/>
    <d v="2023-12-02T00:00:00"/>
    <x v="2"/>
    <d v="2023-12-18T00:00:00"/>
    <x v="2"/>
    <n v="56176"/>
    <n v="566"/>
    <n v="55"/>
    <x v="1"/>
    <x v="866"/>
    <n v="1.0075477072059242E-2"/>
    <n v="1.0771024734982333"/>
    <n v="11.084363636363635"/>
    <n v="2140.36"/>
    <n v="9.7173144876325085E-2"/>
    <x v="2"/>
    <x v="0"/>
    <n v="2023"/>
    <s v="Sat"/>
    <n v="16"/>
  </r>
  <r>
    <s v="CMP-01206"/>
    <s v="Q3_Launch_CMP-01206"/>
    <d v="2023-01-20T00:00:00"/>
    <x v="11"/>
    <d v="2023-01-31T00:00:00"/>
    <x v="0"/>
    <n v="87066"/>
    <n v="1024"/>
    <m/>
    <x v="1"/>
    <x v="867"/>
    <n v="1.1761192658443021E-2"/>
    <n v="1.1539941406250001"/>
    <n v="0"/>
    <n v="-1181.69"/>
    <n v="0"/>
    <x v="2"/>
    <x v="1"/>
    <n v="2023"/>
    <s v="Fri"/>
    <n v="11"/>
  </r>
  <r>
    <s v="CMP-01207"/>
    <s v="Q2_Launch_CMP-01207"/>
    <d v="2023-11-13T00:00:00"/>
    <x v="0"/>
    <d v="2023-11-16T00:00:00"/>
    <x v="3"/>
    <n v="45327"/>
    <n v="1072"/>
    <n v="202"/>
    <x v="0"/>
    <x v="868"/>
    <n v="2.3650362918348888E-2"/>
    <n v="1.3910727611940299"/>
    <n v="7.3823267326732678"/>
    <n v="8608.77"/>
    <n v="0.18843283582089551"/>
    <x v="0"/>
    <x v="1"/>
    <n v="2023"/>
    <s v="Mon"/>
    <n v="3"/>
  </r>
  <r>
    <s v="CMP-01208"/>
    <s v="Q2_Launch_CMP-01208"/>
    <d v="2023-01-20T00:00:00"/>
    <x v="11"/>
    <d v="2023-02-12T00:00:00"/>
    <x v="3"/>
    <n v="69904"/>
    <n v="2468"/>
    <n v="444"/>
    <x v="0"/>
    <x v="869"/>
    <n v="3.5305561913481345E-2"/>
    <n v="1.3844813614262561"/>
    <n v="7.695720720720721"/>
    <n v="18783.099999999999"/>
    <n v="0.17990275526742303"/>
    <x v="2"/>
    <x v="1"/>
    <n v="2023"/>
    <s v="Fri"/>
    <n v="23"/>
  </r>
  <r>
    <s v="CMP-01209"/>
    <s v="Q1_Summer_CMP-01209"/>
    <d v="2023-12-20T00:00:00"/>
    <x v="2"/>
    <d v="2024-01-05T00:00:00"/>
    <x v="4"/>
    <n v="4797"/>
    <n v="61"/>
    <n v="7"/>
    <x v="1"/>
    <x v="0"/>
    <n v="1.2716281008963937E-2"/>
    <n v="5.3956147540983608"/>
    <n v="47.018928571428567"/>
    <n v="20.867500000000007"/>
    <n v="0.11475409836065574"/>
    <x v="2"/>
    <x v="0"/>
    <n v="2023"/>
    <s v="Wed"/>
    <n v="16"/>
  </r>
  <r>
    <s v="CMP-01210"/>
    <s v="Q4_Winter_CMP-01210"/>
    <d v="2023-05-18T00:00:00"/>
    <x v="1"/>
    <d v="2023-05-29T00:00:00"/>
    <x v="0"/>
    <n v="48882"/>
    <n v="499"/>
    <n v="29"/>
    <x v="1"/>
    <x v="870"/>
    <n v="1.0208256617977987E-2"/>
    <n v="1.7473146292585169"/>
    <n v="30.065862068965515"/>
    <n v="578.09"/>
    <n v="5.8116232464929862E-2"/>
    <x v="1"/>
    <x v="2"/>
    <n v="2023"/>
    <s v="Thu"/>
    <n v="11"/>
  </r>
  <r>
    <s v="CMP-01211"/>
    <s v="Q2_Summer_CMP-01211"/>
    <d v="2023-06-05T00:00:00"/>
    <x v="9"/>
    <d v="2023-06-23T00:00:00"/>
    <x v="0"/>
    <n v="14718"/>
    <n v="698"/>
    <n v="109"/>
    <x v="1"/>
    <x v="871"/>
    <n v="4.7424921864383747E-2"/>
    <n v="0.76598853868194838"/>
    <n v="4.9051376146788987"/>
    <n v="4915.34"/>
    <n v="0.15616045845272206"/>
    <x v="3"/>
    <x v="0"/>
    <n v="2023"/>
    <s v="Mon"/>
    <n v="18"/>
  </r>
  <r>
    <s v="CMP-01212"/>
    <s v="Q3_Winter_CMP-01212"/>
    <d v="2023-12-23T00:00:00"/>
    <x v="2"/>
    <d v="2024-01-09T00:00:00"/>
    <x v="4"/>
    <n v="35560"/>
    <n v="1524"/>
    <m/>
    <x v="0"/>
    <x v="872"/>
    <n v="4.2857142857142858E-2"/>
    <n v="1.5846062992125984"/>
    <n v="0"/>
    <n v="-2414.94"/>
    <n v="0"/>
    <x v="2"/>
    <x v="2"/>
    <n v="2023"/>
    <s v="Sat"/>
    <n v="17"/>
  </r>
  <r>
    <s v="CMP-01213"/>
    <s v="Q2_Launch_CMP-01213"/>
    <d v="2023-04-27T00:00:00"/>
    <x v="4"/>
    <d v="2023-05-17T00:00:00"/>
    <x v="2"/>
    <n v="77589"/>
    <n v="3287"/>
    <n v="642"/>
    <x v="0"/>
    <x v="10"/>
    <n v="4.2364252664681849E-2"/>
    <n v="1.1048859142074841"/>
    <n v="5.6569470404984417"/>
    <n v="28468.240000000002"/>
    <n v="0.19531487678734408"/>
    <x v="1"/>
    <x v="1"/>
    <n v="2023"/>
    <s v="Thu"/>
    <n v="20"/>
  </r>
  <r>
    <s v="CMP-01214"/>
    <s v="Q4_BlackFriday_CMP-01214"/>
    <d v="2023-08-15T00:00:00"/>
    <x v="7"/>
    <d v="2023-09-05T00:00:00"/>
    <x v="2"/>
    <n v="23116"/>
    <n v="1048"/>
    <n v="140"/>
    <x v="1"/>
    <x v="873"/>
    <n v="4.5336563419276693E-2"/>
    <n v="1.5723473282442748"/>
    <n v="11.770142857142856"/>
    <n v="5352.18"/>
    <n v="0.13358778625954199"/>
    <x v="3"/>
    <x v="3"/>
    <n v="2023"/>
    <s v="Tue"/>
    <n v="21"/>
  </r>
  <r>
    <s v="CMP-01215"/>
    <s v="Q2_Launch_CMP-01215"/>
    <d v="2023-08-02T00:00:00"/>
    <x v="7"/>
    <d v="2023-09-01T00:00:00"/>
    <x v="4"/>
    <n v="37244"/>
    <n v="1415"/>
    <n v="142"/>
    <x v="0"/>
    <x v="874"/>
    <n v="3.7992696810224463E-2"/>
    <n v="1.3684664310954064"/>
    <n v="13.636478873239437"/>
    <n v="5163.62"/>
    <n v="0.10035335689045936"/>
    <x v="3"/>
    <x v="1"/>
    <n v="2023"/>
    <s v="Wed"/>
    <n v="30"/>
  </r>
  <r>
    <s v="CMP-01216"/>
    <s v="Q3_BlackFriday_CMP-01216"/>
    <d v="2023-08-15T00:00:00"/>
    <x v="7"/>
    <d v="2023-08-24T00:00:00"/>
    <x v="0"/>
    <n v="2645"/>
    <n v="37"/>
    <m/>
    <x v="0"/>
    <x v="0"/>
    <n v="1.3988657844990548E-2"/>
    <n v="8.8954729729729731"/>
    <n v="0"/>
    <n v="-329.13249999999999"/>
    <n v="0"/>
    <x v="3"/>
    <x v="3"/>
    <n v="2023"/>
    <s v="Tue"/>
    <n v="9"/>
  </r>
  <r>
    <s v="CMP-01217"/>
    <s v="Q3_Summer_CMP-01217"/>
    <d v="2023-09-06T00:00:00"/>
    <x v="10"/>
    <d v="2023-09-27T00:00:00"/>
    <x v="1"/>
    <n v="48523"/>
    <n v="1259"/>
    <n v="247"/>
    <x v="0"/>
    <x v="875"/>
    <n v="2.5946458380561796E-2"/>
    <n v="1.0405639396346307"/>
    <n v="5.3039271255060729"/>
    <n v="11039.93"/>
    <n v="0.19618745035742652"/>
    <x v="0"/>
    <x v="0"/>
    <n v="2023"/>
    <s v="Wed"/>
    <n v="21"/>
  </r>
  <r>
    <s v="CMP-01218"/>
    <s v="Q3_Launch_CMP-01218"/>
    <d v="2023-01-29T00:00:00"/>
    <x v="11"/>
    <d v="2023-02-07T00:00:00"/>
    <x v="1"/>
    <n v="20256"/>
    <n v="788"/>
    <n v="121"/>
    <x v="0"/>
    <x v="876"/>
    <n v="3.8902053712480254E-2"/>
    <n v="1.4072588832487312"/>
    <n v="9.1646280991735551"/>
    <n v="4941.08"/>
    <n v="0.15355329949238578"/>
    <x v="2"/>
    <x v="1"/>
    <n v="2023"/>
    <s v="Sun"/>
    <n v="9"/>
  </r>
  <r>
    <s v="CMP-01219"/>
    <s v="Q2_Launch_CMP-01219"/>
    <d v="2023-06-09T00:00:00"/>
    <x v="9"/>
    <d v="2023-07-09T00:00:00"/>
    <x v="3"/>
    <n v="54173"/>
    <n v="1149"/>
    <n v="173"/>
    <x v="1"/>
    <x v="877"/>
    <n v="2.120982777398335E-2"/>
    <n v="1.0811749347258486"/>
    <n v="7.1807514450867052"/>
    <n v="7407.73"/>
    <n v="0.15056570931244562"/>
    <x v="3"/>
    <x v="1"/>
    <n v="2023"/>
    <s v="Fri"/>
    <n v="30"/>
  </r>
  <r>
    <s v="CMP-01220"/>
    <s v="Q4_Launch_CMP-01220"/>
    <d v="2023-09-26T00:00:00"/>
    <x v="10"/>
    <d v="2023-10-05T00:00:00"/>
    <x v="3"/>
    <n v="38430"/>
    <n v="1440"/>
    <n v="123"/>
    <x v="1"/>
    <x v="878"/>
    <n v="3.7470725995316159E-2"/>
    <n v="1.7952222222222221"/>
    <n v="21.017235772357722"/>
    <n v="3564.88"/>
    <n v="8.5416666666666669E-2"/>
    <x v="0"/>
    <x v="1"/>
    <n v="2023"/>
    <s v="Tue"/>
    <n v="9"/>
  </r>
  <r>
    <s v="CMP-01221"/>
    <s v="Q3_Launch_CMP-01221"/>
    <d v="2023-04-09T00:00:00"/>
    <x v="4"/>
    <d v="2023-05-07T00:00:00"/>
    <x v="3"/>
    <n v="40282"/>
    <n v="442"/>
    <n v="71"/>
    <x v="0"/>
    <x v="879"/>
    <n v="1.0972642867782136E-2"/>
    <n v="0.96321266968325792"/>
    <n v="5.9963380281690144"/>
    <n v="3124.26"/>
    <n v="0.16063348416289594"/>
    <x v="1"/>
    <x v="1"/>
    <n v="2023"/>
    <s v="Sun"/>
    <n v="28"/>
  </r>
  <r>
    <s v="CMP-01222"/>
    <s v="Q2_Winter_CMP-01222"/>
    <d v="2023-01-30T00:00:00"/>
    <x v="11"/>
    <d v="2023-02-09T00:00:00"/>
    <x v="0"/>
    <n v="64374"/>
    <n v="1432"/>
    <n v="232"/>
    <x v="0"/>
    <x v="880"/>
    <n v="2.2245005747662101E-2"/>
    <n v="0.94030027932960891"/>
    <n v="5.8039224137931038"/>
    <n v="10253.49"/>
    <n v="0.16201117318435754"/>
    <x v="2"/>
    <x v="2"/>
    <n v="2023"/>
    <s v="Mon"/>
    <n v="10"/>
  </r>
  <r>
    <s v="CMP-01223"/>
    <s v="Q4_BlackFriday_CMP-01223"/>
    <d v="2023-07-04T00:00:00"/>
    <x v="8"/>
    <d v="2023-07-24T00:00:00"/>
    <x v="3"/>
    <n v="69244"/>
    <n v="2213"/>
    <n v="215"/>
    <x v="0"/>
    <x v="881"/>
    <n v="3.1959447749985562E-2"/>
    <n v="0.89899683687302301"/>
    <n v="9.2533953488372092"/>
    <n v="8760.52"/>
    <n v="9.7153185720741081E-2"/>
    <x v="3"/>
    <x v="3"/>
    <n v="2023"/>
    <s v="Tue"/>
    <n v="20"/>
  </r>
  <r>
    <s v="CMP-01224"/>
    <s v="Q1_BlackFriday_CMP-01224"/>
    <d v="2023-08-26T00:00:00"/>
    <x v="7"/>
    <d v="2023-09-12T00:00:00"/>
    <x v="1"/>
    <n v="12694"/>
    <n v="447"/>
    <n v="54"/>
    <x v="0"/>
    <x v="882"/>
    <n v="3.52134866866236E-2"/>
    <n v="0.99917225950782995"/>
    <n v="8.2709259259259262"/>
    <n v="2253.37"/>
    <n v="0.12080536912751678"/>
    <x v="3"/>
    <x v="3"/>
    <n v="2023"/>
    <s v="Sat"/>
    <n v="17"/>
  </r>
  <r>
    <s v="CMP-01225"/>
    <s v="Q4_Winter_CMP-01225"/>
    <d v="2023-03-05T00:00:00"/>
    <x v="5"/>
    <d v="2023-03-13T00:00:00"/>
    <x v="1"/>
    <n v="57264"/>
    <n v="1894"/>
    <n v="178"/>
    <x v="1"/>
    <x v="883"/>
    <n v="3.3074881251746298E-2"/>
    <n v="1.3361087645195355"/>
    <n v="14.21679775280899"/>
    <n v="6369.41"/>
    <n v="9.398099260823653E-2"/>
    <x v="1"/>
    <x v="2"/>
    <n v="2023"/>
    <s v="Sun"/>
    <n v="8"/>
  </r>
  <r>
    <s v="CMP-01226"/>
    <s v="Q1_Launch_CMP-01226"/>
    <d v="2023-09-08T00:00:00"/>
    <x v="10"/>
    <d v="2023-09-19T00:00:00"/>
    <x v="2"/>
    <n v="76060"/>
    <n v="2883"/>
    <n v="256"/>
    <x v="1"/>
    <x v="10"/>
    <n v="3.7904286089929004E-2"/>
    <n v="1.2597155740548038"/>
    <n v="14.186562499999999"/>
    <n v="9168.24"/>
    <n v="8.8796392646548733E-2"/>
    <x v="0"/>
    <x v="1"/>
    <n v="2023"/>
    <s v="Fri"/>
    <n v="11"/>
  </r>
  <r>
    <s v="CMP-01227"/>
    <s v="Q4_Launch_CMP-01227"/>
    <d v="2023-08-31T00:00:00"/>
    <x v="7"/>
    <d v="2023-09-30T00:00:00"/>
    <x v="4"/>
    <n v="98416"/>
    <n v="1008"/>
    <m/>
    <x v="0"/>
    <x v="884"/>
    <n v="1.0242237034628515E-2"/>
    <n v="1.4938492063492064"/>
    <n v="0"/>
    <n v="-1505.8"/>
    <n v="0"/>
    <x v="3"/>
    <x v="1"/>
    <n v="2023"/>
    <s v="Thu"/>
    <n v="30"/>
  </r>
  <r>
    <s v="CMP-01228"/>
    <s v="Q4_Winter_CMP-01228"/>
    <d v="2023-03-25T00:00:00"/>
    <x v="5"/>
    <d v="2023-04-23T00:00:00"/>
    <x v="2"/>
    <n v="58545"/>
    <n v="821"/>
    <n v="76"/>
    <x v="0"/>
    <x v="885"/>
    <n v="1.4023400802801265E-2"/>
    <n v="1.7115712545676005"/>
    <n v="18.489473684210527"/>
    <n v="2394.8000000000002"/>
    <n v="9.2570036540803896E-2"/>
    <x v="1"/>
    <x v="2"/>
    <n v="2023"/>
    <s v="Sat"/>
    <n v="29"/>
  </r>
  <r>
    <s v="CMP-01229"/>
    <s v="Q1_Winter_CMP-01229"/>
    <d v="2023-12-19T00:00:00"/>
    <x v="2"/>
    <d v="2023-12-30T00:00:00"/>
    <x v="4"/>
    <n v="40224"/>
    <n v="1800"/>
    <n v="239"/>
    <x v="1"/>
    <x v="886"/>
    <n v="4.4749403341288782E-2"/>
    <n v="1.828872222222222"/>
    <n v="13.773933054393305"/>
    <n v="8658.0300000000007"/>
    <n v="0.13277777777777777"/>
    <x v="2"/>
    <x v="2"/>
    <n v="2023"/>
    <s v="Tue"/>
    <n v="11"/>
  </r>
  <r>
    <s v="CMP-01230"/>
    <s v="Q2_Summer_CMP-01230"/>
    <d v="2023-01-15T00:00:00"/>
    <x v="11"/>
    <d v="2023-02-14T00:00:00"/>
    <x v="1"/>
    <n v="98945"/>
    <n v="3687"/>
    <n v="185"/>
    <x v="0"/>
    <x v="10"/>
    <n v="3.7263125979079284E-2"/>
    <n v="0.98501762950908589"/>
    <n v="19.631135135135136"/>
    <n v="5618.24"/>
    <n v="5.0176295090859781E-2"/>
    <x v="2"/>
    <x v="0"/>
    <n v="2023"/>
    <s v="Sun"/>
    <n v="30"/>
  </r>
  <r>
    <s v="CMP-01231"/>
    <s v="Q4_Summer_CMP-01231"/>
    <d v="2023-10-20T00:00:00"/>
    <x v="3"/>
    <d v="2023-10-28T00:00:00"/>
    <x v="1"/>
    <n v="14224"/>
    <n v="206"/>
    <n v="19"/>
    <x v="1"/>
    <x v="0"/>
    <n v="1.4482564679415073E-2"/>
    <n v="1.5977305825242718"/>
    <n v="17.322763157894737"/>
    <n v="620.86750000000006"/>
    <n v="9.2233009708737865E-2"/>
    <x v="0"/>
    <x v="0"/>
    <n v="2023"/>
    <s v="Fri"/>
    <n v="8"/>
  </r>
  <r>
    <s v="CMP-01232"/>
    <s v="Q3_Winter_CMP-01232"/>
    <d v="2023-04-24T00:00:00"/>
    <x v="4"/>
    <d v="2023-05-13T00:00:00"/>
    <x v="4"/>
    <n v="41738"/>
    <n v="1823"/>
    <n v="332"/>
    <x v="0"/>
    <x v="887"/>
    <n v="4.367722459149935E-2"/>
    <n v="1.6038782227098189"/>
    <n v="8.8068373493975898"/>
    <n v="13676.130000000001"/>
    <n v="0.18211738891936369"/>
    <x v="1"/>
    <x v="2"/>
    <n v="2023"/>
    <s v="Mon"/>
    <n v="19"/>
  </r>
  <r>
    <s v="CMP-01233"/>
    <s v="Q2_Launch_CMP-01233"/>
    <d v="2023-05-18T00:00:00"/>
    <x v="1"/>
    <d v="2023-05-25T00:00:00"/>
    <x v="4"/>
    <n v="26150"/>
    <n v="514"/>
    <n v="71"/>
    <x v="0"/>
    <x v="888"/>
    <n v="1.9655831739961761E-2"/>
    <n v="0.81260700389105056"/>
    <n v="5.882816901408451"/>
    <n v="3132.32"/>
    <n v="0.13813229571984437"/>
    <x v="1"/>
    <x v="1"/>
    <n v="2023"/>
    <s v="Thu"/>
    <n v="7"/>
  </r>
  <r>
    <s v="CMP-01234"/>
    <s v="Q1_BlackFriday_CMP-01234"/>
    <d v="2023-12-16T00:00:00"/>
    <x v="2"/>
    <d v="2023-12-28T00:00:00"/>
    <x v="3"/>
    <n v="64731"/>
    <n v="1885"/>
    <n v="266"/>
    <x v="0"/>
    <x v="889"/>
    <n v="2.9120514127697703E-2"/>
    <n v="0.69938992042440318"/>
    <n v="4.9562030075187966"/>
    <n v="11981.65"/>
    <n v="0.14111405835543767"/>
    <x v="2"/>
    <x v="3"/>
    <n v="2023"/>
    <s v="Sat"/>
    <n v="12"/>
  </r>
  <r>
    <s v="CMP-01235"/>
    <s v="Q1_Launch_CMP-01235"/>
    <d v="2023-03-09T00:00:00"/>
    <x v="5"/>
    <d v="2023-03-19T00:00:00"/>
    <x v="1"/>
    <n v="50688"/>
    <n v="801"/>
    <n v="88"/>
    <x v="1"/>
    <x v="890"/>
    <n v="1.580255681818182E-2"/>
    <n v="1.4577278401997504"/>
    <n v="13.268636363636364"/>
    <n v="3232.3599999999997"/>
    <n v="0.10986267166042447"/>
    <x v="1"/>
    <x v="1"/>
    <n v="2023"/>
    <s v="Thu"/>
    <n v="10"/>
  </r>
  <r>
    <s v="CMP-01236"/>
    <s v="Q2_Winter_CMP-01236"/>
    <d v="2023-01-05T00:00:00"/>
    <x v="11"/>
    <d v="2023-01-12T00:00:00"/>
    <x v="4"/>
    <n v="74509"/>
    <n v="2861"/>
    <n v="433"/>
    <x v="0"/>
    <x v="891"/>
    <n v="3.839804587365285E-2"/>
    <n v="0.97961551904928346"/>
    <n v="6.47270207852194"/>
    <n v="18847.32"/>
    <n v="0.15134568332750786"/>
    <x v="2"/>
    <x v="2"/>
    <n v="2023"/>
    <s v="Thu"/>
    <n v="7"/>
  </r>
  <r>
    <s v="CMP-01237"/>
    <s v="Q4_BlackFriday_CMP-01237"/>
    <d v="2023-06-06T00:00:00"/>
    <x v="9"/>
    <d v="2023-07-03T00:00:00"/>
    <x v="1"/>
    <n v="9577"/>
    <n v="351"/>
    <n v="27"/>
    <x v="1"/>
    <x v="0"/>
    <n v="3.6650308029654383E-2"/>
    <n v="0.93769943019943014"/>
    <n v="12.190092592592592"/>
    <n v="1020.8675000000001"/>
    <n v="7.6923076923076927E-2"/>
    <x v="3"/>
    <x v="3"/>
    <n v="2023"/>
    <s v="Tue"/>
    <n v="27"/>
  </r>
  <r>
    <s v="CMP-01238"/>
    <s v="Q2_Winter_CMP-01238"/>
    <d v="2023-05-21T00:00:00"/>
    <x v="1"/>
    <d v="2023-06-01T00:00:00"/>
    <x v="3"/>
    <n v="9070"/>
    <n v="167"/>
    <n v="28"/>
    <x v="0"/>
    <x v="0"/>
    <n v="1.8412348401323043E-2"/>
    <n v="1.9708532934131735"/>
    <n v="11.754732142857142"/>
    <n v="1070.8675000000001"/>
    <n v="0.16766467065868262"/>
    <x v="1"/>
    <x v="2"/>
    <n v="2023"/>
    <s v="Sun"/>
    <n v="11"/>
  </r>
  <r>
    <s v="CMP-01239"/>
    <s v="Q4_Winter_CMP-01239"/>
    <d v="2023-06-28T00:00:00"/>
    <x v="9"/>
    <d v="2023-07-15T00:00:00"/>
    <x v="1"/>
    <n v="9666"/>
    <n v="430"/>
    <n v="29"/>
    <x v="1"/>
    <x v="0"/>
    <n v="4.4485826608731634E-2"/>
    <n v="0.76542441860465116"/>
    <n v="11.349396551724137"/>
    <n v="1120.8675000000001"/>
    <n v="6.7441860465116285E-2"/>
    <x v="3"/>
    <x v="2"/>
    <n v="2023"/>
    <s v="Wed"/>
    <n v="17"/>
  </r>
  <r>
    <s v="CMP-01240"/>
    <s v="Q3_Winter_CMP-01240"/>
    <d v="2023-06-04T00:00:00"/>
    <x v="9"/>
    <d v="2023-06-26T00:00:00"/>
    <x v="3"/>
    <n v="58761"/>
    <n v="1530"/>
    <n v="227"/>
    <x v="1"/>
    <x v="892"/>
    <n v="2.6037678051769032E-2"/>
    <n v="1.8548366013071895"/>
    <n v="12.501762114537446"/>
    <n v="8512.1"/>
    <n v="0.14836601307189543"/>
    <x v="3"/>
    <x v="2"/>
    <n v="2023"/>
    <s v="Sun"/>
    <n v="22"/>
  </r>
  <r>
    <s v="CMP-01241"/>
    <s v="Q3_Summer_CMP-01241"/>
    <d v="2023-07-23T00:00:00"/>
    <x v="8"/>
    <d v="2023-08-06T00:00:00"/>
    <x v="3"/>
    <n v="37368"/>
    <n v="810"/>
    <n v="81"/>
    <x v="1"/>
    <x v="893"/>
    <n v="2.1676300578034682E-2"/>
    <n v="0.53692592592592592"/>
    <n v="5.3692592592592598"/>
    <n v="3615.09"/>
    <n v="0.1"/>
    <x v="3"/>
    <x v="0"/>
    <n v="2023"/>
    <s v="Sun"/>
    <n v="14"/>
  </r>
  <r>
    <s v="CMP-01242"/>
    <s v="Q1_Winter_CMP-01242"/>
    <d v="2023-12-06T00:00:00"/>
    <x v="2"/>
    <d v="2023-12-15T00:00:00"/>
    <x v="4"/>
    <n v="7783"/>
    <n v="125"/>
    <n v="20"/>
    <x v="1"/>
    <x v="0"/>
    <n v="1.6060644995503019E-2"/>
    <n v="2.63306"/>
    <n v="16.456624999999999"/>
    <n v="670.86750000000006"/>
    <n v="0.16"/>
    <x v="2"/>
    <x v="2"/>
    <n v="2023"/>
    <s v="Wed"/>
    <n v="9"/>
  </r>
  <r>
    <s v="CMP-01243"/>
    <s v="Q4_Launch_CMP-01243"/>
    <d v="2023-10-15T00:00:00"/>
    <x v="3"/>
    <d v="2023-10-24T00:00:00"/>
    <x v="2"/>
    <n v="42914"/>
    <n v="886"/>
    <n v="117"/>
    <x v="0"/>
    <x v="894"/>
    <n v="2.0645943048888473E-2"/>
    <n v="1.1243905191873589"/>
    <n v="8.5146153846153858"/>
    <n v="4853.79"/>
    <n v="0.13205417607223477"/>
    <x v="0"/>
    <x v="1"/>
    <n v="2023"/>
    <s v="Sun"/>
    <n v="9"/>
  </r>
  <r>
    <s v="CMP-01244"/>
    <s v="Q2_Launch_CMP-01244"/>
    <d v="2023-06-02T00:00:00"/>
    <x v="9"/>
    <d v="2023-06-22T00:00:00"/>
    <x v="2"/>
    <n v="71507"/>
    <n v="778"/>
    <n v="91"/>
    <x v="0"/>
    <x v="895"/>
    <n v="1.0880053701036263E-2"/>
    <n v="1.0348586118251928"/>
    <n v="8.8474725274725277"/>
    <n v="3744.88"/>
    <n v="0.11696658097686376"/>
    <x v="3"/>
    <x v="1"/>
    <n v="2023"/>
    <s v="Fri"/>
    <n v="20"/>
  </r>
  <r>
    <s v="CMP-01245"/>
    <s v="Q2_Winter_CMP-01245"/>
    <d v="2023-06-22T00:00:00"/>
    <x v="9"/>
    <d v="2023-07-06T00:00:00"/>
    <x v="1"/>
    <n v="80026"/>
    <n v="2667"/>
    <n v="201"/>
    <x v="1"/>
    <x v="10"/>
    <n v="3.3326668832629393E-2"/>
    <n v="1.361739782527184"/>
    <n v="18.068457711442786"/>
    <n v="6418.24"/>
    <n v="7.536557930258718E-2"/>
    <x v="3"/>
    <x v="2"/>
    <n v="2023"/>
    <s v="Thu"/>
    <n v="14"/>
  </r>
  <r>
    <s v="CMP-01246"/>
    <s v="Q4_Summer_CMP-01246"/>
    <d v="2023-05-22T00:00:00"/>
    <x v="1"/>
    <d v="2023-06-13T00:00:00"/>
    <x v="3"/>
    <n v="68526"/>
    <n v="2993"/>
    <n v="435"/>
    <x v="0"/>
    <x v="896"/>
    <n v="4.3676852581501911E-2"/>
    <n v="0.56043434680922155"/>
    <n v="3.8560459770114943"/>
    <n v="20072.62"/>
    <n v="0.14533912462412296"/>
    <x v="1"/>
    <x v="0"/>
    <n v="2023"/>
    <s v="Mon"/>
    <n v="22"/>
  </r>
  <r>
    <s v="CMP-01247"/>
    <s v="Q3_Winter_CMP-01247"/>
    <d v="2023-11-30T00:00:00"/>
    <x v="0"/>
    <d v="2023-12-22T00:00:00"/>
    <x v="3"/>
    <n v="71835"/>
    <n v="2295"/>
    <n v="450"/>
    <x v="0"/>
    <x v="897"/>
    <n v="3.1948214658592607E-2"/>
    <n v="1.268322440087146"/>
    <n v="6.4684444444444447"/>
    <n v="19589.2"/>
    <n v="0.19607843137254902"/>
    <x v="0"/>
    <x v="2"/>
    <n v="2023"/>
    <s v="Thu"/>
    <n v="22"/>
  </r>
  <r>
    <s v="CMP-01248"/>
    <s v="Q2_Launch_CMP-01248"/>
    <d v="2023-05-04T00:00:00"/>
    <x v="1"/>
    <d v="2023-05-11T00:00:00"/>
    <x v="4"/>
    <n v="46765"/>
    <n v="877"/>
    <n v="152"/>
    <x v="1"/>
    <x v="898"/>
    <n v="1.8753341173954882E-2"/>
    <n v="1.5207183580387686"/>
    <n v="8.7741447368421053"/>
    <n v="6266.33"/>
    <n v="0.1733181299885975"/>
    <x v="1"/>
    <x v="1"/>
    <n v="2023"/>
    <s v="Thu"/>
    <n v="7"/>
  </r>
  <r>
    <s v="CMP-01249"/>
    <s v="Q1_Summer_CMP-01249"/>
    <d v="2023-11-04T00:00:00"/>
    <x v="0"/>
    <d v="2023-11-29T00:00:00"/>
    <x v="0"/>
    <n v="20956"/>
    <n v="237"/>
    <n v="13"/>
    <x v="1"/>
    <x v="899"/>
    <n v="1.1309410192784882E-2"/>
    <n v="1.8975527426160339"/>
    <n v="34.593846153846158"/>
    <n v="200.27999999999997"/>
    <n v="5.4852320675105488E-2"/>
    <x v="0"/>
    <x v="0"/>
    <n v="2023"/>
    <s v="Sat"/>
    <n v="25"/>
  </r>
  <r>
    <s v="CMP-01250"/>
    <s v="Q1_Launch_CMP-01250"/>
    <d v="2023-03-13T00:00:00"/>
    <x v="5"/>
    <d v="2023-04-02T00:00:00"/>
    <x v="3"/>
    <n v="88895"/>
    <n v="1652"/>
    <n v="175"/>
    <x v="1"/>
    <x v="900"/>
    <n v="1.8583722369087126E-2"/>
    <n v="1.4305569007263923"/>
    <n v="13.504457142857143"/>
    <n v="6386.7199999999993"/>
    <n v="0.1059322033898305"/>
    <x v="1"/>
    <x v="1"/>
    <n v="2023"/>
    <s v="Mon"/>
    <n v="20"/>
  </r>
  <r>
    <s v="CMP-01251"/>
    <s v="Q4_Launch_CMP-01251"/>
    <d v="2023-06-01T00:00:00"/>
    <x v="9"/>
    <d v="2023-06-30T00:00:00"/>
    <x v="2"/>
    <n v="47240"/>
    <n v="1258"/>
    <n v="237"/>
    <x v="1"/>
    <x v="901"/>
    <n v="2.6629974597798475E-2"/>
    <n v="1.7056359300476949"/>
    <n v="9.0535443037974694"/>
    <n v="9704.31"/>
    <n v="0.18839427662957076"/>
    <x v="3"/>
    <x v="1"/>
    <n v="2023"/>
    <s v="Thu"/>
    <n v="29"/>
  </r>
  <r>
    <s v="CMP-01252"/>
    <s v="Q1_Launch_CMP-01252"/>
    <d v="2023-07-18T00:00:00"/>
    <x v="8"/>
    <d v="2023-08-13T00:00:00"/>
    <x v="2"/>
    <n v="38148"/>
    <n v="1540"/>
    <n v="193"/>
    <x v="0"/>
    <x v="902"/>
    <n v="4.0369088811995385E-2"/>
    <n v="0.62558441558441558"/>
    <n v="4.9917098445595851"/>
    <n v="8686.6"/>
    <n v="0.12532467532467531"/>
    <x v="3"/>
    <x v="1"/>
    <n v="2023"/>
    <s v="Tue"/>
    <n v="26"/>
  </r>
  <r>
    <s v="CMP-01253"/>
    <s v="Q3_Summer_CMP-01253"/>
    <d v="2023-10-20T00:00:00"/>
    <x v="3"/>
    <d v="2023-10-25T00:00:00"/>
    <x v="3"/>
    <n v="95270"/>
    <n v="1668"/>
    <n v="249"/>
    <x v="0"/>
    <x v="903"/>
    <n v="1.7508134774850425E-2"/>
    <n v="1.0789088729016787"/>
    <n v="7.2273895582329315"/>
    <n v="10650.380000000001"/>
    <n v="0.14928057553956833"/>
    <x v="0"/>
    <x v="0"/>
    <n v="2023"/>
    <s v="Fri"/>
    <n v="5"/>
  </r>
  <r>
    <s v="CMP-01254"/>
    <s v="Q1_Launch_CMP-01254"/>
    <d v="2024-01-01T00:00:00"/>
    <x v="11"/>
    <d v="2024-01-27T00:00:00"/>
    <x v="1"/>
    <n v="5757"/>
    <n v="223"/>
    <n v="41"/>
    <x v="0"/>
    <x v="0"/>
    <n v="3.8735452492617679E-2"/>
    <n v="1.4759304932735426"/>
    <n v="8.0276219512195119"/>
    <n v="1720.8675000000001"/>
    <n v="0.18385650224215247"/>
    <x v="2"/>
    <x v="1"/>
    <n v="2024"/>
    <s v="Mon"/>
    <n v="26"/>
  </r>
  <r>
    <s v="CMP-01255"/>
    <s v="Q4_Summer_CMP-01255"/>
    <d v="2023-09-01T00:00:00"/>
    <x v="10"/>
    <d v="2023-09-26T00:00:00"/>
    <x v="4"/>
    <n v="20097"/>
    <n v="897"/>
    <n v="162"/>
    <x v="1"/>
    <x v="904"/>
    <n v="4.4633527392148084E-2"/>
    <n v="1.8294314381270902"/>
    <n v="10.12962962962963"/>
    <n v="6459"/>
    <n v="0.1806020066889632"/>
    <x v="0"/>
    <x v="0"/>
    <n v="2023"/>
    <s v="Fri"/>
    <n v="25"/>
  </r>
  <r>
    <s v="CMP-01256"/>
    <s v="Q3_Launch_CMP-01256"/>
    <d v="2023-09-17T00:00:00"/>
    <x v="10"/>
    <d v="2023-10-10T00:00:00"/>
    <x v="2"/>
    <n v="11395"/>
    <n v="320"/>
    <n v="40"/>
    <x v="0"/>
    <x v="0"/>
    <n v="2.8082492321193506E-2"/>
    <n v="1.0285390624999999"/>
    <n v="8.2283124999999995"/>
    <n v="1670.8675000000001"/>
    <n v="0.125"/>
    <x v="0"/>
    <x v="1"/>
    <n v="2023"/>
    <s v="Sun"/>
    <n v="23"/>
  </r>
  <r>
    <s v="CMP-01257"/>
    <s v="Q1_BlackFriday_CMP-01257"/>
    <d v="2023-12-03T00:00:00"/>
    <x v="2"/>
    <d v="2023-12-13T00:00:00"/>
    <x v="0"/>
    <n v="17241"/>
    <n v="738"/>
    <m/>
    <x v="1"/>
    <x v="905"/>
    <n v="4.2804941708717591E-2"/>
    <n v="0.72783197831978319"/>
    <n v="0"/>
    <n v="-537.14"/>
    <n v="0"/>
    <x v="2"/>
    <x v="3"/>
    <n v="2023"/>
    <s v="Sun"/>
    <n v="10"/>
  </r>
  <r>
    <s v="CMP-01258"/>
    <s v="Q4_Launch_CMP-01258"/>
    <d v="2023-02-19T00:00:00"/>
    <x v="6"/>
    <d v="2023-02-26T00:00:00"/>
    <x v="1"/>
    <n v="28696"/>
    <n v="923"/>
    <n v="93"/>
    <x v="1"/>
    <x v="906"/>
    <n v="3.2164761639252859E-2"/>
    <n v="0.99283856988082342"/>
    <n v="9.8536559139784945"/>
    <n v="3733.61"/>
    <n v="0.10075839653304441"/>
    <x v="2"/>
    <x v="1"/>
    <n v="2023"/>
    <s v="Sun"/>
    <n v="7"/>
  </r>
  <r>
    <s v="CMP-01259"/>
    <s v="Q4_Summer_CMP-01259"/>
    <d v="2023-10-14T00:00:00"/>
    <x v="3"/>
    <d v="2023-11-05T00:00:00"/>
    <x v="2"/>
    <n v="71480"/>
    <n v="2536"/>
    <n v="400"/>
    <x v="0"/>
    <x v="907"/>
    <n v="3.547845551203134E-2"/>
    <n v="0.58169952681388015"/>
    <n v="3.6879750000000002"/>
    <n v="18524.810000000001"/>
    <n v="0.15772870662460567"/>
    <x v="0"/>
    <x v="0"/>
    <n v="2023"/>
    <s v="Sat"/>
    <n v="22"/>
  </r>
  <r>
    <s v="CMP-01260"/>
    <s v="Q1_Winter_CMP-01260"/>
    <d v="2023-12-15T00:00:00"/>
    <x v="2"/>
    <d v="2024-01-06T00:00:00"/>
    <x v="2"/>
    <n v="47163"/>
    <n v="1464"/>
    <n v="136"/>
    <x v="0"/>
    <x v="908"/>
    <n v="3.1041282361172953E-2"/>
    <n v="0.77368852459016402"/>
    <n v="8.3285294117647055"/>
    <n v="5667.32"/>
    <n v="9.2896174863387984E-2"/>
    <x v="2"/>
    <x v="2"/>
    <n v="2023"/>
    <s v="Fri"/>
    <n v="22"/>
  </r>
  <r>
    <s v="CMP-01261"/>
    <s v="Q3_Summer_CMP-01261"/>
    <d v="2023-04-24T00:00:00"/>
    <x v="4"/>
    <d v="2023-05-06T00:00:00"/>
    <x v="2"/>
    <n v="20816"/>
    <n v="593"/>
    <n v="51"/>
    <x v="0"/>
    <x v="909"/>
    <n v="2.8487701767870868E-2"/>
    <n v="1.9478077571669477"/>
    <n v="22.648039215686275"/>
    <n v="1394.95"/>
    <n v="8.6003372681281623E-2"/>
    <x v="1"/>
    <x v="0"/>
    <n v="2023"/>
    <s v="Mon"/>
    <n v="12"/>
  </r>
  <r>
    <s v="CMP-01262"/>
    <s v="Q2_BlackFriday_CMP-01262"/>
    <d v="2023-06-07T00:00:00"/>
    <x v="9"/>
    <d v="2023-06-30T00:00:00"/>
    <x v="2"/>
    <n v="50840"/>
    <n v="985"/>
    <n v="101"/>
    <x v="0"/>
    <x v="910"/>
    <n v="1.9374508261211645E-2"/>
    <n v="1.1422741116751269"/>
    <n v="11.14"/>
    <n v="3924.8599999999997"/>
    <n v="0.10253807106598985"/>
    <x v="3"/>
    <x v="3"/>
    <n v="2023"/>
    <s v="Wed"/>
    <n v="23"/>
  </r>
  <r>
    <s v="CMP-01263"/>
    <s v="Q4_BlackFriday_CMP-01263"/>
    <d v="2023-07-10T00:00:00"/>
    <x v="8"/>
    <d v="2023-07-28T00:00:00"/>
    <x v="4"/>
    <n v="53853"/>
    <n v="1191"/>
    <n v="91"/>
    <x v="1"/>
    <x v="911"/>
    <n v="2.2115759567712105E-2"/>
    <n v="1.4480268681780015"/>
    <n v="18.951648351648352"/>
    <n v="2825.4"/>
    <n v="7.6406381192275399E-2"/>
    <x v="3"/>
    <x v="3"/>
    <n v="2023"/>
    <s v="Mon"/>
    <n v="18"/>
  </r>
  <r>
    <s v="CMP-01264"/>
    <s v="Q2_Winter_CMP-01264"/>
    <d v="2023-03-02T00:00:00"/>
    <x v="5"/>
    <d v="2023-03-20T00:00:00"/>
    <x v="2"/>
    <n v="25917"/>
    <n v="559"/>
    <n v="86"/>
    <x v="0"/>
    <x v="912"/>
    <n v="2.1568854419878845E-2"/>
    <n v="1.5891592128801433"/>
    <n v="10.32953488372093"/>
    <n v="3411.66"/>
    <n v="0.15384615384615385"/>
    <x v="1"/>
    <x v="2"/>
    <n v="2023"/>
    <s v="Thu"/>
    <n v="18"/>
  </r>
  <r>
    <s v="CMP-01265"/>
    <s v="Q4_Winter_CMP-01265"/>
    <d v="2023-10-26T00:00:00"/>
    <x v="3"/>
    <d v="2023-11-06T00:00:00"/>
    <x v="0"/>
    <n v="97731"/>
    <n v="3179"/>
    <m/>
    <x v="0"/>
    <x v="913"/>
    <n v="3.2528061720436707E-2"/>
    <n v="1.0504435357030513"/>
    <n v="0"/>
    <n v="-3339.36"/>
    <n v="0"/>
    <x v="0"/>
    <x v="2"/>
    <n v="2023"/>
    <s v="Thu"/>
    <n v="11"/>
  </r>
  <r>
    <s v="CMP-01266"/>
    <s v="Q3_Summer_CMP-01266"/>
    <d v="2023-08-30T00:00:00"/>
    <x v="7"/>
    <d v="2023-09-06T00:00:00"/>
    <x v="2"/>
    <n v="22566"/>
    <n v="333"/>
    <n v="40"/>
    <x v="0"/>
    <x v="0"/>
    <n v="1.4756713639989365E-2"/>
    <n v="0.98838588588588583"/>
    <n v="8.2283124999999995"/>
    <n v="1670.8675000000001"/>
    <n v="0.12012012012012012"/>
    <x v="3"/>
    <x v="0"/>
    <n v="2023"/>
    <s v="Wed"/>
    <n v="7"/>
  </r>
  <r>
    <s v="CMP-01267"/>
    <s v="Q3_Summer_CMP-01267"/>
    <d v="2023-12-15T00:00:00"/>
    <x v="2"/>
    <d v="2024-01-10T00:00:00"/>
    <x v="2"/>
    <n v="76452"/>
    <n v="3568"/>
    <n v="387"/>
    <x v="0"/>
    <x v="914"/>
    <n v="4.6669805891278185E-2"/>
    <n v="0.80987107623318377"/>
    <n v="7.4667183462532298"/>
    <n v="16460.38"/>
    <n v="0.10846412556053811"/>
    <x v="2"/>
    <x v="0"/>
    <n v="2023"/>
    <s v="Fri"/>
    <n v="26"/>
  </r>
  <r>
    <s v="CMP-01268"/>
    <s v="Q4_Launch_CMP-01268"/>
    <d v="2023-01-28T00:00:00"/>
    <x v="11"/>
    <d v="2023-02-12T00:00:00"/>
    <x v="3"/>
    <n v="63823"/>
    <n v="2478"/>
    <n v="461"/>
    <x v="1"/>
    <x v="915"/>
    <n v="3.8826128511665073E-2"/>
    <n v="0.96989911218724767"/>
    <n v="5.2134707158351405"/>
    <n v="20646.59"/>
    <n v="0.18603712671509282"/>
    <x v="2"/>
    <x v="1"/>
    <n v="2023"/>
    <s v="Sat"/>
    <n v="15"/>
  </r>
  <r>
    <s v="CMP-01269"/>
    <s v="Q2_BlackFriday_CMP-01269"/>
    <d v="2023-04-13T00:00:00"/>
    <x v="4"/>
    <d v="2023-05-02T00:00:00"/>
    <x v="3"/>
    <n v="21806"/>
    <n v="568"/>
    <n v="30"/>
    <x v="0"/>
    <x v="916"/>
    <n v="2.6047876731174906E-2"/>
    <n v="1.4541021126760563"/>
    <n v="27.530999999999999"/>
    <n v="674.07"/>
    <n v="5.2816901408450703E-2"/>
    <x v="1"/>
    <x v="3"/>
    <n v="2023"/>
    <s v="Thu"/>
    <n v="19"/>
  </r>
  <r>
    <s v="CMP-01270"/>
    <s v="Q3_BlackFriday_CMP-01270"/>
    <d v="2023-08-23T00:00:00"/>
    <x v="7"/>
    <d v="2023-09-09T00:00:00"/>
    <x v="3"/>
    <n v="76520"/>
    <n v="1250"/>
    <n v="206"/>
    <x v="1"/>
    <x v="917"/>
    <n v="1.6335598536330372E-2"/>
    <n v="1.097424"/>
    <n v="6.6591262135922324"/>
    <n v="8928.2199999999993"/>
    <n v="0.1648"/>
    <x v="3"/>
    <x v="3"/>
    <n v="2023"/>
    <s v="Wed"/>
    <n v="17"/>
  </r>
  <r>
    <s v="CMP-01271"/>
    <s v="Q4_BlackFriday_CMP-01271"/>
    <d v="2023-04-03T00:00:00"/>
    <x v="4"/>
    <d v="2023-04-09T00:00:00"/>
    <x v="4"/>
    <n v="2759"/>
    <n v="124"/>
    <n v="22"/>
    <x v="0"/>
    <x v="0"/>
    <n v="4.49438202247191E-2"/>
    <n v="2.6542943548387097"/>
    <n v="14.960568181818182"/>
    <n v="770.86750000000006"/>
    <n v="0.17741935483870969"/>
    <x v="1"/>
    <x v="3"/>
    <n v="2023"/>
    <s v="Mon"/>
    <n v="6"/>
  </r>
  <r>
    <s v="CMP-01272"/>
    <s v="Q4_BlackFriday_CMP-01272"/>
    <d v="2023-11-20T00:00:00"/>
    <x v="0"/>
    <d v="2023-11-24T00:00:00"/>
    <x v="0"/>
    <n v="42949"/>
    <n v="1844"/>
    <n v="215"/>
    <x v="0"/>
    <x v="918"/>
    <n v="4.2934643414282055E-2"/>
    <n v="1.2851084598698481"/>
    <n v="11.022046511627906"/>
    <n v="8380.26"/>
    <n v="0.11659436008676789"/>
    <x v="0"/>
    <x v="3"/>
    <n v="2023"/>
    <s v="Mon"/>
    <n v="4"/>
  </r>
  <r>
    <s v="CMP-01273"/>
    <s v="Q3_Summer_CMP-01273"/>
    <d v="2023-01-30T00:00:00"/>
    <x v="11"/>
    <d v="2023-02-23T00:00:00"/>
    <x v="4"/>
    <n v="93374"/>
    <n v="3629"/>
    <n v="481"/>
    <x v="0"/>
    <x v="10"/>
    <n v="3.8865208730481722E-2"/>
    <n v="1.0007605400936896"/>
    <n v="7.5504365904365898"/>
    <n v="20418.240000000002"/>
    <n v="0.13254340038578122"/>
    <x v="2"/>
    <x v="0"/>
    <n v="2023"/>
    <s v="Mon"/>
    <n v="24"/>
  </r>
  <r>
    <s v="CMP-01274"/>
    <s v="Q2_Winter_CMP-01274"/>
    <d v="2023-05-21T00:00:00"/>
    <x v="1"/>
    <d v="2023-06-14T00:00:00"/>
    <x v="1"/>
    <n v="3482"/>
    <n v="72"/>
    <n v="13"/>
    <x v="0"/>
    <x v="0"/>
    <n v="2.067777139574957E-2"/>
    <n v="4.5712847222222219"/>
    <n v="25.317884615384614"/>
    <n v="320.86750000000001"/>
    <n v="0.18055555555555555"/>
    <x v="1"/>
    <x v="2"/>
    <n v="2023"/>
    <s v="Sun"/>
    <n v="24"/>
  </r>
  <r>
    <s v="CMP-01275"/>
    <s v="Q3_Summer_CMP-01275"/>
    <d v="2023-10-23T00:00:00"/>
    <x v="3"/>
    <d v="2023-11-21T00:00:00"/>
    <x v="1"/>
    <n v="25442"/>
    <n v="663"/>
    <n v="54"/>
    <x v="1"/>
    <x v="919"/>
    <n v="2.6059272069805833E-2"/>
    <n v="1.7378129713423831"/>
    <n v="21.336481481481481"/>
    <n v="1547.83"/>
    <n v="8.1447963800904979E-2"/>
    <x v="0"/>
    <x v="0"/>
    <n v="2023"/>
    <s v="Mon"/>
    <n v="29"/>
  </r>
  <r>
    <s v="CMP-01276"/>
    <s v="Q2_BlackFriday_CMP-01276"/>
    <d v="2023-02-15T00:00:00"/>
    <x v="6"/>
    <d v="2023-02-25T00:00:00"/>
    <x v="2"/>
    <n v="34719"/>
    <n v="489"/>
    <n v="62"/>
    <x v="0"/>
    <x v="920"/>
    <n v="1.4084507042253521E-2"/>
    <n v="1.6925971370143149"/>
    <n v="13.349677419354839"/>
    <n v="2272.3200000000002"/>
    <n v="0.12678936605316973"/>
    <x v="2"/>
    <x v="3"/>
    <n v="2023"/>
    <s v="Wed"/>
    <n v="10"/>
  </r>
  <r>
    <s v="CMP-01277"/>
    <s v="Q3_BlackFriday_CMP-01277"/>
    <d v="2023-08-08T00:00:00"/>
    <x v="7"/>
    <d v="2023-08-29T00:00:00"/>
    <x v="2"/>
    <n v="59066"/>
    <n v="1037"/>
    <n v="125"/>
    <x v="0"/>
    <x v="921"/>
    <n v="1.7556631564690346E-2"/>
    <n v="0.98559305689488907"/>
    <n v="8.1764799999999997"/>
    <n v="5227.9400000000005"/>
    <n v="0.12054001928640308"/>
    <x v="3"/>
    <x v="3"/>
    <n v="2023"/>
    <s v="Tue"/>
    <n v="21"/>
  </r>
  <r>
    <s v="CMP-01278"/>
    <s v="Q3_Winter_CMP-01278"/>
    <d v="2023-07-16T00:00:00"/>
    <x v="8"/>
    <d v="2023-07-24T00:00:00"/>
    <x v="2"/>
    <n v="94501"/>
    <n v="3904"/>
    <n v="346"/>
    <x v="0"/>
    <x v="10"/>
    <n v="4.1311732150982529E-2"/>
    <n v="0.93026639344262285"/>
    <n v="10.496416184971098"/>
    <n v="13668.24"/>
    <n v="8.8627049180327863E-2"/>
    <x v="3"/>
    <x v="2"/>
    <n v="2023"/>
    <s v="Sun"/>
    <n v="8"/>
  </r>
  <r>
    <s v="CMP-01279"/>
    <s v="Q3_Launch_CMP-01279"/>
    <d v="2023-10-01T00:00:00"/>
    <x v="3"/>
    <d v="2023-10-08T00:00:00"/>
    <x v="0"/>
    <n v="3079"/>
    <n v="118"/>
    <n v="20"/>
    <x v="1"/>
    <x v="0"/>
    <n v="3.8324131211432286E-2"/>
    <n v="2.789258474576271"/>
    <n v="16.456624999999999"/>
    <n v="670.86750000000006"/>
    <n v="0.16949152542372881"/>
    <x v="0"/>
    <x v="1"/>
    <n v="2023"/>
    <s v="Sun"/>
    <n v="7"/>
  </r>
  <r>
    <s v="CMP-01280"/>
    <s v="Q4_BlackFriday_CMP-01280"/>
    <d v="2023-01-08T00:00:00"/>
    <x v="11"/>
    <d v="2023-01-28T00:00:00"/>
    <x v="0"/>
    <n v="3717"/>
    <n v="125"/>
    <n v="23"/>
    <x v="0"/>
    <x v="0"/>
    <n v="3.3629270917406508E-2"/>
    <n v="2.63306"/>
    <n v="14.310108695652174"/>
    <n v="820.86750000000006"/>
    <n v="0.184"/>
    <x v="2"/>
    <x v="3"/>
    <n v="2023"/>
    <s v="Sun"/>
    <n v="20"/>
  </r>
  <r>
    <s v="CMP-01281"/>
    <s v="Q2_Winter_CMP-01281"/>
    <d v="2023-09-29T00:00:00"/>
    <x v="10"/>
    <d v="2023-10-25T00:00:00"/>
    <x v="0"/>
    <n v="60676"/>
    <n v="2780"/>
    <n v="465"/>
    <x v="1"/>
    <x v="10"/>
    <n v="4.5817127035401146E-2"/>
    <n v="1.306388489208633"/>
    <n v="7.8102365591397849"/>
    <n v="19618.240000000002"/>
    <n v="0.1672661870503597"/>
    <x v="0"/>
    <x v="2"/>
    <n v="2023"/>
    <s v="Fri"/>
    <n v="26"/>
  </r>
  <r>
    <s v="CMP-01282"/>
    <s v="Q2_BlackFriday_CMP-01282"/>
    <d v="2023-11-17T00:00:00"/>
    <x v="0"/>
    <d v="2023-12-08T00:00:00"/>
    <x v="0"/>
    <n v="28952"/>
    <n v="964"/>
    <n v="76"/>
    <x v="1"/>
    <x v="922"/>
    <n v="3.3296490743299254E-2"/>
    <n v="0.538350622406639"/>
    <n v="6.8285526315789475"/>
    <n v="3281.0299999999997"/>
    <n v="7.8838174273858919E-2"/>
    <x v="0"/>
    <x v="3"/>
    <n v="2023"/>
    <s v="Fri"/>
    <n v="21"/>
  </r>
  <r>
    <s v="CMP-01283"/>
    <s v="Q4_BlackFriday_CMP-01283"/>
    <d v="2023-06-26T00:00:00"/>
    <x v="9"/>
    <d v="2023-07-23T00:00:00"/>
    <x v="0"/>
    <n v="87444"/>
    <n v="2507"/>
    <n v="157"/>
    <x v="0"/>
    <x v="10"/>
    <n v="2.866977722885504E-2"/>
    <n v="1.4486477861986438"/>
    <n v="23.132229299363054"/>
    <n v="4218.24"/>
    <n v="6.2624650977263663E-2"/>
    <x v="3"/>
    <x v="3"/>
    <n v="2023"/>
    <s v="Mon"/>
    <n v="27"/>
  </r>
  <r>
    <s v="CMP-01284"/>
    <s v="Q2_Summer_CMP-01284"/>
    <d v="2023-09-15T00:00:00"/>
    <x v="10"/>
    <d v="2023-09-26T00:00:00"/>
    <x v="1"/>
    <n v="43460"/>
    <n v="1026"/>
    <n v="144"/>
    <x v="0"/>
    <x v="923"/>
    <n v="2.3607915324436263E-2"/>
    <n v="1.8548732943469786"/>
    <n v="13.215972222222222"/>
    <n v="5296.9"/>
    <n v="0.14035087719298245"/>
    <x v="0"/>
    <x v="0"/>
    <n v="2023"/>
    <s v="Fri"/>
    <n v="11"/>
  </r>
  <r>
    <s v="CMP-01285"/>
    <s v="Q2_BlackFriday_CMP-01285"/>
    <d v="2023-01-24T00:00:00"/>
    <x v="11"/>
    <d v="2023-01-30T00:00:00"/>
    <x v="1"/>
    <n v="91397"/>
    <n v="4352"/>
    <n v="254"/>
    <x v="0"/>
    <x v="10"/>
    <n v="4.7616442552819022E-2"/>
    <n v="0.83450367647058821"/>
    <n v="14.298267716535433"/>
    <n v="9068.24"/>
    <n v="5.8363970588235295E-2"/>
    <x v="2"/>
    <x v="3"/>
    <n v="2023"/>
    <s v="Tue"/>
    <n v="6"/>
  </r>
  <r>
    <s v="CMP-01286"/>
    <s v="Q2_Summer_CMP-01286"/>
    <d v="2023-09-24T00:00:00"/>
    <x v="10"/>
    <d v="2023-10-23T00:00:00"/>
    <x v="2"/>
    <n v="73847"/>
    <n v="982"/>
    <n v="148"/>
    <x v="1"/>
    <x v="924"/>
    <n v="1.329776429645077E-2"/>
    <n v="1.7185845213849289"/>
    <n v="11.403040540540541"/>
    <n v="5712.35"/>
    <n v="0.15071283095723015"/>
    <x v="0"/>
    <x v="0"/>
    <n v="2023"/>
    <s v="Sun"/>
    <n v="29"/>
  </r>
  <r>
    <s v="CMP-01287"/>
    <s v="Q3_BlackFriday_CMP-01287"/>
    <d v="2023-12-18T00:00:00"/>
    <x v="2"/>
    <d v="2024-01-08T00:00:00"/>
    <x v="1"/>
    <n v="94607"/>
    <n v="4468"/>
    <n v="578"/>
    <x v="1"/>
    <x v="925"/>
    <n v="4.7226949380067017E-2"/>
    <n v="0.62360787824529995"/>
    <n v="4.820553633217993"/>
    <n v="26113.72"/>
    <n v="0.12936436884512087"/>
    <x v="2"/>
    <x v="3"/>
    <n v="2023"/>
    <s v="Mon"/>
    <n v="21"/>
  </r>
  <r>
    <s v="CMP-01288"/>
    <s v="Q4_Launch_CMP-01288"/>
    <d v="2023-09-08T00:00:00"/>
    <x v="10"/>
    <d v="2023-10-04T00:00:00"/>
    <x v="3"/>
    <n v="90106"/>
    <n v="3880"/>
    <n v="579"/>
    <x v="0"/>
    <x v="10"/>
    <n v="4.3060395534148671E-2"/>
    <n v="0.93602061855670093"/>
    <n v="6.2724697754749563"/>
    <n v="25318.240000000002"/>
    <n v="0.14922680412371134"/>
    <x v="0"/>
    <x v="1"/>
    <n v="2023"/>
    <s v="Fri"/>
    <n v="26"/>
  </r>
  <r>
    <s v="CMP-01289"/>
    <s v="Q2_BlackFriday_CMP-01289"/>
    <d v="2023-07-26T00:00:00"/>
    <x v="8"/>
    <d v="2023-08-11T00:00:00"/>
    <x v="1"/>
    <n v="19449"/>
    <n v="295"/>
    <n v="40"/>
    <x v="0"/>
    <x v="926"/>
    <n v="1.5167874955010541E-2"/>
    <n v="1.2284745762711864"/>
    <n v="9.0599999999999987"/>
    <n v="1637.6"/>
    <n v="0.13559322033898305"/>
    <x v="3"/>
    <x v="3"/>
    <n v="2023"/>
    <s v="Wed"/>
    <n v="16"/>
  </r>
  <r>
    <s v="CMP-01290"/>
    <s v="Q2_BlackFriday_CMP-01290"/>
    <d v="2023-04-25T00:00:00"/>
    <x v="4"/>
    <d v="2023-05-07T00:00:00"/>
    <x v="2"/>
    <n v="34536"/>
    <n v="1125"/>
    <n v="127"/>
    <x v="0"/>
    <x v="927"/>
    <n v="3.2574704656011116E-2"/>
    <n v="1.318888888888889"/>
    <n v="11.683070866141732"/>
    <n v="4866.25"/>
    <n v="0.11288888888888889"/>
    <x v="1"/>
    <x v="3"/>
    <n v="2023"/>
    <s v="Tue"/>
    <n v="12"/>
  </r>
  <r>
    <s v="CMP-01291"/>
    <s v="Q3_Launch_CMP-01291"/>
    <d v="2023-01-12T00:00:00"/>
    <x v="11"/>
    <d v="2023-01-20T00:00:00"/>
    <x v="3"/>
    <n v="65077"/>
    <n v="2906"/>
    <n v="232"/>
    <x v="0"/>
    <x v="10"/>
    <n v="4.4654793552253484E-2"/>
    <n v="1.2497453544390915"/>
    <n v="15.654137931034482"/>
    <n v="7968.24"/>
    <n v="7.9834824501032353E-2"/>
    <x v="2"/>
    <x v="1"/>
    <n v="2023"/>
    <s v="Thu"/>
    <n v="8"/>
  </r>
  <r>
    <s v="CMP-01292"/>
    <s v="Q4_Winter_CMP-01292"/>
    <d v="2023-07-07T00:00:00"/>
    <x v="8"/>
    <d v="2023-07-20T00:00:00"/>
    <x v="4"/>
    <n v="39258"/>
    <n v="1290"/>
    <n v="123"/>
    <x v="1"/>
    <x v="928"/>
    <n v="3.2859544551429011E-2"/>
    <n v="1.8069767441860465"/>
    <n v="18.951219512195124"/>
    <n v="3819"/>
    <n v="9.5348837209302331E-2"/>
    <x v="3"/>
    <x v="2"/>
    <n v="2023"/>
    <s v="Fri"/>
    <n v="13"/>
  </r>
  <r>
    <s v="CMP-01293"/>
    <s v="Q4_Winter_CMP-01293"/>
    <d v="2023-07-12T00:00:00"/>
    <x v="8"/>
    <d v="2023-07-28T00:00:00"/>
    <x v="4"/>
    <n v="49302"/>
    <n v="2282"/>
    <n v="293"/>
    <x v="0"/>
    <x v="10"/>
    <n v="4.6286154719889658E-2"/>
    <n v="1.5914811568799299"/>
    <n v="12.395085324232081"/>
    <n v="11018.24"/>
    <n v="0.12839614373356706"/>
    <x v="3"/>
    <x v="2"/>
    <n v="2023"/>
    <s v="Wed"/>
    <n v="16"/>
  </r>
  <r>
    <s v="CMP-01294"/>
    <s v="Q4_Launch_CMP-01294"/>
    <d v="2023-10-01T00:00:00"/>
    <x v="3"/>
    <d v="2023-10-24T00:00:00"/>
    <x v="2"/>
    <n v="29865"/>
    <n v="1425"/>
    <n v="210"/>
    <x v="1"/>
    <x v="929"/>
    <n v="4.7714716223003516E-2"/>
    <n v="0.91054736842105266"/>
    <n v="6.1787142857142854"/>
    <n v="9202.4699999999993"/>
    <n v="0.14736842105263157"/>
    <x v="0"/>
    <x v="1"/>
    <n v="2023"/>
    <s v="Sun"/>
    <n v="23"/>
  </r>
  <r>
    <s v="CMP-01295"/>
    <s v="Q1_Summer_CMP-01295"/>
    <d v="2023-01-25T00:00:00"/>
    <x v="11"/>
    <d v="2023-02-03T00:00:00"/>
    <x v="2"/>
    <n v="7645"/>
    <n v="205"/>
    <n v="34"/>
    <x v="0"/>
    <x v="930"/>
    <n v="2.6814911706998037E-2"/>
    <n v="1.8677073170731706"/>
    <n v="11.261176470588236"/>
    <n v="1317.12"/>
    <n v="0.16585365853658537"/>
    <x v="2"/>
    <x v="0"/>
    <n v="2023"/>
    <s v="Wed"/>
    <n v="9"/>
  </r>
  <r>
    <s v="CMP-01296"/>
    <s v="Q3_Winter_CMP-01296"/>
    <d v="2023-11-01T00:00:00"/>
    <x v="0"/>
    <d v="2023-12-01T00:00:00"/>
    <x v="1"/>
    <n v="39000"/>
    <n v="978"/>
    <m/>
    <x v="0"/>
    <x v="931"/>
    <n v="2.5076923076923077E-2"/>
    <n v="0.64625766871165635"/>
    <n v="0"/>
    <n v="-632.04"/>
    <n v="0"/>
    <x v="0"/>
    <x v="2"/>
    <n v="2023"/>
    <s v="Wed"/>
    <n v="30"/>
  </r>
  <r>
    <s v="CMP-01297"/>
    <s v="Q3_Winter_CMP-01297"/>
    <d v="2023-03-01T00:00:00"/>
    <x v="5"/>
    <d v="2023-03-20T00:00:00"/>
    <x v="4"/>
    <n v="27737"/>
    <n v="1316"/>
    <n v="257"/>
    <x v="0"/>
    <x v="932"/>
    <n v="4.7445650214514905E-2"/>
    <n v="1.7799924012158053"/>
    <n v="9.1146692607003885"/>
    <n v="10507.53"/>
    <n v="0.19528875379939209"/>
    <x v="1"/>
    <x v="2"/>
    <n v="2023"/>
    <s v="Wed"/>
    <n v="19"/>
  </r>
  <r>
    <s v="CMP-01298"/>
    <s v="Q2_Winter_CMP-01298"/>
    <d v="2023-10-08T00:00:00"/>
    <x v="3"/>
    <d v="2023-10-23T00:00:00"/>
    <x v="0"/>
    <n v="12485"/>
    <n v="462"/>
    <n v="42"/>
    <x v="1"/>
    <x v="933"/>
    <n v="3.7004405286343613E-2"/>
    <n v="0.99222943722943724"/>
    <n v="10.914523809523811"/>
    <n v="1641.59"/>
    <n v="9.0909090909090912E-2"/>
    <x v="0"/>
    <x v="2"/>
    <n v="2023"/>
    <s v="Sun"/>
    <n v="15"/>
  </r>
  <r>
    <s v="CMP-01299"/>
    <s v="Q3_Summer_CMP-01299"/>
    <d v="2023-04-16T00:00:00"/>
    <x v="4"/>
    <d v="2023-05-04T00:00:00"/>
    <x v="2"/>
    <n v="39565"/>
    <n v="579"/>
    <n v="35"/>
    <x v="1"/>
    <x v="934"/>
    <n v="1.4634146341463415E-2"/>
    <n v="0.58065630397236612"/>
    <n v="9.605714285714285"/>
    <n v="1413.8"/>
    <n v="6.0449050086355788E-2"/>
    <x v="1"/>
    <x v="0"/>
    <n v="2023"/>
    <s v="Sun"/>
    <n v="18"/>
  </r>
  <r>
    <s v="CMP-01300"/>
    <s v="Q2_BlackFriday_CMP-01300"/>
    <d v="2023-06-04T00:00:00"/>
    <x v="9"/>
    <d v="2023-06-15T00:00:00"/>
    <x v="1"/>
    <n v="26522"/>
    <n v="310"/>
    <n v="31"/>
    <x v="1"/>
    <x v="935"/>
    <n v="1.1688409622200437E-2"/>
    <n v="1.5040322580645162"/>
    <n v="15.040322580645162"/>
    <n v="1083.75"/>
    <n v="0.1"/>
    <x v="3"/>
    <x v="3"/>
    <n v="2023"/>
    <s v="Sun"/>
    <n v="11"/>
  </r>
  <r>
    <s v="CMP-01301"/>
    <s v="Q4_Launch_CMP-01301"/>
    <d v="2023-09-24T00:00:00"/>
    <x v="10"/>
    <d v="2023-09-29T00:00:00"/>
    <x v="2"/>
    <n v="66155"/>
    <n v="2155"/>
    <n v="348"/>
    <x v="0"/>
    <x v="936"/>
    <n v="3.2575013226513488E-2"/>
    <n v="0.84691879350348021"/>
    <n v="5.2445689655172414"/>
    <n v="15574.89"/>
    <n v="0.16148491879350349"/>
    <x v="0"/>
    <x v="1"/>
    <n v="2023"/>
    <s v="Sun"/>
    <n v="5"/>
  </r>
  <r>
    <s v="CMP-01302"/>
    <s v="Q1_Winter_CMP-01302"/>
    <d v="2023-03-12T00:00:00"/>
    <x v="5"/>
    <d v="2023-03-21T00:00:00"/>
    <x v="3"/>
    <n v="56168"/>
    <n v="2651"/>
    <n v="306"/>
    <x v="1"/>
    <x v="937"/>
    <n v="4.7197692636376583E-2"/>
    <n v="0.86535646925688414"/>
    <n v="7.4969281045751632"/>
    <n v="13005.94"/>
    <n v="0.11542814032440589"/>
    <x v="1"/>
    <x v="2"/>
    <n v="2023"/>
    <s v="Sun"/>
    <n v="9"/>
  </r>
  <r>
    <s v="CMP-01303"/>
    <s v="Q2_BlackFriday_CMP-01303"/>
    <d v="2023-09-19T00:00:00"/>
    <x v="10"/>
    <d v="2023-10-09T00:00:00"/>
    <x v="3"/>
    <n v="53487"/>
    <n v="2341"/>
    <n v="404"/>
    <x v="0"/>
    <x v="938"/>
    <n v="4.3767644474358255E-2"/>
    <n v="0.95906877402819302"/>
    <n v="5.5573762376237621"/>
    <n v="17954.82"/>
    <n v="0.17257582229816318"/>
    <x v="0"/>
    <x v="3"/>
    <n v="2023"/>
    <s v="Tue"/>
    <n v="20"/>
  </r>
  <r>
    <s v="CMP-01304"/>
    <s v="Q1_Launch_CMP-01304"/>
    <d v="2023-02-28T00:00:00"/>
    <x v="6"/>
    <d v="2023-03-03T00:00:00"/>
    <x v="3"/>
    <n v="13342"/>
    <n v="494"/>
    <n v="65"/>
    <x v="1"/>
    <x v="0"/>
    <n v="3.702593314345675E-2"/>
    <n v="0.66626012145748992"/>
    <n v="5.0635769230769228"/>
    <n v="2920.8674999999998"/>
    <n v="0.13157894736842105"/>
    <x v="2"/>
    <x v="1"/>
    <n v="2023"/>
    <s v="Tue"/>
    <n v="3"/>
  </r>
  <r>
    <s v="CMP-01305"/>
    <s v="Q1_BlackFriday_CMP-01305"/>
    <d v="2023-11-08T00:00:00"/>
    <x v="0"/>
    <d v="2023-11-17T00:00:00"/>
    <x v="2"/>
    <n v="41806"/>
    <n v="650"/>
    <n v="123"/>
    <x v="1"/>
    <x v="939"/>
    <n v="1.5548007463043582E-2"/>
    <n v="0.76569230769230767"/>
    <n v="4.0463414634146337"/>
    <n v="5652.3"/>
    <n v="0.18923076923076923"/>
    <x v="0"/>
    <x v="3"/>
    <n v="2023"/>
    <s v="Wed"/>
    <n v="9"/>
  </r>
  <r>
    <s v="CMP-01306"/>
    <s v="Q1_BlackFriday_CMP-01306"/>
    <d v="2023-09-25T00:00:00"/>
    <x v="10"/>
    <d v="2023-09-29T00:00:00"/>
    <x v="2"/>
    <n v="49770"/>
    <n v="1003"/>
    <n v="192"/>
    <x v="0"/>
    <x v="940"/>
    <n v="2.0152702431183445E-2"/>
    <n v="0.50770687936191428"/>
    <n v="2.6522395833333334"/>
    <n v="9090.77"/>
    <n v="0.1914257228315055"/>
    <x v="0"/>
    <x v="3"/>
    <n v="2023"/>
    <s v="Mon"/>
    <n v="4"/>
  </r>
  <r>
    <s v="CMP-01307"/>
    <s v="Q1_Summer_CMP-01307"/>
    <d v="2023-07-29T00:00:00"/>
    <x v="8"/>
    <d v="2023-08-11T00:00:00"/>
    <x v="0"/>
    <n v="79623"/>
    <n v="3584"/>
    <n v="216"/>
    <x v="1"/>
    <x v="10"/>
    <n v="4.5012119613679465E-2"/>
    <n v="1.0133258928571427"/>
    <n v="16.813703703703702"/>
    <n v="7168.24"/>
    <n v="6.0267857142857144E-2"/>
    <x v="3"/>
    <x v="0"/>
    <n v="2023"/>
    <s v="Sat"/>
    <n v="13"/>
  </r>
  <r>
    <s v="CMP-01308"/>
    <s v="Q4_Winter_CMP-01308"/>
    <d v="2023-09-12T00:00:00"/>
    <x v="10"/>
    <d v="2023-10-09T00:00:00"/>
    <x v="1"/>
    <n v="76629"/>
    <n v="1326"/>
    <n v="157"/>
    <x v="1"/>
    <x v="941"/>
    <n v="1.730415377990056E-2"/>
    <n v="0.62638009049773757"/>
    <n v="5.2903184713375797"/>
    <n v="7019.42"/>
    <n v="0.11840120663650075"/>
    <x v="0"/>
    <x v="2"/>
    <n v="2023"/>
    <s v="Tue"/>
    <n v="27"/>
  </r>
  <r>
    <s v="CMP-01309"/>
    <s v="Q2_BlackFriday_CMP-01309"/>
    <d v="2023-09-04T00:00:00"/>
    <x v="10"/>
    <d v="2023-10-04T00:00:00"/>
    <x v="3"/>
    <n v="53603"/>
    <n v="1133"/>
    <n v="160"/>
    <x v="0"/>
    <x v="942"/>
    <n v="2.1136876667350708E-2"/>
    <n v="1.5239805825242718"/>
    <n v="10.7916875"/>
    <n v="6273.33"/>
    <n v="0.14121800529567519"/>
    <x v="0"/>
    <x v="3"/>
    <n v="2023"/>
    <s v="Mon"/>
    <n v="30"/>
  </r>
  <r>
    <s v="CMP-01310"/>
    <s v="Q2_Winter_CMP-01310"/>
    <d v="2023-10-12T00:00:00"/>
    <x v="3"/>
    <d v="2023-12-23T00:00:00"/>
    <x v="0"/>
    <n v="82974"/>
    <n v="1259"/>
    <n v="111"/>
    <x v="1"/>
    <x v="943"/>
    <n v="1.5173427820763131E-2"/>
    <n v="0.85343129467831613"/>
    <n v="9.6799099099099095"/>
    <n v="4475.53"/>
    <n v="8.8165210484511522E-2"/>
    <x v="0"/>
    <x v="2"/>
    <n v="2023"/>
    <s v="Thu"/>
    <n v="72"/>
  </r>
  <r>
    <s v="CMP-01311"/>
    <s v="Q2_Launch_CMP-01311"/>
    <d v="2023-02-26T00:00:00"/>
    <x v="6"/>
    <d v="2023-02-27T00:00:00"/>
    <x v="0"/>
    <n v="27399"/>
    <n v="1014"/>
    <n v="112"/>
    <x v="1"/>
    <x v="944"/>
    <n v="3.7008649950728126E-2"/>
    <n v="1.9153648915187378"/>
    <n v="17.340892857142858"/>
    <n v="3657.8199999999997"/>
    <n v="0.11045364891518737"/>
    <x v="2"/>
    <x v="1"/>
    <n v="2023"/>
    <s v="Sun"/>
    <n v="1"/>
  </r>
  <r>
    <s v="CMP-01312"/>
    <s v="Q2_Summer_CMP-01312"/>
    <d v="2023-03-18T00:00:00"/>
    <x v="5"/>
    <d v="2023-03-21T00:00:00"/>
    <x v="1"/>
    <n v="86382"/>
    <n v="4125"/>
    <n v="625"/>
    <x v="1"/>
    <x v="10"/>
    <n v="4.7753004098075987E-2"/>
    <n v="0.88042666666666658"/>
    <n v="5.810816"/>
    <n v="27618.240000000002"/>
    <n v="0.15151515151515152"/>
    <x v="1"/>
    <x v="0"/>
    <n v="2023"/>
    <s v="Sat"/>
    <n v="3"/>
  </r>
  <r>
    <s v="CMP-01313"/>
    <s v="Q3_BlackFriday_CMP-01313"/>
    <d v="2023-02-08T00:00:00"/>
    <x v="6"/>
    <d v="2023-02-15T00:00:00"/>
    <x v="2"/>
    <n v="82244"/>
    <n v="1707"/>
    <n v="143"/>
    <x v="0"/>
    <x v="945"/>
    <n v="2.0755313457516657E-2"/>
    <n v="0.9341593438781487"/>
    <n v="11.151118881118881"/>
    <n v="5555.39"/>
    <n v="8.3772700644405396E-2"/>
    <x v="2"/>
    <x v="3"/>
    <n v="2023"/>
    <s v="Wed"/>
    <n v="7"/>
  </r>
  <r>
    <s v="CMP-01314"/>
    <s v="Q1_Winter_CMP-01314"/>
    <d v="2023-05-12T00:00:00"/>
    <x v="1"/>
    <d v="2023-06-07T00:00:00"/>
    <x v="4"/>
    <n v="77534"/>
    <n v="2249"/>
    <n v="315"/>
    <x v="1"/>
    <x v="10"/>
    <n v="2.9006629349704646E-2"/>
    <n v="1.6148332592263228"/>
    <n v="11.529396825396825"/>
    <n v="12118.24"/>
    <n v="0.14006224988883947"/>
    <x v="1"/>
    <x v="2"/>
    <n v="2023"/>
    <s v="Fri"/>
    <n v="26"/>
  </r>
  <r>
    <s v="CMP-01315"/>
    <s v="Q1_Winter_CMP-01315"/>
    <d v="2023-06-01T00:00:00"/>
    <x v="9"/>
    <d v="2023-07-01T00:00:00"/>
    <x v="1"/>
    <n v="56106"/>
    <n v="1984"/>
    <n v="306"/>
    <x v="1"/>
    <x v="946"/>
    <n v="3.5361636901579153E-2"/>
    <n v="1.7048689516129032"/>
    <n v="11.053790849673202"/>
    <n v="11917.54"/>
    <n v="0.15423387096774194"/>
    <x v="3"/>
    <x v="2"/>
    <n v="2023"/>
    <s v="Thu"/>
    <n v="30"/>
  </r>
  <r>
    <s v="CMP-01316"/>
    <s v="Q3_Summer_CMP-01316"/>
    <d v="2023-03-31T00:00:00"/>
    <x v="5"/>
    <d v="2023-04-09T00:00:00"/>
    <x v="4"/>
    <n v="31678"/>
    <n v="1583"/>
    <n v="100"/>
    <x v="1"/>
    <x v="947"/>
    <n v="4.997158911547446E-2"/>
    <n v="1.9798420720151613"/>
    <n v="31.340900000000001"/>
    <n v="1865.9099999999999"/>
    <n v="6.3171193935565376E-2"/>
    <x v="1"/>
    <x v="0"/>
    <n v="2023"/>
    <s v="Fri"/>
    <n v="9"/>
  </r>
  <r>
    <s v="CMP-01317"/>
    <s v="Q2_Winter_CMP-01317"/>
    <d v="2023-07-04T00:00:00"/>
    <x v="8"/>
    <d v="2023-08-03T00:00:00"/>
    <x v="4"/>
    <n v="77218"/>
    <n v="1095"/>
    <n v="136"/>
    <x v="1"/>
    <x v="948"/>
    <n v="1.4180631458986247E-2"/>
    <n v="1.39675799086758"/>
    <n v="11.245955882352941"/>
    <n v="5270.55"/>
    <n v="0.12420091324200913"/>
    <x v="3"/>
    <x v="2"/>
    <n v="2023"/>
    <s v="Tue"/>
    <n v="30"/>
  </r>
  <r>
    <s v="CMP-01318"/>
    <s v="Q2_Launch_CMP-01318"/>
    <d v="2023-01-03T00:00:00"/>
    <x v="11"/>
    <d v="2023-03-17T00:00:00"/>
    <x v="0"/>
    <n v="64230"/>
    <n v="1923"/>
    <n v="172"/>
    <x v="0"/>
    <x v="949"/>
    <n v="2.9939280709948623E-2"/>
    <n v="0.62294851794071771"/>
    <n v="6.9647093023255815"/>
    <n v="7402.07"/>
    <n v="8.9443577743109723E-2"/>
    <x v="2"/>
    <x v="1"/>
    <n v="2023"/>
    <s v="Tue"/>
    <n v="73"/>
  </r>
  <r>
    <s v="CMP-01319"/>
    <s v="Q4_Summer_CMP-01319"/>
    <d v="2023-01-24T00:00:00"/>
    <x v="11"/>
    <d v="2023-02-08T00:00:00"/>
    <x v="2"/>
    <n v="75055"/>
    <n v="1906"/>
    <n v="302"/>
    <x v="0"/>
    <x v="950"/>
    <n v="2.5394710545599893E-2"/>
    <n v="1.4702570828961175"/>
    <n v="9.279172185430463"/>
    <n v="12297.69"/>
    <n v="0.1584470094438615"/>
    <x v="2"/>
    <x v="0"/>
    <n v="2023"/>
    <s v="Tue"/>
    <n v="15"/>
  </r>
  <r>
    <s v="CMP-01320"/>
    <s v="Q1_BlackFriday_CMP-01320"/>
    <d v="2023-03-12T00:00:00"/>
    <x v="5"/>
    <d v="2023-04-11T00:00:00"/>
    <x v="2"/>
    <n v="57373"/>
    <n v="2560"/>
    <n v="200"/>
    <x v="1"/>
    <x v="10"/>
    <n v="4.4620291774876683E-2"/>
    <n v="1.41865625"/>
    <n v="18.158799999999999"/>
    <n v="6368.24"/>
    <n v="7.8125E-2"/>
    <x v="1"/>
    <x v="3"/>
    <n v="2023"/>
    <s v="Sun"/>
    <n v="30"/>
  </r>
  <r>
    <s v="CMP-01321"/>
    <s v="Q1_Winter_CMP-01321"/>
    <d v="2023-07-03T00:00:00"/>
    <x v="8"/>
    <d v="2023-07-21T00:00:00"/>
    <x v="1"/>
    <n v="32480"/>
    <n v="943"/>
    <n v="173"/>
    <x v="0"/>
    <x v="951"/>
    <n v="2.9033251231527092E-2"/>
    <n v="1.4575291622481443"/>
    <n v="7.9447976878612723"/>
    <n v="7275.55"/>
    <n v="0.18345705196182396"/>
    <x v="3"/>
    <x v="2"/>
    <n v="2023"/>
    <s v="Mon"/>
    <n v="18"/>
  </r>
  <r>
    <s v="CMP-01322"/>
    <s v="Q4_Summer_CMP-01322"/>
    <d v="2023-05-18T00:00:00"/>
    <x v="1"/>
    <d v="2023-06-06T00:00:00"/>
    <x v="3"/>
    <n v="86230"/>
    <n v="1245"/>
    <n v="142"/>
    <x v="0"/>
    <x v="952"/>
    <n v="1.443813058100429E-2"/>
    <n v="0.96071485943775092"/>
    <n v="8.4231690140845057"/>
    <n v="5903.91"/>
    <n v="0.11405622489959839"/>
    <x v="1"/>
    <x v="0"/>
    <n v="2023"/>
    <s v="Thu"/>
    <n v="19"/>
  </r>
  <r>
    <s v="CMP-01323"/>
    <s v="Q4_Summer_CMP-01323"/>
    <d v="2023-06-25T00:00:00"/>
    <x v="9"/>
    <d v="2023-07-22T00:00:00"/>
    <x v="4"/>
    <n v="69836"/>
    <n v="2470"/>
    <n v="196"/>
    <x v="0"/>
    <x v="10"/>
    <n v="3.5368577810871181E-2"/>
    <n v="1.4703481781376517"/>
    <n v="18.529387755102039"/>
    <n v="6168.24"/>
    <n v="7.9352226720647775E-2"/>
    <x v="3"/>
    <x v="0"/>
    <n v="2023"/>
    <s v="Sun"/>
    <n v="27"/>
  </r>
  <r>
    <s v="CMP-01324"/>
    <s v="Q4_Winter_CMP-01324"/>
    <d v="2023-08-22T00:00:00"/>
    <x v="7"/>
    <d v="2023-08-31T00:00:00"/>
    <x v="2"/>
    <n v="73258"/>
    <n v="2991"/>
    <n v="346"/>
    <x v="0"/>
    <x v="10"/>
    <n v="4.0828305441043981E-2"/>
    <n v="1.2142293547308591"/>
    <n v="10.496416184971098"/>
    <n v="13668.24"/>
    <n v="0.11568037445670344"/>
    <x v="3"/>
    <x v="2"/>
    <n v="2023"/>
    <s v="Tue"/>
    <n v="9"/>
  </r>
  <r>
    <s v="CMP-01325"/>
    <s v="Q1_Winter_CMP-01325"/>
    <d v="2023-09-02T00:00:00"/>
    <x v="10"/>
    <d v="2023-09-19T00:00:00"/>
    <x v="2"/>
    <n v="40986"/>
    <n v="414"/>
    <n v="46"/>
    <x v="1"/>
    <x v="953"/>
    <n v="1.0101010101010102E-2"/>
    <n v="0.82657004830917868"/>
    <n v="7.4391304347826086"/>
    <n v="1957.8"/>
    <n v="0.1111111111111111"/>
    <x v="0"/>
    <x v="2"/>
    <n v="2023"/>
    <s v="Sat"/>
    <n v="17"/>
  </r>
  <r>
    <s v="CMP-01326"/>
    <s v="Q4_BlackFriday_CMP-01326"/>
    <d v="2023-03-27T00:00:00"/>
    <x v="5"/>
    <d v="2023-04-15T00:00:00"/>
    <x v="0"/>
    <n v="25160"/>
    <n v="1116"/>
    <n v="127"/>
    <x v="0"/>
    <x v="954"/>
    <n v="4.4356120826709061E-2"/>
    <n v="0.63223118279569901"/>
    <n v="5.5556692913385834"/>
    <n v="5644.43"/>
    <n v="0.11379928315412187"/>
    <x v="1"/>
    <x v="3"/>
    <n v="2023"/>
    <s v="Mon"/>
    <n v="19"/>
  </r>
  <r>
    <s v="CMP-01327"/>
    <s v="Q1_Launch_CMP-01327"/>
    <d v="2023-01-31T00:00:00"/>
    <x v="11"/>
    <d v="2023-02-14T00:00:00"/>
    <x v="0"/>
    <n v="86595"/>
    <n v="1510"/>
    <n v="208"/>
    <x v="0"/>
    <x v="955"/>
    <n v="1.7437496391246608E-2"/>
    <n v="0.7918013245033112"/>
    <n v="5.7481730769230763"/>
    <n v="9204.380000000001"/>
    <n v="0.13774834437086092"/>
    <x v="2"/>
    <x v="1"/>
    <n v="2023"/>
    <s v="Tue"/>
    <n v="14"/>
  </r>
  <r>
    <s v="CMP-01328"/>
    <s v="Q1_Launch_CMP-01328"/>
    <d v="2023-02-23T00:00:00"/>
    <x v="6"/>
    <d v="2023-03-02T00:00:00"/>
    <x v="0"/>
    <n v="80111"/>
    <n v="2570"/>
    <n v="329"/>
    <x v="0"/>
    <x v="10"/>
    <n v="3.2080488322452597E-2"/>
    <n v="1.413136186770428"/>
    <n v="11.038784194528874"/>
    <n v="12818.24"/>
    <n v="0.12801556420233462"/>
    <x v="2"/>
    <x v="1"/>
    <n v="2023"/>
    <s v="Thu"/>
    <n v="7"/>
  </r>
  <r>
    <s v="CMP-01329"/>
    <s v="Q2_Launch_CMP-01329"/>
    <d v="2023-10-19T00:00:00"/>
    <x v="3"/>
    <d v="2023-10-28T00:00:00"/>
    <x v="1"/>
    <n v="65929"/>
    <n v="1755"/>
    <m/>
    <x v="0"/>
    <x v="956"/>
    <n v="2.6619545268394787E-2"/>
    <n v="1.514968660968661"/>
    <n v="0"/>
    <n v="-2658.77"/>
    <n v="0"/>
    <x v="0"/>
    <x v="1"/>
    <n v="2023"/>
    <s v="Thu"/>
    <n v="9"/>
  </r>
  <r>
    <s v="CMP-01330"/>
    <s v="Q1_BlackFriday_CMP-01330"/>
    <d v="2023-07-14T00:00:00"/>
    <x v="8"/>
    <d v="2023-07-16T00:00:00"/>
    <x v="0"/>
    <n v="74506"/>
    <n v="2889"/>
    <m/>
    <x v="0"/>
    <x v="10"/>
    <n v="3.8775400638874719E-2"/>
    <n v="1.257099342332987"/>
    <n v="0"/>
    <n v="-3631.7599999999998"/>
    <n v="0"/>
    <x v="3"/>
    <x v="3"/>
    <n v="2023"/>
    <s v="Fri"/>
    <n v="2"/>
  </r>
  <r>
    <s v="CMP-01331"/>
    <s v="Q4_BlackFriday_CMP-01331"/>
    <d v="2023-12-17T00:00:00"/>
    <x v="2"/>
    <d v="2023-12-31T00:00:00"/>
    <x v="4"/>
    <n v="35911"/>
    <n v="892"/>
    <n v="142"/>
    <x v="1"/>
    <x v="957"/>
    <n v="2.4839185764807439E-2"/>
    <n v="1.1026905829596412"/>
    <n v="6.9267605633802818"/>
    <n v="6116.4"/>
    <n v="0.15919282511210761"/>
    <x v="2"/>
    <x v="3"/>
    <n v="2023"/>
    <s v="Sun"/>
    <n v="14"/>
  </r>
  <r>
    <s v="CMP-01332"/>
    <s v="Q4_Winter_CMP-01332"/>
    <d v="2023-03-08T00:00:00"/>
    <x v="5"/>
    <d v="2023-03-29T00:00:00"/>
    <x v="1"/>
    <n v="88127"/>
    <n v="3947"/>
    <n v="528"/>
    <x v="1"/>
    <x v="10"/>
    <n v="4.4787636025281699E-2"/>
    <n v="0.92013174562959199"/>
    <n v="6.878333333333333"/>
    <n v="22768.240000000002"/>
    <n v="0.13377248543197365"/>
    <x v="1"/>
    <x v="2"/>
    <n v="2023"/>
    <s v="Wed"/>
    <n v="21"/>
  </r>
  <r>
    <s v="CMP-01333"/>
    <s v="Q3_Launch_CMP-01333"/>
    <d v="2023-07-30T00:00:00"/>
    <x v="8"/>
    <d v="2023-08-15T00:00:00"/>
    <x v="3"/>
    <n v="32821"/>
    <n v="1287"/>
    <n v="133"/>
    <x v="1"/>
    <x v="958"/>
    <n v="3.9212699186496454E-2"/>
    <n v="0.96181041181041171"/>
    <n v="9.3071428571428569"/>
    <n v="5412.15"/>
    <n v="0.10334110334110334"/>
    <x v="3"/>
    <x v="1"/>
    <n v="2023"/>
    <s v="Sun"/>
    <n v="16"/>
  </r>
  <r>
    <s v="CMP-01334"/>
    <s v="Q3_BlackFriday_CMP-01334"/>
    <d v="2023-12-02T00:00:00"/>
    <x v="2"/>
    <d v="2023-12-22T00:00:00"/>
    <x v="2"/>
    <n v="76039"/>
    <n v="2730"/>
    <n v="467"/>
    <x v="1"/>
    <x v="959"/>
    <n v="3.5902628914109863E-2"/>
    <n v="1.2157985347985349"/>
    <n v="7.1073447537473236"/>
    <n v="20030.87"/>
    <n v="0.17106227106227107"/>
    <x v="2"/>
    <x v="3"/>
    <n v="2023"/>
    <s v="Sat"/>
    <n v="20"/>
  </r>
  <r>
    <s v="CMP-01335"/>
    <s v="Q3_Winter_CMP-01335"/>
    <d v="2023-12-14T00:00:00"/>
    <x v="2"/>
    <d v="2023-12-18T00:00:00"/>
    <x v="3"/>
    <n v="61535"/>
    <n v="2575"/>
    <n v="278"/>
    <x v="0"/>
    <x v="10"/>
    <n v="4.1846103843341191E-2"/>
    <n v="1.4103922330097087"/>
    <n v="13.06388489208633"/>
    <n v="10268.24"/>
    <n v="0.10796116504854369"/>
    <x v="2"/>
    <x v="2"/>
    <n v="2023"/>
    <s v="Thu"/>
    <n v="4"/>
  </r>
  <r>
    <s v="CMP-01336"/>
    <s v="Q3_BlackFriday_CMP-01336"/>
    <d v="2023-10-17T00:00:00"/>
    <x v="3"/>
    <d v="2023-11-02T00:00:00"/>
    <x v="0"/>
    <n v="85458"/>
    <n v="3432"/>
    <n v="581"/>
    <x v="1"/>
    <x v="10"/>
    <n v="4.0160078635119008E-2"/>
    <n v="1.0582051282051281"/>
    <n v="6.2508777969018929"/>
    <n v="25418.240000000002"/>
    <n v="0.16928904428904429"/>
    <x v="0"/>
    <x v="3"/>
    <n v="2023"/>
    <s v="Tue"/>
    <n v="16"/>
  </r>
  <r>
    <s v="CMP-01337"/>
    <s v="Q3_Launch_CMP-01337"/>
    <d v="2023-06-23T00:00:00"/>
    <x v="9"/>
    <d v="2023-07-07T00:00:00"/>
    <x v="3"/>
    <n v="13175"/>
    <n v="150"/>
    <m/>
    <x v="1"/>
    <x v="0"/>
    <n v="1.1385199240986717E-2"/>
    <n v="2.1942166666666667"/>
    <n v="0"/>
    <n v="-329.13249999999999"/>
    <n v="0"/>
    <x v="3"/>
    <x v="1"/>
    <n v="2023"/>
    <s v="Fri"/>
    <n v="14"/>
  </r>
  <r>
    <s v="CMP-01338"/>
    <s v="Q1_Winter_CMP-01338"/>
    <d v="2023-11-13T00:00:00"/>
    <x v="0"/>
    <d v="2023-11-26T00:00:00"/>
    <x v="2"/>
    <n v="55771"/>
    <n v="1438"/>
    <n v="87"/>
    <x v="0"/>
    <x v="960"/>
    <n v="2.5784009610729592E-2"/>
    <n v="1.9007997218358832"/>
    <n v="31.417816091954023"/>
    <n v="1616.65"/>
    <n v="6.0500695410292071E-2"/>
    <x v="0"/>
    <x v="2"/>
    <n v="2023"/>
    <s v="Mon"/>
    <n v="13"/>
  </r>
  <r>
    <s v="CMP-01339"/>
    <s v="Q4_Summer_CMP-01339"/>
    <d v="2023-12-05T00:00:00"/>
    <x v="2"/>
    <d v="2023-12-16T00:00:00"/>
    <x v="1"/>
    <n v="87925"/>
    <n v="4152"/>
    <n v="788"/>
    <x v="0"/>
    <x v="10"/>
    <n v="4.7222064259311913E-2"/>
    <n v="0.87470134874759142"/>
    <n v="4.6088324873096447"/>
    <n v="35768.239999999998"/>
    <n v="0.18978805394990367"/>
    <x v="2"/>
    <x v="0"/>
    <n v="2023"/>
    <s v="Tue"/>
    <n v="11"/>
  </r>
  <r>
    <s v="CMP-01340"/>
    <s v="Q3_Launch_CMP-01340"/>
    <d v="2023-12-06T00:00:00"/>
    <x v="2"/>
    <d v="2024-01-05T00:00:00"/>
    <x v="1"/>
    <n v="67358"/>
    <n v="1012"/>
    <n v="110"/>
    <x v="1"/>
    <x v="961"/>
    <n v="1.5024199055791443E-2"/>
    <n v="1.2031818181818181"/>
    <n v="11.069272727272727"/>
    <n v="4282.38"/>
    <n v="0.10869565217391304"/>
    <x v="2"/>
    <x v="1"/>
    <n v="2023"/>
    <s v="Wed"/>
    <n v="30"/>
  </r>
  <r>
    <s v="CMP-01341"/>
    <s v="Q4_Winter_CMP-01341"/>
    <d v="2023-10-13T00:00:00"/>
    <x v="3"/>
    <d v="2023-10-18T00:00:00"/>
    <x v="0"/>
    <n v="18327"/>
    <n v="723"/>
    <n v="122"/>
    <x v="0"/>
    <x v="962"/>
    <n v="3.9449991815354392E-2"/>
    <n v="1.5584508990318118"/>
    <n v="9.2357377049180336"/>
    <n v="4973.24"/>
    <n v="0.16874135546334718"/>
    <x v="0"/>
    <x v="2"/>
    <n v="2023"/>
    <s v="Fri"/>
    <n v="5"/>
  </r>
  <r>
    <s v="CMP-01342"/>
    <s v="Q2_Summer_CMP-01342"/>
    <d v="2023-01-06T00:00:00"/>
    <x v="11"/>
    <d v="2023-01-12T00:00:00"/>
    <x v="1"/>
    <n v="48057"/>
    <n v="2354"/>
    <n v="216"/>
    <x v="1"/>
    <x v="10"/>
    <n v="4.8983498761886929E-2"/>
    <n v="1.5428037383177569"/>
    <n v="16.813703703703702"/>
    <n v="7168.24"/>
    <n v="9.1758708581138493E-2"/>
    <x v="2"/>
    <x v="0"/>
    <n v="2023"/>
    <s v="Fri"/>
    <n v="6"/>
  </r>
  <r>
    <s v="CMP-01343"/>
    <s v="Q4_BlackFriday_CMP-01343"/>
    <d v="2023-08-29T00:00:00"/>
    <x v="7"/>
    <d v="2023-09-02T00:00:00"/>
    <x v="0"/>
    <n v="7150"/>
    <n v="86"/>
    <n v="12"/>
    <x v="1"/>
    <x v="0"/>
    <n v="1.2027972027972029E-2"/>
    <n v="3.8271220930232559"/>
    <n v="27.427708333333332"/>
    <n v="270.86750000000001"/>
    <n v="0.13953488372093023"/>
    <x v="3"/>
    <x v="3"/>
    <n v="2023"/>
    <s v="Tue"/>
    <n v="4"/>
  </r>
  <r>
    <s v="CMP-01344"/>
    <s v="Q1_Launch_CMP-01344"/>
    <d v="2023-02-08T00:00:00"/>
    <x v="6"/>
    <d v="2023-02-20T00:00:00"/>
    <x v="1"/>
    <n v="5425"/>
    <n v="202"/>
    <n v="36"/>
    <x v="0"/>
    <x v="0"/>
    <n v="3.7235023041474656E-2"/>
    <n v="1.629368811881188"/>
    <n v="9.1425694444444439"/>
    <n v="1470.8675000000001"/>
    <n v="0.17821782178217821"/>
    <x v="2"/>
    <x v="1"/>
    <n v="2023"/>
    <s v="Wed"/>
    <n v="12"/>
  </r>
  <r>
    <s v="CMP-01345"/>
    <s v="Q3_Winter_CMP-01345"/>
    <d v="2023-06-19T00:00:00"/>
    <x v="9"/>
    <d v="2023-07-14T00:00:00"/>
    <x v="3"/>
    <n v="17032"/>
    <n v="489"/>
    <n v="27"/>
    <x v="0"/>
    <x v="963"/>
    <n v="2.871066228276186E-2"/>
    <n v="0.70887525562372189"/>
    <n v="12.838518518518518"/>
    <n v="1003.36"/>
    <n v="5.5214723926380369E-2"/>
    <x v="3"/>
    <x v="2"/>
    <n v="2023"/>
    <s v="Mon"/>
    <n v="25"/>
  </r>
  <r>
    <s v="CMP-01346"/>
    <s v="Q2_Summer_CMP-01346"/>
    <d v="2023-04-25T00:00:00"/>
    <x v="4"/>
    <d v="2023-05-21T00:00:00"/>
    <x v="3"/>
    <n v="3198"/>
    <n v="106"/>
    <n v="18"/>
    <x v="0"/>
    <x v="0"/>
    <n v="3.3145716072545343E-2"/>
    <n v="3.1050235849056604"/>
    <n v="18.285138888888888"/>
    <n v="570.86750000000006"/>
    <n v="0.16981132075471697"/>
    <x v="1"/>
    <x v="0"/>
    <n v="2023"/>
    <s v="Tue"/>
    <n v="26"/>
  </r>
  <r>
    <s v="CMP-01347"/>
    <s v="Q2_Winter_CMP-01347"/>
    <d v="2023-01-05T00:00:00"/>
    <x v="11"/>
    <d v="2023-02-04T00:00:00"/>
    <x v="0"/>
    <n v="61500"/>
    <n v="824"/>
    <n v="111"/>
    <x v="0"/>
    <x v="964"/>
    <n v="1.3398373983739838E-2"/>
    <n v="0.95945388349514571"/>
    <n v="7.1224324324324328"/>
    <n v="4759.41"/>
    <n v="0.13470873786407767"/>
    <x v="2"/>
    <x v="2"/>
    <n v="2023"/>
    <s v="Thu"/>
    <n v="30"/>
  </r>
  <r>
    <s v="CMP-01348"/>
    <s v="Q3_BlackFriday_CMP-01348"/>
    <d v="2023-08-16T00:00:00"/>
    <x v="7"/>
    <d v="2023-08-18T00:00:00"/>
    <x v="2"/>
    <n v="54394"/>
    <n v="637"/>
    <n v="89"/>
    <x v="1"/>
    <x v="965"/>
    <n v="1.1710850461447955E-2"/>
    <n v="0.9891679748822606"/>
    <n v="7.0797752808988763"/>
    <n v="3819.9"/>
    <n v="0.13971742543171115"/>
    <x v="3"/>
    <x v="3"/>
    <n v="2023"/>
    <s v="Wed"/>
    <n v="2"/>
  </r>
  <r>
    <s v="CMP-01349"/>
    <s v="Q3_Launch_CMP-01349"/>
    <d v="2023-09-13T00:00:00"/>
    <x v="10"/>
    <d v="2023-10-11T00:00:00"/>
    <x v="2"/>
    <n v="21079"/>
    <n v="773"/>
    <n v="99"/>
    <x v="0"/>
    <x v="966"/>
    <n v="3.6671568860002848E-2"/>
    <n v="0.60637774902975428"/>
    <n v="4.734646464646465"/>
    <n v="4481.2700000000004"/>
    <n v="0.12807244501940493"/>
    <x v="0"/>
    <x v="1"/>
    <n v="2023"/>
    <s v="Wed"/>
    <n v="28"/>
  </r>
  <r>
    <s v="CMP-01350"/>
    <s v="Q1_BlackFriday_CMP-01350"/>
    <d v="2023-09-12T00:00:00"/>
    <x v="10"/>
    <d v="2023-12-12T00:00:00"/>
    <x v="0"/>
    <n v="37220"/>
    <n v="1597"/>
    <n v="289"/>
    <x v="0"/>
    <x v="967"/>
    <n v="4.2907039226222458E-2"/>
    <n v="1.0246963055729492"/>
    <n v="5.66242214532872"/>
    <n v="12813.56"/>
    <n v="0.18096430807764557"/>
    <x v="0"/>
    <x v="3"/>
    <n v="2023"/>
    <s v="Tue"/>
    <n v="91"/>
  </r>
  <r>
    <s v="CMP-01351"/>
    <s v="Q2_Winter_CMP-01351"/>
    <d v="2023-07-26T00:00:00"/>
    <x v="8"/>
    <d v="2023-08-04T00:00:00"/>
    <x v="1"/>
    <n v="42874"/>
    <n v="1769"/>
    <m/>
    <x v="1"/>
    <x v="968"/>
    <n v="4.1260437561225917E-2"/>
    <n v="1.7937422272470323"/>
    <n v="0"/>
    <n v="-3173.13"/>
    <n v="0"/>
    <x v="3"/>
    <x v="2"/>
    <n v="2023"/>
    <s v="Wed"/>
    <n v="9"/>
  </r>
  <r>
    <s v="CMP-01352"/>
    <s v="Q3_Winter_CMP-01352"/>
    <d v="2023-01-01T00:00:00"/>
    <x v="11"/>
    <d v="2023-01-05T00:00:00"/>
    <x v="0"/>
    <n v="14859"/>
    <n v="471"/>
    <n v="41"/>
    <x v="1"/>
    <x v="969"/>
    <n v="3.1697960831819097E-2"/>
    <n v="0.84961783439490446"/>
    <n v="9.760243902439024"/>
    <n v="1649.83"/>
    <n v="8.7048832271762203E-2"/>
    <x v="2"/>
    <x v="2"/>
    <n v="2023"/>
    <s v="Sun"/>
    <n v="4"/>
  </r>
  <r>
    <s v="CMP-01353"/>
    <s v="Q2_Launch_CMP-01353"/>
    <d v="2023-11-13T00:00:00"/>
    <x v="0"/>
    <d v="2023-12-01T00:00:00"/>
    <x v="0"/>
    <n v="51460"/>
    <n v="720"/>
    <n v="130"/>
    <x v="0"/>
    <x v="970"/>
    <n v="1.3991449669646328E-2"/>
    <n v="1.5427777777777778"/>
    <n v="8.5446153846153834"/>
    <n v="5389.2"/>
    <n v="0.18055555555555555"/>
    <x v="0"/>
    <x v="1"/>
    <n v="2023"/>
    <s v="Mon"/>
    <n v="18"/>
  </r>
  <r>
    <s v="CMP-01354"/>
    <s v="Q2_Winter_CMP-01354"/>
    <d v="2023-10-15T00:00:00"/>
    <x v="3"/>
    <d v="2023-11-02T00:00:00"/>
    <x v="3"/>
    <n v="32419"/>
    <n v="1216"/>
    <n v="198"/>
    <x v="0"/>
    <x v="971"/>
    <n v="3.7508868256269472E-2"/>
    <n v="1.4444407894736842"/>
    <n v="8.8709090909090911"/>
    <n v="8143.5599999999995"/>
    <n v="0.16282894736842105"/>
    <x v="0"/>
    <x v="2"/>
    <n v="2023"/>
    <s v="Sun"/>
    <n v="18"/>
  </r>
  <r>
    <s v="CMP-01355"/>
    <s v="Q2_BlackFriday_CMP-01355"/>
    <d v="2023-06-24T00:00:00"/>
    <x v="9"/>
    <d v="2023-07-03T00:00:00"/>
    <x v="2"/>
    <n v="9705"/>
    <n v="190"/>
    <n v="10"/>
    <x v="0"/>
    <x v="972"/>
    <n v="1.9577537351880475E-2"/>
    <n v="1.7952105263157894"/>
    <n v="34.108999999999995"/>
    <n v="158.91000000000003"/>
    <n v="5.2631578947368418E-2"/>
    <x v="3"/>
    <x v="3"/>
    <n v="2023"/>
    <s v="Sat"/>
    <n v="9"/>
  </r>
  <r>
    <s v="CMP-01356"/>
    <s v="Q4_Launch_CMP-01356"/>
    <d v="2023-04-25T00:00:00"/>
    <x v="4"/>
    <d v="2023-04-30T00:00:00"/>
    <x v="0"/>
    <n v="43880"/>
    <n v="2037"/>
    <m/>
    <x v="1"/>
    <x v="973"/>
    <n v="4.6422060164083866E-2"/>
    <n v="0.69843397152675502"/>
    <n v="0"/>
    <n v="-1422.71"/>
    <n v="0"/>
    <x v="1"/>
    <x v="1"/>
    <n v="2023"/>
    <s v="Tue"/>
    <n v="5"/>
  </r>
  <r>
    <s v="CMP-01357"/>
    <s v="Q3_Winter_CMP-01357"/>
    <d v="2023-11-14T00:00:00"/>
    <x v="0"/>
    <d v="2023-12-10T00:00:00"/>
    <x v="1"/>
    <n v="24236"/>
    <n v="1055"/>
    <m/>
    <x v="1"/>
    <x v="974"/>
    <n v="4.3530285525664299E-2"/>
    <n v="1.966388625592417"/>
    <n v="0"/>
    <n v="-2074.54"/>
    <n v="0"/>
    <x v="0"/>
    <x v="2"/>
    <n v="2023"/>
    <s v="Tue"/>
    <n v="26"/>
  </r>
  <r>
    <s v="CMP-01358"/>
    <s v="Q3_Launch_CMP-01358"/>
    <d v="2023-07-06T00:00:00"/>
    <x v="8"/>
    <d v="2023-07-10T00:00:00"/>
    <x v="4"/>
    <n v="88955"/>
    <n v="3413"/>
    <n v="375"/>
    <x v="0"/>
    <x v="10"/>
    <n v="3.8367714012703051E-2"/>
    <n v="1.0640961031350717"/>
    <n v="9.6846933333333318"/>
    <n v="15118.24"/>
    <n v="0.1098740111338998"/>
    <x v="3"/>
    <x v="1"/>
    <n v="2023"/>
    <s v="Thu"/>
    <n v="4"/>
  </r>
  <r>
    <s v="CMP-01359"/>
    <s v="Q3_BlackFriday_CMP-01359"/>
    <d v="2023-12-04T00:00:00"/>
    <x v="2"/>
    <d v="2024-01-03T00:00:00"/>
    <x v="0"/>
    <n v="86514"/>
    <n v="4148"/>
    <m/>
    <x v="1"/>
    <x v="10"/>
    <n v="4.7945997179647225E-2"/>
    <n v="0.87554484088717444"/>
    <n v="0"/>
    <n v="-3631.7599999999998"/>
    <n v="0"/>
    <x v="2"/>
    <x v="3"/>
    <n v="2023"/>
    <s v="Mon"/>
    <n v="30"/>
  </r>
  <r>
    <s v="CMP-01360"/>
    <s v="Q2_BlackFriday_CMP-01360"/>
    <d v="2023-11-21T00:00:00"/>
    <x v="0"/>
    <d v="2023-12-15T00:00:00"/>
    <x v="4"/>
    <n v="16358"/>
    <n v="184"/>
    <n v="28"/>
    <x v="0"/>
    <x v="975"/>
    <n v="1.1248318865386967E-2"/>
    <n v="1.867282608695652"/>
    <n v="12.270714285714286"/>
    <n v="1056.42"/>
    <n v="0.15217391304347827"/>
    <x v="0"/>
    <x v="3"/>
    <n v="2023"/>
    <s v="Tue"/>
    <n v="24"/>
  </r>
  <r>
    <s v="CMP-01361"/>
    <s v="Q3_BlackFriday_CMP-01361"/>
    <d v="2023-09-25T00:00:00"/>
    <x v="10"/>
    <d v="2023-10-25T00:00:00"/>
    <x v="3"/>
    <n v="95914"/>
    <n v="3783"/>
    <n v="307"/>
    <x v="0"/>
    <x v="976"/>
    <n v="3.944158308484684E-2"/>
    <n v="0.83227597145122922"/>
    <n v="10.255700325732899"/>
    <n v="12201.5"/>
    <n v="8.1152524451493527E-2"/>
    <x v="0"/>
    <x v="3"/>
    <n v="2023"/>
    <s v="Mon"/>
    <n v="30"/>
  </r>
  <r>
    <s v="CMP-01362"/>
    <s v="Q3_Launch_CMP-01362"/>
    <d v="2023-03-26T00:00:00"/>
    <x v="5"/>
    <d v="2023-04-09T00:00:00"/>
    <x v="3"/>
    <n v="77918"/>
    <n v="1808"/>
    <n v="307"/>
    <x v="0"/>
    <x v="977"/>
    <n v="2.3203881003105831E-2"/>
    <n v="0.58424225663716811"/>
    <n v="3.4407491856677521"/>
    <n v="14293.69"/>
    <n v="0.16980088495575221"/>
    <x v="1"/>
    <x v="1"/>
    <n v="2023"/>
    <s v="Sun"/>
    <n v="14"/>
  </r>
  <r>
    <s v="CMP-01363"/>
    <s v="Q3_Launch_CMP-01363"/>
    <d v="2023-07-29T00:00:00"/>
    <x v="8"/>
    <d v="2023-08-05T00:00:00"/>
    <x v="0"/>
    <n v="15596"/>
    <n v="721"/>
    <n v="122"/>
    <x v="0"/>
    <x v="978"/>
    <n v="4.6229802513464993E-2"/>
    <n v="0.88345353675450766"/>
    <n v="5.2210655737704919"/>
    <n v="5463.03"/>
    <n v="0.16920943134535368"/>
    <x v="3"/>
    <x v="1"/>
    <n v="2023"/>
    <s v="Sat"/>
    <n v="7"/>
  </r>
  <r>
    <s v="CMP-01364"/>
    <s v="Q4_Launch_CMP-01364"/>
    <d v="2023-04-07T00:00:00"/>
    <x v="4"/>
    <d v="2023-04-09T00:00:00"/>
    <x v="3"/>
    <n v="34572"/>
    <n v="714"/>
    <n v="80"/>
    <x v="1"/>
    <x v="979"/>
    <n v="2.0652551197500868E-2"/>
    <n v="1.291344537815126"/>
    <n v="11.52525"/>
    <n v="3077.98"/>
    <n v="0.11204481792717087"/>
    <x v="1"/>
    <x v="1"/>
    <n v="2023"/>
    <s v="Fri"/>
    <n v="2"/>
  </r>
  <r>
    <s v="CMP-01365"/>
    <s v="Q1_Launch_CMP-01365"/>
    <d v="2023-04-21T00:00:00"/>
    <x v="4"/>
    <d v="2023-05-20T00:00:00"/>
    <x v="1"/>
    <n v="79757"/>
    <n v="3110"/>
    <n v="287"/>
    <x v="1"/>
    <x v="980"/>
    <n v="3.8993442581842348E-2"/>
    <n v="0.75739549839228293"/>
    <n v="8.2073170731707314"/>
    <n v="11994.5"/>
    <n v="9.2282958199356918E-2"/>
    <x v="1"/>
    <x v="1"/>
    <n v="2023"/>
    <s v="Fri"/>
    <n v="29"/>
  </r>
  <r>
    <s v="CMP-01366"/>
    <s v="Q1_Launch_CMP-01366"/>
    <d v="2023-06-23T00:00:00"/>
    <x v="9"/>
    <d v="2023-07-15T00:00:00"/>
    <x v="1"/>
    <n v="2279"/>
    <n v="102"/>
    <n v="9"/>
    <x v="0"/>
    <x v="0"/>
    <n v="4.4756472136902148E-2"/>
    <n v="3.2267892156862743"/>
    <n v="36.570277777777775"/>
    <n v="120.86750000000001"/>
    <n v="8.8235294117647065E-2"/>
    <x v="3"/>
    <x v="1"/>
    <n v="2023"/>
    <s v="Fri"/>
    <n v="22"/>
  </r>
  <r>
    <s v="CMP-01367"/>
    <s v="Q3_Winter_CMP-01367"/>
    <d v="2023-11-21T00:00:00"/>
    <x v="0"/>
    <d v="2023-12-10T00:00:00"/>
    <x v="1"/>
    <n v="64197"/>
    <n v="748"/>
    <n v="91"/>
    <x v="0"/>
    <x v="981"/>
    <n v="1.1651634811595557E-2"/>
    <n v="1.1938903743315508"/>
    <n v="9.8135164835164836"/>
    <n v="3656.9700000000003"/>
    <n v="0.12165775401069519"/>
    <x v="0"/>
    <x v="2"/>
    <n v="2023"/>
    <s v="Tue"/>
    <n v="19"/>
  </r>
  <r>
    <s v="CMP-01368"/>
    <s v="Q4_BlackFriday_CMP-01368"/>
    <d v="2023-08-19T00:00:00"/>
    <x v="7"/>
    <d v="2023-08-21T00:00:00"/>
    <x v="2"/>
    <n v="63516"/>
    <n v="1645"/>
    <n v="259"/>
    <x v="1"/>
    <x v="982"/>
    <n v="2.5898986082246993E-2"/>
    <n v="0.54990273556231006"/>
    <n v="3.4926254826254826"/>
    <n v="12045.41"/>
    <n v="0.1574468085106383"/>
    <x v="3"/>
    <x v="3"/>
    <n v="2023"/>
    <s v="Sat"/>
    <n v="2"/>
  </r>
  <r>
    <s v="CMP-01369"/>
    <s v="Q1_Winter_CMP-01369"/>
    <d v="2023-09-16T00:00:00"/>
    <x v="10"/>
    <d v="2023-09-17T00:00:00"/>
    <x v="1"/>
    <n v="8083"/>
    <n v="327"/>
    <n v="33"/>
    <x v="0"/>
    <x v="0"/>
    <n v="4.0455276506247681E-2"/>
    <n v="1.0065214067278287"/>
    <n v="9.9737121212121203"/>
    <n v="1320.8675000000001"/>
    <n v="0.10091743119266056"/>
    <x v="0"/>
    <x v="2"/>
    <n v="2023"/>
    <s v="Sat"/>
    <n v="1"/>
  </r>
  <r>
    <s v="CMP-01370"/>
    <s v="Q2_BlackFriday_CMP-01370"/>
    <d v="2023-09-29T00:00:00"/>
    <x v="10"/>
    <d v="2023-10-03T00:00:00"/>
    <x v="3"/>
    <n v="18771"/>
    <n v="529"/>
    <n v="74"/>
    <x v="1"/>
    <x v="983"/>
    <n v="2.8181769751211977E-2"/>
    <n v="1.1237996219281663"/>
    <n v="8.0336486486486489"/>
    <n v="3105.51"/>
    <n v="0.13988657844990549"/>
    <x v="0"/>
    <x v="3"/>
    <n v="2023"/>
    <s v="Fri"/>
    <n v="4"/>
  </r>
  <r>
    <s v="CMP-01371"/>
    <s v="Q3_BlackFriday_CMP-01371"/>
    <d v="2023-08-10T00:00:00"/>
    <x v="7"/>
    <d v="2023-08-21T00:00:00"/>
    <x v="0"/>
    <n v="30975"/>
    <n v="640"/>
    <n v="68"/>
    <x v="1"/>
    <x v="984"/>
    <n v="2.0661824051654561E-2"/>
    <n v="0.59468750000000004"/>
    <n v="5.5970588235294123"/>
    <n v="3019.4"/>
    <n v="0.10625"/>
    <x v="3"/>
    <x v="3"/>
    <n v="2023"/>
    <s v="Thu"/>
    <n v="11"/>
  </r>
  <r>
    <s v="CMP-01372"/>
    <s v="Q1_BlackFriday_CMP-01372"/>
    <d v="2023-09-18T00:00:00"/>
    <x v="10"/>
    <d v="2023-10-08T00:00:00"/>
    <x v="2"/>
    <n v="46648"/>
    <n v="876"/>
    <n v="83"/>
    <x v="0"/>
    <x v="985"/>
    <n v="1.8778940147487565E-2"/>
    <n v="1.0951369863013698"/>
    <n v="11.558313253012049"/>
    <n v="3190.66"/>
    <n v="9.4748858447488579E-2"/>
    <x v="0"/>
    <x v="3"/>
    <n v="2023"/>
    <s v="Mon"/>
    <n v="20"/>
  </r>
  <r>
    <s v="CMP-01373"/>
    <s v="Q4_Launch_CMP-01373"/>
    <d v="2023-12-21T00:00:00"/>
    <x v="2"/>
    <d v="2024-01-14T00:00:00"/>
    <x v="4"/>
    <n v="49285"/>
    <n v="752"/>
    <n v="40"/>
    <x v="1"/>
    <x v="986"/>
    <n v="1.5258192147712285E-2"/>
    <n v="1.2110106382978723"/>
    <n v="22.766999999999999"/>
    <n v="1089.3200000000002"/>
    <n v="5.3191489361702128E-2"/>
    <x v="2"/>
    <x v="1"/>
    <n v="2023"/>
    <s v="Thu"/>
    <n v="24"/>
  </r>
  <r>
    <s v="CMP-01374"/>
    <s v="Q3_Winter_CMP-01374"/>
    <d v="2023-03-07T00:00:00"/>
    <x v="5"/>
    <d v="2023-03-16T00:00:00"/>
    <x v="1"/>
    <n v="20063"/>
    <n v="888"/>
    <n v="44"/>
    <x v="1"/>
    <x v="987"/>
    <n v="4.4260579175596872E-2"/>
    <n v="1.1769031531531531"/>
    <n v="23.752045454545453"/>
    <n v="1154.9100000000001"/>
    <n v="4.954954954954955E-2"/>
    <x v="1"/>
    <x v="2"/>
    <n v="2023"/>
    <s v="Tue"/>
    <n v="9"/>
  </r>
  <r>
    <s v="CMP-01375"/>
    <s v="Q2_Launch_CMP-01375"/>
    <d v="2023-11-07T00:00:00"/>
    <x v="0"/>
    <d v="2023-11-17T00:00:00"/>
    <x v="4"/>
    <n v="68642"/>
    <n v="2266"/>
    <n v="190"/>
    <x v="1"/>
    <x v="10"/>
    <n v="3.3011858628827828E-2"/>
    <n v="1.6027184466019417"/>
    <n v="19.114526315789472"/>
    <n v="5868.24"/>
    <n v="8.3848190644307152E-2"/>
    <x v="0"/>
    <x v="1"/>
    <n v="2023"/>
    <s v="Tue"/>
    <n v="10"/>
  </r>
  <r>
    <s v="CMP-01376"/>
    <s v="Q3_Summer_CMP-01376"/>
    <d v="2023-07-16T00:00:00"/>
    <x v="8"/>
    <d v="2023-07-30T00:00:00"/>
    <x v="3"/>
    <n v="91093"/>
    <n v="1189"/>
    <n v="131"/>
    <x v="1"/>
    <x v="988"/>
    <n v="1.3052594601121931E-2"/>
    <n v="1.2950967199327166"/>
    <n v="11.75473282442748"/>
    <n v="5010.13"/>
    <n v="0.11017661900756939"/>
    <x v="3"/>
    <x v="0"/>
    <n v="2023"/>
    <s v="Sun"/>
    <n v="14"/>
  </r>
  <r>
    <s v="CMP-01377"/>
    <s v="Q1_Winter_CMP-01377"/>
    <d v="2023-12-21T00:00:00"/>
    <x v="2"/>
    <d v="2023-12-29T00:00:00"/>
    <x v="2"/>
    <n v="87143"/>
    <n v="2204"/>
    <n v="391"/>
    <x v="0"/>
    <x v="989"/>
    <n v="2.5291761816783907E-2"/>
    <n v="1.2019691470054445"/>
    <n v="6.7752941176470589"/>
    <n v="16900.86"/>
    <n v="0.17740471869328495"/>
    <x v="2"/>
    <x v="2"/>
    <n v="2023"/>
    <s v="Thu"/>
    <n v="8"/>
  </r>
  <r>
    <s v="CMP-01378"/>
    <s v="Q2_BlackFriday_CMP-01378"/>
    <d v="2023-06-25T00:00:00"/>
    <x v="9"/>
    <d v="2023-07-03T00:00:00"/>
    <x v="1"/>
    <n v="38599"/>
    <n v="953"/>
    <m/>
    <x v="1"/>
    <x v="990"/>
    <n v="2.4689758802041505E-2"/>
    <n v="1.1160650577124869"/>
    <n v="0"/>
    <n v="-1063.6099999999999"/>
    <n v="0"/>
    <x v="3"/>
    <x v="3"/>
    <n v="2023"/>
    <s v="Sun"/>
    <n v="8"/>
  </r>
  <r>
    <s v="CMP-01379"/>
    <s v="Q4_Launch_CMP-01379"/>
    <d v="2023-03-10T00:00:00"/>
    <x v="5"/>
    <d v="2023-03-18T00:00:00"/>
    <x v="0"/>
    <n v="52920"/>
    <n v="913"/>
    <n v="82"/>
    <x v="0"/>
    <x v="991"/>
    <n v="1.7252456538170823E-2"/>
    <n v="1.7264403066812706"/>
    <n v="19.222439024390244"/>
    <n v="2523.7600000000002"/>
    <n v="8.9813800657174148E-2"/>
    <x v="1"/>
    <x v="1"/>
    <n v="2023"/>
    <s v="Fri"/>
    <n v="8"/>
  </r>
  <r>
    <s v="CMP-01380"/>
    <s v="Q1_Launch_CMP-01380"/>
    <d v="2023-09-20T00:00:00"/>
    <x v="10"/>
    <d v="2023-10-10T00:00:00"/>
    <x v="0"/>
    <n v="29529"/>
    <n v="809"/>
    <n v="70"/>
    <x v="1"/>
    <x v="992"/>
    <n v="2.7396796369670493E-2"/>
    <n v="1.842583436341162"/>
    <n v="21.295000000000002"/>
    <n v="2009.35"/>
    <n v="8.6526576019777507E-2"/>
    <x v="0"/>
    <x v="1"/>
    <n v="2023"/>
    <s v="Wed"/>
    <n v="20"/>
  </r>
  <r>
    <s v="CMP-01381"/>
    <s v="Q4_Winter_CMP-01381"/>
    <d v="2023-06-10T00:00:00"/>
    <x v="9"/>
    <d v="2023-06-30T00:00:00"/>
    <x v="0"/>
    <n v="36954"/>
    <n v="860"/>
    <n v="72"/>
    <x v="1"/>
    <x v="993"/>
    <n v="2.3272176219083184E-2"/>
    <n v="1.779860465116279"/>
    <n v="21.259444444444444"/>
    <n v="2069.3199999999997"/>
    <n v="8.3720930232558138E-2"/>
    <x v="3"/>
    <x v="2"/>
    <n v="2023"/>
    <s v="Sat"/>
    <n v="20"/>
  </r>
  <r>
    <s v="CMP-01382"/>
    <s v="Q3_Launch_CMP-01382"/>
    <d v="2023-11-20T00:00:00"/>
    <x v="0"/>
    <d v="2023-12-09T00:00:00"/>
    <x v="4"/>
    <n v="28856"/>
    <n v="683"/>
    <n v="68"/>
    <x v="0"/>
    <x v="994"/>
    <n v="2.3669254227890214E-2"/>
    <n v="1.5103221083455343"/>
    <n v="15.169852941176471"/>
    <n v="2368.4499999999998"/>
    <n v="9.9560761346998539E-2"/>
    <x v="0"/>
    <x v="1"/>
    <n v="2023"/>
    <s v="Mon"/>
    <n v="19"/>
  </r>
  <r>
    <s v="CMP-01383"/>
    <s v="Q1_Summer_CMP-01383"/>
    <d v="2024-01-01T00:00:00"/>
    <x v="11"/>
    <d v="2024-01-26T00:00:00"/>
    <x v="3"/>
    <n v="3573"/>
    <n v="141"/>
    <n v="17"/>
    <x v="0"/>
    <x v="0"/>
    <n v="3.9462636439966413E-2"/>
    <n v="2.3342730496453901"/>
    <n v="19.360735294117646"/>
    <n v="520.86750000000006"/>
    <n v="0.12056737588652482"/>
    <x v="2"/>
    <x v="0"/>
    <n v="2024"/>
    <s v="Mon"/>
    <n v="25"/>
  </r>
  <r>
    <s v="CMP-01384"/>
    <s v="Q1_BlackFriday_CMP-01384"/>
    <d v="2023-12-11T00:00:00"/>
    <x v="2"/>
    <d v="2023-12-20T00:00:00"/>
    <x v="0"/>
    <n v="79344"/>
    <n v="1502"/>
    <n v="173"/>
    <x v="1"/>
    <x v="995"/>
    <n v="1.893022786852188E-2"/>
    <n v="0.915306258322237"/>
    <n v="7.9467630057803467"/>
    <n v="7275.21"/>
    <n v="0.1151797603195739"/>
    <x v="2"/>
    <x v="3"/>
    <n v="2023"/>
    <s v="Mon"/>
    <n v="9"/>
  </r>
  <r>
    <s v="CMP-01385"/>
    <s v="Q3_BlackFriday_CMP-01385"/>
    <d v="2023-04-02T00:00:00"/>
    <x v="4"/>
    <d v="2023-05-02T00:00:00"/>
    <x v="1"/>
    <n v="36367"/>
    <n v="1297"/>
    <n v="107"/>
    <x v="1"/>
    <x v="996"/>
    <n v="3.5664201061401821E-2"/>
    <n v="0.56909791827293754"/>
    <n v="6.8983177570093455"/>
    <n v="4611.88"/>
    <n v="8.2498072474942175E-2"/>
    <x v="1"/>
    <x v="3"/>
    <n v="2023"/>
    <s v="Sun"/>
    <n v="30"/>
  </r>
  <r>
    <s v="CMP-01386"/>
    <s v="Q4_BlackFriday_CMP-01386"/>
    <d v="2023-06-15T00:00:00"/>
    <x v="9"/>
    <d v="2023-07-03T00:00:00"/>
    <x v="3"/>
    <n v="61774"/>
    <n v="2027"/>
    <n v="141"/>
    <x v="0"/>
    <x v="10"/>
    <n v="3.2813157639136205E-2"/>
    <n v="1.7916921558954118"/>
    <n v="25.757163120567373"/>
    <n v="3418.2400000000002"/>
    <n v="6.9560927479033058E-2"/>
    <x v="3"/>
    <x v="3"/>
    <n v="2023"/>
    <s v="Thu"/>
    <n v="18"/>
  </r>
  <r>
    <s v="CMP-01387"/>
    <s v="Q1_Launch_CMP-01387"/>
    <d v="2023-10-15T00:00:00"/>
    <x v="3"/>
    <d v="2023-10-27T00:00:00"/>
    <x v="0"/>
    <n v="24752"/>
    <n v="809"/>
    <n v="41"/>
    <x v="0"/>
    <x v="997"/>
    <n v="3.2684227537168715E-2"/>
    <n v="1.4911990111248457"/>
    <n v="29.423902439024392"/>
    <n v="843.61999999999989"/>
    <n v="5.0679851668726822E-2"/>
    <x v="0"/>
    <x v="1"/>
    <n v="2023"/>
    <s v="Sun"/>
    <n v="12"/>
  </r>
  <r>
    <s v="CMP-01388"/>
    <s v="Q2_Summer_CMP-01388"/>
    <d v="2023-12-08T00:00:00"/>
    <x v="2"/>
    <d v="2024-01-04T00:00:00"/>
    <x v="0"/>
    <n v="56029"/>
    <n v="2046"/>
    <n v="149"/>
    <x v="0"/>
    <x v="998"/>
    <n v="3.6516803798033161E-2"/>
    <n v="1.6195454545454546"/>
    <n v="22.238859060402685"/>
    <n v="4136.41"/>
    <n v="7.2825024437927668E-2"/>
    <x v="2"/>
    <x v="0"/>
    <n v="2023"/>
    <s v="Fri"/>
    <n v="27"/>
  </r>
  <r>
    <s v="CMP-01389"/>
    <s v="Q3_Launch_CMP-01389"/>
    <d v="2023-10-01T00:00:00"/>
    <x v="3"/>
    <d v="2023-10-09T00:00:00"/>
    <x v="3"/>
    <n v="18685"/>
    <n v="596"/>
    <n v="92"/>
    <x v="1"/>
    <x v="999"/>
    <n v="3.1897243778431894E-2"/>
    <n v="0.9673657718120805"/>
    <n v="6.2668478260869565"/>
    <n v="4023.45"/>
    <n v="0.15436241610738255"/>
    <x v="0"/>
    <x v="1"/>
    <n v="2023"/>
    <s v="Sun"/>
    <n v="8"/>
  </r>
  <r>
    <s v="CMP-01390"/>
    <s v="Q2_Winter_CMP-01390"/>
    <d v="2023-01-07T00:00:00"/>
    <x v="11"/>
    <d v="2023-07-06T00:00:00"/>
    <x v="2"/>
    <n v="52693"/>
    <n v="2380"/>
    <n v="205"/>
    <x v="0"/>
    <x v="10"/>
    <n v="4.5167289772835101E-2"/>
    <n v="1.5259495798319327"/>
    <n v="17.71590243902439"/>
    <n v="6618.24"/>
    <n v="8.6134453781512604E-2"/>
    <x v="2"/>
    <x v="2"/>
    <n v="2023"/>
    <s v="Sat"/>
    <n v="180"/>
  </r>
  <r>
    <s v="CMP-01391"/>
    <s v="Q3_Winter_CMP-01391"/>
    <d v="2023-03-16T00:00:00"/>
    <x v="5"/>
    <d v="2023-03-17T00:00:00"/>
    <x v="4"/>
    <n v="56961"/>
    <n v="2108"/>
    <n v="253"/>
    <x v="1"/>
    <x v="1000"/>
    <n v="3.7007777251101631E-2"/>
    <n v="0.88940702087286527"/>
    <n v="7.410553359683794"/>
    <n v="10775.130000000001"/>
    <n v="0.12001897533206832"/>
    <x v="1"/>
    <x v="2"/>
    <n v="2023"/>
    <s v="Thu"/>
    <n v="1"/>
  </r>
  <r>
    <s v="CMP-01392"/>
    <s v="Q1_Launch_CMP-01392"/>
    <d v="2023-01-29T00:00:00"/>
    <x v="11"/>
    <d v="2023-02-16T00:00:00"/>
    <x v="0"/>
    <n v="77908"/>
    <n v="2483"/>
    <m/>
    <x v="1"/>
    <x v="1001"/>
    <n v="3.1870924680392258E-2"/>
    <n v="0.50246476037051946"/>
    <n v="0"/>
    <n v="-1247.6199999999999"/>
    <n v="0"/>
    <x v="2"/>
    <x v="1"/>
    <n v="2023"/>
    <s v="Sun"/>
    <n v="18"/>
  </r>
  <r>
    <s v="CMP-01393"/>
    <s v="Q2_BlackFriday_CMP-01393"/>
    <d v="2023-03-24T00:00:00"/>
    <x v="5"/>
    <d v="2023-04-12T00:00:00"/>
    <x v="1"/>
    <n v="75532"/>
    <n v="3262"/>
    <n v="597"/>
    <x v="0"/>
    <x v="1002"/>
    <n v="4.3186993592119895E-2"/>
    <n v="1.0646229307173514"/>
    <n v="5.8170854271356784"/>
    <n v="26377.200000000001"/>
    <n v="0.18301655426118946"/>
    <x v="1"/>
    <x v="3"/>
    <n v="2023"/>
    <s v="Fri"/>
    <n v="19"/>
  </r>
  <r>
    <s v="CMP-01394"/>
    <s v="Q3_BlackFriday_CMP-01394"/>
    <d v="2023-03-16T00:00:00"/>
    <x v="5"/>
    <d v="2023-03-27T00:00:00"/>
    <x v="3"/>
    <n v="82994"/>
    <n v="2842"/>
    <n v="521"/>
    <x v="0"/>
    <x v="10"/>
    <n v="3.4243439284767571E-2"/>
    <n v="1.2778888106966924"/>
    <n v="6.9707485604606525"/>
    <n v="22418.240000000002"/>
    <n v="0.1833216045038705"/>
    <x v="1"/>
    <x v="3"/>
    <n v="2023"/>
    <s v="Thu"/>
    <n v="11"/>
  </r>
  <r>
    <s v="CMP-01395"/>
    <s v="Q1_Winter_CMP-01395"/>
    <d v="2023-06-01T00:00:00"/>
    <x v="9"/>
    <d v="2023-06-26T00:00:00"/>
    <x v="3"/>
    <n v="57133"/>
    <n v="1236"/>
    <n v="200"/>
    <x v="0"/>
    <x v="1003"/>
    <n v="2.1633731818738733E-2"/>
    <n v="1.2180582524271844"/>
    <n v="7.5275999999999996"/>
    <n v="8494.48"/>
    <n v="0.16181229773462782"/>
    <x v="3"/>
    <x v="2"/>
    <n v="2023"/>
    <s v="Thu"/>
    <n v="25"/>
  </r>
  <r>
    <s v="CMP-01396"/>
    <s v="Q1_BlackFriday_CMP-01396"/>
    <d v="2023-07-03T00:00:00"/>
    <x v="8"/>
    <d v="2023-07-11T00:00:00"/>
    <x v="1"/>
    <n v="98425"/>
    <n v="1799"/>
    <m/>
    <x v="1"/>
    <x v="1004"/>
    <n v="1.8277876555753112E-2"/>
    <n v="1.7931128404669261"/>
    <n v="0"/>
    <n v="-3225.81"/>
    <n v="0"/>
    <x v="3"/>
    <x v="3"/>
    <n v="2023"/>
    <s v="Mon"/>
    <n v="8"/>
  </r>
  <r>
    <s v="CMP-01397"/>
    <s v="Q3_Launch_CMP-01397"/>
    <d v="2023-12-12T00:00:00"/>
    <x v="2"/>
    <d v="2023-12-18T00:00:00"/>
    <x v="2"/>
    <n v="62268"/>
    <n v="1002"/>
    <n v="136"/>
    <x v="0"/>
    <x v="1005"/>
    <n v="1.6091732511081133E-2"/>
    <n v="0.65810379241516959"/>
    <n v="4.8486764705882353"/>
    <n v="6140.58"/>
    <n v="0.13572854291417166"/>
    <x v="2"/>
    <x v="1"/>
    <n v="2023"/>
    <s v="Tue"/>
    <n v="6"/>
  </r>
  <r>
    <s v="CMP-01398"/>
    <s v="Q2_Winter_CMP-01398"/>
    <d v="2023-11-28T00:00:00"/>
    <x v="0"/>
    <d v="2023-12-24T00:00:00"/>
    <x v="1"/>
    <n v="93201"/>
    <n v="4285"/>
    <m/>
    <x v="0"/>
    <x v="10"/>
    <n v="4.5975901546120752E-2"/>
    <n v="0.84755192532088675"/>
    <n v="0"/>
    <n v="-3631.7599999999998"/>
    <n v="0"/>
    <x v="0"/>
    <x v="2"/>
    <n v="2023"/>
    <s v="Tue"/>
    <n v="26"/>
  </r>
  <r>
    <s v="CMP-01399"/>
    <s v="Q3_Launch_CMP-01399"/>
    <d v="2023-12-23T00:00:00"/>
    <x v="2"/>
    <d v="2024-01-19T00:00:00"/>
    <x v="2"/>
    <n v="39243"/>
    <n v="1507"/>
    <n v="79"/>
    <x v="0"/>
    <x v="1006"/>
    <n v="3.840175317891089E-2"/>
    <n v="1.2694691439946915"/>
    <n v="24.216329113924051"/>
    <n v="2036.91"/>
    <n v="5.2422030524220307E-2"/>
    <x v="2"/>
    <x v="1"/>
    <n v="2023"/>
    <s v="Sat"/>
    <n v="27"/>
  </r>
  <r>
    <s v="CMP-01400"/>
    <s v="Q2_Launch_CMP-01400"/>
    <d v="2023-07-15T00:00:00"/>
    <x v="8"/>
    <d v="2023-07-28T00:00:00"/>
    <x v="1"/>
    <n v="58384"/>
    <n v="2772"/>
    <n v="367"/>
    <x v="1"/>
    <x v="1007"/>
    <n v="4.7478761304466981E-2"/>
    <n v="0.92208874458874468"/>
    <n v="6.96465940054496"/>
    <n v="15793.97"/>
    <n v="0.1323953823953824"/>
    <x v="3"/>
    <x v="1"/>
    <n v="2023"/>
    <s v="Sat"/>
    <n v="13"/>
  </r>
  <r>
    <s v="CMP-01401"/>
    <s v="Q3_BlackFriday_CMP-01401"/>
    <d v="2023-12-17T00:00:00"/>
    <x v="2"/>
    <d v="2023-12-24T00:00:00"/>
    <x v="4"/>
    <n v="32653"/>
    <n v="1114"/>
    <n v="199"/>
    <x v="1"/>
    <x v="1008"/>
    <n v="3.4116313968088688E-2"/>
    <n v="1.7333393177737881"/>
    <n v="9.7032160804020098"/>
    <n v="8019.0599999999995"/>
    <n v="0.17863554757630162"/>
    <x v="2"/>
    <x v="3"/>
    <n v="2023"/>
    <s v="Sun"/>
    <n v="7"/>
  </r>
  <r>
    <s v="CMP-01402"/>
    <s v="Q2_BlackFriday_CMP-01402"/>
    <d v="2023-01-07T00:00:00"/>
    <x v="11"/>
    <d v="2023-01-25T00:00:00"/>
    <x v="2"/>
    <n v="27657"/>
    <n v="800"/>
    <n v="96"/>
    <x v="0"/>
    <x v="1009"/>
    <n v="2.892576924467585E-2"/>
    <n v="1.629275"/>
    <n v="13.577291666666667"/>
    <n v="3496.58"/>
    <n v="0.12"/>
    <x v="2"/>
    <x v="3"/>
    <n v="2023"/>
    <s v="Sat"/>
    <n v="18"/>
  </r>
  <r>
    <s v="CMP-01403"/>
    <s v="Q3_Summer_CMP-01403"/>
    <d v="2023-08-15T00:00:00"/>
    <x v="7"/>
    <d v="2023-09-04T00:00:00"/>
    <x v="0"/>
    <n v="40952"/>
    <n v="507"/>
    <n v="25"/>
    <x v="0"/>
    <x v="1010"/>
    <n v="1.2380347724164876E-2"/>
    <n v="1.5992899408284025"/>
    <n v="32.433599999999998"/>
    <n v="439.15999999999997"/>
    <n v="4.9309664694280081E-2"/>
    <x v="3"/>
    <x v="0"/>
    <n v="2023"/>
    <s v="Tue"/>
    <n v="20"/>
  </r>
  <r>
    <s v="CMP-01404"/>
    <s v="Q2_Summer_CMP-01404"/>
    <d v="2023-12-27T00:00:00"/>
    <x v="2"/>
    <d v="2023-12-28T00:00:00"/>
    <x v="3"/>
    <n v="23180"/>
    <n v="854"/>
    <n v="44"/>
    <x v="1"/>
    <x v="1011"/>
    <n v="3.6842105263157891E-2"/>
    <n v="1.8142857142857145"/>
    <n v="35.213636363636368"/>
    <n v="650.59999999999991"/>
    <n v="5.1522248243559721E-2"/>
    <x v="2"/>
    <x v="0"/>
    <n v="2023"/>
    <s v="Wed"/>
    <n v="1"/>
  </r>
  <r>
    <s v="CMP-01405"/>
    <s v="Q4_Launch_CMP-01405"/>
    <d v="2023-10-29T00:00:00"/>
    <x v="3"/>
    <d v="2023-11-04T00:00:00"/>
    <x v="3"/>
    <n v="98432"/>
    <n v="3276"/>
    <m/>
    <x v="0"/>
    <x v="10"/>
    <n v="3.328185955786736E-2"/>
    <n v="1.1085958485958485"/>
    <n v="0"/>
    <n v="-3631.7599999999998"/>
    <n v="0"/>
    <x v="0"/>
    <x v="1"/>
    <n v="2023"/>
    <s v="Sun"/>
    <n v="6"/>
  </r>
  <r>
    <s v="CMP-01406"/>
    <s v="Q4_Launch_CMP-01406"/>
    <d v="2023-04-10T00:00:00"/>
    <x v="4"/>
    <d v="2023-04-13T00:00:00"/>
    <x v="1"/>
    <n v="79411"/>
    <n v="3939"/>
    <n v="288"/>
    <x v="0"/>
    <x v="1012"/>
    <n v="4.9602699877850674E-2"/>
    <n v="0.84776085300837778"/>
    <n v="11.594895833333332"/>
    <n v="11060.67"/>
    <n v="7.311500380807312E-2"/>
    <x v="1"/>
    <x v="1"/>
    <n v="2023"/>
    <s v="Mon"/>
    <n v="3"/>
  </r>
  <r>
    <s v="CMP-01407"/>
    <s v="Q1_Summer_CMP-01407"/>
    <d v="2023-12-16T00:00:00"/>
    <x v="2"/>
    <d v="2024-01-04T00:00:00"/>
    <x v="1"/>
    <n v="2622"/>
    <n v="51"/>
    <n v="7"/>
    <x v="0"/>
    <x v="0"/>
    <n v="1.9450800915331808E-2"/>
    <n v="6.4535784313725486"/>
    <n v="47.018928571428567"/>
    <n v="20.867500000000007"/>
    <n v="0.13725490196078433"/>
    <x v="2"/>
    <x v="0"/>
    <n v="2023"/>
    <s v="Sat"/>
    <n v="19"/>
  </r>
  <r>
    <s v="CMP-01408"/>
    <s v="Q3_Summer_CMP-01408"/>
    <d v="2023-03-30T00:00:00"/>
    <x v="5"/>
    <d v="2023-04-23T00:00:00"/>
    <x v="3"/>
    <n v="49756"/>
    <n v="1553"/>
    <n v="242"/>
    <x v="0"/>
    <x v="1013"/>
    <n v="3.1212316102580594E-2"/>
    <n v="0.9615518351577591"/>
    <n v="6.1706198347107435"/>
    <n v="10606.71"/>
    <n v="0.15582743077913716"/>
    <x v="1"/>
    <x v="0"/>
    <n v="2023"/>
    <s v="Thu"/>
    <n v="24"/>
  </r>
  <r>
    <s v="CMP-01409"/>
    <s v="Q4_Summer_CMP-01409"/>
    <d v="2023-01-21T00:00:00"/>
    <x v="11"/>
    <d v="2023-02-10T00:00:00"/>
    <x v="1"/>
    <n v="41809"/>
    <n v="1506"/>
    <n v="115"/>
    <x v="1"/>
    <x v="1014"/>
    <n v="3.6020952426511037E-2"/>
    <n v="0.86326029216467459"/>
    <n v="11.304956521739129"/>
    <n v="4449.93"/>
    <n v="7.6361221779548474E-2"/>
    <x v="2"/>
    <x v="0"/>
    <n v="2023"/>
    <s v="Sat"/>
    <n v="20"/>
  </r>
  <r>
    <s v="CMP-01410"/>
    <s v="Q3_Launch_CMP-01410"/>
    <d v="2023-03-08T00:00:00"/>
    <x v="5"/>
    <d v="2023-03-17T00:00:00"/>
    <x v="1"/>
    <n v="17725"/>
    <n v="634"/>
    <n v="116"/>
    <x v="0"/>
    <x v="1015"/>
    <n v="3.5768688293370945E-2"/>
    <n v="0.60951104100946374"/>
    <n v="3.3312931034482758"/>
    <n v="5413.57"/>
    <n v="0.18296529968454259"/>
    <x v="1"/>
    <x v="1"/>
    <n v="2023"/>
    <s v="Wed"/>
    <n v="9"/>
  </r>
  <r>
    <s v="CMP-01411"/>
    <s v="Q3_BlackFriday_CMP-01411"/>
    <d v="2023-01-03T00:00:00"/>
    <x v="11"/>
    <d v="2023-01-29T00:00:00"/>
    <x v="3"/>
    <n v="62396"/>
    <n v="2024"/>
    <n v="235"/>
    <x v="0"/>
    <x v="1016"/>
    <n v="3.2437976793384192E-2"/>
    <n v="1.616042490118577"/>
    <n v="13.91859574468085"/>
    <n v="8479.130000000001"/>
    <n v="0.11610671936758893"/>
    <x v="2"/>
    <x v="3"/>
    <n v="2023"/>
    <s v="Tue"/>
    <n v="26"/>
  </r>
  <r>
    <s v="CMP-01412"/>
    <s v="Q1_Summer_CMP-01412"/>
    <d v="2023-03-21T00:00:00"/>
    <x v="5"/>
    <d v="2023-04-06T00:00:00"/>
    <x v="1"/>
    <n v="52226"/>
    <n v="2145"/>
    <n v="153"/>
    <x v="1"/>
    <x v="1017"/>
    <n v="4.107149695553939E-2"/>
    <n v="1.5665034965034965"/>
    <n v="21.961764705882352"/>
    <n v="4289.8500000000004"/>
    <n v="7.1328671328671323E-2"/>
    <x v="1"/>
    <x v="0"/>
    <n v="2023"/>
    <s v="Tue"/>
    <n v="16"/>
  </r>
  <r>
    <s v="CMP-01413"/>
    <s v="Q1_Summer_CMP-01413"/>
    <d v="2023-06-15T00:00:00"/>
    <x v="9"/>
    <d v="2023-06-19T00:00:00"/>
    <x v="1"/>
    <n v="82182"/>
    <n v="1495"/>
    <n v="246"/>
    <x v="1"/>
    <x v="1018"/>
    <n v="1.8191331435107445E-2"/>
    <n v="0.85175250836120397"/>
    <n v="5.1763008130081296"/>
    <n v="11026.630000000001"/>
    <n v="0.16454849498327759"/>
    <x v="3"/>
    <x v="0"/>
    <n v="2023"/>
    <s v="Thu"/>
    <n v="4"/>
  </r>
  <r>
    <s v="CMP-01414"/>
    <s v="Q2_Summer_CMP-01414"/>
    <d v="2023-11-17T00:00:00"/>
    <x v="0"/>
    <d v="2023-11-21T00:00:00"/>
    <x v="4"/>
    <n v="83565"/>
    <n v="3261"/>
    <n v="549"/>
    <x v="0"/>
    <x v="10"/>
    <n v="3.9023514629330458E-2"/>
    <n v="1.1136951855259123"/>
    <n v="6.6152276867030961"/>
    <n v="23818.240000000002"/>
    <n v="0.16835326586936522"/>
    <x v="0"/>
    <x v="0"/>
    <n v="2023"/>
    <s v="Fri"/>
    <n v="4"/>
  </r>
  <r>
    <s v="CMP-01415"/>
    <s v="Q4_Winter_CMP-01415"/>
    <d v="2023-09-09T00:00:00"/>
    <x v="10"/>
    <d v="2023-09-17T00:00:00"/>
    <x v="3"/>
    <n v="30402"/>
    <n v="1057"/>
    <n v="154"/>
    <x v="1"/>
    <x v="1019"/>
    <n v="3.4767449509900662E-2"/>
    <n v="1.8767644276253548"/>
    <n v="12.881428571428572"/>
    <n v="5716.26"/>
    <n v="0.14569536423841059"/>
    <x v="0"/>
    <x v="2"/>
    <n v="2023"/>
    <s v="Sat"/>
    <n v="8"/>
  </r>
  <r>
    <s v="CMP-01416"/>
    <s v="Q1_Launch_CMP-01416"/>
    <d v="2023-02-07T00:00:00"/>
    <x v="6"/>
    <d v="2023-03-07T00:00:00"/>
    <x v="2"/>
    <n v="5263"/>
    <n v="241"/>
    <n v="42"/>
    <x v="0"/>
    <x v="0"/>
    <n v="4.5791373741212234E-2"/>
    <n v="1.3656950207468879"/>
    <n v="7.8364880952380949"/>
    <n v="1770.8675000000001"/>
    <n v="0.17427385892116182"/>
    <x v="2"/>
    <x v="1"/>
    <n v="2023"/>
    <s v="Tue"/>
    <n v="28"/>
  </r>
  <r>
    <s v="CMP-01417"/>
    <s v="Q3_Launch_CMP-01417"/>
    <d v="2023-04-23T00:00:00"/>
    <x v="4"/>
    <d v="2023-05-07T00:00:00"/>
    <x v="0"/>
    <n v="97523"/>
    <n v="4280"/>
    <n v="687"/>
    <x v="0"/>
    <x v="10"/>
    <n v="4.3887083047076073E-2"/>
    <n v="0.84854205607476629"/>
    <n v="5.2864046579330415"/>
    <n v="30718.240000000002"/>
    <n v="0.16051401869158879"/>
    <x v="1"/>
    <x v="1"/>
    <n v="2023"/>
    <s v="Sun"/>
    <n v="14"/>
  </r>
  <r>
    <s v="CMP-01418"/>
    <s v="Q4_Winter_CMP-01418"/>
    <d v="2023-09-16T00:00:00"/>
    <x v="10"/>
    <d v="2023-09-24T00:00:00"/>
    <x v="3"/>
    <n v="47828"/>
    <n v="1081"/>
    <n v="197"/>
    <x v="1"/>
    <x v="1020"/>
    <n v="2.2601823199799281E-2"/>
    <n v="1.6253931544865865"/>
    <n v="8.9190355329949238"/>
    <n v="8092.95"/>
    <n v="0.18223866790009249"/>
    <x v="0"/>
    <x v="2"/>
    <n v="2023"/>
    <s v="Sat"/>
    <n v="8"/>
  </r>
  <r>
    <s v="CMP-01419"/>
    <s v="Q3_Summer_CMP-01419"/>
    <d v="2023-07-26T00:00:00"/>
    <x v="8"/>
    <d v="2023-08-03T00:00:00"/>
    <x v="4"/>
    <n v="48924"/>
    <n v="1029"/>
    <n v="118"/>
    <x v="0"/>
    <x v="1021"/>
    <n v="2.1032622025999509E-2"/>
    <n v="0.91175898931000976"/>
    <n v="7.9508474576271189"/>
    <n v="4961.8"/>
    <n v="0.11467444120505345"/>
    <x v="3"/>
    <x v="0"/>
    <n v="2023"/>
    <s v="Wed"/>
    <n v="8"/>
  </r>
  <r>
    <s v="CMP-01420"/>
    <s v="Q2_BlackFriday_CMP-01420"/>
    <d v="2023-04-24T00:00:00"/>
    <x v="4"/>
    <d v="2023-05-09T00:00:00"/>
    <x v="0"/>
    <n v="75182"/>
    <n v="3703"/>
    <n v="600"/>
    <x v="0"/>
    <x v="10"/>
    <n v="4.9253810752573755E-2"/>
    <n v="0.98076154469349175"/>
    <n v="6.0529333333333328"/>
    <n v="26368.240000000002"/>
    <n v="0.16203078584931138"/>
    <x v="1"/>
    <x v="3"/>
    <n v="2023"/>
    <s v="Mon"/>
    <n v="15"/>
  </r>
  <r>
    <s v="CMP-01421"/>
    <s v="Q4_Launch_CMP-01421"/>
    <d v="2023-06-19T00:00:00"/>
    <x v="9"/>
    <d v="2023-07-09T00:00:00"/>
    <x v="1"/>
    <n v="94065"/>
    <n v="2924"/>
    <n v="584"/>
    <x v="0"/>
    <x v="1022"/>
    <n v="3.108488810928613E-2"/>
    <n v="0.6217476060191518"/>
    <n v="3.112996575342466"/>
    <n v="27382.01"/>
    <n v="0.19972640218878249"/>
    <x v="3"/>
    <x v="1"/>
    <n v="2023"/>
    <s v="Mon"/>
    <n v="20"/>
  </r>
  <r>
    <s v="CMP-01422"/>
    <s v="Q1_Launch_CMP-01422"/>
    <d v="2023-11-13T00:00:00"/>
    <x v="0"/>
    <d v="2023-11-19T00:00:00"/>
    <x v="0"/>
    <n v="60052"/>
    <n v="2777"/>
    <n v="440"/>
    <x v="0"/>
    <x v="1023"/>
    <n v="4.624325584493439E-2"/>
    <n v="1.1783039250990277"/>
    <n v="7.4367045454545453"/>
    <n v="18727.849999999999"/>
    <n v="0.15844436442203816"/>
    <x v="0"/>
    <x v="1"/>
    <n v="2023"/>
    <s v="Mon"/>
    <n v="6"/>
  </r>
  <r>
    <s v="CMP-01423"/>
    <s v="Q3_Summer_CMP-01423"/>
    <d v="2023-11-29T00:00:00"/>
    <x v="0"/>
    <d v="2023-12-28T00:00:00"/>
    <x v="4"/>
    <n v="12664"/>
    <n v="209"/>
    <n v="14"/>
    <x v="0"/>
    <x v="1024"/>
    <n v="1.6503474415666457E-2"/>
    <n v="1.6086602870813396"/>
    <n v="24.014999999999997"/>
    <n v="363.79"/>
    <n v="6.6985645933014357E-2"/>
    <x v="0"/>
    <x v="0"/>
    <n v="2023"/>
    <s v="Wed"/>
    <n v="29"/>
  </r>
  <r>
    <s v="CMP-01424"/>
    <s v="Q4_Summer_CMP-01424"/>
    <d v="2023-12-09T00:00:00"/>
    <x v="2"/>
    <d v="2023-12-15T00:00:00"/>
    <x v="4"/>
    <n v="36737"/>
    <n v="1311"/>
    <n v="167"/>
    <x v="0"/>
    <x v="1025"/>
    <n v="3.5686093039714727E-2"/>
    <n v="1.5297711670480549"/>
    <n v="12.009161676646707"/>
    <n v="6344.47"/>
    <n v="0.12738367658276126"/>
    <x v="2"/>
    <x v="0"/>
    <n v="2023"/>
    <s v="Sat"/>
    <n v="6"/>
  </r>
  <r>
    <s v="CMP-01425"/>
    <s v="Q1_Winter_CMP-01425"/>
    <d v="2023-11-25T00:00:00"/>
    <x v="0"/>
    <d v="2023-12-25T00:00:00"/>
    <x v="3"/>
    <n v="90563"/>
    <n v="3839"/>
    <m/>
    <x v="1"/>
    <x v="10"/>
    <n v="4.2390380177335117E-2"/>
    <n v="0.94601719197707734"/>
    <n v="0"/>
    <n v="-3631.7599999999998"/>
    <n v="0"/>
    <x v="0"/>
    <x v="2"/>
    <n v="2023"/>
    <s v="Sat"/>
    <n v="30"/>
  </r>
  <r>
    <s v="CMP-01426"/>
    <s v="Q3_Launch_CMP-01426"/>
    <d v="2023-01-21T00:00:00"/>
    <x v="11"/>
    <d v="2023-01-29T00:00:00"/>
    <x v="2"/>
    <n v="30373"/>
    <n v="1454"/>
    <n v="110"/>
    <x v="0"/>
    <x v="1026"/>
    <n v="4.7871464787804956E-2"/>
    <n v="1.8161760660247592"/>
    <n v="24.006545454545453"/>
    <n v="2859.28"/>
    <n v="7.5653370013755161E-2"/>
    <x v="2"/>
    <x v="1"/>
    <n v="2023"/>
    <s v="Sat"/>
    <n v="8"/>
  </r>
  <r>
    <s v="CMP-01427"/>
    <s v="Q2_BlackFriday_CMP-01427"/>
    <d v="2023-02-28T00:00:00"/>
    <x v="6"/>
    <d v="2023-03-09T00:00:00"/>
    <x v="1"/>
    <n v="37397"/>
    <n v="878"/>
    <n v="170"/>
    <x v="1"/>
    <x v="1027"/>
    <n v="2.3477819076396501E-2"/>
    <n v="1.6597722095671981"/>
    <n v="8.5722352941176467"/>
    <n v="7042.72"/>
    <n v="0.19362186788154898"/>
    <x v="2"/>
    <x v="3"/>
    <n v="2023"/>
    <s v="Tue"/>
    <n v="9"/>
  </r>
  <r>
    <s v="CMP-01428"/>
    <s v="Q2_BlackFriday_CMP-01428"/>
    <d v="2023-05-25T00:00:00"/>
    <x v="1"/>
    <d v="2023-05-29T00:00:00"/>
    <x v="2"/>
    <n v="87145"/>
    <n v="3398"/>
    <n v="259"/>
    <x v="1"/>
    <x v="10"/>
    <n v="3.8992483791382176E-2"/>
    <n v="1.0687934078869923"/>
    <n v="14.02223938223938"/>
    <n v="9318.24"/>
    <n v="7.6221306650971155E-2"/>
    <x v="1"/>
    <x v="3"/>
    <n v="2023"/>
    <s v="Thu"/>
    <n v="4"/>
  </r>
  <r>
    <s v="CMP-01429"/>
    <s v="Q4_Winter_CMP-01429"/>
    <d v="2023-09-22T00:00:00"/>
    <x v="10"/>
    <d v="2023-09-23T00:00:00"/>
    <x v="1"/>
    <n v="39709"/>
    <n v="1252"/>
    <m/>
    <x v="0"/>
    <x v="1028"/>
    <n v="3.1529376211941879E-2"/>
    <n v="0.54757987220447291"/>
    <n v="0"/>
    <n v="-685.57"/>
    <n v="0"/>
    <x v="0"/>
    <x v="2"/>
    <n v="2023"/>
    <s v="Fri"/>
    <n v="1"/>
  </r>
  <r>
    <s v="CMP-01430"/>
    <s v="Q3_Winter_CMP-01430"/>
    <d v="2023-09-18T00:00:00"/>
    <x v="10"/>
    <d v="2023-09-26T00:00:00"/>
    <x v="0"/>
    <n v="62120"/>
    <n v="771"/>
    <n v="144"/>
    <x v="1"/>
    <x v="1029"/>
    <n v="1.2411461687057309E-2"/>
    <n v="1.3024513618677043"/>
    <n v="6.9735416666666667"/>
    <n v="6195.8099999999995"/>
    <n v="0.1867704280155642"/>
    <x v="0"/>
    <x v="2"/>
    <n v="2023"/>
    <s v="Mon"/>
    <n v="8"/>
  </r>
  <r>
    <s v="CMP-01431"/>
    <s v="Q2_Winter_CMP-01431"/>
    <d v="2023-11-30T00:00:00"/>
    <x v="0"/>
    <d v="2023-12-22T00:00:00"/>
    <x v="3"/>
    <n v="20250"/>
    <n v="761"/>
    <n v="91"/>
    <x v="0"/>
    <x v="1030"/>
    <n v="3.7580246913580244E-2"/>
    <n v="0.55654402102496714"/>
    <n v="4.654175824175824"/>
    <n v="4126.47"/>
    <n v="0.11957950065703023"/>
    <x v="0"/>
    <x v="2"/>
    <n v="2023"/>
    <s v="Thu"/>
    <n v="22"/>
  </r>
  <r>
    <s v="CMP-01432"/>
    <s v="Q2_BlackFriday_CMP-01432"/>
    <d v="2023-02-19T00:00:00"/>
    <x v="6"/>
    <d v="2023-03-01T00:00:00"/>
    <x v="4"/>
    <n v="22172"/>
    <n v="833"/>
    <m/>
    <x v="0"/>
    <x v="1031"/>
    <n v="3.7569907992062057E-2"/>
    <n v="1.7121008403361346"/>
    <n v="0"/>
    <n v="-1426.18"/>
    <n v="0"/>
    <x v="2"/>
    <x v="3"/>
    <n v="2023"/>
    <s v="Sun"/>
    <n v="10"/>
  </r>
  <r>
    <s v="CMP-01433"/>
    <s v="Q2_Summer_CMP-01433"/>
    <d v="2023-10-03T00:00:00"/>
    <x v="3"/>
    <d v="2023-10-17T00:00:00"/>
    <x v="4"/>
    <n v="12555"/>
    <n v="592"/>
    <n v="82"/>
    <x v="1"/>
    <x v="1032"/>
    <n v="4.7152528872958982E-2"/>
    <n v="0.98108108108108105"/>
    <n v="7.0829268292682919"/>
    <n v="3519.2"/>
    <n v="0.13851351351351351"/>
    <x v="0"/>
    <x v="0"/>
    <n v="2023"/>
    <s v="Tue"/>
    <n v="14"/>
  </r>
  <r>
    <s v="CMP-01434"/>
    <s v="Q1_Summer_CMP-01434"/>
    <d v="2023-04-18T00:00:00"/>
    <x v="4"/>
    <d v="2023-05-07T00:00:00"/>
    <x v="1"/>
    <n v="88410"/>
    <n v="2642"/>
    <n v="370"/>
    <x v="1"/>
    <x v="1033"/>
    <n v="2.9883497341929646E-2"/>
    <n v="1.3436449659348977"/>
    <n v="9.5943513513513512"/>
    <n v="14950.09"/>
    <n v="0.1400454201362604"/>
    <x v="1"/>
    <x v="0"/>
    <n v="2023"/>
    <s v="Tue"/>
    <n v="19"/>
  </r>
  <r>
    <s v="CMP-01435"/>
    <s v="Q2_BlackFriday_CMP-01435"/>
    <d v="2023-12-17T00:00:00"/>
    <x v="2"/>
    <d v="2024-01-14T00:00:00"/>
    <x v="2"/>
    <n v="79617"/>
    <n v="1529"/>
    <n v="91"/>
    <x v="1"/>
    <x v="1034"/>
    <n v="1.920444126254443E-2"/>
    <n v="0.91916939175931989"/>
    <n v="15.444065934065934"/>
    <n v="3144.59"/>
    <n v="5.9516023544800525E-2"/>
    <x v="2"/>
    <x v="3"/>
    <n v="2023"/>
    <s v="Sun"/>
    <n v="28"/>
  </r>
  <r>
    <s v="CMP-01436"/>
    <s v="Q1_BlackFriday_CMP-01436"/>
    <d v="2023-10-03T00:00:00"/>
    <x v="3"/>
    <d v="2023-10-23T00:00:00"/>
    <x v="2"/>
    <n v="54276"/>
    <n v="639"/>
    <n v="125"/>
    <x v="0"/>
    <x v="1035"/>
    <n v="1.1773159407472917E-2"/>
    <n v="1.6737558685446008"/>
    <n v="8.556239999999999"/>
    <n v="5180.47"/>
    <n v="0.19561815336463223"/>
    <x v="0"/>
    <x v="3"/>
    <n v="2023"/>
    <s v="Tue"/>
    <n v="20"/>
  </r>
  <r>
    <s v="CMP-01437"/>
    <s v="Q3_Winter_CMP-01437"/>
    <d v="2023-08-11T00:00:00"/>
    <x v="7"/>
    <d v="2023-09-08T00:00:00"/>
    <x v="3"/>
    <n v="58492"/>
    <n v="1557"/>
    <n v="204"/>
    <x v="0"/>
    <x v="1036"/>
    <n v="2.6619024823907544E-2"/>
    <n v="1.8297559409120101"/>
    <n v="13.965343137254902"/>
    <n v="7351.07"/>
    <n v="0.13102119460500963"/>
    <x v="3"/>
    <x v="2"/>
    <n v="2023"/>
    <s v="Fri"/>
    <n v="28"/>
  </r>
  <r>
    <s v="CMP-01438"/>
    <s v="Q2_Winter_CMP-01438"/>
    <d v="2023-12-18T00:00:00"/>
    <x v="2"/>
    <d v="2023-12-31T00:00:00"/>
    <x v="1"/>
    <n v="54002"/>
    <n v="1192"/>
    <n v="159"/>
    <x v="1"/>
    <x v="1037"/>
    <n v="2.2073256546053851E-2"/>
    <n v="1.0979614093959731"/>
    <n v="8.2312578616352194"/>
    <n v="6641.23"/>
    <n v="0.13338926174496643"/>
    <x v="2"/>
    <x v="2"/>
    <n v="2023"/>
    <s v="Mon"/>
    <n v="13"/>
  </r>
  <r>
    <s v="CMP-01439"/>
    <s v="Q3_Winter_CMP-01439"/>
    <d v="2023-06-19T00:00:00"/>
    <x v="9"/>
    <d v="2023-07-04T00:00:00"/>
    <x v="2"/>
    <n v="90599"/>
    <n v="3664"/>
    <n v="469"/>
    <x v="1"/>
    <x v="10"/>
    <n v="4.0441947482864046E-2"/>
    <n v="0.99120087336244533"/>
    <n v="7.7436247334754791"/>
    <n v="19818.240000000002"/>
    <n v="0.12800218340611352"/>
    <x v="3"/>
    <x v="2"/>
    <n v="2023"/>
    <s v="Mon"/>
    <n v="15"/>
  </r>
  <r>
    <s v="CMP-01440"/>
    <s v="Q4_BlackFriday_CMP-01440"/>
    <d v="2023-07-02T00:00:00"/>
    <x v="8"/>
    <d v="2023-08-01T00:00:00"/>
    <x v="1"/>
    <n v="73355"/>
    <n v="1773"/>
    <n v="251"/>
    <x v="1"/>
    <x v="1038"/>
    <n v="2.4170131552041441E-2"/>
    <n v="0.90061477721376193"/>
    <n v="6.3617131474103585"/>
    <n v="10953.21"/>
    <n v="0.14156796390298929"/>
    <x v="3"/>
    <x v="3"/>
    <n v="2023"/>
    <s v="Sun"/>
    <n v="30"/>
  </r>
  <r>
    <s v="CMP-01441"/>
    <s v="Q2_Winter_CMP-01441"/>
    <d v="2023-05-09T00:00:00"/>
    <x v="1"/>
    <d v="2023-05-17T00:00:00"/>
    <x v="0"/>
    <n v="92248"/>
    <n v="4424"/>
    <n v="396"/>
    <x v="0"/>
    <x v="10"/>
    <n v="4.7957679299280201E-2"/>
    <n v="0.82092224231464728"/>
    <n v="9.1711111111111112"/>
    <n v="16168.24"/>
    <n v="8.9511754068716087E-2"/>
    <x v="1"/>
    <x v="2"/>
    <n v="2023"/>
    <s v="Tue"/>
    <n v="8"/>
  </r>
  <r>
    <s v="CMP-01442"/>
    <s v="Q3_Summer_CMP-01442"/>
    <d v="2023-04-27T00:00:00"/>
    <x v="4"/>
    <d v="2023-05-01T00:00:00"/>
    <x v="2"/>
    <n v="25762"/>
    <n v="1249"/>
    <n v="116"/>
    <x v="0"/>
    <x v="1039"/>
    <n v="4.8482260694045494E-2"/>
    <n v="1.7881425140112088"/>
    <n v="19.253362068965515"/>
    <n v="3566.61"/>
    <n v="9.2874299439551639E-2"/>
    <x v="1"/>
    <x v="0"/>
    <n v="2023"/>
    <s v="Thu"/>
    <n v="4"/>
  </r>
  <r>
    <s v="CMP-01443"/>
    <s v="Q2_Launch_CMP-01443"/>
    <d v="2023-08-19T00:00:00"/>
    <x v="7"/>
    <d v="2023-09-16T00:00:00"/>
    <x v="3"/>
    <n v="12046"/>
    <n v="419"/>
    <n v="53"/>
    <x v="1"/>
    <x v="1040"/>
    <n v="3.4783330566163041E-2"/>
    <n v="0.9888305489260143"/>
    <n v="7.817358490566038"/>
    <n v="2235.6799999999998"/>
    <n v="0.12649164677804295"/>
    <x v="3"/>
    <x v="1"/>
    <n v="2023"/>
    <s v="Sat"/>
    <n v="28"/>
  </r>
  <r>
    <s v="CMP-01444"/>
    <s v="Q1_Launch_CMP-01444"/>
    <d v="2023-01-09T00:00:00"/>
    <x v="11"/>
    <d v="2023-01-12T00:00:00"/>
    <x v="4"/>
    <n v="97999"/>
    <n v="4620"/>
    <n v="790"/>
    <x v="1"/>
    <x v="10"/>
    <n v="4.7143338197328542E-2"/>
    <n v="0.78609523809523807"/>
    <n v="4.5971645569620252"/>
    <n v="35868.239999999998"/>
    <n v="0.17099567099567101"/>
    <x v="2"/>
    <x v="1"/>
    <n v="2023"/>
    <s v="Mon"/>
    <n v="3"/>
  </r>
  <r>
    <s v="CMP-01445"/>
    <s v="Q1_Launch_CMP-01445"/>
    <d v="2023-01-04T00:00:00"/>
    <x v="11"/>
    <d v="2023-01-18T00:00:00"/>
    <x v="0"/>
    <n v="29769"/>
    <n v="1203"/>
    <n v="69"/>
    <x v="0"/>
    <x v="635"/>
    <n v="4.0411165978030836E-2"/>
    <n v="0.68281795511221943"/>
    <n v="11.904782608695651"/>
    <n v="2628.57"/>
    <n v="5.7356608478802994E-2"/>
    <x v="2"/>
    <x v="1"/>
    <n v="2023"/>
    <s v="Wed"/>
    <n v="14"/>
  </r>
  <r>
    <s v="CMP-01446"/>
    <s v="Q2_Launch_CMP-01446"/>
    <d v="2023-10-27T00:00:00"/>
    <x v="3"/>
    <d v="2023-11-19T00:00:00"/>
    <x v="1"/>
    <n v="54302"/>
    <n v="1730"/>
    <n v="243"/>
    <x v="0"/>
    <x v="1041"/>
    <n v="3.1858863393613497E-2"/>
    <n v="0.52741040462427746"/>
    <n v="3.7548148148148148"/>
    <n v="11237.58"/>
    <n v="0.14046242774566475"/>
    <x v="0"/>
    <x v="1"/>
    <n v="2023"/>
    <s v="Fri"/>
    <n v="23"/>
  </r>
  <r>
    <s v="CMP-01447"/>
    <s v="Q1_Launch_CMP-01447"/>
    <d v="2023-02-07T00:00:00"/>
    <x v="6"/>
    <d v="2023-02-22T00:00:00"/>
    <x v="2"/>
    <n v="24150"/>
    <n v="415"/>
    <n v="70"/>
    <x v="0"/>
    <x v="1042"/>
    <n v="1.7184265010351966E-2"/>
    <n v="1.8561927710843376"/>
    <n v="11.004571428571429"/>
    <n v="2729.68"/>
    <n v="0.16867469879518071"/>
    <x v="2"/>
    <x v="1"/>
    <n v="2023"/>
    <s v="Tue"/>
    <n v="15"/>
  </r>
  <r>
    <s v="CMP-01448"/>
    <s v="Q4_Launch_CMP-01448"/>
    <d v="2023-05-29T00:00:00"/>
    <x v="1"/>
    <d v="2023-06-13T00:00:00"/>
    <x v="0"/>
    <n v="69247"/>
    <n v="1962"/>
    <n v="144"/>
    <x v="1"/>
    <x v="1043"/>
    <n v="2.8333357401764698E-2"/>
    <n v="0.60297145769622829"/>
    <n v="8.2154861111111117"/>
    <n v="6016.97"/>
    <n v="7.3394495412844041E-2"/>
    <x v="1"/>
    <x v="1"/>
    <n v="2023"/>
    <s v="Mon"/>
    <n v="15"/>
  </r>
  <r>
    <s v="CMP-01449"/>
    <s v="Q2_Winter_CMP-01449"/>
    <d v="2023-02-14T00:00:00"/>
    <x v="6"/>
    <d v="2023-02-19T00:00:00"/>
    <x v="4"/>
    <n v="5853"/>
    <n v="189"/>
    <n v="9"/>
    <x v="0"/>
    <x v="1044"/>
    <n v="3.2291132752434649E-2"/>
    <n v="1.9878306878306877"/>
    <n v="41.74444444444444"/>
    <n v="74.300000000000011"/>
    <n v="4.7619047619047616E-2"/>
    <x v="2"/>
    <x v="2"/>
    <n v="2023"/>
    <s v="Tue"/>
    <n v="5"/>
  </r>
  <r>
    <s v="CMP-01450"/>
    <s v="Q4_Summer_CMP-01450"/>
    <d v="2023-07-15T00:00:00"/>
    <x v="8"/>
    <d v="2023-08-08T00:00:00"/>
    <x v="4"/>
    <n v="95613"/>
    <n v="4260"/>
    <n v="412"/>
    <x v="0"/>
    <x v="10"/>
    <n v="4.4554610774685449E-2"/>
    <n v="0.85252582159624413"/>
    <n v="8.8149514563106788"/>
    <n v="16968.240000000002"/>
    <n v="9.6713615023474184E-2"/>
    <x v="3"/>
    <x v="0"/>
    <n v="2023"/>
    <s v="Sat"/>
    <n v="24"/>
  </r>
  <r>
    <s v="CMP-01451"/>
    <s v="Q1_Winter_CMP-01451"/>
    <d v="2023-08-31T00:00:00"/>
    <x v="7"/>
    <d v="2023-09-29T00:00:00"/>
    <x v="1"/>
    <n v="90399"/>
    <n v="2644"/>
    <n v="365"/>
    <x v="0"/>
    <x v="1045"/>
    <n v="2.9248111151672033E-2"/>
    <n v="0.70552950075642973"/>
    <n v="5.1107397260273979"/>
    <n v="16384.580000000002"/>
    <n v="0.1380484114977307"/>
    <x v="3"/>
    <x v="2"/>
    <n v="2023"/>
    <s v="Thu"/>
    <n v="29"/>
  </r>
  <r>
    <s v="CMP-01452"/>
    <s v="Q1_Winter_CMP-01452"/>
    <d v="2023-07-20T00:00:00"/>
    <x v="8"/>
    <d v="2023-08-02T00:00:00"/>
    <x v="0"/>
    <n v="22792"/>
    <n v="1046"/>
    <n v="73"/>
    <x v="0"/>
    <x v="1046"/>
    <n v="4.5893295893295896E-2"/>
    <n v="1.3063766730401529"/>
    <n v="18.718767123287673"/>
    <n v="2283.5299999999997"/>
    <n v="6.9789674952198857E-2"/>
    <x v="3"/>
    <x v="2"/>
    <n v="2023"/>
    <s v="Thu"/>
    <n v="13"/>
  </r>
  <r>
    <s v="CMP-01453"/>
    <s v="Q2_Summer_CMP-01453"/>
    <d v="2023-06-01T00:00:00"/>
    <x v="9"/>
    <d v="2023-06-29T00:00:00"/>
    <x v="4"/>
    <n v="60129"/>
    <n v="2223"/>
    <n v="253"/>
    <x v="0"/>
    <x v="1047"/>
    <n v="3.6970513396198175E-2"/>
    <n v="0.77738191632928466"/>
    <n v="6.8305138339920948"/>
    <n v="10921.880000000001"/>
    <n v="0.11381016644174539"/>
    <x v="3"/>
    <x v="0"/>
    <n v="2023"/>
    <s v="Thu"/>
    <n v="28"/>
  </r>
  <r>
    <s v="CMP-01454"/>
    <s v="Q4_BlackFriday_CMP-01454"/>
    <d v="2023-12-13T00:00:00"/>
    <x v="2"/>
    <d v="2024-01-02T00:00:00"/>
    <x v="3"/>
    <n v="75478"/>
    <n v="1168"/>
    <n v="155"/>
    <x v="0"/>
    <x v="1048"/>
    <n v="1.5474707861893531E-2"/>
    <n v="1.1422345890410961"/>
    <n v="8.6072903225806456"/>
    <n v="6415.87"/>
    <n v="0.1327054794520548"/>
    <x v="2"/>
    <x v="3"/>
    <n v="2023"/>
    <s v="Wed"/>
    <n v="20"/>
  </r>
  <r>
    <s v="CMP-01455"/>
    <s v="Q3_Launch_CMP-01455"/>
    <d v="2023-11-28T00:00:00"/>
    <x v="0"/>
    <d v="2023-12-23T00:00:00"/>
    <x v="4"/>
    <n v="68298"/>
    <n v="3401"/>
    <n v="475"/>
    <x v="1"/>
    <x v="1049"/>
    <n v="4.9796480131189785E-2"/>
    <n v="0.5921376065862981"/>
    <n v="4.2397052631578944"/>
    <n v="21736.14"/>
    <n v="0.13966480446927373"/>
    <x v="0"/>
    <x v="1"/>
    <n v="2023"/>
    <s v="Tue"/>
    <n v="25"/>
  </r>
  <r>
    <s v="CMP-01456"/>
    <s v="Q2_Winter_CMP-01456"/>
    <d v="2023-10-11T00:00:00"/>
    <x v="3"/>
    <d v="2023-10-24T00:00:00"/>
    <x v="3"/>
    <n v="32987"/>
    <n v="1025"/>
    <n v="93"/>
    <x v="1"/>
    <x v="1050"/>
    <n v="3.1072846879073576E-2"/>
    <n v="0.83588292682926824"/>
    <n v="9.2126881720430109"/>
    <n v="3793.2200000000003"/>
    <n v="9.0731707317073168E-2"/>
    <x v="0"/>
    <x v="2"/>
    <n v="2023"/>
    <s v="Wed"/>
    <n v="13"/>
  </r>
  <r>
    <s v="CMP-01457"/>
    <s v="Q1_BlackFriday_CMP-01457"/>
    <d v="2023-01-22T00:00:00"/>
    <x v="11"/>
    <d v="2023-01-23T00:00:00"/>
    <x v="3"/>
    <n v="16850"/>
    <n v="432"/>
    <m/>
    <x v="0"/>
    <x v="1051"/>
    <n v="2.5637982195845697E-2"/>
    <n v="1.0449074074074074"/>
    <n v="0"/>
    <n v="-451.4"/>
    <n v="0"/>
    <x v="2"/>
    <x v="3"/>
    <n v="2023"/>
    <s v="Sun"/>
    <n v="1"/>
  </r>
  <r>
    <s v="CMP-01458"/>
    <s v="Q4_BlackFriday_CMP-01458"/>
    <d v="2023-11-02T00:00:00"/>
    <x v="0"/>
    <d v="2023-11-20T00:00:00"/>
    <x v="3"/>
    <n v="13112"/>
    <n v="476"/>
    <n v="79"/>
    <x v="1"/>
    <x v="1052"/>
    <n v="3.6302623550945698E-2"/>
    <n v="1.1579621848739496"/>
    <n v="6.9770886075949372"/>
    <n v="3398.81"/>
    <n v="0.16596638655462184"/>
    <x v="0"/>
    <x v="3"/>
    <n v="2023"/>
    <s v="Thu"/>
    <n v="18"/>
  </r>
  <r>
    <s v="CMP-01459"/>
    <s v="Q1_Launch_CMP-01459"/>
    <d v="2023-02-13T00:00:00"/>
    <x v="6"/>
    <d v="2023-03-10T00:00:00"/>
    <x v="0"/>
    <n v="25058"/>
    <n v="359"/>
    <n v="68"/>
    <x v="0"/>
    <x v="1053"/>
    <n v="1.4326761912363317E-2"/>
    <n v="1.9662395543175488"/>
    <n v="10.380588235294118"/>
    <n v="2694.12"/>
    <n v="0.1894150417827298"/>
    <x v="2"/>
    <x v="1"/>
    <n v="2023"/>
    <s v="Mon"/>
    <n v="25"/>
  </r>
  <r>
    <s v="CMP-01460"/>
    <s v="Q1_Summer_CMP-01460"/>
    <d v="2023-06-26T00:00:00"/>
    <x v="9"/>
    <d v="2023-07-05T00:00:00"/>
    <x v="3"/>
    <n v="46420"/>
    <n v="1646"/>
    <m/>
    <x v="1"/>
    <x v="1054"/>
    <n v="3.5458853942266264E-2"/>
    <n v="1.7117982989064398"/>
    <n v="0"/>
    <n v="-2817.62"/>
    <n v="0"/>
    <x v="3"/>
    <x v="0"/>
    <n v="2023"/>
    <s v="Mon"/>
    <n v="9"/>
  </r>
  <r>
    <s v="CMP-01461"/>
    <s v="Q4_Launch_CMP-01461"/>
    <d v="2023-09-20T00:00:00"/>
    <x v="10"/>
    <d v="2023-09-27T00:00:00"/>
    <x v="1"/>
    <n v="39890"/>
    <n v="1193"/>
    <n v="160"/>
    <x v="0"/>
    <x v="10"/>
    <n v="2.9907244923539734E-2"/>
    <n v="3.0442246437552387"/>
    <n v="22.698499999999999"/>
    <n v="4368.24"/>
    <n v="0.13411567476948869"/>
    <x v="0"/>
    <x v="1"/>
    <n v="2023"/>
    <s v="Wed"/>
    <n v="7"/>
  </r>
  <r>
    <s v="CMP-01462"/>
    <s v="Q4_Summer_CMP-01462"/>
    <d v="2023-11-12T00:00:00"/>
    <x v="0"/>
    <d v="2023-12-11T00:00:00"/>
    <x v="0"/>
    <n v="67017"/>
    <n v="1760"/>
    <m/>
    <x v="0"/>
    <x v="1055"/>
    <n v="2.6261993225599474E-2"/>
    <n v="1.3055625"/>
    <n v="0"/>
    <n v="-2297.79"/>
    <n v="0"/>
    <x v="0"/>
    <x v="0"/>
    <n v="2023"/>
    <s v="Sun"/>
    <n v="29"/>
  </r>
  <r>
    <s v="CMP-01463"/>
    <s v="Q3_BlackFriday_CMP-01463"/>
    <d v="2023-04-03T00:00:00"/>
    <x v="4"/>
    <d v="2023-05-03T00:00:00"/>
    <x v="3"/>
    <n v="48304"/>
    <n v="2324"/>
    <m/>
    <x v="0"/>
    <x v="10"/>
    <n v="4.8111957601854917E-2"/>
    <n v="1.5627194492254732"/>
    <n v="0"/>
    <n v="-3631.7599999999998"/>
    <n v="0"/>
    <x v="1"/>
    <x v="3"/>
    <n v="2023"/>
    <s v="Mon"/>
    <n v="30"/>
  </r>
  <r>
    <s v="CMP-01464"/>
    <s v="Q3_Summer_CMP-01464"/>
    <d v="2023-01-28T00:00:00"/>
    <x v="11"/>
    <d v="2023-02-13T00:00:00"/>
    <x v="3"/>
    <n v="33921"/>
    <n v="1048"/>
    <n v="72"/>
    <x v="1"/>
    <x v="1056"/>
    <n v="3.0895315586215027E-2"/>
    <n v="1.0089885496183206"/>
    <n v="14.68638888888889"/>
    <n v="2542.58"/>
    <n v="6.8702290076335881E-2"/>
    <x v="2"/>
    <x v="0"/>
    <n v="2023"/>
    <s v="Sat"/>
    <n v="16"/>
  </r>
  <r>
    <s v="CMP-01465"/>
    <s v="Q4_BlackFriday_CMP-01465"/>
    <d v="2023-10-09T00:00:00"/>
    <x v="3"/>
    <d v="2023-10-23T00:00:00"/>
    <x v="3"/>
    <n v="2524"/>
    <n v="47"/>
    <n v="3"/>
    <x v="0"/>
    <x v="0"/>
    <n v="1.862123613312203E-2"/>
    <n v="7.0028191489361697"/>
    <n v="109.71083333333333"/>
    <n v="-179.13249999999999"/>
    <n v="6.3829787234042548E-2"/>
    <x v="0"/>
    <x v="3"/>
    <n v="2023"/>
    <s v="Mon"/>
    <n v="14"/>
  </r>
  <r>
    <s v="CMP-01466"/>
    <s v="Q2_Summer_CMP-01466"/>
    <d v="2023-05-29T00:00:00"/>
    <x v="1"/>
    <d v="2023-06-24T00:00:00"/>
    <x v="2"/>
    <n v="16048"/>
    <n v="455"/>
    <n v="69"/>
    <x v="1"/>
    <x v="1057"/>
    <n v="2.8352442671984047E-2"/>
    <n v="1.9906813186813186"/>
    <n v="13.12695652173913"/>
    <n v="2544.2399999999998"/>
    <n v="0.15164835164835164"/>
    <x v="1"/>
    <x v="0"/>
    <n v="2023"/>
    <s v="Mon"/>
    <n v="26"/>
  </r>
  <r>
    <s v="CMP-01467"/>
    <s v="Q4_Launch_CMP-01467"/>
    <d v="2023-04-12T00:00:00"/>
    <x v="4"/>
    <d v="2023-05-11T00:00:00"/>
    <x v="3"/>
    <n v="36111"/>
    <n v="1689"/>
    <n v="150"/>
    <x v="0"/>
    <x v="1058"/>
    <n v="4.6772451607543411E-2"/>
    <n v="0.97194197750148015"/>
    <n v="10.944066666666666"/>
    <n v="5858.39"/>
    <n v="8.8809946714031973E-2"/>
    <x v="1"/>
    <x v="1"/>
    <n v="2023"/>
    <s v="Wed"/>
    <n v="29"/>
  </r>
  <r>
    <s v="CMP-01468"/>
    <s v="Q1_BlackFriday_CMP-01468"/>
    <d v="2023-06-19T00:00:00"/>
    <x v="9"/>
    <d v="2023-07-06T00:00:00"/>
    <x v="1"/>
    <n v="38904"/>
    <n v="663"/>
    <n v="58"/>
    <x v="0"/>
    <x v="1059"/>
    <n v="1.704194941394201E-2"/>
    <n v="1.5110256410256409"/>
    <n v="17.272586206896552"/>
    <n v="1898.19"/>
    <n v="8.7481146304675711E-2"/>
    <x v="3"/>
    <x v="3"/>
    <n v="2023"/>
    <s v="Mon"/>
    <n v="17"/>
  </r>
  <r>
    <s v="CMP-01469"/>
    <s v="Q3_Summer_CMP-01469"/>
    <d v="2023-05-01T00:00:00"/>
    <x v="1"/>
    <d v="2023-05-12T00:00:00"/>
    <x v="1"/>
    <n v="55912"/>
    <n v="1037"/>
    <n v="207"/>
    <x v="0"/>
    <x v="1060"/>
    <n v="1.8547002432393763E-2"/>
    <n v="1.766470588235294"/>
    <n v="8.8494202898550718"/>
    <n v="8518.17"/>
    <n v="0.19961427193828352"/>
    <x v="1"/>
    <x v="0"/>
    <n v="2023"/>
    <s v="Mon"/>
    <n v="11"/>
  </r>
  <r>
    <s v="CMP-01470"/>
    <s v="Q2_Winter_CMP-01470"/>
    <d v="2023-04-10T00:00:00"/>
    <x v="4"/>
    <d v="2023-04-21T00:00:00"/>
    <x v="3"/>
    <n v="35008"/>
    <n v="368"/>
    <n v="28"/>
    <x v="1"/>
    <x v="1061"/>
    <n v="1.0511882998171846E-2"/>
    <n v="1.8737228260869565"/>
    <n v="24.626071428571429"/>
    <n v="710.47"/>
    <n v="7.6086956521739135E-2"/>
    <x v="1"/>
    <x v="2"/>
    <n v="2023"/>
    <s v="Mon"/>
    <n v="11"/>
  </r>
  <r>
    <s v="CMP-01471"/>
    <s v="Q2_Summer_CMP-01471"/>
    <d v="2023-11-12T00:00:00"/>
    <x v="0"/>
    <d v="2023-11-13T00:00:00"/>
    <x v="3"/>
    <n v="1060"/>
    <n v="11"/>
    <n v="0"/>
    <x v="1"/>
    <x v="0"/>
    <n v="1.0377358490566037E-2"/>
    <n v="29.921136363636364"/>
    <n v="0"/>
    <n v="-329.13249999999999"/>
    <n v="0"/>
    <x v="0"/>
    <x v="0"/>
    <n v="2023"/>
    <s v="Sun"/>
    <n v="1"/>
  </r>
  <r>
    <s v="CMP-01472"/>
    <s v="Q2_Winter_CMP-01472"/>
    <d v="2023-03-20T00:00:00"/>
    <x v="5"/>
    <d v="2023-04-05T00:00:00"/>
    <x v="4"/>
    <n v="75666"/>
    <n v="3266"/>
    <n v="211"/>
    <x v="1"/>
    <x v="1062"/>
    <n v="4.316337588877435E-2"/>
    <n v="0.92541334966319655"/>
    <n v="14.324170616113744"/>
    <n v="7527.6"/>
    <n v="6.4605021432945497E-2"/>
    <x v="1"/>
    <x v="2"/>
    <n v="2023"/>
    <s v="Mon"/>
    <n v="16"/>
  </r>
  <r>
    <s v="CMP-01473"/>
    <s v="Q2_Launch_CMP-01473"/>
    <d v="2023-06-11T00:00:00"/>
    <x v="9"/>
    <d v="2023-06-28T00:00:00"/>
    <x v="0"/>
    <n v="84559"/>
    <n v="3321"/>
    <n v="454"/>
    <x v="1"/>
    <x v="1063"/>
    <n v="3.9274352818741941E-2"/>
    <n v="0.98942186088527551"/>
    <n v="7.2375991189427307"/>
    <n v="19414.13"/>
    <n v="0.13670581150255948"/>
    <x v="3"/>
    <x v="1"/>
    <n v="2023"/>
    <s v="Sun"/>
    <n v="17"/>
  </r>
  <r>
    <s v="CMP-01474"/>
    <s v="Q1_Summer_CMP-01474"/>
    <d v="2023-06-10T00:00:00"/>
    <x v="9"/>
    <d v="2023-06-30T00:00:00"/>
    <x v="3"/>
    <n v="56337"/>
    <n v="1363"/>
    <n v="196"/>
    <x v="1"/>
    <x v="1064"/>
    <n v="2.4193691534870512E-2"/>
    <n v="0.53113719735876741"/>
    <n v="3.6935714285714289"/>
    <n v="9076.06"/>
    <n v="0.1438004402054292"/>
    <x v="3"/>
    <x v="0"/>
    <n v="2023"/>
    <s v="Sat"/>
    <n v="20"/>
  </r>
  <r>
    <s v="CMP-01475"/>
    <s v="Q2_BlackFriday_CMP-01475"/>
    <d v="2023-11-25T00:00:00"/>
    <x v="0"/>
    <d v="2023-12-08T00:00:00"/>
    <x v="3"/>
    <n v="14350"/>
    <n v="544"/>
    <n v="57"/>
    <x v="1"/>
    <x v="1065"/>
    <n v="3.7909407665505226E-2"/>
    <n v="1.6413235294117647"/>
    <n v="15.664561403508772"/>
    <n v="1957.12"/>
    <n v="0.10477941176470588"/>
    <x v="0"/>
    <x v="3"/>
    <n v="2023"/>
    <s v="Sat"/>
    <n v="13"/>
  </r>
  <r>
    <s v="CMP-01476"/>
    <s v="Q3_Launch_CMP-01476"/>
    <d v="2023-03-10T00:00:00"/>
    <x v="5"/>
    <d v="2023-04-06T00:00:00"/>
    <x v="4"/>
    <n v="25354"/>
    <n v="654"/>
    <n v="85"/>
    <x v="0"/>
    <x v="1066"/>
    <n v="2.5794746391101995E-2"/>
    <n v="0.56411314984709482"/>
    <n v="4.3403529411764703"/>
    <n v="3881.07"/>
    <n v="0.12996941896024464"/>
    <x v="1"/>
    <x v="1"/>
    <n v="2023"/>
    <s v="Fri"/>
    <n v="27"/>
  </r>
  <r>
    <s v="CMP-01477"/>
    <s v="Q2_Launch_CMP-01477"/>
    <d v="2023-09-03T00:00:00"/>
    <x v="10"/>
    <d v="2023-09-18T00:00:00"/>
    <x v="3"/>
    <n v="46186"/>
    <n v="2222"/>
    <n v="373"/>
    <x v="1"/>
    <x v="10"/>
    <n v="4.8109816827610098E-2"/>
    <n v="1.6344554455445544"/>
    <n v="9.7366219839142083"/>
    <n v="15018.24"/>
    <n v="0.16786678667866786"/>
    <x v="0"/>
    <x v="1"/>
    <n v="2023"/>
    <s v="Sun"/>
    <n v="15"/>
  </r>
  <r>
    <s v="CMP-01478"/>
    <s v="Q2_Winter_CMP-01478"/>
    <d v="2023-06-06T00:00:00"/>
    <x v="9"/>
    <d v="2023-06-26T00:00:00"/>
    <x v="0"/>
    <n v="29145"/>
    <n v="1418"/>
    <m/>
    <x v="0"/>
    <x v="1067"/>
    <n v="4.865328529764968E-2"/>
    <n v="0.67799012693935123"/>
    <n v="0"/>
    <n v="-961.39"/>
    <n v="0"/>
    <x v="3"/>
    <x v="2"/>
    <n v="2023"/>
    <s v="Tue"/>
    <n v="20"/>
  </r>
  <r>
    <s v="CMP-01479"/>
    <s v="Q2_Winter_CMP-01479"/>
    <d v="2023-11-27T00:00:00"/>
    <x v="0"/>
    <d v="2023-12-04T00:00:00"/>
    <x v="0"/>
    <n v="35020"/>
    <n v="900"/>
    <m/>
    <x v="0"/>
    <x v="1068"/>
    <n v="2.5699600228440891E-2"/>
    <n v="0.7578111111111111"/>
    <n v="0"/>
    <n v="-682.03"/>
    <n v="0"/>
    <x v="0"/>
    <x v="2"/>
    <n v="2023"/>
    <s v="Mon"/>
    <n v="7"/>
  </r>
  <r>
    <s v="CMP-01480"/>
    <s v="Q3_Summer_CMP-01480"/>
    <d v="2023-03-13T00:00:00"/>
    <x v="5"/>
    <d v="2023-03-25T00:00:00"/>
    <x v="0"/>
    <n v="87123"/>
    <n v="3848"/>
    <n v="668"/>
    <x v="0"/>
    <x v="10"/>
    <n v="4.4167441433375802E-2"/>
    <n v="0.94380457380457372"/>
    <n v="5.4367664670658682"/>
    <n v="29768.240000000002"/>
    <n v="0.17359667359667361"/>
    <x v="1"/>
    <x v="0"/>
    <n v="2023"/>
    <s v="Mon"/>
    <n v="12"/>
  </r>
  <r>
    <s v="CMP-01481"/>
    <s v="Q2_Summer_CMP-01481"/>
    <d v="2023-11-17T00:00:00"/>
    <x v="0"/>
    <d v="2023-11-22T00:00:00"/>
    <x v="0"/>
    <n v="76186"/>
    <n v="3117"/>
    <n v="419"/>
    <x v="0"/>
    <x v="10"/>
    <n v="4.0913028640432628E-2"/>
    <n v="1.165145973692653"/>
    <n v="8.6676849642004772"/>
    <n v="17318.240000000002"/>
    <n v="0.13442412576195059"/>
    <x v="0"/>
    <x v="0"/>
    <n v="2023"/>
    <s v="Fri"/>
    <n v="5"/>
  </r>
  <r>
    <s v="CMP-01482"/>
    <s v="Q4_Winter_CMP-01482"/>
    <d v="2023-02-08T00:00:00"/>
    <x v="6"/>
    <d v="2023-03-03T00:00:00"/>
    <x v="1"/>
    <n v="86469"/>
    <n v="1936"/>
    <n v="148"/>
    <x v="0"/>
    <x v="1069"/>
    <n v="2.2389526882466548E-2"/>
    <n v="0.70850206611570254"/>
    <n v="9.2679729729729736"/>
    <n v="6028.34"/>
    <n v="7.6446280991735532E-2"/>
    <x v="2"/>
    <x v="2"/>
    <n v="2023"/>
    <s v="Wed"/>
    <n v="23"/>
  </r>
  <r>
    <s v="CMP-01483"/>
    <s v="Q3_Launch_CMP-01483"/>
    <d v="2023-11-20T00:00:00"/>
    <x v="0"/>
    <d v="2023-11-23T00:00:00"/>
    <x v="4"/>
    <n v="21581"/>
    <n v="416"/>
    <n v="27"/>
    <x v="0"/>
    <x v="1070"/>
    <n v="1.9276215189286874E-2"/>
    <n v="1.1600961538461538"/>
    <n v="17.874074074074073"/>
    <n v="867.4"/>
    <n v="6.4903846153846159E-2"/>
    <x v="0"/>
    <x v="1"/>
    <n v="2023"/>
    <s v="Mon"/>
    <n v="3"/>
  </r>
  <r>
    <s v="CMP-01484"/>
    <s v="Q3_BlackFriday_CMP-01484"/>
    <d v="2023-10-25T00:00:00"/>
    <x v="3"/>
    <d v="2023-11-14T00:00:00"/>
    <x v="3"/>
    <n v="89929"/>
    <n v="2547"/>
    <n v="148"/>
    <x v="1"/>
    <x v="1071"/>
    <n v="2.8322343181843453E-2"/>
    <n v="1.2242756183745582"/>
    <n v="21.069121621621623"/>
    <n v="4281.7700000000004"/>
    <n v="5.8107577542206516E-2"/>
    <x v="0"/>
    <x v="3"/>
    <n v="2023"/>
    <s v="Wed"/>
    <n v="20"/>
  </r>
  <r>
    <s v="CMP-01485"/>
    <s v="Q3_Summer_CMP-01485"/>
    <d v="2023-04-19T00:00:00"/>
    <x v="4"/>
    <d v="2023-05-16T00:00:00"/>
    <x v="3"/>
    <n v="24051"/>
    <n v="992"/>
    <n v="148"/>
    <x v="1"/>
    <x v="1072"/>
    <n v="4.1245686250051976E-2"/>
    <n v="0.81842741935483876"/>
    <n v="5.4856756756756759"/>
    <n v="6588.12"/>
    <n v="0.14919354838709678"/>
    <x v="1"/>
    <x v="0"/>
    <n v="2023"/>
    <s v="Wed"/>
    <n v="27"/>
  </r>
  <r>
    <s v="CMP-01486"/>
    <s v="Q1_BlackFriday_CMP-01486"/>
    <d v="2023-10-06T00:00:00"/>
    <x v="3"/>
    <d v="2023-10-29T00:00:00"/>
    <x v="0"/>
    <n v="52474"/>
    <n v="2540"/>
    <n v="434"/>
    <x v="0"/>
    <x v="1073"/>
    <n v="4.8404924343484396E-2"/>
    <n v="0.6733385826771654"/>
    <n v="3.9407373271889399"/>
    <n v="19989.72"/>
    <n v="0.17086614173228346"/>
    <x v="0"/>
    <x v="3"/>
    <n v="2023"/>
    <s v="Fri"/>
    <n v="23"/>
  </r>
  <r>
    <s v="CMP-01487"/>
    <s v="Q1_Launch_CMP-01487"/>
    <d v="2023-12-01T00:00:00"/>
    <x v="2"/>
    <d v="2023-12-23T00:00:00"/>
    <x v="4"/>
    <n v="92748"/>
    <n v="3760"/>
    <n v="474"/>
    <x v="1"/>
    <x v="10"/>
    <n v="4.0539957734937682E-2"/>
    <n v="0.96589361702127652"/>
    <n v="7.6619409282700417"/>
    <n v="20068.240000000002"/>
    <n v="0.12606382978723404"/>
    <x v="2"/>
    <x v="1"/>
    <n v="2023"/>
    <s v="Fri"/>
    <n v="22"/>
  </r>
  <r>
    <s v="CMP-01488"/>
    <s v="Q1_Winter_CMP-01488"/>
    <d v="2023-04-25T00:00:00"/>
    <x v="4"/>
    <d v="2023-05-08T00:00:00"/>
    <x v="2"/>
    <n v="70626"/>
    <n v="3122"/>
    <n v="181"/>
    <x v="1"/>
    <x v="10"/>
    <n v="4.420468382748563E-2"/>
    <n v="1.1632799487508008"/>
    <n v="20.064972375690605"/>
    <n v="5418.24"/>
    <n v="5.7975656630365149E-2"/>
    <x v="1"/>
    <x v="2"/>
    <n v="2023"/>
    <s v="Tue"/>
    <n v="13"/>
  </r>
  <r>
    <s v="CMP-01489"/>
    <s v="Q4_Summer_CMP-01489"/>
    <d v="2023-05-29T00:00:00"/>
    <x v="1"/>
    <d v="2023-06-04T00:00:00"/>
    <x v="2"/>
    <n v="7960"/>
    <n v="271"/>
    <n v="35"/>
    <x v="0"/>
    <x v="0"/>
    <n v="3.4045226130653264E-2"/>
    <n v="1.2145110701107011"/>
    <n v="9.4037857142857142"/>
    <n v="1420.8675000000001"/>
    <n v="0.12915129151291513"/>
    <x v="1"/>
    <x v="0"/>
    <n v="2023"/>
    <s v="Mon"/>
    <n v="6"/>
  </r>
  <r>
    <s v="CMP-01490"/>
    <s v="Q4_Winter_CMP-01490"/>
    <d v="2023-02-16T00:00:00"/>
    <x v="6"/>
    <d v="2023-03-14T00:00:00"/>
    <x v="0"/>
    <n v="36772"/>
    <n v="1596"/>
    <m/>
    <x v="0"/>
    <x v="1074"/>
    <n v="4.3402588926357011E-2"/>
    <n v="1.7044736842105264"/>
    <n v="0"/>
    <n v="-2720.34"/>
    <n v="0"/>
    <x v="2"/>
    <x v="2"/>
    <n v="2023"/>
    <s v="Thu"/>
    <n v="26"/>
  </r>
  <r>
    <s v="CMP-01491"/>
    <s v="Q2_Summer_CMP-01491"/>
    <d v="2023-12-06T00:00:00"/>
    <x v="2"/>
    <d v="2023-12-19T00:00:00"/>
    <x v="3"/>
    <n v="22520"/>
    <n v="931"/>
    <n v="130"/>
    <x v="1"/>
    <x v="1075"/>
    <n v="4.1341030195381885E-2"/>
    <n v="1.9711922663802364"/>
    <n v="14.116769230769231"/>
    <n v="4664.82"/>
    <n v="0.13963480128893663"/>
    <x v="2"/>
    <x v="0"/>
    <n v="2023"/>
    <s v="Wed"/>
    <n v="13"/>
  </r>
  <r>
    <s v="CMP-01492"/>
    <s v="Q1_BlackFriday_CMP-01492"/>
    <d v="2023-11-11T00:00:00"/>
    <x v="0"/>
    <d v="2023-11-18T00:00:00"/>
    <x v="2"/>
    <n v="50481"/>
    <n v="1266"/>
    <n v="217"/>
    <x v="0"/>
    <x v="1076"/>
    <n v="2.5078742497177155E-2"/>
    <n v="1.4088862559241706"/>
    <n v="8.2195852534562217"/>
    <n v="9066.35"/>
    <n v="0.17140600315955767"/>
    <x v="0"/>
    <x v="3"/>
    <n v="2023"/>
    <s v="Sat"/>
    <n v="7"/>
  </r>
  <r>
    <s v="CMP-01493"/>
    <s v="Q2_Summer_CMP-01493"/>
    <d v="2023-03-13T00:00:00"/>
    <x v="5"/>
    <d v="2023-03-20T00:00:00"/>
    <x v="4"/>
    <n v="37408"/>
    <n v="1200"/>
    <n v="204"/>
    <x v="0"/>
    <x v="1077"/>
    <n v="3.2078699743370402E-2"/>
    <n v="1.2555666666666667"/>
    <n v="7.385686274509804"/>
    <n v="8693.32"/>
    <n v="0.17"/>
    <x v="1"/>
    <x v="0"/>
    <n v="2023"/>
    <s v="Mon"/>
    <n v="7"/>
  </r>
  <r>
    <s v="CMP-01494"/>
    <s v="Q4_Summer_CMP-01494"/>
    <d v="2023-10-17T00:00:00"/>
    <x v="3"/>
    <d v="2023-10-28T00:00:00"/>
    <x v="0"/>
    <n v="95006"/>
    <n v="4008"/>
    <n v="760"/>
    <x v="0"/>
    <x v="10"/>
    <n v="4.2186809254152371E-2"/>
    <n v="0.90612774451097799"/>
    <n v="4.7786315789473681"/>
    <n v="34368.239999999998"/>
    <n v="0.18962075848303392"/>
    <x v="0"/>
    <x v="0"/>
    <n v="2023"/>
    <s v="Tue"/>
    <n v="11"/>
  </r>
  <r>
    <s v="CMP-01495"/>
    <s v="Q1_Launch_CMP-01495"/>
    <d v="2023-09-05T00:00:00"/>
    <x v="10"/>
    <d v="2023-10-05T00:00:00"/>
    <x v="4"/>
    <n v="58134"/>
    <n v="688"/>
    <n v="113"/>
    <x v="0"/>
    <x v="1078"/>
    <n v="1.1834726665978601E-2"/>
    <n v="1.9287790697674418"/>
    <n v="11.743362831858407"/>
    <n v="4323"/>
    <n v="0.16424418604651161"/>
    <x v="0"/>
    <x v="1"/>
    <n v="2023"/>
    <s v="Tue"/>
    <n v="30"/>
  </r>
  <r>
    <s v="CMP-01496"/>
    <s v="Q4_Launch_CMP-01496"/>
    <d v="2023-09-07T00:00:00"/>
    <x v="10"/>
    <d v="2023-09-20T00:00:00"/>
    <x v="4"/>
    <n v="21491"/>
    <n v="909"/>
    <m/>
    <x v="0"/>
    <x v="1079"/>
    <n v="4.2296775394351123E-2"/>
    <n v="1.6318041804180416"/>
    <n v="0"/>
    <n v="-1483.31"/>
    <n v="0"/>
    <x v="0"/>
    <x v="1"/>
    <n v="2023"/>
    <s v="Thu"/>
    <n v="13"/>
  </r>
  <r>
    <s v="CMP-01497"/>
    <s v="Q4_Winter_CMP-01497"/>
    <d v="2023-04-30T00:00:00"/>
    <x v="4"/>
    <d v="2023-05-09T00:00:00"/>
    <x v="2"/>
    <n v="2341"/>
    <n v="40"/>
    <n v="3"/>
    <x v="0"/>
    <x v="0"/>
    <n v="1.7086715079026059E-2"/>
    <n v="8.2283124999999995"/>
    <n v="109.71083333333333"/>
    <n v="-179.13249999999999"/>
    <n v="7.4999999999999997E-2"/>
    <x v="1"/>
    <x v="2"/>
    <n v="2023"/>
    <s v="Sun"/>
    <n v="9"/>
  </r>
  <r>
    <s v="CMP-01498"/>
    <s v="Q1_BlackFriday_CMP-01498"/>
    <d v="2023-04-16T00:00:00"/>
    <x v="4"/>
    <d v="2023-05-16T00:00:00"/>
    <x v="1"/>
    <n v="45623"/>
    <n v="1395"/>
    <n v="82"/>
    <x v="1"/>
    <x v="1080"/>
    <n v="3.0576682813493194E-2"/>
    <n v="1.3883297491039426"/>
    <n v="23.618536585365852"/>
    <n v="2163.2799999999997"/>
    <n v="5.8781362007168457E-2"/>
    <x v="1"/>
    <x v="3"/>
    <n v="2023"/>
    <s v="Sun"/>
    <n v="30"/>
  </r>
  <r>
    <s v="CMP-01499"/>
    <s v="Q4_Launch_CMP-01499"/>
    <d v="2023-07-18T00:00:00"/>
    <x v="8"/>
    <d v="2023-08-10T00:00:00"/>
    <x v="1"/>
    <n v="91327"/>
    <n v="3865"/>
    <n v="493"/>
    <x v="1"/>
    <x v="10"/>
    <n v="4.2320452878119287E-2"/>
    <n v="0.93965329883570503"/>
    <n v="7.3666531440162268"/>
    <n v="21018.240000000002"/>
    <n v="0.12755498059508408"/>
    <x v="3"/>
    <x v="1"/>
    <n v="2023"/>
    <s v="Tue"/>
    <n v="23"/>
  </r>
  <r>
    <s v="CMP-01500"/>
    <s v="Q3_Winter_CMP-01500"/>
    <d v="2023-01-24T00:00:00"/>
    <x v="11"/>
    <d v="2023-02-03T00:00:00"/>
    <x v="2"/>
    <n v="1338"/>
    <n v="26"/>
    <m/>
    <x v="0"/>
    <x v="0"/>
    <n v="1.9431988041853511E-2"/>
    <n v="12.658942307692307"/>
    <n v="0"/>
    <n v="-329.13249999999999"/>
    <n v="0"/>
    <x v="2"/>
    <x v="2"/>
    <n v="2023"/>
    <s v="Tue"/>
    <n v="10"/>
  </r>
  <r>
    <s v="CMP-01501"/>
    <s v="Q3_BlackFriday_CMP-01501"/>
    <d v="2023-11-29T00:00:00"/>
    <x v="0"/>
    <d v="2023-12-28T00:00:00"/>
    <x v="0"/>
    <n v="72431"/>
    <n v="1436"/>
    <n v="279"/>
    <x v="0"/>
    <x v="1081"/>
    <n v="1.9825765211028426E-2"/>
    <n v="1.170800835654596"/>
    <n v="6.0260573476702506"/>
    <n v="12268.73"/>
    <n v="0.19428969359331477"/>
    <x v="0"/>
    <x v="3"/>
    <n v="2023"/>
    <s v="Wed"/>
    <n v="29"/>
  </r>
  <r>
    <s v="CMP-01502"/>
    <s v="Q1_Launch_CMP-01502"/>
    <d v="2023-09-24T00:00:00"/>
    <x v="10"/>
    <d v="2023-10-02T00:00:00"/>
    <x v="0"/>
    <n v="13254"/>
    <n v="346"/>
    <n v="32"/>
    <x v="0"/>
    <x v="1082"/>
    <n v="2.6105326693828278E-2"/>
    <n v="1.7447398843930635"/>
    <n v="18.864999999999998"/>
    <n v="996.32"/>
    <n v="9.2485549132947972E-2"/>
    <x v="0"/>
    <x v="1"/>
    <n v="2023"/>
    <s v="Sun"/>
    <n v="8"/>
  </r>
  <r>
    <s v="CMP-01503"/>
    <s v="Q4_Winter_CMP-01503"/>
    <d v="2023-05-15T00:00:00"/>
    <x v="1"/>
    <d v="2023-05-28T00:00:00"/>
    <x v="0"/>
    <n v="52860"/>
    <n v="2420"/>
    <n v="430"/>
    <x v="0"/>
    <x v="1083"/>
    <n v="4.5781309118426032E-2"/>
    <n v="1.4820867768595041"/>
    <n v="8.3410465116279067"/>
    <n v="17913.349999999999"/>
    <n v="0.17768595041322313"/>
    <x v="1"/>
    <x v="2"/>
    <n v="2023"/>
    <s v="Mon"/>
    <n v="13"/>
  </r>
  <r>
    <s v="CMP-01504"/>
    <s v="Q2_Winter_CMP-01504"/>
    <d v="2023-07-12T00:00:00"/>
    <x v="8"/>
    <d v="2023-08-01T00:00:00"/>
    <x v="4"/>
    <n v="12344"/>
    <n v="123"/>
    <n v="13"/>
    <x v="0"/>
    <x v="0"/>
    <n v="9.9643551523007131E-3"/>
    <n v="2.6758739837398373"/>
    <n v="25.317884615384614"/>
    <n v="320.86750000000001"/>
    <n v="0.10569105691056911"/>
    <x v="3"/>
    <x v="2"/>
    <n v="2023"/>
    <s v="Wed"/>
    <n v="20"/>
  </r>
  <r>
    <s v="CMP-01505"/>
    <s v="Q2_Winter_CMP-01505"/>
    <d v="2023-12-01T00:00:00"/>
    <x v="2"/>
    <d v="2023-12-31T00:00:00"/>
    <x v="0"/>
    <n v="2750"/>
    <n v="126"/>
    <n v="12"/>
    <x v="1"/>
    <x v="0"/>
    <n v="4.581818181818182E-2"/>
    <n v="2.6121626984126984"/>
    <n v="27.427708333333332"/>
    <n v="270.86750000000001"/>
    <n v="9.5238095238095233E-2"/>
    <x v="2"/>
    <x v="2"/>
    <n v="2023"/>
    <s v="Fri"/>
    <n v="30"/>
  </r>
  <r>
    <s v="CMP-01506"/>
    <s v="Q2_Summer_CMP-01506"/>
    <d v="2023-05-09T00:00:00"/>
    <x v="1"/>
    <d v="2023-05-25T00:00:00"/>
    <x v="3"/>
    <n v="55756"/>
    <n v="900"/>
    <n v="171"/>
    <x v="0"/>
    <x v="1084"/>
    <n v="1.6141760528014922E-2"/>
    <n v="0.67733333333333334"/>
    <n v="3.5649122807017544"/>
    <n v="7940.4"/>
    <n v="0.19"/>
    <x v="1"/>
    <x v="0"/>
    <n v="2023"/>
    <s v="Tue"/>
    <n v="16"/>
  </r>
  <r>
    <s v="CMP-01507"/>
    <s v="Q1_Launch_CMP-01507"/>
    <d v="2023-09-22T00:00:00"/>
    <x v="10"/>
    <d v="2023-09-23T00:00:00"/>
    <x v="1"/>
    <n v="68957"/>
    <n v="3420"/>
    <n v="357"/>
    <x v="0"/>
    <x v="10"/>
    <n v="4.9596125121452499E-2"/>
    <n v="1.0619181286549706"/>
    <n v="10.172997198879552"/>
    <n v="14218.24"/>
    <n v="0.10438596491228071"/>
    <x v="0"/>
    <x v="1"/>
    <n v="2023"/>
    <s v="Fri"/>
    <n v="1"/>
  </r>
  <r>
    <s v="CMP-01508"/>
    <s v="Q3_Summer_CMP-01508"/>
    <d v="2023-06-26T00:00:00"/>
    <x v="9"/>
    <d v="2023-07-18T00:00:00"/>
    <x v="4"/>
    <n v="59053"/>
    <n v="2845"/>
    <n v="308"/>
    <x v="1"/>
    <x v="10"/>
    <n v="4.8177061283931386E-2"/>
    <n v="1.2765413005272408"/>
    <n v="11.79142857142857"/>
    <n v="11768.24"/>
    <n v="0.10826010544815466"/>
    <x v="3"/>
    <x v="0"/>
    <n v="2023"/>
    <s v="Mon"/>
    <n v="22"/>
  </r>
  <r>
    <s v="CMP-01509"/>
    <s v="Q2_Winter_CMP-01509"/>
    <d v="2023-06-11T00:00:00"/>
    <x v="9"/>
    <d v="2023-12-06T00:00:00"/>
    <x v="1"/>
    <n v="71855"/>
    <n v="2140"/>
    <n v="141"/>
    <x v="0"/>
    <x v="1085"/>
    <n v="2.9782200264421403E-2"/>
    <n v="0.83076168224299063"/>
    <n v="12.608723404255318"/>
    <n v="5272.17"/>
    <n v="6.5887850467289719E-2"/>
    <x v="3"/>
    <x v="2"/>
    <n v="2023"/>
    <s v="Sun"/>
    <n v="178"/>
  </r>
  <r>
    <s v="CMP-01510"/>
    <s v="Q3_Winter_CMP-01510"/>
    <d v="2023-03-13T00:00:00"/>
    <x v="5"/>
    <d v="2023-04-01T00:00:00"/>
    <x v="1"/>
    <n v="16896"/>
    <n v="515"/>
    <n v="77"/>
    <x v="0"/>
    <x v="1086"/>
    <n v="3.048058712121212E-2"/>
    <n v="0.77895145631067964"/>
    <n v="5.2098701298701302"/>
    <n v="3448.84"/>
    <n v="0.14951456310679612"/>
    <x v="1"/>
    <x v="2"/>
    <n v="2023"/>
    <s v="Mon"/>
    <n v="19"/>
  </r>
  <r>
    <s v="CMP-01511"/>
    <s v="Q3_BlackFriday_CMP-01511"/>
    <d v="2023-09-21T00:00:00"/>
    <x v="10"/>
    <d v="2023-09-29T00:00:00"/>
    <x v="1"/>
    <n v="56761"/>
    <n v="1660"/>
    <n v="154"/>
    <x v="0"/>
    <x v="1087"/>
    <n v="2.9245432603372035E-2"/>
    <n v="1.9262289156626506"/>
    <n v="20.763246753246754"/>
    <n v="4502.46"/>
    <n v="9.2771084337349402E-2"/>
    <x v="0"/>
    <x v="3"/>
    <n v="2023"/>
    <s v="Thu"/>
    <n v="8"/>
  </r>
  <r>
    <s v="CMP-01512"/>
    <s v="Q4_BlackFriday_CMP-01512"/>
    <d v="2023-04-06T00:00:00"/>
    <x v="4"/>
    <d v="2023-04-27T00:00:00"/>
    <x v="3"/>
    <n v="63552"/>
    <n v="2250"/>
    <n v="310"/>
    <x v="1"/>
    <x v="1088"/>
    <n v="3.5404078549848943E-2"/>
    <n v="0.81484444444444448"/>
    <n v="5.9141935483870967"/>
    <n v="13666.6"/>
    <n v="0.13777777777777778"/>
    <x v="1"/>
    <x v="3"/>
    <n v="2023"/>
    <s v="Thu"/>
    <n v="21"/>
  </r>
  <r>
    <s v="CMP-01513"/>
    <s v="Q2_BlackFriday_CMP-01513"/>
    <d v="2023-03-02T00:00:00"/>
    <x v="5"/>
    <d v="2023-03-25T00:00:00"/>
    <x v="2"/>
    <n v="78454"/>
    <n v="1069"/>
    <n v="148"/>
    <x v="0"/>
    <x v="1089"/>
    <n v="1.362581895123257E-2"/>
    <n v="0.8913751169317119"/>
    <n v="6.4383783783783786"/>
    <n v="6447.12"/>
    <n v="0.13844714686623011"/>
    <x v="1"/>
    <x v="3"/>
    <n v="2023"/>
    <s v="Thu"/>
    <n v="23"/>
  </r>
  <r>
    <s v="CMP-01514"/>
    <s v="Q4_BlackFriday_CMP-01514"/>
    <d v="2023-06-19T00:00:00"/>
    <x v="9"/>
    <d v="2023-06-22T00:00:00"/>
    <x v="3"/>
    <n v="91600"/>
    <n v="1035"/>
    <n v="163"/>
    <x v="1"/>
    <x v="1090"/>
    <n v="1.1299126637554585E-2"/>
    <n v="1.9544251207729468"/>
    <n v="12.41"/>
    <n v="6127.17"/>
    <n v="0.157487922705314"/>
    <x v="3"/>
    <x v="3"/>
    <n v="2023"/>
    <s v="Mon"/>
    <n v="3"/>
  </r>
  <r>
    <s v="CMP-01515"/>
    <s v="Q2_Summer_CMP-01515"/>
    <d v="2023-09-03T00:00:00"/>
    <x v="10"/>
    <d v="2023-09-18T00:00:00"/>
    <x v="1"/>
    <n v="28935"/>
    <n v="356"/>
    <n v="57"/>
    <x v="1"/>
    <x v="1091"/>
    <n v="1.2303438742007948E-2"/>
    <n v="1.602050561797753"/>
    <n v="10.005789473684212"/>
    <n v="2279.67"/>
    <n v="0.1601123595505618"/>
    <x v="0"/>
    <x v="0"/>
    <n v="2023"/>
    <s v="Sun"/>
    <n v="15"/>
  </r>
  <r>
    <s v="CMP-01516"/>
    <s v="Q4_Summer_CMP-01516"/>
    <d v="2023-11-28T00:00:00"/>
    <x v="0"/>
    <d v="2023-12-21T00:00:00"/>
    <x v="0"/>
    <n v="38641"/>
    <n v="1073"/>
    <n v="136"/>
    <x v="0"/>
    <x v="1092"/>
    <n v="2.7768432493983076E-2"/>
    <n v="1.549394221808015"/>
    <n v="12.224264705882353"/>
    <n v="5137.5"/>
    <n v="0.12674743709226469"/>
    <x v="0"/>
    <x v="0"/>
    <n v="2023"/>
    <s v="Tue"/>
    <n v="23"/>
  </r>
  <r>
    <s v="CMP-01517"/>
    <s v="Q2_Winter_CMP-01517"/>
    <d v="2023-01-23T00:00:00"/>
    <x v="11"/>
    <d v="2023-02-18T00:00:00"/>
    <x v="2"/>
    <n v="30711"/>
    <n v="645"/>
    <n v="64"/>
    <x v="1"/>
    <x v="1093"/>
    <n v="2.1002246751978117E-2"/>
    <n v="1.7793953488372094"/>
    <n v="17.932968750000001"/>
    <n v="2052.29"/>
    <n v="9.9224806201550386E-2"/>
    <x v="2"/>
    <x v="2"/>
    <n v="2023"/>
    <s v="Mon"/>
    <n v="26"/>
  </r>
  <r>
    <s v="CMP-01518"/>
    <s v="Q1_Winter_CMP-01518"/>
    <d v="2023-03-10T00:00:00"/>
    <x v="5"/>
    <d v="2023-10-04T00:00:00"/>
    <x v="1"/>
    <n v="71342"/>
    <n v="2488"/>
    <n v="436"/>
    <x v="0"/>
    <x v="1094"/>
    <n v="3.487426761234616E-2"/>
    <n v="0.673733922829582"/>
    <n v="3.8446100917431192"/>
    <n v="20123.75"/>
    <n v="0.17524115755627009"/>
    <x v="1"/>
    <x v="2"/>
    <n v="2023"/>
    <s v="Fri"/>
    <n v="208"/>
  </r>
  <r>
    <s v="CMP-01519"/>
    <s v="Q1_Winter_CMP-01519"/>
    <d v="2023-10-21T00:00:00"/>
    <x v="3"/>
    <d v="2023-11-03T00:00:00"/>
    <x v="1"/>
    <n v="13182"/>
    <n v="655"/>
    <n v="63"/>
    <x v="1"/>
    <x v="1095"/>
    <n v="4.9688969807313001E-2"/>
    <n v="1.5589312977099237"/>
    <n v="16.207936507936509"/>
    <n v="2128.9"/>
    <n v="9.6183206106870228E-2"/>
    <x v="0"/>
    <x v="2"/>
    <n v="2023"/>
    <s v="Sat"/>
    <n v="13"/>
  </r>
  <r>
    <s v="CMP-01520"/>
    <s v="Q2_Launch_CMP-01520"/>
    <d v="2023-04-03T00:00:00"/>
    <x v="4"/>
    <d v="2023-04-22T00:00:00"/>
    <x v="3"/>
    <n v="88833"/>
    <n v="2261"/>
    <n v="285"/>
    <x v="0"/>
    <x v="1096"/>
    <n v="2.5452253104139226E-2"/>
    <n v="1.2555329500221142"/>
    <n v="9.9605614035087733"/>
    <n v="11411.24"/>
    <n v="0.12605042016806722"/>
    <x v="1"/>
    <x v="1"/>
    <n v="2023"/>
    <s v="Mon"/>
    <n v="19"/>
  </r>
  <r>
    <s v="CMP-01521"/>
    <s v="Q3_Summer_CMP-01521"/>
    <d v="2023-10-16T00:00:00"/>
    <x v="3"/>
    <d v="2023-10-28T00:00:00"/>
    <x v="4"/>
    <n v="57276"/>
    <n v="1887"/>
    <n v="207"/>
    <x v="1"/>
    <x v="1097"/>
    <n v="3.294573643410853E-2"/>
    <n v="1.7437254901960784"/>
    <n v="15.895700483091787"/>
    <n v="7059.59"/>
    <n v="0.10969793322734499"/>
    <x v="0"/>
    <x v="0"/>
    <n v="2023"/>
    <s v="Mon"/>
    <n v="12"/>
  </r>
  <r>
    <s v="CMP-01522"/>
    <s v="Q4_Launch_CMP-01522"/>
    <d v="2023-12-05T00:00:00"/>
    <x v="2"/>
    <d v="2023-12-17T00:00:00"/>
    <x v="2"/>
    <n v="20541"/>
    <n v="546"/>
    <n v="97"/>
    <x v="1"/>
    <x v="1098"/>
    <n v="2.658098437271798E-2"/>
    <n v="1.262216117216117"/>
    <n v="7.1048453608247417"/>
    <n v="4160.83"/>
    <n v="0.17765567765567766"/>
    <x v="2"/>
    <x v="1"/>
    <n v="2023"/>
    <s v="Tue"/>
    <n v="12"/>
  </r>
  <r>
    <s v="CMP-01523"/>
    <s v="Q3_Winter_CMP-01523"/>
    <d v="2023-04-21T00:00:00"/>
    <x v="4"/>
    <d v="2023-05-04T00:00:00"/>
    <x v="0"/>
    <n v="95457"/>
    <n v="4189"/>
    <n v="480"/>
    <x v="1"/>
    <x v="10"/>
    <n v="4.3883633468472717E-2"/>
    <n v="0.86697541179279058"/>
    <n v="7.5661666666666658"/>
    <n v="20368.240000000002"/>
    <n v="0.11458582000477441"/>
    <x v="1"/>
    <x v="2"/>
    <n v="2023"/>
    <s v="Fri"/>
    <n v="13"/>
  </r>
  <r>
    <s v="CMP-01524"/>
    <s v="Q4_Launch_CMP-01524"/>
    <d v="2023-09-04T00:00:00"/>
    <x v="10"/>
    <d v="2023-09-05T00:00:00"/>
    <x v="0"/>
    <n v="83310"/>
    <n v="3839"/>
    <n v="414"/>
    <x v="0"/>
    <x v="10"/>
    <n v="4.608090265274277E-2"/>
    <n v="0.94601719197707734"/>
    <n v="8.7723671497584537"/>
    <n v="17068.240000000002"/>
    <n v="0.10784058348528262"/>
    <x v="0"/>
    <x v="1"/>
    <n v="2023"/>
    <s v="Mon"/>
    <n v="1"/>
  </r>
  <r>
    <s v="CMP-01525"/>
    <s v="Q2_Launch_CMP-01525"/>
    <d v="2023-11-04T00:00:00"/>
    <x v="0"/>
    <d v="2023-11-20T00:00:00"/>
    <x v="1"/>
    <n v="45813"/>
    <n v="2065"/>
    <n v="316"/>
    <x v="1"/>
    <x v="1099"/>
    <n v="4.5074542160522126E-2"/>
    <n v="1.2172397094430993"/>
    <n v="7.9544303797468352"/>
    <n v="13286.4"/>
    <n v="0.15302663438256658"/>
    <x v="0"/>
    <x v="1"/>
    <n v="2023"/>
    <s v="Sat"/>
    <n v="16"/>
  </r>
  <r>
    <s v="CMP-01526"/>
    <s v="Q3_Launch_CMP-01526"/>
    <d v="2023-04-04T00:00:00"/>
    <x v="4"/>
    <d v="2023-04-18T00:00:00"/>
    <x v="2"/>
    <n v="38198"/>
    <n v="1870"/>
    <n v="262"/>
    <x v="0"/>
    <x v="1100"/>
    <n v="4.8955442693334732E-2"/>
    <n v="1.6519572192513368"/>
    <n v="11.790687022900762"/>
    <n v="10010.84"/>
    <n v="0.14010695187165775"/>
    <x v="1"/>
    <x v="1"/>
    <n v="2023"/>
    <s v="Tue"/>
    <n v="14"/>
  </r>
  <r>
    <s v="CMP-01527"/>
    <s v="Q1_BlackFriday_CMP-01527"/>
    <d v="2023-03-27T00:00:00"/>
    <x v="5"/>
    <d v="2023-04-20T00:00:00"/>
    <x v="4"/>
    <n v="9820"/>
    <n v="109"/>
    <n v="7"/>
    <x v="0"/>
    <x v="0"/>
    <n v="1.1099796334012219E-2"/>
    <n v="3.019564220183486"/>
    <n v="47.018928571428567"/>
    <n v="20.867500000000007"/>
    <n v="6.4220183486238536E-2"/>
    <x v="1"/>
    <x v="3"/>
    <n v="2023"/>
    <s v="Mon"/>
    <n v="24"/>
  </r>
  <r>
    <s v="CMP-01528"/>
    <s v="Q3_BlackFriday_CMP-01528"/>
    <d v="2023-08-21T00:00:00"/>
    <x v="7"/>
    <d v="2023-09-05T00:00:00"/>
    <x v="4"/>
    <n v="25070"/>
    <n v="1092"/>
    <n v="137"/>
    <x v="0"/>
    <x v="1101"/>
    <n v="4.3558037495013961E-2"/>
    <n v="1.4498992673992674"/>
    <n v="11.556861313868612"/>
    <n v="5266.71"/>
    <n v="0.12545787545787546"/>
    <x v="3"/>
    <x v="3"/>
    <n v="2023"/>
    <s v="Mon"/>
    <n v="15"/>
  </r>
  <r>
    <s v="CMP-01529"/>
    <s v="Q2_BlackFriday_CMP-01529"/>
    <d v="2023-07-13T00:00:00"/>
    <x v="8"/>
    <d v="2023-08-12T00:00:00"/>
    <x v="0"/>
    <n v="70768"/>
    <n v="2835"/>
    <n v="454"/>
    <x v="1"/>
    <x v="1102"/>
    <n v="4.0060479312683701E-2"/>
    <n v="1.1754250440917107"/>
    <n v="7.339933920704846"/>
    <n v="19367.669999999998"/>
    <n v="0.16014109347442682"/>
    <x v="3"/>
    <x v="3"/>
    <n v="2023"/>
    <s v="Thu"/>
    <n v="30"/>
  </r>
  <r>
    <s v="CMP-01530"/>
    <s v="Q3_Launch_CMP-01530"/>
    <d v="2023-04-14T00:00:00"/>
    <x v="4"/>
    <d v="2023-04-28T00:00:00"/>
    <x v="1"/>
    <n v="12122"/>
    <n v="232"/>
    <n v="46"/>
    <x v="0"/>
    <x v="0"/>
    <n v="1.9138755980861243E-2"/>
    <n v="1.4186745689655171"/>
    <n v="7.1550543478260868"/>
    <n v="1970.8675000000001"/>
    <n v="0.19827586206896552"/>
    <x v="1"/>
    <x v="1"/>
    <n v="2023"/>
    <s v="Fri"/>
    <n v="14"/>
  </r>
  <r>
    <s v="CMP-01531"/>
    <s v="Q4_Summer_CMP-01531"/>
    <d v="2023-12-17T00:00:00"/>
    <x v="2"/>
    <d v="2023-12-20T00:00:00"/>
    <x v="0"/>
    <n v="81559"/>
    <n v="3935"/>
    <n v="568"/>
    <x v="0"/>
    <x v="10"/>
    <n v="4.8247281109380938E-2"/>
    <n v="0.92293773824650571"/>
    <n v="6.3939436619718304"/>
    <n v="24768.240000000002"/>
    <n v="0.14434561626429479"/>
    <x v="2"/>
    <x v="0"/>
    <n v="2023"/>
    <s v="Sun"/>
    <n v="3"/>
  </r>
  <r>
    <s v="CMP-01532"/>
    <s v="Q3_BlackFriday_CMP-01532"/>
    <d v="2023-02-19T00:00:00"/>
    <x v="6"/>
    <d v="2023-03-05T00:00:00"/>
    <x v="1"/>
    <n v="74543"/>
    <n v="1187"/>
    <n v="125"/>
    <x v="0"/>
    <x v="1103"/>
    <n v="1.5923695048495501E-2"/>
    <n v="1.7389132266217355"/>
    <n v="16.512720000000002"/>
    <n v="4185.91"/>
    <n v="0.10530749789385004"/>
    <x v="2"/>
    <x v="3"/>
    <n v="2023"/>
    <s v="Sun"/>
    <n v="14"/>
  </r>
  <r>
    <s v="CMP-01533"/>
    <s v="Q1_BlackFriday_CMP-01533"/>
    <d v="2023-04-11T00:00:00"/>
    <x v="4"/>
    <d v="2023-11-13T00:00:00"/>
    <x v="0"/>
    <n v="84441"/>
    <n v="3139"/>
    <n v="263"/>
    <x v="1"/>
    <x v="10"/>
    <n v="3.7173884724245328E-2"/>
    <n v="1.1569799299139853"/>
    <n v="13.808973384030418"/>
    <n v="9518.24"/>
    <n v="8.3784644791334822E-2"/>
    <x v="1"/>
    <x v="3"/>
    <n v="2023"/>
    <s v="Tue"/>
    <n v="216"/>
  </r>
  <r>
    <s v="CMP-01534"/>
    <s v="Q4_Summer_CMP-01534"/>
    <d v="2023-09-30T00:00:00"/>
    <x v="10"/>
    <d v="2023-10-12T00:00:00"/>
    <x v="4"/>
    <n v="42786"/>
    <n v="812"/>
    <n v="146"/>
    <x v="0"/>
    <x v="1104"/>
    <n v="1.897817042957977E-2"/>
    <n v="1.8861083743842364"/>
    <n v="10.48986301369863"/>
    <n v="5768.48"/>
    <n v="0.17980295566502463"/>
    <x v="0"/>
    <x v="0"/>
    <n v="2023"/>
    <s v="Sat"/>
    <n v="12"/>
  </r>
  <r>
    <s v="CMP-01535"/>
    <s v="Q2_Summer_CMP-01535"/>
    <d v="2023-09-04T00:00:00"/>
    <x v="10"/>
    <d v="2023-09-12T00:00:00"/>
    <x v="3"/>
    <n v="95934"/>
    <n v="2614"/>
    <n v="450"/>
    <x v="0"/>
    <x v="10"/>
    <n v="2.7247899597640044E-2"/>
    <n v="1.3893496557000764"/>
    <n v="8.0705777777777765"/>
    <n v="18868.240000000002"/>
    <n v="0.17214996174445293"/>
    <x v="0"/>
    <x v="0"/>
    <n v="2023"/>
    <s v="Mon"/>
    <n v="8"/>
  </r>
  <r>
    <s v="CMP-01536"/>
    <s v="Q2_Launch_CMP-01536"/>
    <d v="2023-10-04T00:00:00"/>
    <x v="3"/>
    <d v="2023-10-13T00:00:00"/>
    <x v="3"/>
    <n v="7737"/>
    <n v="299"/>
    <n v="25"/>
    <x v="1"/>
    <x v="1105"/>
    <n v="3.8645469820343802E-2"/>
    <n v="1.3428093645484951"/>
    <n v="16.059999999999999"/>
    <n v="848.5"/>
    <n v="8.3612040133779264E-2"/>
    <x v="0"/>
    <x v="1"/>
    <n v="2023"/>
    <s v="Wed"/>
    <n v="9"/>
  </r>
  <r>
    <s v="CMP-01537"/>
    <s v="Q1_Summer_CMP-01537"/>
    <d v="2023-12-14T00:00:00"/>
    <x v="2"/>
    <d v="2023-12-26T00:00:00"/>
    <x v="3"/>
    <n v="37062"/>
    <n v="1205"/>
    <n v="96"/>
    <x v="0"/>
    <x v="1106"/>
    <n v="3.2513086179914739E-2"/>
    <n v="1.5071120331950207"/>
    <n v="18.917395833333334"/>
    <n v="2983.9300000000003"/>
    <n v="7.9668049792531115E-2"/>
    <x v="2"/>
    <x v="0"/>
    <n v="2023"/>
    <s v="Thu"/>
    <n v="12"/>
  </r>
  <r>
    <s v="CMP-01538"/>
    <s v="Q3_Winter_CMP-01538"/>
    <d v="2023-07-09T00:00:00"/>
    <x v="8"/>
    <d v="2023-08-08T00:00:00"/>
    <x v="2"/>
    <n v="55237"/>
    <n v="1496"/>
    <n v="235"/>
    <x v="1"/>
    <x v="1107"/>
    <n v="2.7083295617068268E-2"/>
    <n v="1.8894652406417112"/>
    <n v="12.028255319148936"/>
    <n v="8923.36"/>
    <n v="0.15708556149732619"/>
    <x v="3"/>
    <x v="2"/>
    <n v="2023"/>
    <s v="Sun"/>
    <n v="30"/>
  </r>
  <r>
    <s v="CMP-01539"/>
    <s v="Q3_BlackFriday_CMP-01539"/>
    <d v="2023-08-08T00:00:00"/>
    <x v="7"/>
    <d v="2023-08-17T00:00:00"/>
    <x v="0"/>
    <n v="52571"/>
    <n v="1211"/>
    <n v="117"/>
    <x v="1"/>
    <x v="1108"/>
    <n v="2.3035513876471819E-2"/>
    <n v="1.4287530966143682"/>
    <n v="14.788205128205128"/>
    <n v="4119.78"/>
    <n v="9.661436829066887E-2"/>
    <x v="3"/>
    <x v="3"/>
    <n v="2023"/>
    <s v="Tue"/>
    <n v="9"/>
  </r>
  <r>
    <s v="CMP-01540"/>
    <s v="Q4_Launch_CMP-01540"/>
    <d v="2023-07-15T00:00:00"/>
    <x v="8"/>
    <d v="2023-07-31T00:00:00"/>
    <x v="3"/>
    <n v="26510"/>
    <n v="1155"/>
    <n v="110"/>
    <x v="0"/>
    <x v="1109"/>
    <n v="4.3568464730290454E-2"/>
    <n v="1.7372121212121212"/>
    <n v="18.240727272727273"/>
    <n v="3493.52"/>
    <n v="9.5238095238095233E-2"/>
    <x v="3"/>
    <x v="1"/>
    <n v="2023"/>
    <s v="Sat"/>
    <n v="16"/>
  </r>
  <r>
    <s v="CMP-01541"/>
    <s v="Q1_Winter_CMP-01541"/>
    <d v="2023-12-23T00:00:00"/>
    <x v="2"/>
    <d v="2023-12-29T00:00:00"/>
    <x v="1"/>
    <n v="20426"/>
    <n v="321"/>
    <n v="23"/>
    <x v="0"/>
    <x v="1110"/>
    <n v="1.5715264858513659E-2"/>
    <n v="1.533208722741433"/>
    <n v="21.398260869565217"/>
    <n v="657.83999999999992"/>
    <n v="7.1651090342679122E-2"/>
    <x v="2"/>
    <x v="2"/>
    <n v="2023"/>
    <s v="Sat"/>
    <n v="6"/>
  </r>
  <r>
    <s v="CMP-01542"/>
    <s v="Q4_Winter_CMP-01542"/>
    <d v="2023-05-11T00:00:00"/>
    <x v="1"/>
    <d v="2023-05-17T00:00:00"/>
    <x v="3"/>
    <n v="38265"/>
    <n v="1040"/>
    <n v="93"/>
    <x v="1"/>
    <x v="1111"/>
    <n v="2.7178884097739449E-2"/>
    <n v="1.3279038461538462"/>
    <n v="14.849677419354839"/>
    <n v="3268.98"/>
    <n v="8.9423076923076925E-2"/>
    <x v="1"/>
    <x v="2"/>
    <n v="2023"/>
    <s v="Thu"/>
    <n v="6"/>
  </r>
  <r>
    <s v="CMP-01543"/>
    <s v="Q2_Winter_CMP-01543"/>
    <d v="2023-02-12T00:00:00"/>
    <x v="6"/>
    <d v="2023-02-20T00:00:00"/>
    <x v="0"/>
    <n v="18850"/>
    <n v="869"/>
    <n v="99"/>
    <x v="0"/>
    <x v="1112"/>
    <n v="4.610079575596817E-2"/>
    <n v="0.86276179516685847"/>
    <n v="7.5731313131313129"/>
    <n v="4200.26"/>
    <n v="0.11392405063291139"/>
    <x v="2"/>
    <x v="2"/>
    <n v="2023"/>
    <s v="Sun"/>
    <n v="8"/>
  </r>
  <r>
    <s v="CMP-01544"/>
    <s v="Q1_Winter_CMP-01544"/>
    <d v="2023-07-29T00:00:00"/>
    <x v="8"/>
    <d v="2023-08-26T00:00:00"/>
    <x v="2"/>
    <n v="67150"/>
    <n v="2943"/>
    <n v="470"/>
    <x v="1"/>
    <x v="1113"/>
    <n v="4.3827252419955325E-2"/>
    <n v="1.1389976214746858"/>
    <n v="7.1320638297872341"/>
    <n v="20147.93"/>
    <n v="0.15970098538905877"/>
    <x v="3"/>
    <x v="2"/>
    <n v="2023"/>
    <s v="Sat"/>
    <n v="28"/>
  </r>
  <r>
    <s v="CMP-01545"/>
    <s v="Q3_Winter_CMP-01545"/>
    <d v="2023-01-04T00:00:00"/>
    <x v="11"/>
    <d v="2023-01-23T00:00:00"/>
    <x v="3"/>
    <n v="88312"/>
    <n v="2299"/>
    <m/>
    <x v="1"/>
    <x v="10"/>
    <n v="2.6032702237521514E-2"/>
    <n v="1.579712918660287"/>
    <n v="0"/>
    <n v="-3631.7599999999998"/>
    <n v="0"/>
    <x v="2"/>
    <x v="2"/>
    <n v="2023"/>
    <s v="Wed"/>
    <n v="19"/>
  </r>
  <r>
    <s v="CMP-01546"/>
    <s v="Q1_BlackFriday_CMP-01546"/>
    <d v="2023-01-04T00:00:00"/>
    <x v="11"/>
    <d v="2023-01-25T00:00:00"/>
    <x v="1"/>
    <n v="90613"/>
    <n v="3672"/>
    <n v="364"/>
    <x v="1"/>
    <x v="10"/>
    <n v="4.0523986624435786E-2"/>
    <n v="0.98904139433551197"/>
    <n v="9.9773626373626367"/>
    <n v="14568.24"/>
    <n v="9.9128540305010893E-2"/>
    <x v="2"/>
    <x v="3"/>
    <n v="2023"/>
    <s v="Wed"/>
    <n v="21"/>
  </r>
  <r>
    <s v="CMP-01547"/>
    <s v="Q2_Winter_CMP-01547"/>
    <d v="2023-06-11T00:00:00"/>
    <x v="9"/>
    <d v="2023-06-28T00:00:00"/>
    <x v="1"/>
    <n v="75910"/>
    <n v="3258"/>
    <n v="302"/>
    <x v="0"/>
    <x v="10"/>
    <n v="4.2919246476090106E-2"/>
    <n v="1.1147206875383671"/>
    <n v="12.025695364238409"/>
    <n v="11468.24"/>
    <n v="9.2694904849600981E-2"/>
    <x v="3"/>
    <x v="2"/>
    <n v="2023"/>
    <s v="Sun"/>
    <n v="17"/>
  </r>
  <r>
    <s v="CMP-01548"/>
    <s v="Q3_Winter_CMP-01548"/>
    <d v="2023-08-07T00:00:00"/>
    <x v="7"/>
    <d v="2023-08-27T00:00:00"/>
    <x v="1"/>
    <n v="53375"/>
    <n v="2431"/>
    <n v="295"/>
    <x v="1"/>
    <x v="10"/>
    <n v="4.5545667447306794E-2"/>
    <n v="1.4939366515837103"/>
    <n v="12.311050847457626"/>
    <n v="11118.24"/>
    <n v="0.12134923899629782"/>
    <x v="3"/>
    <x v="2"/>
    <n v="2023"/>
    <s v="Mon"/>
    <n v="20"/>
  </r>
  <r>
    <s v="CMP-01549"/>
    <s v="Q1_Winter_CMP-01549"/>
    <d v="2023-10-02T00:00:00"/>
    <x v="3"/>
    <d v="2023-10-19T00:00:00"/>
    <x v="0"/>
    <n v="36435"/>
    <n v="1157"/>
    <n v="89"/>
    <x v="0"/>
    <x v="1114"/>
    <n v="3.175518045835049E-2"/>
    <n v="1.3797666378565256"/>
    <n v="17.936966292134834"/>
    <n v="2853.6099999999997"/>
    <n v="7.6923076923076927E-2"/>
    <x v="0"/>
    <x v="2"/>
    <n v="2023"/>
    <s v="Mon"/>
    <n v="17"/>
  </r>
  <r>
    <s v="CMP-01550"/>
    <s v="Q2_Winter_CMP-01550"/>
    <d v="2023-05-22T00:00:00"/>
    <x v="1"/>
    <d v="2023-06-17T00:00:00"/>
    <x v="1"/>
    <n v="97443"/>
    <n v="1771"/>
    <n v="217"/>
    <x v="0"/>
    <x v="1115"/>
    <n v="1.8174727789579549E-2"/>
    <n v="1.289124788255223"/>
    <n v="10.520921658986175"/>
    <n v="8566.9599999999991"/>
    <n v="0.1225296442687747"/>
    <x v="1"/>
    <x v="2"/>
    <n v="2023"/>
    <s v="Mon"/>
    <n v="26"/>
  </r>
  <r>
    <s v="CMP-01551"/>
    <s v="Q4_Winter_CMP-01551"/>
    <d v="2023-04-15T00:00:00"/>
    <x v="4"/>
    <d v="2023-04-22T00:00:00"/>
    <x v="4"/>
    <n v="58132"/>
    <n v="1174"/>
    <n v="182"/>
    <x v="0"/>
    <x v="1116"/>
    <n v="2.0195417326085461E-2"/>
    <n v="1.6389693356047701"/>
    <n v="10.572252747252747"/>
    <n v="7175.85"/>
    <n v="0.15502555366269166"/>
    <x v="1"/>
    <x v="2"/>
    <n v="2023"/>
    <s v="Sat"/>
    <n v="7"/>
  </r>
  <r>
    <s v="CMP-01552"/>
    <s v="Q3_Summer_CMP-01552"/>
    <d v="2023-09-05T00:00:00"/>
    <x v="10"/>
    <d v="2023-10-03T00:00:00"/>
    <x v="1"/>
    <n v="79945"/>
    <n v="1745"/>
    <n v="95"/>
    <x v="0"/>
    <x v="1117"/>
    <n v="2.1827506410657328E-2"/>
    <n v="1.5689971346704872"/>
    <n v="28.82"/>
    <n v="2012.1"/>
    <n v="5.4441260744985676E-2"/>
    <x v="0"/>
    <x v="0"/>
    <n v="2023"/>
    <s v="Tue"/>
    <n v="28"/>
  </r>
  <r>
    <s v="CMP-01553"/>
    <s v="Q4_BlackFriday_CMP-01553"/>
    <d v="2023-09-05T00:00:00"/>
    <x v="10"/>
    <d v="2023-09-07T00:00:00"/>
    <x v="1"/>
    <n v="83050"/>
    <n v="2803"/>
    <n v="144"/>
    <x v="0"/>
    <x v="1118"/>
    <n v="3.3750752558699582E-2"/>
    <n v="0.78973956475205132"/>
    <n v="15.372499999999999"/>
    <n v="4986.3600000000006"/>
    <n v="5.1373528362468786E-2"/>
    <x v="0"/>
    <x v="3"/>
    <n v="2023"/>
    <s v="Tue"/>
    <n v="2"/>
  </r>
  <r>
    <s v="CMP-01554"/>
    <s v="Q4_Launch_CMP-01554"/>
    <d v="2023-06-26T00:00:00"/>
    <x v="9"/>
    <d v="2023-07-09T00:00:00"/>
    <x v="2"/>
    <n v="96402"/>
    <n v="1090"/>
    <n v="66"/>
    <x v="0"/>
    <x v="1119"/>
    <n v="1.1306819360594179E-2"/>
    <n v="1.2069633027522935"/>
    <n v="19.933181818181819"/>
    <n v="1984.41"/>
    <n v="6.0550458715596334E-2"/>
    <x v="3"/>
    <x v="1"/>
    <n v="2023"/>
    <s v="Mon"/>
    <n v="13"/>
  </r>
  <r>
    <s v="CMP-01555"/>
    <s v="Q4_Launch_CMP-01555"/>
    <d v="2023-03-12T00:00:00"/>
    <x v="5"/>
    <d v="2023-03-24T00:00:00"/>
    <x v="0"/>
    <n v="3983"/>
    <n v="141"/>
    <n v="18"/>
    <x v="1"/>
    <x v="0"/>
    <n v="3.5400451920662816E-2"/>
    <n v="2.3342730496453901"/>
    <n v="18.285138888888888"/>
    <n v="570.86750000000006"/>
    <n v="0.1276595744680851"/>
    <x v="1"/>
    <x v="1"/>
    <n v="2023"/>
    <s v="Sun"/>
    <n v="12"/>
  </r>
  <r>
    <s v="CMP-01556"/>
    <s v="Q3_Winter_CMP-01556"/>
    <d v="2023-04-28T00:00:00"/>
    <x v="4"/>
    <d v="2023-04-30T00:00:00"/>
    <x v="4"/>
    <n v="98241"/>
    <n v="2414"/>
    <n v="430"/>
    <x v="0"/>
    <x v="1120"/>
    <n v="2.4572225445587893E-2"/>
    <n v="1.0673363711681856"/>
    <n v="5.9919767441860472"/>
    <n v="18923.45"/>
    <n v="0.17812758906379453"/>
    <x v="1"/>
    <x v="2"/>
    <n v="2023"/>
    <s v="Fri"/>
    <n v="2"/>
  </r>
  <r>
    <s v="CMP-01557"/>
    <s v="Q3_Summer_CMP-01557"/>
    <d v="2023-03-24T00:00:00"/>
    <x v="5"/>
    <d v="2023-04-18T00:00:00"/>
    <x v="0"/>
    <n v="21662"/>
    <n v="472"/>
    <n v="23"/>
    <x v="1"/>
    <x v="1121"/>
    <n v="2.1789308466438926E-2"/>
    <n v="1.2759322033898306"/>
    <n v="26.184347826086956"/>
    <n v="547.76"/>
    <n v="4.8728813559322036E-2"/>
    <x v="1"/>
    <x v="0"/>
    <n v="2023"/>
    <s v="Fri"/>
    <n v="25"/>
  </r>
  <r>
    <s v="CMP-01558"/>
    <s v="Q1_BlackFriday_CMP-01558"/>
    <d v="2023-06-23T00:00:00"/>
    <x v="9"/>
    <d v="2023-07-01T00:00:00"/>
    <x v="2"/>
    <n v="24510"/>
    <n v="1107"/>
    <m/>
    <x v="1"/>
    <x v="1122"/>
    <n v="4.5165238678090573E-2"/>
    <n v="1.1196567299006324"/>
    <n v="0"/>
    <n v="-1239.46"/>
    <n v="0"/>
    <x v="3"/>
    <x v="3"/>
    <n v="2023"/>
    <s v="Fri"/>
    <n v="8"/>
  </r>
  <r>
    <s v="CMP-01559"/>
    <s v="Q3_Winter_CMP-01559"/>
    <d v="2023-12-17T00:00:00"/>
    <x v="2"/>
    <d v="2023-12-20T00:00:00"/>
    <x v="4"/>
    <n v="79187"/>
    <n v="2248"/>
    <n v="148"/>
    <x v="0"/>
    <x v="1123"/>
    <n v="2.8388498112063849E-2"/>
    <n v="0.79901690391459079"/>
    <n v="12.136418918918919"/>
    <n v="5603.8099999999995"/>
    <n v="6.5836298932384338E-2"/>
    <x v="2"/>
    <x v="2"/>
    <n v="2023"/>
    <s v="Sun"/>
    <n v="3"/>
  </r>
  <r>
    <s v="CMP-01560"/>
    <s v="Q1_Summer_CMP-01560"/>
    <d v="2023-11-22T00:00:00"/>
    <x v="0"/>
    <d v="2023-12-15T00:00:00"/>
    <x v="4"/>
    <n v="41998"/>
    <n v="579"/>
    <n v="102"/>
    <x v="0"/>
    <x v="1124"/>
    <n v="1.3786370779560931E-2"/>
    <n v="1.1185492227979275"/>
    <n v="6.3494117647058825"/>
    <n v="4452.3599999999997"/>
    <n v="0.17616580310880828"/>
    <x v="0"/>
    <x v="0"/>
    <n v="2023"/>
    <s v="Wed"/>
    <n v="23"/>
  </r>
  <r>
    <s v="CMP-01561"/>
    <s v="Q4_Winter_CMP-01561"/>
    <d v="2023-02-16T00:00:00"/>
    <x v="6"/>
    <d v="2023-03-18T00:00:00"/>
    <x v="3"/>
    <n v="57846"/>
    <n v="2491"/>
    <n v="304"/>
    <x v="1"/>
    <x v="1125"/>
    <n v="4.3062614528230125E-2"/>
    <n v="0.60841429144921721"/>
    <n v="4.985394736842105"/>
    <n v="13684.44"/>
    <n v="0.12203934162986753"/>
    <x v="2"/>
    <x v="2"/>
    <n v="2023"/>
    <s v="Thu"/>
    <n v="30"/>
  </r>
  <r>
    <s v="CMP-01562"/>
    <s v="Q2_Launch_CMP-01562"/>
    <d v="2023-11-04T00:00:00"/>
    <x v="0"/>
    <d v="2023-12-04T00:00:00"/>
    <x v="0"/>
    <n v="95071"/>
    <n v="1131"/>
    <n v="168"/>
    <x v="0"/>
    <x v="1126"/>
    <n v="1.1896372184998579E-2"/>
    <n v="1.3636781609195401"/>
    <n v="9.18047619047619"/>
    <n v="6857.68"/>
    <n v="0.14854111405835543"/>
    <x v="0"/>
    <x v="1"/>
    <n v="2023"/>
    <s v="Sat"/>
    <n v="30"/>
  </r>
  <r>
    <s v="CMP-01563"/>
    <s v="Q2_Winter_CMP-01563"/>
    <d v="2023-04-24T00:00:00"/>
    <x v="4"/>
    <d v="2023-04-27T00:00:00"/>
    <x v="1"/>
    <n v="7640"/>
    <n v="298"/>
    <n v="37"/>
    <x v="1"/>
    <x v="1127"/>
    <n v="3.9005235602094242E-2"/>
    <n v="1.7804697986577183"/>
    <n v="14.340000000000002"/>
    <n v="1319.42"/>
    <n v="0.12416107382550336"/>
    <x v="1"/>
    <x v="2"/>
    <n v="2023"/>
    <s v="Mon"/>
    <n v="3"/>
  </r>
  <r>
    <s v="CMP-01564"/>
    <s v="Q4_Winter_CMP-01564"/>
    <d v="2023-07-16T00:00:00"/>
    <x v="8"/>
    <d v="2023-08-05T00:00:00"/>
    <x v="4"/>
    <n v="45547"/>
    <n v="1865"/>
    <n v="226"/>
    <x v="0"/>
    <x v="1128"/>
    <n v="4.0946714382945087E-2"/>
    <n v="1.587930294906166"/>
    <n v="13.103938053097345"/>
    <n v="8338.51"/>
    <n v="0.12117962466487936"/>
    <x v="3"/>
    <x v="2"/>
    <n v="2023"/>
    <s v="Sun"/>
    <n v="20"/>
  </r>
  <r>
    <s v="CMP-01565"/>
    <s v="Q4_Launch_CMP-01565"/>
    <d v="2023-12-02T00:00:00"/>
    <x v="2"/>
    <d v="2023-12-25T00:00:00"/>
    <x v="1"/>
    <n v="55620"/>
    <n v="1340"/>
    <n v="234"/>
    <x v="1"/>
    <x v="1129"/>
    <n v="2.409205321826681E-2"/>
    <n v="1.040589552238806"/>
    <n v="5.9589316239316243"/>
    <n v="10305.61"/>
    <n v="0.17462686567164179"/>
    <x v="2"/>
    <x v="1"/>
    <n v="2023"/>
    <s v="Sat"/>
    <n v="23"/>
  </r>
  <r>
    <s v="CMP-01566"/>
    <s v="Q2_Winter_CMP-01566"/>
    <d v="2023-02-11T00:00:00"/>
    <x v="6"/>
    <d v="2023-11-20T00:00:00"/>
    <x v="0"/>
    <n v="16317"/>
    <n v="701"/>
    <n v="114"/>
    <x v="1"/>
    <x v="1130"/>
    <n v="4.2961328675614391E-2"/>
    <n v="0.63061340941512123"/>
    <n v="3.8777192982456139"/>
    <n v="5257.94"/>
    <n v="0.16262482168330955"/>
    <x v="2"/>
    <x v="2"/>
    <n v="2023"/>
    <s v="Sat"/>
    <n v="282"/>
  </r>
  <r>
    <s v="CMP-01567"/>
    <s v="Q3_Summer_CMP-01567"/>
    <d v="2023-03-31T00:00:00"/>
    <x v="5"/>
    <d v="2023-04-02T00:00:00"/>
    <x v="3"/>
    <n v="8564"/>
    <n v="262"/>
    <n v="32"/>
    <x v="1"/>
    <x v="0"/>
    <n v="3.0593180756655767E-2"/>
    <n v="1.2562309160305343"/>
    <n v="10.285390625"/>
    <n v="1270.8675000000001"/>
    <n v="0.12213740458015267"/>
    <x v="1"/>
    <x v="0"/>
    <n v="2023"/>
    <s v="Fri"/>
    <n v="2"/>
  </r>
  <r>
    <s v="CMP-01568"/>
    <s v="Q2_BlackFriday_CMP-01568"/>
    <d v="2023-04-14T00:00:00"/>
    <x v="4"/>
    <d v="2023-04-23T00:00:00"/>
    <x v="1"/>
    <n v="28345"/>
    <n v="808"/>
    <n v="53"/>
    <x v="0"/>
    <x v="1131"/>
    <n v="2.8505909331451754E-2"/>
    <n v="1.3182301980198021"/>
    <n v="20.09679245283019"/>
    <n v="1584.87"/>
    <n v="6.5594059405940597E-2"/>
    <x v="1"/>
    <x v="3"/>
    <n v="2023"/>
    <s v="Fri"/>
    <n v="9"/>
  </r>
  <r>
    <s v="CMP-01569"/>
    <s v="Q2_Launch_CMP-01569"/>
    <d v="2023-09-23T00:00:00"/>
    <x v="10"/>
    <d v="2023-09-26T00:00:00"/>
    <x v="4"/>
    <n v="95223"/>
    <n v="1125"/>
    <n v="75"/>
    <x v="0"/>
    <x v="1132"/>
    <n v="1.1814372578053621E-2"/>
    <n v="0.81058666666666668"/>
    <n v="12.158799999999999"/>
    <n v="2838.09"/>
    <n v="6.6666666666666666E-2"/>
    <x v="0"/>
    <x v="1"/>
    <n v="2023"/>
    <s v="Sat"/>
    <n v="3"/>
  </r>
  <r>
    <s v="CMP-01570"/>
    <s v="Q1_Winter_CMP-01570"/>
    <d v="2023-11-03T00:00:00"/>
    <x v="0"/>
    <d v="2023-11-20T00:00:00"/>
    <x v="3"/>
    <n v="80273"/>
    <n v="1733"/>
    <n v="295"/>
    <x v="1"/>
    <x v="1133"/>
    <n v="2.1588828124026758E-2"/>
    <n v="1.3159607616849394"/>
    <n v="7.7307118644067794"/>
    <n v="12469.44"/>
    <n v="0.17022504327755339"/>
    <x v="0"/>
    <x v="2"/>
    <n v="2023"/>
    <s v="Fri"/>
    <n v="17"/>
  </r>
  <r>
    <s v="CMP-01571"/>
    <s v="Q2_Launch_CMP-01571"/>
    <d v="2023-11-11T00:00:00"/>
    <x v="0"/>
    <d v="2023-12-11T00:00:00"/>
    <x v="2"/>
    <n v="75859"/>
    <n v="3583"/>
    <m/>
    <x v="0"/>
    <x v="1134"/>
    <n v="4.7232365309323877E-2"/>
    <n v="0.84739882779793474"/>
    <n v="0"/>
    <n v="-3036.23"/>
    <n v="0"/>
    <x v="0"/>
    <x v="1"/>
    <n v="2023"/>
    <s v="Sat"/>
    <n v="30"/>
  </r>
  <r>
    <s v="CMP-01572"/>
    <s v="Q2_BlackFriday_CMP-01572"/>
    <d v="2023-05-03T00:00:00"/>
    <x v="1"/>
    <d v="2023-05-12T00:00:00"/>
    <x v="0"/>
    <n v="81765"/>
    <n v="2099"/>
    <m/>
    <x v="1"/>
    <x v="10"/>
    <n v="2.5671130679386044E-2"/>
    <n v="1.7302334444973797"/>
    <n v="0"/>
    <n v="-3631.7599999999998"/>
    <n v="0"/>
    <x v="1"/>
    <x v="3"/>
    <n v="2023"/>
    <s v="Wed"/>
    <n v="9"/>
  </r>
  <r>
    <s v="CMP-01573"/>
    <s v="Q3_Summer_CMP-01573"/>
    <d v="2023-02-14T00:00:00"/>
    <x v="6"/>
    <d v="2023-03-01T00:00:00"/>
    <x v="3"/>
    <n v="75038"/>
    <n v="2391"/>
    <n v="363"/>
    <x v="0"/>
    <x v="1135"/>
    <n v="3.1863855646472455E-2"/>
    <n v="1.09590547887913"/>
    <n v="7.2184848484848487"/>
    <n v="15529.69"/>
    <n v="0.15181932245922208"/>
    <x v="2"/>
    <x v="0"/>
    <n v="2023"/>
    <s v="Tue"/>
    <n v="15"/>
  </r>
  <r>
    <s v="CMP-01574"/>
    <s v="Q1_BlackFriday_CMP-01574"/>
    <d v="2023-06-30T00:00:00"/>
    <x v="9"/>
    <d v="2023-07-05T00:00:00"/>
    <x v="4"/>
    <n v="53393"/>
    <n v="1670"/>
    <m/>
    <x v="0"/>
    <x v="1136"/>
    <n v="3.1277508287603242E-2"/>
    <n v="0.86832335329341315"/>
    <n v="0"/>
    <n v="-1450.1"/>
    <n v="0"/>
    <x v="3"/>
    <x v="3"/>
    <n v="2023"/>
    <s v="Fri"/>
    <n v="5"/>
  </r>
  <r>
    <s v="CMP-01575"/>
    <s v="Q1_Launch_CMP-01575"/>
    <d v="2023-04-13T00:00:00"/>
    <x v="4"/>
    <d v="2023-04-23T00:00:00"/>
    <x v="4"/>
    <n v="67081"/>
    <n v="2255"/>
    <n v="325"/>
    <x v="1"/>
    <x v="10"/>
    <n v="3.3616076087118557E-2"/>
    <n v="1.6105365853658535"/>
    <n v="11.174646153846153"/>
    <n v="12618.24"/>
    <n v="0.14412416851441243"/>
    <x v="1"/>
    <x v="1"/>
    <n v="2023"/>
    <s v="Thu"/>
    <n v="10"/>
  </r>
  <r>
    <s v="CMP-01576"/>
    <s v="Q2_Launch_CMP-01576"/>
    <d v="2023-02-05T00:00:00"/>
    <x v="6"/>
    <d v="2023-02-10T00:00:00"/>
    <x v="4"/>
    <n v="30430"/>
    <n v="378"/>
    <n v="62"/>
    <x v="0"/>
    <x v="1137"/>
    <n v="1.2421952021031876E-2"/>
    <n v="1.0142592592592592"/>
    <n v="6.1837096774193547"/>
    <n v="2716.61"/>
    <n v="0.16402116402116401"/>
    <x v="2"/>
    <x v="1"/>
    <n v="2023"/>
    <s v="Sun"/>
    <n v="5"/>
  </r>
  <r>
    <s v="CMP-01577"/>
    <s v="Q3_Summer_CMP-01577"/>
    <d v="2023-10-14T00:00:00"/>
    <x v="3"/>
    <d v="2023-11-11T00:00:00"/>
    <x v="3"/>
    <n v="76532"/>
    <n v="1874"/>
    <n v="308"/>
    <x v="0"/>
    <x v="1138"/>
    <n v="2.4486489311660482E-2"/>
    <n v="0.66723052294557106"/>
    <n v="4.0597077922077922"/>
    <n v="14149.61"/>
    <n v="0.16435432230522945"/>
    <x v="0"/>
    <x v="0"/>
    <n v="2023"/>
    <s v="Sat"/>
    <n v="28"/>
  </r>
  <r>
    <s v="CMP-01578"/>
    <s v="Q4_Winter_CMP-01578"/>
    <d v="2023-05-22T00:00:00"/>
    <x v="1"/>
    <d v="2023-06-05T00:00:00"/>
    <x v="0"/>
    <n v="28788"/>
    <n v="1120"/>
    <n v="115"/>
    <x v="1"/>
    <x v="1139"/>
    <n v="3.890509934695012E-2"/>
    <n v="1.3556160714285714"/>
    <n v="13.202521739130434"/>
    <n v="4231.71"/>
    <n v="0.10267857142857142"/>
    <x v="1"/>
    <x v="2"/>
    <n v="2023"/>
    <s v="Mon"/>
    <n v="14"/>
  </r>
  <r>
    <s v="CMP-01579"/>
    <s v="Q1_BlackFriday_CMP-01579"/>
    <d v="2023-08-21T00:00:00"/>
    <x v="7"/>
    <d v="2023-08-30T00:00:00"/>
    <x v="1"/>
    <n v="96505"/>
    <n v="1739"/>
    <n v="158"/>
    <x v="1"/>
    <x v="1140"/>
    <n v="1.8019791720636235E-2"/>
    <n v="1.3723461759631974"/>
    <n v="15.104493670886077"/>
    <n v="5513.49"/>
    <n v="9.0856814261069577E-2"/>
    <x v="3"/>
    <x v="3"/>
    <n v="2023"/>
    <s v="Mon"/>
    <n v="9"/>
  </r>
  <r>
    <s v="CMP-01580"/>
    <s v="Q3_Summer_CMP-01580"/>
    <d v="2023-05-14T00:00:00"/>
    <x v="1"/>
    <d v="2023-06-11T00:00:00"/>
    <x v="0"/>
    <n v="49543"/>
    <n v="898"/>
    <m/>
    <x v="0"/>
    <x v="1141"/>
    <n v="1.8125668611105504E-2"/>
    <n v="1.5720489977728285"/>
    <n v="0"/>
    <n v="-1411.7"/>
    <n v="0"/>
    <x v="1"/>
    <x v="0"/>
    <n v="2023"/>
    <s v="Sun"/>
    <n v="28"/>
  </r>
  <r>
    <s v="CMP-01581"/>
    <s v="Q4_BlackFriday_CMP-01581"/>
    <d v="2023-10-14T00:00:00"/>
    <x v="3"/>
    <d v="2023-11-13T00:00:00"/>
    <x v="1"/>
    <n v="14919"/>
    <n v="155"/>
    <n v="16"/>
    <x v="1"/>
    <x v="0"/>
    <n v="1.0389436289295529E-2"/>
    <n v="2.1234354838709675"/>
    <n v="20.57078125"/>
    <n v="470.86750000000001"/>
    <n v="0.1032258064516129"/>
    <x v="0"/>
    <x v="3"/>
    <n v="2023"/>
    <s v="Sat"/>
    <n v="30"/>
  </r>
  <r>
    <s v="CMP-01582"/>
    <s v="Q1_Launch_CMP-01582"/>
    <d v="2023-05-31T00:00:00"/>
    <x v="1"/>
    <d v="2023-06-06T00:00:00"/>
    <x v="4"/>
    <n v="70346"/>
    <n v="1934"/>
    <n v="358"/>
    <x v="0"/>
    <x v="1142"/>
    <n v="2.7492679043584569E-2"/>
    <n v="1.1656566701137538"/>
    <n v="6.297150837988827"/>
    <n v="15645.619999999999"/>
    <n v="0.18510858324715615"/>
    <x v="1"/>
    <x v="1"/>
    <n v="2023"/>
    <s v="Wed"/>
    <n v="6"/>
  </r>
  <r>
    <s v="CMP-01583"/>
    <s v="Q4_Winter_CMP-01583"/>
    <d v="2023-09-20T00:00:00"/>
    <x v="10"/>
    <d v="2023-09-28T00:00:00"/>
    <x v="3"/>
    <n v="97122"/>
    <n v="4400"/>
    <n v="265"/>
    <x v="1"/>
    <x v="10"/>
    <n v="4.5303844648998171E-2"/>
    <n v="0.82539999999999991"/>
    <n v="13.704754716981132"/>
    <n v="9618.24"/>
    <n v="6.0227272727272727E-2"/>
    <x v="0"/>
    <x v="2"/>
    <n v="2023"/>
    <s v="Wed"/>
    <n v="8"/>
  </r>
  <r>
    <s v="CMP-01584"/>
    <s v="Q4_BlackFriday_CMP-01584"/>
    <d v="2023-10-22T00:00:00"/>
    <x v="3"/>
    <d v="2023-11-05T00:00:00"/>
    <x v="2"/>
    <n v="40974"/>
    <n v="494"/>
    <n v="29"/>
    <x v="0"/>
    <x v="0"/>
    <n v="1.2056426026260555E-2"/>
    <n v="0.66626012145748992"/>
    <n v="11.349396551724137"/>
    <n v="1120.8675000000001"/>
    <n v="5.8704453441295545E-2"/>
    <x v="0"/>
    <x v="3"/>
    <n v="2023"/>
    <s v="Sun"/>
    <n v="14"/>
  </r>
  <r>
    <s v="CMP-01585"/>
    <s v="Q2_Summer_CMP-01585"/>
    <d v="2023-07-13T00:00:00"/>
    <x v="8"/>
    <d v="2023-07-23T00:00:00"/>
    <x v="2"/>
    <n v="17371"/>
    <n v="306"/>
    <n v="57"/>
    <x v="1"/>
    <x v="1143"/>
    <n v="1.7615566173507569E-2"/>
    <n v="1.8149346405228759"/>
    <n v="9.7433333333333341"/>
    <n v="2294.63"/>
    <n v="0.18627450980392157"/>
    <x v="3"/>
    <x v="0"/>
    <n v="2023"/>
    <s v="Thu"/>
    <n v="10"/>
  </r>
  <r>
    <s v="CMP-01586"/>
    <s v="Q1_BlackFriday_CMP-01586"/>
    <d v="2023-06-23T00:00:00"/>
    <x v="9"/>
    <d v="2023-06-29T00:00:00"/>
    <x v="0"/>
    <n v="46084"/>
    <n v="1032"/>
    <n v="151"/>
    <x v="0"/>
    <x v="1144"/>
    <n v="2.2393889419321241E-2"/>
    <n v="1.5933042635658914"/>
    <n v="10.889337748344371"/>
    <n v="5905.71"/>
    <n v="0.14631782945736435"/>
    <x v="3"/>
    <x v="3"/>
    <n v="2023"/>
    <s v="Fri"/>
    <n v="6"/>
  </r>
  <r>
    <s v="CMP-01587"/>
    <s v="Q2_Launch_CMP-01587"/>
    <d v="2023-08-24T00:00:00"/>
    <x v="7"/>
    <d v="2023-09-10T00:00:00"/>
    <x v="4"/>
    <n v="30629"/>
    <n v="1202"/>
    <m/>
    <x v="0"/>
    <x v="1145"/>
    <n v="3.9243853863985115E-2"/>
    <n v="0.95219633943427617"/>
    <n v="0"/>
    <n v="-1144.54"/>
    <n v="0"/>
    <x v="3"/>
    <x v="1"/>
    <n v="2023"/>
    <s v="Thu"/>
    <n v="17"/>
  </r>
  <r>
    <s v="CMP-01588"/>
    <s v="Q4_Launch_CMP-01588"/>
    <d v="2023-09-04T00:00:00"/>
    <x v="10"/>
    <d v="2023-10-04T00:00:00"/>
    <x v="2"/>
    <n v="52184"/>
    <n v="1859"/>
    <n v="303"/>
    <x v="0"/>
    <x v="1146"/>
    <n v="3.5623946037099494E-2"/>
    <n v="1.3990586336740183"/>
    <n v="8.5836633663366335"/>
    <n v="12549.15"/>
    <n v="0.16299085529854759"/>
    <x v="0"/>
    <x v="1"/>
    <n v="2023"/>
    <s v="Mon"/>
    <n v="30"/>
  </r>
  <r>
    <s v="CMP-01589"/>
    <s v="Q1_Summer_CMP-01589"/>
    <d v="2023-11-21T00:00:00"/>
    <x v="0"/>
    <d v="2023-11-29T00:00:00"/>
    <x v="0"/>
    <n v="62916"/>
    <n v="1675"/>
    <n v="252"/>
    <x v="1"/>
    <x v="1147"/>
    <n v="2.662279865217115E-2"/>
    <n v="0.80189850746268665"/>
    <n v="5.3300793650793654"/>
    <n v="11256.82"/>
    <n v="0.15044776119402986"/>
    <x v="0"/>
    <x v="0"/>
    <n v="2023"/>
    <s v="Tue"/>
    <n v="8"/>
  </r>
  <r>
    <s v="CMP-01590"/>
    <s v="Q3_BlackFriday_CMP-01590"/>
    <d v="2023-12-26T00:00:00"/>
    <x v="2"/>
    <d v="2024-01-23T00:00:00"/>
    <x v="0"/>
    <n v="74972"/>
    <n v="3026"/>
    <n v="392"/>
    <x v="0"/>
    <x v="10"/>
    <n v="4.036173504775116E-2"/>
    <n v="1.2001850627891606"/>
    <n v="9.2646938775510197"/>
    <n v="15968.24"/>
    <n v="0.12954395241242564"/>
    <x v="2"/>
    <x v="3"/>
    <n v="2023"/>
    <s v="Tue"/>
    <n v="28"/>
  </r>
  <r>
    <s v="CMP-01591"/>
    <s v="Q3_BlackFriday_CMP-01591"/>
    <d v="2023-06-30T00:00:00"/>
    <x v="9"/>
    <d v="2023-07-03T00:00:00"/>
    <x v="0"/>
    <n v="63187"/>
    <n v="2172"/>
    <n v="140"/>
    <x v="0"/>
    <x v="1148"/>
    <n v="3.4374159241616152E-2"/>
    <n v="0.6723572744014733"/>
    <n v="10.431142857142856"/>
    <n v="5539.64"/>
    <n v="6.4456721915285453E-2"/>
    <x v="3"/>
    <x v="3"/>
    <n v="2023"/>
    <s v="Fri"/>
    <n v="3"/>
  </r>
  <r>
    <s v="CMP-01592"/>
    <s v="Q4_BlackFriday_CMP-01592"/>
    <d v="2023-05-15T00:00:00"/>
    <x v="1"/>
    <d v="2023-06-04T00:00:00"/>
    <x v="0"/>
    <n v="13984"/>
    <n v="641"/>
    <n v="110"/>
    <x v="1"/>
    <x v="0"/>
    <n v="4.5838100686498857E-2"/>
    <n v="0.51346723868954758"/>
    <n v="2.9921136363636363"/>
    <n v="5170.8675000000003"/>
    <n v="0.17160686427457097"/>
    <x v="1"/>
    <x v="3"/>
    <n v="2023"/>
    <s v="Mon"/>
    <n v="20"/>
  </r>
  <r>
    <s v="CMP-01593"/>
    <s v="Q3_Summer_CMP-01593"/>
    <d v="2023-12-11T00:00:00"/>
    <x v="2"/>
    <d v="2023-12-13T00:00:00"/>
    <x v="3"/>
    <n v="34039"/>
    <n v="1454"/>
    <n v="261"/>
    <x v="0"/>
    <x v="1149"/>
    <n v="4.2715708452069685E-2"/>
    <n v="1.253012379642366"/>
    <n v="6.9803831417624522"/>
    <n v="11228.119999999999"/>
    <n v="0.17950481430536452"/>
    <x v="2"/>
    <x v="0"/>
    <n v="2023"/>
    <s v="Mon"/>
    <n v="2"/>
  </r>
  <r>
    <s v="CMP-01594"/>
    <s v="Q1_Summer_CMP-01594"/>
    <d v="2023-10-11T00:00:00"/>
    <x v="3"/>
    <d v="2023-10-30T00:00:00"/>
    <x v="1"/>
    <n v="86431"/>
    <n v="1738"/>
    <m/>
    <x v="1"/>
    <x v="1150"/>
    <n v="2.0108525876132405E-2"/>
    <n v="1.3746892980437284"/>
    <n v="0"/>
    <n v="-2389.21"/>
    <n v="0"/>
    <x v="0"/>
    <x v="0"/>
    <n v="2023"/>
    <s v="Wed"/>
    <n v="19"/>
  </r>
  <r>
    <s v="CMP-01595"/>
    <s v="Q4_Winter_CMP-01595"/>
    <d v="2023-07-01T00:00:00"/>
    <x v="8"/>
    <d v="2023-07-22T00:00:00"/>
    <x v="1"/>
    <n v="84691"/>
    <n v="1766"/>
    <n v="313"/>
    <x v="0"/>
    <x v="1151"/>
    <n v="2.0852274739936946E-2"/>
    <n v="1.3684484711211777"/>
    <n v="7.7210223642172515"/>
    <n v="13233.32"/>
    <n v="0.17723669309173273"/>
    <x v="3"/>
    <x v="2"/>
    <n v="2023"/>
    <s v="Sat"/>
    <n v="21"/>
  </r>
  <r>
    <s v="CMP-01596"/>
    <s v="Q4_Winter_CMP-01596"/>
    <d v="2023-04-04T00:00:00"/>
    <x v="4"/>
    <d v="2023-04-30T00:00:00"/>
    <x v="4"/>
    <n v="59606"/>
    <n v="894"/>
    <n v="162"/>
    <x v="1"/>
    <x v="1152"/>
    <n v="1.4998490084890783E-2"/>
    <n v="0.58176733780760626"/>
    <n v="3.2104938271604939"/>
    <n v="7579.9"/>
    <n v="0.18120805369127516"/>
    <x v="1"/>
    <x v="2"/>
    <n v="2023"/>
    <s v="Tue"/>
    <n v="26"/>
  </r>
  <r>
    <s v="CMP-01597"/>
    <s v="Q4_BlackFriday_CMP-01597"/>
    <d v="2023-04-08T00:00:00"/>
    <x v="4"/>
    <d v="2023-05-04T00:00:00"/>
    <x v="4"/>
    <n v="11616"/>
    <n v="272"/>
    <n v="36"/>
    <x v="1"/>
    <x v="0"/>
    <n v="2.3415977961432508E-2"/>
    <n v="1.2100459558823529"/>
    <n v="9.1425694444444439"/>
    <n v="1470.8675000000001"/>
    <n v="0.13235294117647059"/>
    <x v="1"/>
    <x v="3"/>
    <n v="2023"/>
    <s v="Sat"/>
    <n v="26"/>
  </r>
  <r>
    <s v="CMP-01598"/>
    <s v="Q1_Launch_CMP-01598"/>
    <d v="2023-05-04T00:00:00"/>
    <x v="1"/>
    <d v="2023-06-01T00:00:00"/>
    <x v="4"/>
    <n v="51072"/>
    <n v="2552"/>
    <n v="378"/>
    <x v="0"/>
    <x v="1153"/>
    <n v="4.9968671679197996E-2"/>
    <n v="1.2487970219435736"/>
    <n v="8.4310317460317457"/>
    <n v="15713.07"/>
    <n v="0.14811912225705329"/>
    <x v="1"/>
    <x v="1"/>
    <n v="2023"/>
    <s v="Thu"/>
    <n v="28"/>
  </r>
  <r>
    <s v="CMP-01599"/>
    <s v="Q4_Launch_CMP-01599"/>
    <d v="2023-04-14T00:00:00"/>
    <x v="4"/>
    <d v="2023-05-12T00:00:00"/>
    <x v="1"/>
    <n v="25574"/>
    <n v="670"/>
    <m/>
    <x v="0"/>
    <x v="1154"/>
    <n v="2.6198482834128411E-2"/>
    <n v="0.82486567164179103"/>
    <n v="0"/>
    <n v="-552.66"/>
    <n v="0"/>
    <x v="1"/>
    <x v="1"/>
    <n v="2023"/>
    <s v="Fri"/>
    <n v="28"/>
  </r>
  <r>
    <s v="CMP-01600"/>
    <s v="Q1_Summer_CMP-01600"/>
    <d v="2023-07-02T00:00:00"/>
    <x v="8"/>
    <d v="2023-07-26T00:00:00"/>
    <x v="2"/>
    <n v="4430"/>
    <n v="83"/>
    <n v="7"/>
    <x v="1"/>
    <x v="0"/>
    <n v="1.8735891647855531E-2"/>
    <n v="3.9654518072289155"/>
    <n v="47.018928571428567"/>
    <n v="20.867500000000007"/>
    <n v="8.4337349397590355E-2"/>
    <x v="3"/>
    <x v="0"/>
    <n v="2023"/>
    <s v="Sun"/>
    <n v="24"/>
  </r>
  <r>
    <s v="CMP-01601"/>
    <s v="Q1_Summer_CMP-01601"/>
    <d v="2023-02-10T00:00:00"/>
    <x v="6"/>
    <d v="2023-02-16T00:00:00"/>
    <x v="0"/>
    <n v="13676"/>
    <n v="553"/>
    <n v="87"/>
    <x v="1"/>
    <x v="1155"/>
    <n v="4.0435799941503363E-2"/>
    <n v="0.63066907775768533"/>
    <n v="4.0087356321839076"/>
    <n v="4001.24"/>
    <n v="0.15732368896925858"/>
    <x v="2"/>
    <x v="0"/>
    <n v="2023"/>
    <s v="Fri"/>
    <n v="6"/>
  </r>
  <r>
    <s v="CMP-01602"/>
    <s v="Q1_Winter_CMP-01602"/>
    <d v="2023-11-11T00:00:00"/>
    <x v="0"/>
    <d v="2023-11-21T00:00:00"/>
    <x v="4"/>
    <n v="11816"/>
    <n v="374"/>
    <n v="67"/>
    <x v="1"/>
    <x v="1156"/>
    <n v="3.1651997291807718E-2"/>
    <n v="1.2310695187165777"/>
    <n v="6.8719402985074627"/>
    <n v="2889.58"/>
    <n v="0.17914438502673796"/>
    <x v="0"/>
    <x v="2"/>
    <n v="2023"/>
    <s v="Sat"/>
    <n v="10"/>
  </r>
  <r>
    <s v="CMP-01603"/>
    <s v="Q3_Launch_CMP-01603"/>
    <d v="2023-10-05T00:00:00"/>
    <x v="3"/>
    <d v="2023-10-23T00:00:00"/>
    <x v="2"/>
    <n v="33733"/>
    <n v="539"/>
    <n v="79"/>
    <x v="0"/>
    <x v="1157"/>
    <n v="1.5978418759078648E-2"/>
    <n v="1.5371243042671614"/>
    <n v="10.48746835443038"/>
    <n v="3121.49"/>
    <n v="0.14656771799628943"/>
    <x v="0"/>
    <x v="1"/>
    <n v="2023"/>
    <s v="Thu"/>
    <n v="18"/>
  </r>
  <r>
    <s v="CMP-01604"/>
    <s v="Q4_Summer_CMP-01604"/>
    <d v="2023-07-10T00:00:00"/>
    <x v="8"/>
    <d v="2023-07-26T00:00:00"/>
    <x v="2"/>
    <n v="86680"/>
    <n v="2186"/>
    <n v="277"/>
    <x v="1"/>
    <x v="1158"/>
    <n v="2.5219197046608213E-2"/>
    <n v="0.8926258005489478"/>
    <n v="7.044332129963899"/>
    <n v="11898.72"/>
    <n v="0.12671546203110703"/>
    <x v="3"/>
    <x v="0"/>
    <n v="2023"/>
    <s v="Mon"/>
    <n v="16"/>
  </r>
  <r>
    <s v="CMP-01605"/>
    <s v="Q3_Launch_CMP-01605"/>
    <d v="2023-10-22T00:00:00"/>
    <x v="3"/>
    <d v="2023-11-05T00:00:00"/>
    <x v="4"/>
    <n v="3050"/>
    <n v="81"/>
    <m/>
    <x v="1"/>
    <x v="0"/>
    <n v="2.6557377049180327E-2"/>
    <n v="4.0633641975308645"/>
    <n v="0"/>
    <n v="-329.13249999999999"/>
    <n v="0"/>
    <x v="0"/>
    <x v="1"/>
    <n v="2023"/>
    <s v="Sun"/>
    <n v="14"/>
  </r>
  <r>
    <s v="CMP-01606"/>
    <s v="Q4_Summer_CMP-01606"/>
    <d v="2023-09-19T00:00:00"/>
    <x v="10"/>
    <d v="2023-10-18T00:00:00"/>
    <x v="0"/>
    <n v="34933"/>
    <n v="1402"/>
    <n v="81"/>
    <x v="1"/>
    <x v="1159"/>
    <n v="4.0133970743995648E-2"/>
    <n v="1.7440798858773179"/>
    <n v="30.187654320987651"/>
    <n v="1604.8000000000002"/>
    <n v="5.7774607703281029E-2"/>
    <x v="0"/>
    <x v="0"/>
    <n v="2023"/>
    <s v="Tue"/>
    <n v="29"/>
  </r>
  <r>
    <s v="CMP-01607"/>
    <s v="Q4_Launch_CMP-01607"/>
    <d v="2023-10-23T00:00:00"/>
    <x v="3"/>
    <d v="2023-10-29T00:00:00"/>
    <x v="2"/>
    <n v="25951"/>
    <n v="280"/>
    <n v="32"/>
    <x v="0"/>
    <x v="0"/>
    <n v="1.0789564949327578E-2"/>
    <n v="1.1754732142857143"/>
    <n v="10.285390625"/>
    <n v="1270.8675000000001"/>
    <n v="0.11428571428571428"/>
    <x v="0"/>
    <x v="1"/>
    <n v="2023"/>
    <s v="Mon"/>
    <n v="6"/>
  </r>
  <r>
    <s v="CMP-01608"/>
    <s v="Q1_Winter_CMP-01608"/>
    <d v="2023-08-05T00:00:00"/>
    <x v="7"/>
    <d v="2023-08-13T00:00:00"/>
    <x v="0"/>
    <n v="33413"/>
    <n v="693"/>
    <n v="39"/>
    <x v="0"/>
    <x v="1160"/>
    <n v="2.0740430371412325E-2"/>
    <n v="1.8758297258297258"/>
    <n v="33.332051282051282"/>
    <n v="650.04999999999995"/>
    <n v="5.627705627705628E-2"/>
    <x v="3"/>
    <x v="2"/>
    <n v="2023"/>
    <s v="Sat"/>
    <n v="8"/>
  </r>
  <r>
    <s v="CMP-01609"/>
    <s v="Q2_Summer_CMP-01609"/>
    <d v="2023-09-15T00:00:00"/>
    <x v="10"/>
    <d v="2023-09-16T00:00:00"/>
    <x v="3"/>
    <n v="35801"/>
    <n v="1099"/>
    <n v="148"/>
    <x v="0"/>
    <x v="1161"/>
    <n v="3.0697466551213654E-2"/>
    <n v="1.330336669699727"/>
    <n v="9.8786486486486478"/>
    <n v="5937.96"/>
    <n v="0.13466787989080983"/>
    <x v="0"/>
    <x v="0"/>
    <n v="2023"/>
    <s v="Fri"/>
    <n v="1"/>
  </r>
  <r>
    <s v="CMP-01610"/>
    <s v="Q3_Summer_CMP-01610"/>
    <d v="2023-03-31T00:00:00"/>
    <x v="5"/>
    <d v="2023-04-26T00:00:00"/>
    <x v="4"/>
    <n v="56619"/>
    <n v="1175"/>
    <n v="126"/>
    <x v="0"/>
    <x v="1162"/>
    <n v="2.0752750843356472E-2"/>
    <n v="0.94885106382978734"/>
    <n v="8.8484126984126998"/>
    <n v="5185.1000000000004"/>
    <n v="0.10723404255319149"/>
    <x v="1"/>
    <x v="0"/>
    <n v="2023"/>
    <s v="Fri"/>
    <n v="26"/>
  </r>
  <r>
    <s v="CMP-01611"/>
    <s v="Q3_Launch_CMP-01611"/>
    <d v="2023-09-23T00:00:00"/>
    <x v="10"/>
    <d v="2023-09-30T00:00:00"/>
    <x v="1"/>
    <n v="33913"/>
    <n v="1191"/>
    <n v="194"/>
    <x v="0"/>
    <x v="1163"/>
    <n v="3.5119275793943326E-2"/>
    <n v="1.1462888329135181"/>
    <n v="7.0372680412371134"/>
    <n v="8334.77"/>
    <n v="0.16288832913518053"/>
    <x v="0"/>
    <x v="1"/>
    <n v="2023"/>
    <s v="Sat"/>
    <n v="7"/>
  </r>
  <r>
    <s v="CMP-01612"/>
    <s v="Q1_Launch_CMP-01612"/>
    <d v="2023-01-07T00:00:00"/>
    <x v="11"/>
    <d v="2023-01-27T00:00:00"/>
    <x v="2"/>
    <n v="41600"/>
    <n v="1217"/>
    <n v="116"/>
    <x v="0"/>
    <x v="1164"/>
    <n v="2.9254807692307691E-2"/>
    <n v="0.96829087921117507"/>
    <n v="10.158706896551724"/>
    <n v="4621.59"/>
    <n v="9.5316351684470002E-2"/>
    <x v="2"/>
    <x v="1"/>
    <n v="2023"/>
    <s v="Sat"/>
    <n v="20"/>
  </r>
  <r>
    <s v="CMP-01613"/>
    <s v="Q3_BlackFriday_CMP-01613"/>
    <d v="2023-02-21T00:00:00"/>
    <x v="6"/>
    <d v="2023-03-16T00:00:00"/>
    <x v="1"/>
    <n v="58775"/>
    <n v="1438"/>
    <n v="199"/>
    <x v="1"/>
    <x v="1165"/>
    <n v="2.4466184602296895E-2"/>
    <n v="1.5876634214186369"/>
    <n v="11.472663316582913"/>
    <n v="7666.9400000000005"/>
    <n v="0.13838664812239221"/>
    <x v="2"/>
    <x v="3"/>
    <n v="2023"/>
    <s v="Tue"/>
    <n v="23"/>
  </r>
  <r>
    <s v="CMP-01614"/>
    <s v="Q3_BlackFriday_CMP-01614"/>
    <d v="2023-05-13T00:00:00"/>
    <x v="1"/>
    <d v="2023-05-16T00:00:00"/>
    <x v="3"/>
    <n v="91816"/>
    <n v="4404"/>
    <n v="575"/>
    <x v="0"/>
    <x v="10"/>
    <n v="4.7965496209810929E-2"/>
    <n v="0.82465031789282461"/>
    <n v="6.3161043478260863"/>
    <n v="25118.240000000002"/>
    <n v="0.13056312443233425"/>
    <x v="1"/>
    <x v="3"/>
    <n v="2023"/>
    <s v="Sat"/>
    <n v="3"/>
  </r>
  <r>
    <s v="CMP-01615"/>
    <s v="Q2_BlackFriday_CMP-01615"/>
    <d v="2023-05-18T00:00:00"/>
    <x v="1"/>
    <d v="2023-05-21T00:00:00"/>
    <x v="0"/>
    <n v="91093"/>
    <n v="3214"/>
    <n v="162"/>
    <x v="0"/>
    <x v="10"/>
    <n v="3.5282623253158861E-2"/>
    <n v="1.1299813316739264"/>
    <n v="22.418271604938269"/>
    <n v="4468.24"/>
    <n v="5.0404480398257623E-2"/>
    <x v="1"/>
    <x v="3"/>
    <n v="2023"/>
    <s v="Thu"/>
    <n v="3"/>
  </r>
  <r>
    <s v="CMP-01616"/>
    <s v="Q4_Summer_CMP-01616"/>
    <d v="2023-07-07T00:00:00"/>
    <x v="8"/>
    <d v="2023-08-01T00:00:00"/>
    <x v="0"/>
    <n v="36400"/>
    <n v="553"/>
    <n v="33"/>
    <x v="1"/>
    <x v="1166"/>
    <n v="1.5192307692307692E-2"/>
    <n v="1.9786437613019892"/>
    <n v="33.157272727272726"/>
    <n v="555.80999999999995"/>
    <n v="5.9674502712477394E-2"/>
    <x v="3"/>
    <x v="0"/>
    <n v="2023"/>
    <s v="Fri"/>
    <n v="25"/>
  </r>
  <r>
    <s v="CMP-01617"/>
    <s v="Q3_Launch_CMP-01617"/>
    <d v="2023-08-03T00:00:00"/>
    <x v="7"/>
    <d v="2023-08-07T00:00:00"/>
    <x v="2"/>
    <n v="5494"/>
    <n v="178"/>
    <n v="16"/>
    <x v="0"/>
    <x v="0"/>
    <n v="3.2398980706224975E-2"/>
    <n v="1.849058988764045"/>
    <n v="20.57078125"/>
    <n v="470.86750000000001"/>
    <n v="8.98876404494382E-2"/>
    <x v="3"/>
    <x v="1"/>
    <n v="2023"/>
    <s v="Thu"/>
    <n v="4"/>
  </r>
  <r>
    <s v="CMP-01618"/>
    <s v="Q3_Winter_CMP-01618"/>
    <d v="2023-07-25T00:00:00"/>
    <x v="8"/>
    <d v="2023-08-03T00:00:00"/>
    <x v="2"/>
    <n v="81688"/>
    <n v="3367"/>
    <n v="613"/>
    <x v="0"/>
    <x v="10"/>
    <n v="4.1217804328665168E-2"/>
    <n v="1.0786337986337986"/>
    <n v="5.9245676998368673"/>
    <n v="27018.240000000002"/>
    <n v="0.18206118206118205"/>
    <x v="3"/>
    <x v="2"/>
    <n v="2023"/>
    <s v="Tue"/>
    <n v="9"/>
  </r>
  <r>
    <s v="CMP-01619"/>
    <s v="Q2_BlackFriday_CMP-01619"/>
    <d v="2023-03-09T00:00:00"/>
    <x v="5"/>
    <d v="2023-04-05T00:00:00"/>
    <x v="4"/>
    <n v="90431"/>
    <n v="3467"/>
    <n v="249"/>
    <x v="0"/>
    <x v="1167"/>
    <n v="3.8338622817396688E-2"/>
    <n v="1.0088318430920105"/>
    <n v="14.046666666666667"/>
    <n v="8952.380000000001"/>
    <n v="7.1820017306028272E-2"/>
    <x v="1"/>
    <x v="3"/>
    <n v="2023"/>
    <s v="Thu"/>
    <n v="27"/>
  </r>
  <r>
    <s v="CMP-01620"/>
    <s v="Q4_BlackFriday_CMP-01620"/>
    <d v="2023-02-21T00:00:00"/>
    <x v="6"/>
    <d v="2023-03-19T00:00:00"/>
    <x v="3"/>
    <n v="75691"/>
    <n v="1277"/>
    <n v="200"/>
    <x v="1"/>
    <x v="1168"/>
    <n v="1.6871226433790014E-2"/>
    <n v="1.3168911511354737"/>
    <n v="8.4083500000000004"/>
    <n v="8318.33"/>
    <n v="0.15661707126076743"/>
    <x v="2"/>
    <x v="3"/>
    <n v="2023"/>
    <s v="Tue"/>
    <n v="26"/>
  </r>
  <r>
    <s v="CMP-01621"/>
    <s v="Q2_Launch_CMP-01621"/>
    <d v="2023-10-12T00:00:00"/>
    <x v="3"/>
    <d v="2023-10-18T00:00:00"/>
    <x v="2"/>
    <n v="98419"/>
    <n v="4812"/>
    <n v="943"/>
    <x v="1"/>
    <x v="1169"/>
    <n v="4.8892998303173167E-2"/>
    <n v="0.56160224438902739"/>
    <n v="2.8657794273594908"/>
    <n v="44447.57"/>
    <n v="0.19596841230257689"/>
    <x v="0"/>
    <x v="1"/>
    <n v="2023"/>
    <s v="Thu"/>
    <n v="6"/>
  </r>
  <r>
    <s v="CMP-01622"/>
    <s v="Q1_BlackFriday_CMP-01622"/>
    <d v="2023-03-16T00:00:00"/>
    <x v="5"/>
    <d v="2023-04-03T00:00:00"/>
    <x v="1"/>
    <n v="44001"/>
    <n v="1229"/>
    <n v="207"/>
    <x v="1"/>
    <x v="1170"/>
    <n v="2.793118338219586E-2"/>
    <n v="1.6172416598860861"/>
    <n v="9.6018840579710147"/>
    <n v="8362.41"/>
    <n v="0.16842961757526445"/>
    <x v="1"/>
    <x v="3"/>
    <n v="2023"/>
    <s v="Thu"/>
    <n v="18"/>
  </r>
  <r>
    <s v="CMP-01623"/>
    <s v="Q3_Winter_CMP-01623"/>
    <d v="2023-08-31T00:00:00"/>
    <x v="7"/>
    <d v="2023-09-04T00:00:00"/>
    <x v="2"/>
    <n v="68364"/>
    <n v="1118"/>
    <n v="96"/>
    <x v="0"/>
    <x v="1171"/>
    <n v="1.635363641682757E-2"/>
    <n v="1.1689355992844364"/>
    <n v="13.613229166666665"/>
    <n v="3493.13"/>
    <n v="8.5867620751341675E-2"/>
    <x v="3"/>
    <x v="2"/>
    <n v="2023"/>
    <s v="Thu"/>
    <n v="4"/>
  </r>
  <r>
    <s v="CMP-01624"/>
    <s v="Q3_BlackFriday_CMP-01624"/>
    <d v="2023-09-13T00:00:00"/>
    <x v="10"/>
    <d v="2023-10-08T00:00:00"/>
    <x v="4"/>
    <n v="46028"/>
    <n v="792"/>
    <n v="147"/>
    <x v="0"/>
    <x v="1172"/>
    <n v="1.7206917528460937E-2"/>
    <n v="0.53003787878787878"/>
    <n v="2.8557142857142859"/>
    <n v="6930.21"/>
    <n v="0.18560606060606061"/>
    <x v="0"/>
    <x v="3"/>
    <n v="2023"/>
    <s v="Wed"/>
    <n v="25"/>
  </r>
  <r>
    <s v="CMP-01625"/>
    <s v="Q1_Summer_CMP-01625"/>
    <d v="2023-11-19T00:00:00"/>
    <x v="0"/>
    <d v="2023-12-04T00:00:00"/>
    <x v="4"/>
    <n v="98659"/>
    <n v="1374"/>
    <n v="87"/>
    <x v="0"/>
    <x v="1173"/>
    <n v="1.3926757822398363E-2"/>
    <n v="0.59376273653566236"/>
    <n v="9.3773563218390805"/>
    <n v="3534.17"/>
    <n v="6.3318777292576414E-2"/>
    <x v="0"/>
    <x v="0"/>
    <n v="2023"/>
    <s v="Sun"/>
    <n v="15"/>
  </r>
  <r>
    <s v="CMP-01626"/>
    <s v="Q4_BlackFriday_CMP-01626"/>
    <d v="2023-09-07T00:00:00"/>
    <x v="10"/>
    <d v="2023-09-25T00:00:00"/>
    <x v="0"/>
    <n v="38573"/>
    <n v="1625"/>
    <m/>
    <x v="1"/>
    <x v="1174"/>
    <n v="4.2127913307235629E-2"/>
    <n v="1.0811999999999999"/>
    <n v="0"/>
    <n v="-1756.95"/>
    <n v="0"/>
    <x v="0"/>
    <x v="3"/>
    <n v="2023"/>
    <s v="Thu"/>
    <n v="18"/>
  </r>
  <r>
    <s v="CMP-01627"/>
    <s v="Q4_Winter_CMP-01627"/>
    <d v="2023-10-18T00:00:00"/>
    <x v="3"/>
    <d v="2023-11-12T00:00:00"/>
    <x v="3"/>
    <n v="1806"/>
    <n v="26"/>
    <n v="4"/>
    <x v="0"/>
    <x v="0"/>
    <n v="1.4396456256921373E-2"/>
    <n v="12.658942307692307"/>
    <n v="82.283124999999998"/>
    <n v="-129.13249999999999"/>
    <n v="0.15384615384615385"/>
    <x v="0"/>
    <x v="2"/>
    <n v="2023"/>
    <s v="Wed"/>
    <n v="25"/>
  </r>
  <r>
    <s v="CMP-01628"/>
    <s v="Q4_Winter_CMP-01628"/>
    <d v="2023-02-20T00:00:00"/>
    <x v="6"/>
    <d v="2023-03-04T00:00:00"/>
    <x v="3"/>
    <n v="57638"/>
    <n v="864"/>
    <n v="126"/>
    <x v="1"/>
    <x v="1175"/>
    <n v="1.4990110690863666E-2"/>
    <n v="1.1963078703703702"/>
    <n v="8.2032539682539678"/>
    <n v="5266.39"/>
    <n v="0.14583333333333334"/>
    <x v="2"/>
    <x v="2"/>
    <n v="2023"/>
    <s v="Mon"/>
    <n v="12"/>
  </r>
  <r>
    <s v="CMP-01629"/>
    <s v="Q3_Launch_CMP-01629"/>
    <d v="2023-05-11T00:00:00"/>
    <x v="1"/>
    <d v="2023-06-04T00:00:00"/>
    <x v="1"/>
    <n v="30757"/>
    <n v="1353"/>
    <n v="151"/>
    <x v="0"/>
    <x v="1176"/>
    <n v="4.3989986019442727E-2"/>
    <n v="1.4288100517368811"/>
    <n v="12.802516556291391"/>
    <n v="5616.82"/>
    <n v="0.11160384331116038"/>
    <x v="1"/>
    <x v="1"/>
    <n v="2023"/>
    <s v="Thu"/>
    <n v="24"/>
  </r>
  <r>
    <s v="CMP-01630"/>
    <s v="Q3_BlackFriday_CMP-01630"/>
    <d v="2023-08-19T00:00:00"/>
    <x v="7"/>
    <d v="2023-08-25T00:00:00"/>
    <x v="4"/>
    <n v="35636"/>
    <n v="847"/>
    <n v="79"/>
    <x v="0"/>
    <x v="1177"/>
    <n v="2.3768099674486474E-2"/>
    <n v="1.2204368358913813"/>
    <n v="13.084936708860759"/>
    <n v="2916.29"/>
    <n v="9.3270365997638729E-2"/>
    <x v="3"/>
    <x v="3"/>
    <n v="2023"/>
    <s v="Sat"/>
    <n v="6"/>
  </r>
  <r>
    <s v="CMP-01631"/>
    <s v="Q4_BlackFriday_CMP-01631"/>
    <d v="2023-07-04T00:00:00"/>
    <x v="8"/>
    <d v="2023-07-09T00:00:00"/>
    <x v="1"/>
    <n v="81097"/>
    <n v="911"/>
    <n v="96"/>
    <x v="1"/>
    <x v="1178"/>
    <n v="1.1233461163791508E-2"/>
    <n v="1.4925576289791438"/>
    <n v="14.16375"/>
    <n v="3440.2799999999997"/>
    <n v="0.10537870472008781"/>
    <x v="3"/>
    <x v="3"/>
    <n v="2023"/>
    <s v="Tue"/>
    <n v="5"/>
  </r>
  <r>
    <s v="CMP-01632"/>
    <s v="Q2_Winter_CMP-01632"/>
    <d v="2023-05-12T00:00:00"/>
    <x v="1"/>
    <d v="2023-05-30T00:00:00"/>
    <x v="2"/>
    <n v="49280"/>
    <n v="595"/>
    <n v="75"/>
    <x v="1"/>
    <x v="1179"/>
    <n v="1.2073863636363636E-2"/>
    <n v="0.82868907563025207"/>
    <n v="6.5742666666666665"/>
    <n v="3256.93"/>
    <n v="0.12605042016806722"/>
    <x v="1"/>
    <x v="2"/>
    <n v="2023"/>
    <s v="Fri"/>
    <n v="18"/>
  </r>
  <r>
    <s v="CMP-01633"/>
    <s v="Q3_Summer_CMP-01633"/>
    <d v="2023-06-29T00:00:00"/>
    <x v="9"/>
    <d v="2023-07-29T00:00:00"/>
    <x v="3"/>
    <n v="25262"/>
    <n v="396"/>
    <n v="38"/>
    <x v="0"/>
    <x v="0"/>
    <n v="1.5675718470429895E-2"/>
    <n v="0.83114267676767672"/>
    <n v="8.6613815789473687"/>
    <n v="1570.8675000000001"/>
    <n v="9.5959595959595953E-2"/>
    <x v="3"/>
    <x v="0"/>
    <n v="2023"/>
    <s v="Thu"/>
    <n v="30"/>
  </r>
  <r>
    <s v="CMP-01634"/>
    <s v="Q1_Winter_CMP-01634"/>
    <d v="2023-04-12T00:00:00"/>
    <x v="4"/>
    <d v="2023-05-12T00:00:00"/>
    <x v="3"/>
    <n v="81435"/>
    <n v="1509"/>
    <n v="294"/>
    <x v="1"/>
    <x v="1180"/>
    <n v="1.8530116043470251E-2"/>
    <n v="1.3946520874751491"/>
    <n v="7.1582653061224493"/>
    <n v="12595.47"/>
    <n v="0.19483101391650098"/>
    <x v="1"/>
    <x v="2"/>
    <n v="2023"/>
    <s v="Wed"/>
    <n v="30"/>
  </r>
  <r>
    <s v="CMP-01635"/>
    <s v="Q3_BlackFriday_CMP-01635"/>
    <d v="2023-10-03T00:00:00"/>
    <x v="3"/>
    <d v="2023-10-11T00:00:00"/>
    <x v="4"/>
    <n v="63211"/>
    <n v="2313"/>
    <n v="439"/>
    <x v="0"/>
    <x v="1181"/>
    <n v="3.6591732451630256E-2"/>
    <n v="1.2270341547773456"/>
    <n v="6.4649886104783603"/>
    <n v="19111.87"/>
    <n v="0.18979680069174232"/>
    <x v="0"/>
    <x v="3"/>
    <n v="2023"/>
    <s v="Tue"/>
    <n v="8"/>
  </r>
  <r>
    <s v="CMP-01636"/>
    <s v="Q2_Launch_CMP-01636"/>
    <d v="2023-07-01T00:00:00"/>
    <x v="8"/>
    <d v="2023-07-27T00:00:00"/>
    <x v="3"/>
    <n v="55842"/>
    <n v="909"/>
    <n v="164"/>
    <x v="1"/>
    <x v="1182"/>
    <n v="1.6278070269689481E-2"/>
    <n v="0.54029702970297033"/>
    <n v="2.9946951219512195"/>
    <n v="7708.87"/>
    <n v="0.18041804180418042"/>
    <x v="3"/>
    <x v="1"/>
    <n v="2023"/>
    <s v="Sat"/>
    <n v="26"/>
  </r>
  <r>
    <s v="CMP-01637"/>
    <s v="Q1_Winter_CMP-01637"/>
    <d v="2023-08-17T00:00:00"/>
    <x v="7"/>
    <d v="2023-08-18T00:00:00"/>
    <x v="3"/>
    <n v="57979"/>
    <n v="855"/>
    <n v="96"/>
    <x v="0"/>
    <x v="1183"/>
    <n v="1.4746718639507408E-2"/>
    <n v="1.0707251461988305"/>
    <n v="9.5361458333333342"/>
    <n v="3884.5299999999997"/>
    <n v="0.11228070175438597"/>
    <x v="3"/>
    <x v="2"/>
    <n v="2023"/>
    <s v="Thu"/>
    <n v="1"/>
  </r>
  <r>
    <s v="CMP-01638"/>
    <s v="Q1_Summer_CMP-01638"/>
    <d v="2023-05-27T00:00:00"/>
    <x v="1"/>
    <d v="2023-06-07T00:00:00"/>
    <x v="3"/>
    <n v="82470"/>
    <n v="3347"/>
    <n v="514"/>
    <x v="0"/>
    <x v="1184"/>
    <n v="4.0584454953316355E-2"/>
    <n v="0.65918733193904999"/>
    <n v="4.2924124513618684"/>
    <n v="23493.7"/>
    <n v="0.15357036151777712"/>
    <x v="1"/>
    <x v="0"/>
    <n v="2023"/>
    <s v="Sat"/>
    <n v="11"/>
  </r>
  <r>
    <s v="CMP-01639"/>
    <s v="Q4_BlackFriday_CMP-01639"/>
    <d v="2023-03-27T00:00:00"/>
    <x v="5"/>
    <d v="2023-04-24T00:00:00"/>
    <x v="3"/>
    <n v="39197"/>
    <n v="1444"/>
    <n v="267"/>
    <x v="1"/>
    <x v="1185"/>
    <n v="3.6839554047503636E-2"/>
    <n v="1.2970360110803325"/>
    <n v="7.0146816479400753"/>
    <n v="11477.08"/>
    <n v="0.18490304709141275"/>
    <x v="1"/>
    <x v="3"/>
    <n v="2023"/>
    <s v="Mon"/>
    <n v="28"/>
  </r>
  <r>
    <s v="CMP-01640"/>
    <s v="Q2_BlackFriday_CMP-01640"/>
    <d v="2023-08-04T00:00:00"/>
    <x v="7"/>
    <d v="2023-08-10T00:00:00"/>
    <x v="0"/>
    <n v="42844"/>
    <n v="1174"/>
    <n v="208"/>
    <x v="1"/>
    <x v="1186"/>
    <n v="2.7401736532536646E-2"/>
    <n v="1.0936626916524703"/>
    <n v="6.172884615384616"/>
    <n v="9116.0400000000009"/>
    <n v="0.17717206132879046"/>
    <x v="3"/>
    <x v="3"/>
    <n v="2023"/>
    <s v="Fri"/>
    <n v="6"/>
  </r>
  <r>
    <s v="CMP-01641"/>
    <s v="Q3_Launch_CMP-01641"/>
    <d v="2023-06-02T00:00:00"/>
    <x v="9"/>
    <d v="2023-07-02T00:00:00"/>
    <x v="3"/>
    <n v="65754"/>
    <n v="2102"/>
    <n v="235"/>
    <x v="1"/>
    <x v="1187"/>
    <n v="3.1967636949843357E-2"/>
    <n v="1.4197288296860133"/>
    <n v="12.699021276595744"/>
    <n v="8765.73"/>
    <n v="0.11179828734538534"/>
    <x v="3"/>
    <x v="1"/>
    <n v="2023"/>
    <s v="Fri"/>
    <n v="30"/>
  </r>
  <r>
    <s v="CMP-01642"/>
    <s v="Q2_Launch_CMP-01642"/>
    <d v="2023-06-25T00:00:00"/>
    <x v="9"/>
    <d v="2023-07-04T00:00:00"/>
    <x v="2"/>
    <n v="35157"/>
    <n v="790"/>
    <m/>
    <x v="0"/>
    <x v="1188"/>
    <n v="2.2470631737634042E-2"/>
    <n v="1.7084050632911394"/>
    <n v="0"/>
    <n v="-1349.64"/>
    <n v="0"/>
    <x v="3"/>
    <x v="1"/>
    <n v="2023"/>
    <s v="Sun"/>
    <n v="9"/>
  </r>
  <r>
    <s v="CMP-01643"/>
    <s v="Q1_BlackFriday_CMP-01643"/>
    <d v="2023-05-30T00:00:00"/>
    <x v="1"/>
    <d v="2023-06-16T00:00:00"/>
    <x v="0"/>
    <n v="78129"/>
    <n v="2289"/>
    <n v="140"/>
    <x v="0"/>
    <x v="1189"/>
    <n v="2.9297699957762161E-2"/>
    <n v="0.94950196592398417"/>
    <n v="15.524357142857141"/>
    <n v="4826.59"/>
    <n v="6.1162079510703363E-2"/>
    <x v="1"/>
    <x v="3"/>
    <n v="2023"/>
    <s v="Tue"/>
    <n v="17"/>
  </r>
  <r>
    <s v="CMP-01644"/>
    <s v="Q1_BlackFriday_CMP-01644"/>
    <d v="2023-07-22T00:00:00"/>
    <x v="8"/>
    <d v="2023-08-18T00:00:00"/>
    <x v="4"/>
    <n v="41042"/>
    <n v="1242"/>
    <n v="169"/>
    <x v="0"/>
    <x v="1190"/>
    <n v="3.0261683153842405E-2"/>
    <n v="1.943156199677939"/>
    <n v="14.280473372781065"/>
    <n v="6036.6"/>
    <n v="0.1360708534621578"/>
    <x v="3"/>
    <x v="3"/>
    <n v="2023"/>
    <s v="Sat"/>
    <n v="27"/>
  </r>
  <r>
    <s v="CMP-01645"/>
    <s v="Q2_Launch_CMP-01645"/>
    <d v="2023-07-05T00:00:00"/>
    <x v="8"/>
    <d v="2023-07-06T00:00:00"/>
    <x v="0"/>
    <n v="62665"/>
    <n v="1597"/>
    <n v="233"/>
    <x v="0"/>
    <x v="1191"/>
    <n v="2.5484720338306871E-2"/>
    <n v="1.3034502191609267"/>
    <n v="8.9339484978540771"/>
    <n v="9568.39"/>
    <n v="0.14589855979962429"/>
    <x v="3"/>
    <x v="1"/>
    <n v="2023"/>
    <s v="Wed"/>
    <n v="1"/>
  </r>
  <r>
    <s v="CMP-01646"/>
    <s v="Q1_Winter_CMP-01646"/>
    <d v="2023-08-19T00:00:00"/>
    <x v="7"/>
    <d v="2023-09-05T00:00:00"/>
    <x v="4"/>
    <n v="83856"/>
    <n v="3879"/>
    <n v="688"/>
    <x v="1"/>
    <x v="10"/>
    <n v="4.6257870635374926E-2"/>
    <n v="0.93626192317607626"/>
    <n v="5.2787209302325575"/>
    <n v="30768.240000000002"/>
    <n v="0.17736530033513792"/>
    <x v="3"/>
    <x v="2"/>
    <n v="2023"/>
    <s v="Sat"/>
    <n v="17"/>
  </r>
  <r>
    <s v="CMP-01647"/>
    <s v="Q2_BlackFriday_CMP-01647"/>
    <d v="2023-01-12T00:00:00"/>
    <x v="11"/>
    <d v="2023-01-29T00:00:00"/>
    <x v="3"/>
    <n v="28376"/>
    <n v="301"/>
    <n v="28"/>
    <x v="0"/>
    <x v="1192"/>
    <n v="1.0607555680857063E-2"/>
    <n v="1.5209966777408637"/>
    <n v="16.350714285714286"/>
    <n v="942.18000000000006"/>
    <n v="9.3023255813953487E-2"/>
    <x v="2"/>
    <x v="3"/>
    <n v="2023"/>
    <s v="Thu"/>
    <n v="17"/>
  </r>
  <r>
    <s v="CMP-01648"/>
    <s v="Q1_Launch_CMP-01648"/>
    <d v="2023-05-09T00:00:00"/>
    <x v="1"/>
    <d v="2023-06-07T00:00:00"/>
    <x v="2"/>
    <n v="56554"/>
    <n v="2334"/>
    <n v="175"/>
    <x v="1"/>
    <x v="1193"/>
    <n v="4.1270290341974041E-2"/>
    <n v="1.5000985432733505"/>
    <n v="20.00702857142857"/>
    <n v="5248.77"/>
    <n v="7.4978577549271633E-2"/>
    <x v="1"/>
    <x v="1"/>
    <n v="2023"/>
    <s v="Tue"/>
    <n v="29"/>
  </r>
  <r>
    <s v="CMP-01649"/>
    <s v="Q2_Winter_CMP-01649"/>
    <d v="2023-02-10T00:00:00"/>
    <x v="6"/>
    <d v="2023-02-12T00:00:00"/>
    <x v="3"/>
    <n v="15199"/>
    <n v="227"/>
    <n v="24"/>
    <x v="1"/>
    <x v="0"/>
    <n v="1.4935193104809527E-2"/>
    <n v="1.4499229074889868"/>
    <n v="13.713854166666666"/>
    <n v="870.86750000000006"/>
    <n v="0.10572687224669604"/>
    <x v="2"/>
    <x v="2"/>
    <n v="2023"/>
    <s v="Fri"/>
    <n v="2"/>
  </r>
  <r>
    <s v="CMP-01650"/>
    <s v="Q2_Winter_CMP-01650"/>
    <d v="2023-02-18T00:00:00"/>
    <x v="6"/>
    <d v="2023-03-03T00:00:00"/>
    <x v="2"/>
    <n v="82412"/>
    <n v="3453"/>
    <n v="355"/>
    <x v="1"/>
    <x v="10"/>
    <n v="4.1899237975052177E-2"/>
    <n v="1.0517694758181291"/>
    <n v="10.230309859154929"/>
    <n v="14118.24"/>
    <n v="0.10280915146249638"/>
    <x v="2"/>
    <x v="2"/>
    <n v="2023"/>
    <s v="Sat"/>
    <n v="13"/>
  </r>
  <r>
    <s v="CMP-01651"/>
    <s v="Q4_Winter_CMP-01651"/>
    <d v="2023-08-31T00:00:00"/>
    <x v="7"/>
    <d v="2023-09-05T00:00:00"/>
    <x v="1"/>
    <n v="51948"/>
    <n v="1799"/>
    <n v="125"/>
    <x v="0"/>
    <x v="1194"/>
    <n v="3.4630784630784631E-2"/>
    <n v="0.58067259588660369"/>
    <n v="8.3570400000000014"/>
    <n v="5205.37"/>
    <n v="6.9483046136742638E-2"/>
    <x v="3"/>
    <x v="2"/>
    <n v="2023"/>
    <s v="Thu"/>
    <n v="5"/>
  </r>
  <r>
    <s v="CMP-01652"/>
    <s v="Q2_Summer_CMP-01652"/>
    <d v="2023-07-23T00:00:00"/>
    <x v="8"/>
    <d v="2023-07-29T00:00:00"/>
    <x v="4"/>
    <n v="74781"/>
    <n v="3270"/>
    <n v="493"/>
    <x v="1"/>
    <x v="1195"/>
    <n v="4.3727684839732016E-2"/>
    <n v="0.53312844036697249"/>
    <n v="3.5361663286004057"/>
    <n v="22906.67"/>
    <n v="0.15076452599388379"/>
    <x v="3"/>
    <x v="0"/>
    <n v="2023"/>
    <s v="Sun"/>
    <n v="6"/>
  </r>
  <r>
    <s v="CMP-01653"/>
    <s v="Q3_Winter_CMP-01653"/>
    <d v="2023-02-23T00:00:00"/>
    <x v="6"/>
    <d v="2023-02-25T00:00:00"/>
    <x v="3"/>
    <n v="73750"/>
    <n v="1025"/>
    <n v="129"/>
    <x v="0"/>
    <x v="1196"/>
    <n v="1.3898305084745762E-2"/>
    <n v="1.0369463414634146"/>
    <n v="8.2393023255813951"/>
    <n v="5387.13"/>
    <n v="0.12585365853658537"/>
    <x v="2"/>
    <x v="2"/>
    <n v="2023"/>
    <s v="Thu"/>
    <n v="2"/>
  </r>
  <r>
    <s v="CMP-01654"/>
    <s v="Q1_Launch_CMP-01654"/>
    <d v="2023-12-02T00:00:00"/>
    <x v="2"/>
    <d v="2023-12-18T00:00:00"/>
    <x v="0"/>
    <n v="67262"/>
    <n v="2176"/>
    <n v="344"/>
    <x v="1"/>
    <x v="1197"/>
    <n v="3.2351104635604054E-2"/>
    <n v="1.0004917279411765"/>
    <n v="6.328691860465117"/>
    <n v="15022.93"/>
    <n v="0.15808823529411764"/>
    <x v="2"/>
    <x v="1"/>
    <n v="2023"/>
    <s v="Sat"/>
    <n v="16"/>
  </r>
  <r>
    <s v="CMP-01655"/>
    <s v="Q4_Launch_CMP-01655"/>
    <d v="2023-04-28T00:00:00"/>
    <x v="4"/>
    <d v="2023-05-03T00:00:00"/>
    <x v="4"/>
    <n v="47600"/>
    <n v="1430"/>
    <n v="147"/>
    <x v="0"/>
    <x v="1198"/>
    <n v="3.004201680672269E-2"/>
    <n v="1.0815454545454544"/>
    <n v="10.521156462585033"/>
    <n v="5803.39"/>
    <n v="0.10279720279720279"/>
    <x v="1"/>
    <x v="1"/>
    <n v="2023"/>
    <s v="Fri"/>
    <n v="5"/>
  </r>
  <r>
    <s v="CMP-01656"/>
    <s v="Q2_Launch_CMP-01656"/>
    <d v="2023-11-17T00:00:00"/>
    <x v="0"/>
    <d v="2023-12-15T00:00:00"/>
    <x v="3"/>
    <n v="77898"/>
    <n v="2979"/>
    <n v="294"/>
    <x v="0"/>
    <x v="1199"/>
    <n v="3.8242316875914659E-2"/>
    <n v="0.7075528700906345"/>
    <n v="7.1693877551020417"/>
    <n v="12592.2"/>
    <n v="9.8690835850956699E-2"/>
    <x v="0"/>
    <x v="1"/>
    <n v="2023"/>
    <s v="Fri"/>
    <n v="28"/>
  </r>
  <r>
    <s v="CMP-01657"/>
    <s v="Q2_Launch_CMP-01657"/>
    <d v="2023-03-29T00:00:00"/>
    <x v="5"/>
    <d v="2023-04-03T00:00:00"/>
    <x v="3"/>
    <n v="63483"/>
    <n v="1991"/>
    <m/>
    <x v="0"/>
    <x v="1200"/>
    <n v="3.136272702928343E-2"/>
    <n v="1.6072526368658966"/>
    <n v="0"/>
    <n v="-3200.04"/>
    <n v="0"/>
    <x v="1"/>
    <x v="1"/>
    <n v="2023"/>
    <s v="Wed"/>
    <n v="5"/>
  </r>
  <r>
    <s v="CMP-01658"/>
    <s v="Q4_BlackFriday_CMP-01658"/>
    <d v="2023-12-06T00:00:00"/>
    <x v="2"/>
    <d v="2023-12-14T00:00:00"/>
    <x v="1"/>
    <n v="19297"/>
    <n v="610"/>
    <m/>
    <x v="1"/>
    <x v="1201"/>
    <n v="3.1611131263927034E-2"/>
    <n v="1.7854426229508196"/>
    <n v="0"/>
    <n v="-1089.1199999999999"/>
    <n v="0"/>
    <x v="2"/>
    <x v="3"/>
    <n v="2023"/>
    <s v="Wed"/>
    <n v="8"/>
  </r>
  <r>
    <s v="CMP-01659"/>
    <s v="Q3_BlackFriday_CMP-01659"/>
    <d v="2023-09-01T00:00:00"/>
    <x v="10"/>
    <d v="2023-09-29T00:00:00"/>
    <x v="2"/>
    <n v="31448"/>
    <n v="854"/>
    <n v="47"/>
    <x v="0"/>
    <x v="1202"/>
    <n v="2.7155939964385652E-2"/>
    <n v="1.9080679156908664"/>
    <n v="34.67"/>
    <n v="720.51"/>
    <n v="5.5035128805620608E-2"/>
    <x v="0"/>
    <x v="3"/>
    <n v="2023"/>
    <s v="Fri"/>
    <n v="28"/>
  </r>
  <r>
    <s v="CMP-01660"/>
    <s v="Q4_BlackFriday_CMP-01660"/>
    <d v="2023-05-20T00:00:00"/>
    <x v="1"/>
    <d v="2023-06-09T00:00:00"/>
    <x v="2"/>
    <n v="27172"/>
    <n v="607"/>
    <n v="103"/>
    <x v="1"/>
    <x v="1203"/>
    <n v="2.2339172677756515E-2"/>
    <n v="1.2385502471169687"/>
    <n v="7.2990291262135916"/>
    <n v="4398.2"/>
    <n v="0.16968698517298189"/>
    <x v="1"/>
    <x v="3"/>
    <n v="2023"/>
    <s v="Sat"/>
    <n v="20"/>
  </r>
  <r>
    <s v="CMP-01661"/>
    <s v="Q3_Winter_CMP-01661"/>
    <d v="2023-12-24T00:00:00"/>
    <x v="2"/>
    <d v="2024-01-20T00:00:00"/>
    <x v="0"/>
    <n v="43874"/>
    <n v="1285"/>
    <n v="135"/>
    <x v="0"/>
    <x v="1204"/>
    <n v="2.9288416830013219E-2"/>
    <n v="1.5512996108949417"/>
    <n v="14.766074074074075"/>
    <n v="4756.58"/>
    <n v="0.10505836575875487"/>
    <x v="2"/>
    <x v="2"/>
    <n v="2023"/>
    <s v="Sun"/>
    <n v="27"/>
  </r>
  <r>
    <s v="CMP-01662"/>
    <s v="Q3_BlackFriday_CMP-01662"/>
    <d v="2023-08-22T00:00:00"/>
    <x v="7"/>
    <d v="2023-09-03T00:00:00"/>
    <x v="3"/>
    <n v="8657"/>
    <n v="127"/>
    <n v="22"/>
    <x v="0"/>
    <x v="0"/>
    <n v="1.4670209079357744E-2"/>
    <n v="2.5915944881889765"/>
    <n v="14.960568181818182"/>
    <n v="770.86750000000006"/>
    <n v="0.17322834645669291"/>
    <x v="3"/>
    <x v="3"/>
    <n v="2023"/>
    <s v="Tue"/>
    <n v="12"/>
  </r>
  <r>
    <s v="CMP-01663"/>
    <s v="Q1_Winter_CMP-01663"/>
    <d v="2023-10-16T00:00:00"/>
    <x v="3"/>
    <d v="2023-11-04T00:00:00"/>
    <x v="1"/>
    <n v="85386"/>
    <n v="4137"/>
    <n v="704"/>
    <x v="0"/>
    <x v="10"/>
    <n v="4.8450565666502708E-2"/>
    <n v="0.87787285472564658"/>
    <n v="5.1587499999999995"/>
    <n v="31568.240000000002"/>
    <n v="0.17017162194827171"/>
    <x v="0"/>
    <x v="2"/>
    <n v="2023"/>
    <s v="Mon"/>
    <n v="19"/>
  </r>
  <r>
    <s v="CMP-01664"/>
    <s v="Q3_Winter_CMP-01664"/>
    <d v="2023-10-01T00:00:00"/>
    <x v="3"/>
    <d v="2023-10-27T00:00:00"/>
    <x v="0"/>
    <n v="26425"/>
    <n v="1019"/>
    <n v="104"/>
    <x v="0"/>
    <x v="1205"/>
    <n v="3.8561967833491015E-2"/>
    <n v="0.9641216879293425"/>
    <n v="9.4465384615384629"/>
    <n v="4217.5599999999995"/>
    <n v="0.10206084396467124"/>
    <x v="0"/>
    <x v="2"/>
    <n v="2023"/>
    <s v="Sun"/>
    <n v="26"/>
  </r>
  <r>
    <s v="CMP-01665"/>
    <s v="Q2_Summer_CMP-01665"/>
    <d v="2023-10-04T00:00:00"/>
    <x v="3"/>
    <d v="2023-11-03T00:00:00"/>
    <x v="1"/>
    <n v="27685"/>
    <n v="1331"/>
    <n v="205"/>
    <x v="1"/>
    <x v="1206"/>
    <n v="4.8076575763048579E-2"/>
    <n v="1.9050864012021038"/>
    <n v="12.369121951219512"/>
    <n v="7714.33"/>
    <n v="0.15401953418482345"/>
    <x v="0"/>
    <x v="0"/>
    <n v="2023"/>
    <s v="Wed"/>
    <n v="30"/>
  </r>
  <r>
    <s v="CMP-01666"/>
    <s v="Q4_BlackFriday_CMP-01666"/>
    <d v="2023-06-07T00:00:00"/>
    <x v="9"/>
    <d v="2023-06-22T00:00:00"/>
    <x v="2"/>
    <n v="25578"/>
    <n v="487"/>
    <n v="36"/>
    <x v="0"/>
    <x v="1207"/>
    <n v="1.9039799827977169E-2"/>
    <n v="1.273511293634497"/>
    <n v="17.227777777777778"/>
    <n v="1179.8"/>
    <n v="7.3921971252566734E-2"/>
    <x v="3"/>
    <x v="3"/>
    <n v="2023"/>
    <s v="Wed"/>
    <n v="15"/>
  </r>
  <r>
    <s v="CMP-01667"/>
    <s v="Q1_Winter_CMP-01667"/>
    <d v="2023-05-06T00:00:00"/>
    <x v="1"/>
    <d v="2023-06-05T00:00:00"/>
    <x v="2"/>
    <n v="29831"/>
    <n v="1347"/>
    <n v="248"/>
    <x v="0"/>
    <x v="1208"/>
    <n v="4.5154369615500657E-2"/>
    <n v="1.2458797327394209"/>
    <n v="6.7669354838709683"/>
    <n v="10721.8"/>
    <n v="0.18411284335560504"/>
    <x v="1"/>
    <x v="2"/>
    <n v="2023"/>
    <s v="Sat"/>
    <n v="30"/>
  </r>
  <r>
    <s v="CMP-01668"/>
    <s v="Q3_Winter_CMP-01668"/>
    <d v="2023-09-25T00:00:00"/>
    <x v="10"/>
    <d v="2023-10-10T00:00:00"/>
    <x v="3"/>
    <n v="8906"/>
    <n v="377"/>
    <n v="41"/>
    <x v="1"/>
    <x v="0"/>
    <n v="4.2331012800359308E-2"/>
    <n v="0.87303050397877979"/>
    <n v="8.0276219512195119"/>
    <n v="1720.8675000000001"/>
    <n v="0.10875331564986737"/>
    <x v="0"/>
    <x v="2"/>
    <n v="2023"/>
    <s v="Mon"/>
    <n v="15"/>
  </r>
  <r>
    <s v="CMP-01669"/>
    <s v="Q4_BlackFriday_CMP-01669"/>
    <d v="2023-06-26T00:00:00"/>
    <x v="9"/>
    <d v="2023-07-02T00:00:00"/>
    <x v="0"/>
    <n v="62413"/>
    <n v="2314"/>
    <n v="273"/>
    <x v="0"/>
    <x v="1209"/>
    <n v="3.7075609248073321E-2"/>
    <n v="0.66223422644770968"/>
    <n v="5.6132234432234434"/>
    <n v="12117.59"/>
    <n v="0.11797752808988764"/>
    <x v="3"/>
    <x v="3"/>
    <n v="2023"/>
    <s v="Mon"/>
    <n v="6"/>
  </r>
  <r>
    <s v="CMP-01670"/>
    <s v="Q1_Launch_CMP-01670"/>
    <d v="2023-12-19T00:00:00"/>
    <x v="2"/>
    <d v="2024-01-11T00:00:00"/>
    <x v="1"/>
    <n v="55028"/>
    <n v="1926"/>
    <n v="300"/>
    <x v="1"/>
    <x v="1210"/>
    <n v="3.5000363451333866E-2"/>
    <n v="1.7631619937694702"/>
    <n v="11.3195"/>
    <n v="11604.15"/>
    <n v="0.1557632398753894"/>
    <x v="2"/>
    <x v="1"/>
    <n v="2023"/>
    <s v="Tue"/>
    <n v="23"/>
  </r>
  <r>
    <s v="CMP-01671"/>
    <s v="Q4_Launch_CMP-01671"/>
    <d v="2023-09-02T00:00:00"/>
    <x v="10"/>
    <d v="2023-09-06T00:00:00"/>
    <x v="0"/>
    <n v="8287"/>
    <n v="187"/>
    <n v="32"/>
    <x v="1"/>
    <x v="0"/>
    <n v="2.2565463979727283E-2"/>
    <n v="1.760066844919786"/>
    <n v="10.285390625"/>
    <n v="1270.8675000000001"/>
    <n v="0.17112299465240641"/>
    <x v="0"/>
    <x v="1"/>
    <n v="2023"/>
    <s v="Sat"/>
    <n v="4"/>
  </r>
  <r>
    <s v="CMP-01672"/>
    <s v="Q4_Summer_CMP-01672"/>
    <d v="2023-05-30T00:00:00"/>
    <x v="1"/>
    <d v="2023-06-22T00:00:00"/>
    <x v="2"/>
    <n v="34660"/>
    <n v="1478"/>
    <n v="126"/>
    <x v="1"/>
    <x v="1211"/>
    <n v="4.2642815926139645E-2"/>
    <n v="0.98873477672530441"/>
    <n v="11.598015873015873"/>
    <n v="4838.6499999999996"/>
    <n v="8.5250338294993233E-2"/>
    <x v="1"/>
    <x v="0"/>
    <n v="2023"/>
    <s v="Tue"/>
    <n v="23"/>
  </r>
  <r>
    <s v="CMP-01673"/>
    <s v="Q2_Summer_CMP-01673"/>
    <d v="2023-10-08T00:00:00"/>
    <x v="3"/>
    <d v="2023-10-16T00:00:00"/>
    <x v="0"/>
    <n v="76758"/>
    <n v="2307"/>
    <n v="344"/>
    <x v="0"/>
    <x v="1212"/>
    <n v="3.0055499101070898E-2"/>
    <n v="0.78760294755093196"/>
    <n v="5.2819767441860463"/>
    <n v="15383"/>
    <n v="0.14911140008669269"/>
    <x v="0"/>
    <x v="0"/>
    <n v="2023"/>
    <s v="Sun"/>
    <n v="8"/>
  </r>
  <r>
    <s v="CMP-01674"/>
    <s v="Q4_Summer_CMP-01674"/>
    <d v="2023-10-15T00:00:00"/>
    <x v="3"/>
    <d v="2023-10-21T00:00:00"/>
    <x v="1"/>
    <n v="61504"/>
    <n v="789"/>
    <n v="85"/>
    <x v="0"/>
    <x v="1213"/>
    <n v="1.2828433922996879E-2"/>
    <n v="1.3332446134347276"/>
    <n v="12.37564705882353"/>
    <n v="3198.0699999999997"/>
    <n v="0.10773130544993663"/>
    <x v="0"/>
    <x v="0"/>
    <n v="2023"/>
    <s v="Sun"/>
    <n v="6"/>
  </r>
  <r>
    <s v="CMP-01675"/>
    <s v="Q3_Launch_CMP-01675"/>
    <d v="2023-11-27T00:00:00"/>
    <x v="0"/>
    <d v="2023-12-18T00:00:00"/>
    <x v="0"/>
    <n v="60720"/>
    <n v="1367"/>
    <n v="143"/>
    <x v="0"/>
    <x v="1214"/>
    <n v="2.2513175230566534E-2"/>
    <n v="1.3758814923189466"/>
    <n v="13.152657342657342"/>
    <n v="5269.17"/>
    <n v="0.10460863204096561"/>
    <x v="0"/>
    <x v="1"/>
    <n v="2023"/>
    <s v="Mon"/>
    <n v="21"/>
  </r>
  <r>
    <s v="CMP-01676"/>
    <s v="Q2_Summer_CMP-01676"/>
    <d v="2023-05-15T00:00:00"/>
    <x v="1"/>
    <d v="2023-06-04T00:00:00"/>
    <x v="0"/>
    <n v="35701"/>
    <n v="1692"/>
    <n v="259"/>
    <x v="0"/>
    <x v="1215"/>
    <n v="4.7393630430520153E-2"/>
    <n v="0.81049054373522456"/>
    <n v="5.2947876447876441"/>
    <n v="11578.65"/>
    <n v="0.15307328605200946"/>
    <x v="1"/>
    <x v="0"/>
    <n v="2023"/>
    <s v="Mon"/>
    <n v="20"/>
  </r>
  <r>
    <s v="CMP-01677"/>
    <s v="Q3_Summer_CMP-01677"/>
    <d v="2023-11-17T00:00:00"/>
    <x v="0"/>
    <d v="2023-12-12T00:00:00"/>
    <x v="1"/>
    <n v="84300"/>
    <n v="3711"/>
    <n v="401"/>
    <x v="0"/>
    <x v="10"/>
    <n v="4.4021352313167263E-2"/>
    <n v="0.97864726488817022"/>
    <n v="9.0567581047381545"/>
    <n v="16418.240000000002"/>
    <n v="0.10805712745890596"/>
    <x v="0"/>
    <x v="0"/>
    <n v="2023"/>
    <s v="Fri"/>
    <n v="25"/>
  </r>
  <r>
    <s v="CMP-01678"/>
    <s v="Q3_BlackFriday_CMP-01678"/>
    <d v="2023-11-10T00:00:00"/>
    <x v="0"/>
    <d v="2023-11-12T00:00:00"/>
    <x v="1"/>
    <n v="18674"/>
    <n v="920"/>
    <n v="93"/>
    <x v="1"/>
    <x v="1216"/>
    <n v="4.9266359644425405E-2"/>
    <n v="0.62639130434782608"/>
    <n v="6.196559139784946"/>
    <n v="4073.7200000000003"/>
    <n v="0.10108695652173913"/>
    <x v="0"/>
    <x v="3"/>
    <n v="2023"/>
    <s v="Fri"/>
    <n v="2"/>
  </r>
  <r>
    <s v="CMP-01679"/>
    <s v="Q1_Launch_CMP-01679"/>
    <d v="2023-05-26T00:00:00"/>
    <x v="1"/>
    <d v="2023-05-29T00:00:00"/>
    <x v="2"/>
    <n v="84560"/>
    <n v="2969"/>
    <n v="520"/>
    <x v="1"/>
    <x v="1217"/>
    <n v="3.5111163670766318E-2"/>
    <n v="1.0341394408891884"/>
    <n v="5.9045384615384622"/>
    <n v="22929.64"/>
    <n v="0.17514314584035029"/>
    <x v="1"/>
    <x v="1"/>
    <n v="2023"/>
    <s v="Fri"/>
    <n v="3"/>
  </r>
  <r>
    <s v="CMP-01680"/>
    <s v="Q4_Winter_CMP-01680"/>
    <d v="2023-05-18T00:00:00"/>
    <x v="1"/>
    <d v="2023-05-31T00:00:00"/>
    <x v="2"/>
    <n v="24874"/>
    <n v="495"/>
    <n v="32"/>
    <x v="0"/>
    <x v="1218"/>
    <n v="1.9900297499396962E-2"/>
    <n v="1.5205858585858587"/>
    <n v="23.521562500000002"/>
    <n v="847.31"/>
    <n v="6.4646464646464646E-2"/>
    <x v="1"/>
    <x v="2"/>
    <n v="2023"/>
    <s v="Thu"/>
    <n v="13"/>
  </r>
  <r>
    <s v="CMP-01681"/>
    <s v="Q4_Winter_CMP-01681"/>
    <d v="2023-04-04T00:00:00"/>
    <x v="4"/>
    <d v="2023-04-09T00:00:00"/>
    <x v="2"/>
    <n v="44642"/>
    <n v="737"/>
    <n v="111"/>
    <x v="0"/>
    <x v="1219"/>
    <n v="1.650911697504592E-2"/>
    <n v="0.91118046132971497"/>
    <n v="6.0499099099099096"/>
    <n v="4878.46"/>
    <n v="0.15061058344640435"/>
    <x v="1"/>
    <x v="2"/>
    <n v="2023"/>
    <s v="Tue"/>
    <n v="5"/>
  </r>
  <r>
    <s v="CMP-01682"/>
    <s v="Q4_BlackFriday_CMP-01682"/>
    <d v="2023-08-22T00:00:00"/>
    <x v="7"/>
    <d v="2023-08-23T00:00:00"/>
    <x v="1"/>
    <n v="98820"/>
    <n v="1727"/>
    <n v="150"/>
    <x v="1"/>
    <x v="1220"/>
    <n v="1.7476219388787694E-2"/>
    <n v="1.7415112912565143"/>
    <n v="20.050599999999999"/>
    <n v="4492.41"/>
    <n v="8.6855819339895779E-2"/>
    <x v="3"/>
    <x v="3"/>
    <n v="2023"/>
    <s v="Tue"/>
    <n v="1"/>
  </r>
  <r>
    <s v="CMP-01683"/>
    <s v="Q3_BlackFriday_CMP-01683"/>
    <d v="2023-11-15T00:00:00"/>
    <x v="0"/>
    <d v="2023-11-25T00:00:00"/>
    <x v="3"/>
    <n v="66160"/>
    <n v="713"/>
    <n v="37"/>
    <x v="0"/>
    <x v="1221"/>
    <n v="1.0776904474002418E-2"/>
    <n v="1.6098036465638148"/>
    <n v="31.021351351351349"/>
    <n v="702.21"/>
    <n v="5.1893408134642355E-2"/>
    <x v="0"/>
    <x v="3"/>
    <n v="2023"/>
    <s v="Wed"/>
    <n v="10"/>
  </r>
  <r>
    <s v="CMP-01684"/>
    <s v="Q2_Launch_CMP-01684"/>
    <d v="2023-03-19T00:00:00"/>
    <x v="5"/>
    <d v="2023-04-03T00:00:00"/>
    <x v="0"/>
    <n v="18602"/>
    <n v="476"/>
    <n v="35"/>
    <x v="1"/>
    <x v="1222"/>
    <n v="2.5588646382109451E-2"/>
    <n v="1.6835294117647059"/>
    <n v="22.896000000000001"/>
    <n v="948.64"/>
    <n v="7.3529411764705885E-2"/>
    <x v="1"/>
    <x v="1"/>
    <n v="2023"/>
    <s v="Sun"/>
    <n v="15"/>
  </r>
  <r>
    <s v="CMP-01685"/>
    <s v="Q2_BlackFriday_CMP-01685"/>
    <d v="2023-01-10T00:00:00"/>
    <x v="11"/>
    <d v="2023-10-18T00:00:00"/>
    <x v="3"/>
    <n v="89801"/>
    <n v="1585"/>
    <n v="223"/>
    <x v="0"/>
    <x v="1223"/>
    <n v="1.765013752630817E-2"/>
    <n v="0.67866246056782342"/>
    <n v="4.8236771300448433"/>
    <n v="10074.32"/>
    <n v="0.14069400630914827"/>
    <x v="2"/>
    <x v="3"/>
    <n v="2023"/>
    <s v="Tue"/>
    <n v="281"/>
  </r>
  <r>
    <s v="CMP-01686"/>
    <s v="Q1_Summer_CMP-01686"/>
    <d v="2023-02-22T00:00:00"/>
    <x v="6"/>
    <d v="2023-03-20T00:00:00"/>
    <x v="1"/>
    <n v="26931"/>
    <n v="712"/>
    <m/>
    <x v="1"/>
    <x v="1224"/>
    <n v="2.643793397942891E-2"/>
    <n v="0.71081460674157304"/>
    <n v="0"/>
    <n v="-506.1"/>
    <n v="0"/>
    <x v="2"/>
    <x v="0"/>
    <n v="2023"/>
    <s v="Wed"/>
    <n v="26"/>
  </r>
  <r>
    <s v="CMP-01687"/>
    <s v="Q3_Summer_CMP-01687"/>
    <d v="2023-08-13T00:00:00"/>
    <x v="7"/>
    <d v="2023-08-29T00:00:00"/>
    <x v="2"/>
    <n v="95377"/>
    <n v="4520"/>
    <n v="240"/>
    <x v="0"/>
    <x v="10"/>
    <n v="4.7390880400935233E-2"/>
    <n v="0.80348672566371682"/>
    <n v="15.132333333333332"/>
    <n v="8368.24"/>
    <n v="5.3097345132743362E-2"/>
    <x v="3"/>
    <x v="0"/>
    <n v="2023"/>
    <s v="Sun"/>
    <n v="16"/>
  </r>
  <r>
    <s v="CMP-01688"/>
    <s v="Q1_Summer_CMP-01688"/>
    <d v="2023-03-19T00:00:00"/>
    <x v="5"/>
    <d v="2023-04-10T00:00:00"/>
    <x v="1"/>
    <n v="30192"/>
    <n v="821"/>
    <n v="45"/>
    <x v="0"/>
    <x v="1225"/>
    <n v="2.7192633810280867E-2"/>
    <n v="1.2771132764920827"/>
    <n v="23.300222222222221"/>
    <n v="1201.49"/>
    <n v="5.4811205846528627E-2"/>
    <x v="1"/>
    <x v="0"/>
    <n v="2023"/>
    <s v="Sun"/>
    <n v="22"/>
  </r>
  <r>
    <s v="CMP-01689"/>
    <s v="Q4_Winter_CMP-01689"/>
    <d v="2023-04-22T00:00:00"/>
    <x v="4"/>
    <d v="2023-05-17T00:00:00"/>
    <x v="2"/>
    <n v="47542"/>
    <n v="2145"/>
    <n v="397"/>
    <x v="0"/>
    <x v="1226"/>
    <n v="4.5118000925497455E-2"/>
    <n v="1.6220233100233099"/>
    <n v="8.7638287153652392"/>
    <n v="16370.76"/>
    <n v="0.18508158508158509"/>
    <x v="1"/>
    <x v="2"/>
    <n v="2023"/>
    <s v="Sat"/>
    <n v="25"/>
  </r>
  <r>
    <s v="CMP-01690"/>
    <s v="Q2_Winter_CMP-01690"/>
    <d v="2023-09-13T00:00:00"/>
    <x v="10"/>
    <d v="2023-09-26T00:00:00"/>
    <x v="2"/>
    <n v="43520"/>
    <n v="1489"/>
    <n v="90"/>
    <x v="0"/>
    <x v="1227"/>
    <n v="3.4214154411764709E-2"/>
    <n v="1.7547951645399595"/>
    <n v="29.03211111111111"/>
    <n v="1887.1100000000001"/>
    <n v="6.0443250503693757E-2"/>
    <x v="0"/>
    <x v="2"/>
    <n v="2023"/>
    <s v="Wed"/>
    <n v="13"/>
  </r>
  <r>
    <s v="CMP-01691"/>
    <s v="Q2_Winter_CMP-01691"/>
    <d v="2023-01-17T00:00:00"/>
    <x v="11"/>
    <d v="2023-02-04T00:00:00"/>
    <x v="2"/>
    <n v="65772"/>
    <n v="1307"/>
    <n v="240"/>
    <x v="0"/>
    <x v="1228"/>
    <n v="1.9871677917654929E-2"/>
    <n v="1.5565034429992348"/>
    <n v="8.4764583333333334"/>
    <n v="9965.65"/>
    <n v="0.18362662586074982"/>
    <x v="2"/>
    <x v="2"/>
    <n v="2023"/>
    <s v="Tue"/>
    <n v="18"/>
  </r>
  <r>
    <s v="CMP-01692"/>
    <s v="Q1_Launch_CMP-01692"/>
    <d v="2023-03-16T00:00:00"/>
    <x v="5"/>
    <d v="2023-04-03T00:00:00"/>
    <x v="2"/>
    <n v="59762"/>
    <n v="1448"/>
    <m/>
    <x v="0"/>
    <x v="1229"/>
    <n v="2.4229443459054249E-2"/>
    <n v="1.8928936464088397"/>
    <n v="0"/>
    <n v="-2740.91"/>
    <n v="0"/>
    <x v="1"/>
    <x v="1"/>
    <n v="2023"/>
    <s v="Thu"/>
    <n v="18"/>
  </r>
  <r>
    <s v="CMP-01693"/>
    <s v="Q1_BlackFriday_CMP-01693"/>
    <d v="2023-07-20T00:00:00"/>
    <x v="8"/>
    <d v="2023-08-13T00:00:00"/>
    <x v="1"/>
    <n v="51106"/>
    <n v="682"/>
    <n v="109"/>
    <x v="0"/>
    <x v="1230"/>
    <n v="1.334481274214378E-2"/>
    <n v="1.608108504398827"/>
    <n v="10.061743119266055"/>
    <n v="4353.2700000000004"/>
    <n v="0.15982404692082111"/>
    <x v="3"/>
    <x v="3"/>
    <n v="2023"/>
    <s v="Thu"/>
    <n v="24"/>
  </r>
  <r>
    <s v="CMP-01694"/>
    <s v="Q1_Summer_CMP-01694"/>
    <d v="2023-08-29T00:00:00"/>
    <x v="7"/>
    <d v="2023-09-11T00:00:00"/>
    <x v="3"/>
    <n v="82121"/>
    <n v="1916"/>
    <n v="184"/>
    <x v="1"/>
    <x v="1231"/>
    <n v="2.3331425579328064E-2"/>
    <n v="0.9593997912317328"/>
    <n v="9.990271739130435"/>
    <n v="7361.79"/>
    <n v="9.6033402922755737E-2"/>
    <x v="3"/>
    <x v="0"/>
    <n v="2023"/>
    <s v="Tue"/>
    <n v="13"/>
  </r>
  <r>
    <s v="CMP-01695"/>
    <s v="Q4_Launch_CMP-01695"/>
    <d v="2023-05-09T00:00:00"/>
    <x v="1"/>
    <d v="2023-06-07T00:00:00"/>
    <x v="1"/>
    <n v="26559"/>
    <n v="985"/>
    <n v="176"/>
    <x v="0"/>
    <x v="1232"/>
    <n v="3.7087239730411538E-2"/>
    <n v="0.89762436548223346"/>
    <n v="5.0236363636363635"/>
    <n v="7915.84"/>
    <n v="0.17868020304568527"/>
    <x v="1"/>
    <x v="1"/>
    <n v="2023"/>
    <s v="Tue"/>
    <n v="29"/>
  </r>
  <r>
    <s v="CMP-01696"/>
    <s v="Q4_Launch_CMP-01696"/>
    <d v="2023-03-04T00:00:00"/>
    <x v="5"/>
    <d v="2023-03-21T00:00:00"/>
    <x v="2"/>
    <n v="34742"/>
    <n v="447"/>
    <n v="69"/>
    <x v="0"/>
    <x v="1233"/>
    <n v="1.2866271371826608E-2"/>
    <n v="1.5442953020134227"/>
    <n v="10.004347826086956"/>
    <n v="2759.7"/>
    <n v="0.15436241610738255"/>
    <x v="1"/>
    <x v="1"/>
    <n v="2023"/>
    <s v="Sat"/>
    <n v="17"/>
  </r>
  <r>
    <s v="CMP-01697"/>
    <s v="Q4_Winter_CMP-01697"/>
    <d v="2023-07-17T00:00:00"/>
    <x v="8"/>
    <d v="2023-08-01T00:00:00"/>
    <x v="1"/>
    <n v="70669"/>
    <n v="1287"/>
    <n v="141"/>
    <x v="1"/>
    <x v="1234"/>
    <n v="1.8211662822453976E-2"/>
    <n v="0.78930846930846932"/>
    <n v="7.2045390070921984"/>
    <n v="6034.16"/>
    <n v="0.10955710955710955"/>
    <x v="3"/>
    <x v="2"/>
    <n v="2023"/>
    <s v="Mon"/>
    <n v="15"/>
  </r>
  <r>
    <s v="CMP-01698"/>
    <s v="Q3_Winter_CMP-01698"/>
    <d v="2023-01-18T00:00:00"/>
    <x v="11"/>
    <d v="2023-02-08T00:00:00"/>
    <x v="4"/>
    <n v="81199"/>
    <n v="2050"/>
    <n v="125"/>
    <x v="1"/>
    <x v="1235"/>
    <n v="2.5246616337639628E-2"/>
    <n v="0.63907317073170722"/>
    <n v="10.480799999999999"/>
    <n v="4939.8999999999996"/>
    <n v="6.097560975609756E-2"/>
    <x v="2"/>
    <x v="2"/>
    <n v="2023"/>
    <s v="Wed"/>
    <n v="21"/>
  </r>
  <r>
    <s v="CMP-01699"/>
    <s v="Q1_BlackFriday_CMP-01699"/>
    <d v="2023-02-18T00:00:00"/>
    <x v="6"/>
    <d v="2023-03-07T00:00:00"/>
    <x v="3"/>
    <n v="22754"/>
    <n v="1121"/>
    <n v="179"/>
    <x v="1"/>
    <x v="1236"/>
    <n v="4.9266063109782897E-2"/>
    <n v="1.2983318465655664"/>
    <n v="8.1308938547486029"/>
    <n v="7494.57"/>
    <n v="0.15967885816235505"/>
    <x v="2"/>
    <x v="3"/>
    <n v="2023"/>
    <s v="Sat"/>
    <n v="17"/>
  </r>
  <r>
    <s v="CMP-01700"/>
    <s v="Q3_Winter_CMP-01700"/>
    <d v="2023-08-31T00:00:00"/>
    <x v="7"/>
    <d v="2023-09-12T00:00:00"/>
    <x v="3"/>
    <n v="4972"/>
    <n v="205"/>
    <n v="29"/>
    <x v="0"/>
    <x v="1237"/>
    <n v="4.1230893000804507E-2"/>
    <n v="1.7324390243902439"/>
    <n v="12.24655172413793"/>
    <n v="1094.8499999999999"/>
    <n v="0.14146341463414633"/>
    <x v="3"/>
    <x v="2"/>
    <n v="2023"/>
    <s v="Thu"/>
    <n v="12"/>
  </r>
  <r>
    <s v="CMP-01701"/>
    <s v="Q4_BlackFriday_CMP-01701"/>
    <d v="2023-06-15T00:00:00"/>
    <x v="9"/>
    <d v="2023-07-11T00:00:00"/>
    <x v="4"/>
    <n v="71831"/>
    <n v="2825"/>
    <n v="142"/>
    <x v="0"/>
    <x v="1238"/>
    <n v="3.9328423661093397E-2"/>
    <n v="0.65207079646017696"/>
    <n v="12.972535211267605"/>
    <n v="5257.9"/>
    <n v="5.0265486725663715E-2"/>
    <x v="3"/>
    <x v="3"/>
    <n v="2023"/>
    <s v="Thu"/>
    <n v="26"/>
  </r>
  <r>
    <s v="CMP-01702"/>
    <s v="Q4_Summer_CMP-01702"/>
    <d v="2023-10-09T00:00:00"/>
    <x v="3"/>
    <d v="2023-10-29T00:00:00"/>
    <x v="1"/>
    <n v="42873"/>
    <n v="627"/>
    <n v="32"/>
    <x v="1"/>
    <x v="1239"/>
    <n v="1.462458890210622E-2"/>
    <n v="1.6878309409888357"/>
    <n v="33.070937499999999"/>
    <n v="541.73"/>
    <n v="5.1036682615629984E-2"/>
    <x v="0"/>
    <x v="0"/>
    <n v="2023"/>
    <s v="Mon"/>
    <n v="20"/>
  </r>
  <r>
    <s v="CMP-01703"/>
    <s v="Q2_BlackFriday_CMP-01703"/>
    <d v="2023-11-23T00:00:00"/>
    <x v="0"/>
    <d v="2023-12-12T00:00:00"/>
    <x v="1"/>
    <n v="95661"/>
    <n v="3945"/>
    <n v="675"/>
    <x v="1"/>
    <x v="10"/>
    <n v="4.1239376548436665E-2"/>
    <n v="0.92059822560202786"/>
    <n v="5.3803851851851849"/>
    <n v="30118.240000000002"/>
    <n v="0.17110266159695817"/>
    <x v="0"/>
    <x v="3"/>
    <n v="2023"/>
    <s v="Thu"/>
    <n v="19"/>
  </r>
  <r>
    <s v="CMP-01704"/>
    <s v="Q4_Winter_CMP-01704"/>
    <d v="2023-01-27T00:00:00"/>
    <x v="11"/>
    <d v="2023-02-19T00:00:00"/>
    <x v="4"/>
    <n v="10903"/>
    <n v="451"/>
    <n v="40"/>
    <x v="0"/>
    <x v="1240"/>
    <n v="4.136476199211226E-2"/>
    <n v="1.2234146341463414"/>
    <n v="13.794"/>
    <n v="1448.24"/>
    <n v="8.8691796008869186E-2"/>
    <x v="2"/>
    <x v="2"/>
    <n v="2023"/>
    <s v="Fri"/>
    <n v="23"/>
  </r>
  <r>
    <s v="CMP-01705"/>
    <s v="Q2_BlackFriday_CMP-01705"/>
    <d v="2023-02-27T00:00:00"/>
    <x v="6"/>
    <d v="2023-03-26T00:00:00"/>
    <x v="3"/>
    <n v="4020"/>
    <n v="136"/>
    <n v="19"/>
    <x v="1"/>
    <x v="0"/>
    <n v="3.3830845771144279E-2"/>
    <n v="2.4200919117647057"/>
    <n v="17.322763157894737"/>
    <n v="620.86750000000006"/>
    <n v="0.13970588235294118"/>
    <x v="2"/>
    <x v="3"/>
    <n v="2023"/>
    <s v="Mon"/>
    <n v="27"/>
  </r>
  <r>
    <s v="CMP-01706"/>
    <s v="Q1_BlackFriday_CMP-01706"/>
    <d v="2023-01-08T00:00:00"/>
    <x v="11"/>
    <d v="2023-02-01T00:00:00"/>
    <x v="1"/>
    <n v="42755"/>
    <n v="2121"/>
    <n v="250"/>
    <x v="1"/>
    <x v="1241"/>
    <n v="4.960823295520992E-2"/>
    <n v="0.76188590287600189"/>
    <n v="6.4638400000000003"/>
    <n v="10884.04"/>
    <n v="0.11786892975011787"/>
    <x v="2"/>
    <x v="3"/>
    <n v="2023"/>
    <s v="Sun"/>
    <n v="24"/>
  </r>
  <r>
    <s v="CMP-01707"/>
    <s v="Q4_Summer_CMP-01707"/>
    <d v="2023-03-03T00:00:00"/>
    <x v="5"/>
    <d v="2023-03-16T00:00:00"/>
    <x v="1"/>
    <n v="86956"/>
    <n v="2000"/>
    <n v="359"/>
    <x v="1"/>
    <x v="1242"/>
    <n v="2.3000138000828004E-2"/>
    <n v="1.5611400000000002"/>
    <n v="8.6971587743732588"/>
    <n v="14827.72"/>
    <n v="0.17949999999999999"/>
    <x v="1"/>
    <x v="0"/>
    <n v="2023"/>
    <s v="Fri"/>
    <n v="13"/>
  </r>
  <r>
    <s v="CMP-01708"/>
    <s v="Q3_Summer_CMP-01708"/>
    <d v="2023-01-22T00:00:00"/>
    <x v="11"/>
    <d v="2023-02-16T00:00:00"/>
    <x v="2"/>
    <n v="87988"/>
    <n v="4192"/>
    <n v="786"/>
    <x v="0"/>
    <x v="10"/>
    <n v="4.7642860390053186E-2"/>
    <n v="0.86635496183206107"/>
    <n v="4.620559796437659"/>
    <n v="35668.239999999998"/>
    <n v="0.1875"/>
    <x v="2"/>
    <x v="0"/>
    <n v="2023"/>
    <s v="Sun"/>
    <n v="25"/>
  </r>
  <r>
    <s v="CMP-01709"/>
    <s v="Q1_Summer_CMP-01709"/>
    <d v="2023-12-19T00:00:00"/>
    <x v="2"/>
    <d v="2023-12-28T00:00:00"/>
    <x v="4"/>
    <n v="46648"/>
    <n v="2173"/>
    <n v="433"/>
    <x v="0"/>
    <x v="10"/>
    <n v="4.658291888183845E-2"/>
    <n v="1.6713115508513574"/>
    <n v="8.3874364896073903"/>
    <n v="18018.240000000002"/>
    <n v="0.19926369075011505"/>
    <x v="2"/>
    <x v="0"/>
    <n v="2023"/>
    <s v="Tue"/>
    <n v="9"/>
  </r>
  <r>
    <s v="CMP-01710"/>
    <s v="Q3_Summer_CMP-01710"/>
    <d v="2023-02-15T00:00:00"/>
    <x v="6"/>
    <d v="2023-03-04T00:00:00"/>
    <x v="0"/>
    <n v="10516"/>
    <n v="109"/>
    <n v="7"/>
    <x v="0"/>
    <x v="0"/>
    <n v="1.0365157854697604E-2"/>
    <n v="3.019564220183486"/>
    <n v="47.018928571428567"/>
    <n v="20.867500000000007"/>
    <n v="6.4220183486238536E-2"/>
    <x v="2"/>
    <x v="0"/>
    <n v="2023"/>
    <s v="Wed"/>
    <n v="17"/>
  </r>
  <r>
    <s v="CMP-01711"/>
    <s v="Q2_Summer_CMP-01711"/>
    <d v="2023-12-18T00:00:00"/>
    <x v="2"/>
    <d v="2024-01-17T00:00:00"/>
    <x v="0"/>
    <n v="3396"/>
    <n v="95"/>
    <n v="17"/>
    <x v="0"/>
    <x v="0"/>
    <n v="2.7974087161366314E-2"/>
    <n v="3.4645526315789472"/>
    <n v="19.360735294117646"/>
    <n v="520.86750000000006"/>
    <n v="0.17894736842105263"/>
    <x v="2"/>
    <x v="0"/>
    <n v="2023"/>
    <s v="Mon"/>
    <n v="30"/>
  </r>
  <r>
    <s v="CMP-01712"/>
    <s v="Q1_Summer_CMP-01712"/>
    <d v="2023-11-17T00:00:00"/>
    <x v="0"/>
    <d v="2023-12-01T00:00:00"/>
    <x v="2"/>
    <n v="85082"/>
    <n v="4176"/>
    <m/>
    <x v="1"/>
    <x v="1243"/>
    <n v="4.9082062010766085E-2"/>
    <n v="0.68212164750957849"/>
    <n v="0"/>
    <n v="-2848.54"/>
    <n v="0"/>
    <x v="0"/>
    <x v="0"/>
    <n v="2023"/>
    <s v="Fri"/>
    <n v="14"/>
  </r>
  <r>
    <s v="CMP-01713"/>
    <s v="Q3_Launch_CMP-01713"/>
    <d v="2023-07-02T00:00:00"/>
    <x v="8"/>
    <d v="2023-07-08T00:00:00"/>
    <x v="4"/>
    <n v="20129"/>
    <n v="284"/>
    <n v="39"/>
    <x v="1"/>
    <x v="1244"/>
    <n v="1.4108996969546426E-2"/>
    <n v="1.5816901408450703"/>
    <n v="11.517948717948718"/>
    <n v="1500.8"/>
    <n v="0.13732394366197184"/>
    <x v="3"/>
    <x v="1"/>
    <n v="2023"/>
    <s v="Sun"/>
    <n v="6"/>
  </r>
  <r>
    <s v="CMP-01714"/>
    <s v="Q3_Summer_CMP-01714"/>
    <d v="2023-02-24T00:00:00"/>
    <x v="6"/>
    <d v="2023-03-13T00:00:00"/>
    <x v="2"/>
    <n v="2591"/>
    <n v="82"/>
    <n v="10"/>
    <x v="0"/>
    <x v="0"/>
    <n v="3.1648012350443844E-2"/>
    <n v="4.013810975609756"/>
    <n v="32.913249999999998"/>
    <n v="170.86750000000001"/>
    <n v="0.12195121951219512"/>
    <x v="2"/>
    <x v="0"/>
    <n v="2023"/>
    <s v="Fri"/>
    <n v="17"/>
  </r>
  <r>
    <s v="CMP-01715"/>
    <s v="Q3_Summer_CMP-01715"/>
    <d v="2023-10-13T00:00:00"/>
    <x v="3"/>
    <d v="2023-11-10T00:00:00"/>
    <x v="1"/>
    <n v="12303"/>
    <n v="604"/>
    <n v="31"/>
    <x v="0"/>
    <x v="1245"/>
    <n v="4.9093716979598474E-2"/>
    <n v="0.99258278145695367"/>
    <n v="19.339354838709678"/>
    <n v="950.48"/>
    <n v="5.1324503311258277E-2"/>
    <x v="0"/>
    <x v="0"/>
    <n v="2023"/>
    <s v="Fri"/>
    <n v="28"/>
  </r>
  <r>
    <s v="CMP-01716"/>
    <s v="Q2_Winter_CMP-01716"/>
    <d v="2023-08-13T00:00:00"/>
    <x v="7"/>
    <d v="2023-08-29T00:00:00"/>
    <x v="1"/>
    <n v="31561"/>
    <n v="1016"/>
    <m/>
    <x v="1"/>
    <x v="1246"/>
    <n v="3.2191628909096673E-2"/>
    <n v="1.2308169291338582"/>
    <n v="0"/>
    <n v="-1250.51"/>
    <n v="0"/>
    <x v="3"/>
    <x v="2"/>
    <n v="2023"/>
    <s v="Sun"/>
    <n v="16"/>
  </r>
  <r>
    <s v="CMP-01717"/>
    <s v="Q4_Winter_CMP-01717"/>
    <d v="2023-07-13T00:00:00"/>
    <x v="8"/>
    <d v="2023-07-18T00:00:00"/>
    <x v="3"/>
    <n v="72719"/>
    <n v="1279"/>
    <n v="78"/>
    <x v="0"/>
    <x v="1247"/>
    <n v="1.7588250663512973E-2"/>
    <n v="0.53714620797498047"/>
    <n v="8.8078205128205127"/>
    <n v="3212.99"/>
    <n v="6.0985144644253322E-2"/>
    <x v="3"/>
    <x v="2"/>
    <n v="2023"/>
    <s v="Thu"/>
    <n v="5"/>
  </r>
  <r>
    <s v="CMP-01718"/>
    <s v="Q2_BlackFriday_CMP-01718"/>
    <d v="2023-01-21T00:00:00"/>
    <x v="11"/>
    <d v="2023-02-16T00:00:00"/>
    <x v="3"/>
    <n v="93108"/>
    <n v="3099"/>
    <n v="474"/>
    <x v="0"/>
    <x v="1248"/>
    <n v="3.3283928341281091E-2"/>
    <n v="0.87323007421748944"/>
    <n v="5.7091561181434596"/>
    <n v="20993.86"/>
    <n v="0.15295256534365925"/>
    <x v="2"/>
    <x v="3"/>
    <n v="2023"/>
    <s v="Sat"/>
    <n v="26"/>
  </r>
  <r>
    <s v="CMP-01719"/>
    <s v="Q1_Winter_CMP-01719"/>
    <d v="2023-05-31T00:00:00"/>
    <x v="1"/>
    <d v="2023-06-02T00:00:00"/>
    <x v="2"/>
    <n v="87231"/>
    <n v="1585"/>
    <n v="265"/>
    <x v="1"/>
    <x v="10"/>
    <n v="1.8170145934358197E-2"/>
    <n v="2.2913312302839115"/>
    <n v="13.704754716981132"/>
    <n v="9618.24"/>
    <n v="0.16719242902208201"/>
    <x v="1"/>
    <x v="2"/>
    <n v="2023"/>
    <s v="Wed"/>
    <n v="2"/>
  </r>
  <r>
    <s v="CMP-01720"/>
    <s v="Q3_Winter_CMP-01720"/>
    <d v="2023-10-18T00:00:00"/>
    <x v="3"/>
    <d v="2023-10-25T00:00:00"/>
    <x v="2"/>
    <n v="8314"/>
    <n v="255"/>
    <n v="43"/>
    <x v="1"/>
    <x v="0"/>
    <n v="3.067115708443589E-2"/>
    <n v="1.2907156862745097"/>
    <n v="7.6542441860465118"/>
    <n v="1820.8675000000001"/>
    <n v="0.16862745098039217"/>
    <x v="0"/>
    <x v="2"/>
    <n v="2023"/>
    <s v="Wed"/>
    <n v="7"/>
  </r>
  <r>
    <s v="CMP-01721"/>
    <s v="Q4_Winter_CMP-01721"/>
    <d v="2023-08-28T00:00:00"/>
    <x v="7"/>
    <d v="2023-08-31T00:00:00"/>
    <x v="3"/>
    <n v="20623"/>
    <n v="267"/>
    <n v="18"/>
    <x v="0"/>
    <x v="0"/>
    <n v="1.2946709983998448E-2"/>
    <n v="1.2327059925093633"/>
    <n v="18.285138888888888"/>
    <n v="570.86750000000006"/>
    <n v="6.741573033707865E-2"/>
    <x v="3"/>
    <x v="2"/>
    <n v="2023"/>
    <s v="Mon"/>
    <n v="3"/>
  </r>
  <r>
    <s v="CMP-01722"/>
    <s v="Q2_Launch_CMP-01722"/>
    <d v="2023-10-11T00:00:00"/>
    <x v="3"/>
    <d v="2023-10-31T00:00:00"/>
    <x v="0"/>
    <n v="68675"/>
    <n v="2350"/>
    <n v="275"/>
    <x v="1"/>
    <x v="10"/>
    <n v="3.4219148161630873E-2"/>
    <n v="1.5454297872340426"/>
    <n v="13.206399999999999"/>
    <n v="10118.24"/>
    <n v="0.11702127659574468"/>
    <x v="0"/>
    <x v="1"/>
    <n v="2023"/>
    <s v="Wed"/>
    <n v="20"/>
  </r>
  <r>
    <s v="CMP-01723"/>
    <s v="Q1_Summer_CMP-01723"/>
    <d v="2023-08-19T00:00:00"/>
    <x v="7"/>
    <d v="2023-08-31T00:00:00"/>
    <x v="4"/>
    <n v="97826"/>
    <n v="3000"/>
    <n v="523"/>
    <x v="1"/>
    <x v="10"/>
    <n v="3.0666693925950155E-2"/>
    <n v="1.2105866666666665"/>
    <n v="6.9440917782026768"/>
    <n v="22518.240000000002"/>
    <n v="0.17433333333333334"/>
    <x v="3"/>
    <x v="0"/>
    <n v="2023"/>
    <s v="Sat"/>
    <n v="12"/>
  </r>
  <r>
    <s v="CMP-01724"/>
    <s v="Q1_BlackFriday_CMP-01724"/>
    <d v="2023-07-07T00:00:00"/>
    <x v="8"/>
    <d v="2023-08-03T00:00:00"/>
    <x v="3"/>
    <n v="66082"/>
    <n v="2617"/>
    <n v="249"/>
    <x v="0"/>
    <x v="1249"/>
    <n v="3.9602312278684063E-2"/>
    <n v="0.88621704241497901"/>
    <n v="9.3141767068273094"/>
    <n v="10130.77"/>
    <n v="9.5147115017195263E-2"/>
    <x v="3"/>
    <x v="3"/>
    <n v="2023"/>
    <s v="Fri"/>
    <n v="27"/>
  </r>
  <r>
    <s v="CMP-01725"/>
    <s v="Q3_Summer_CMP-01725"/>
    <d v="2023-09-17T00:00:00"/>
    <x v="10"/>
    <d v="2023-09-27T00:00:00"/>
    <x v="1"/>
    <n v="84624"/>
    <n v="2981"/>
    <n v="358"/>
    <x v="1"/>
    <x v="10"/>
    <n v="3.5226413310644737E-2"/>
    <n v="1.2183025830258303"/>
    <n v="10.144581005586591"/>
    <n v="14268.24"/>
    <n v="0.1200939282120094"/>
    <x v="0"/>
    <x v="0"/>
    <n v="2023"/>
    <s v="Sun"/>
    <n v="10"/>
  </r>
  <r>
    <s v="CMP-01726"/>
    <s v="Q3_Winter_CMP-01726"/>
    <d v="2023-01-10T00:00:00"/>
    <x v="11"/>
    <d v="2023-01-14T00:00:00"/>
    <x v="0"/>
    <n v="34130"/>
    <n v="1091"/>
    <n v="99"/>
    <x v="1"/>
    <x v="1250"/>
    <n v="3.1966012305889246E-2"/>
    <n v="1.0783318056828597"/>
    <n v="11.883434343434343"/>
    <n v="3773.54"/>
    <n v="9.0742438130155825E-2"/>
    <x v="2"/>
    <x v="2"/>
    <n v="2023"/>
    <s v="Tue"/>
    <n v="4"/>
  </r>
  <r>
    <s v="CMP-01727"/>
    <s v="Q2_Summer_CMP-01727"/>
    <d v="2023-11-14T00:00:00"/>
    <x v="0"/>
    <d v="2023-12-04T00:00:00"/>
    <x v="3"/>
    <n v="52756"/>
    <n v="1983"/>
    <n v="237"/>
    <x v="0"/>
    <x v="1251"/>
    <n v="3.7588141633179167E-2"/>
    <n v="1.2600302571860815"/>
    <n v="10.542784810126582"/>
    <n v="9351.36"/>
    <n v="0.11951588502269289"/>
    <x v="0"/>
    <x v="0"/>
    <n v="2023"/>
    <s v="Tue"/>
    <n v="20"/>
  </r>
  <r>
    <s v="CMP-01728"/>
    <s v="Q4_Winter_CMP-01728"/>
    <d v="2023-12-04T00:00:00"/>
    <x v="2"/>
    <d v="2024-01-02T00:00:00"/>
    <x v="1"/>
    <n v="98624"/>
    <n v="1554"/>
    <n v="284"/>
    <x v="1"/>
    <x v="1252"/>
    <n v="1.5756813757300453E-2"/>
    <n v="1.784002574002574"/>
    <n v="9.7617605633802818"/>
    <n v="11427.66"/>
    <n v="0.18275418275418276"/>
    <x v="2"/>
    <x v="2"/>
    <n v="2023"/>
    <s v="Mon"/>
    <n v="29"/>
  </r>
  <r>
    <s v="CMP-01729"/>
    <s v="Q2_BlackFriday_CMP-01729"/>
    <d v="2023-04-08T00:00:00"/>
    <x v="4"/>
    <d v="2023-04-22T00:00:00"/>
    <x v="4"/>
    <n v="27292"/>
    <n v="922"/>
    <n v="109"/>
    <x v="0"/>
    <x v="1253"/>
    <n v="3.3782793492598565E-2"/>
    <n v="1.6249349240780913"/>
    <n v="13.744862385321101"/>
    <n v="3951.81"/>
    <n v="0.11822125813449023"/>
    <x v="1"/>
    <x v="3"/>
    <n v="2023"/>
    <s v="Sat"/>
    <n v="14"/>
  </r>
  <r>
    <s v="CMP-01730"/>
    <s v="Q4_Launch_CMP-01730"/>
    <d v="2023-10-10T00:00:00"/>
    <x v="3"/>
    <d v="2023-10-23T00:00:00"/>
    <x v="3"/>
    <n v="87206"/>
    <n v="1472"/>
    <n v="196"/>
    <x v="1"/>
    <x v="1254"/>
    <n v="1.6879572506478913E-2"/>
    <n v="1.7076766304347826"/>
    <n v="12.824999999999999"/>
    <n v="7286.3"/>
    <n v="0.13315217391304349"/>
    <x v="0"/>
    <x v="1"/>
    <n v="2023"/>
    <s v="Tue"/>
    <n v="13"/>
  </r>
  <r>
    <s v="CMP-01731"/>
    <s v="Q4_Summer_CMP-01731"/>
    <d v="2023-07-29T00:00:00"/>
    <x v="8"/>
    <d v="2023-08-11T00:00:00"/>
    <x v="2"/>
    <n v="70274"/>
    <n v="3304"/>
    <n v="365"/>
    <x v="0"/>
    <x v="1255"/>
    <n v="4.7015966075646752E-2"/>
    <n v="0.70526634382566578"/>
    <n v="6.3841095890410955"/>
    <n v="15919.8"/>
    <n v="0.11047215496368039"/>
    <x v="3"/>
    <x v="0"/>
    <n v="2023"/>
    <s v="Sat"/>
    <n v="13"/>
  </r>
  <r>
    <s v="CMP-01732"/>
    <s v="Q1_BlackFriday_CMP-01732"/>
    <d v="2023-09-25T00:00:00"/>
    <x v="10"/>
    <d v="2023-10-05T00:00:00"/>
    <x v="2"/>
    <n v="3469"/>
    <n v="44"/>
    <n v="5"/>
    <x v="1"/>
    <x v="0"/>
    <n v="1.2683770539060248E-2"/>
    <n v="7.4802840909090911"/>
    <n v="65.826499999999996"/>
    <n v="-79.132499999999993"/>
    <n v="0.11363636363636363"/>
    <x v="0"/>
    <x v="3"/>
    <n v="2023"/>
    <s v="Mon"/>
    <n v="10"/>
  </r>
  <r>
    <s v="CMP-01733"/>
    <s v="Q2_BlackFriday_CMP-01733"/>
    <d v="2023-03-08T00:00:00"/>
    <x v="5"/>
    <d v="2023-08-15T00:00:00"/>
    <x v="0"/>
    <n v="54947"/>
    <n v="1495"/>
    <n v="78"/>
    <x v="0"/>
    <x v="1256"/>
    <n v="2.7208036835496024E-2"/>
    <n v="1.8401070234113712"/>
    <n v="35.268717948717949"/>
    <n v="1149.04"/>
    <n v="5.2173913043478258E-2"/>
    <x v="1"/>
    <x v="3"/>
    <n v="2023"/>
    <s v="Wed"/>
    <n v="160"/>
  </r>
  <r>
    <s v="CMP-01734"/>
    <s v="Q2_Winter_CMP-01734"/>
    <d v="2023-02-24T00:00:00"/>
    <x v="6"/>
    <d v="2023-02-25T00:00:00"/>
    <x v="4"/>
    <n v="23534"/>
    <n v="890"/>
    <n v="82"/>
    <x v="0"/>
    <x v="1257"/>
    <n v="3.7817625563015211E-2"/>
    <n v="1.081752808988764"/>
    <n v="11.740975609756097"/>
    <n v="3137.24"/>
    <n v="9.2134831460674152E-2"/>
    <x v="2"/>
    <x v="2"/>
    <n v="2023"/>
    <s v="Fri"/>
    <n v="1"/>
  </r>
  <r>
    <s v="CMP-01735"/>
    <s v="Q4_Winter_CMP-01735"/>
    <d v="2023-10-20T00:00:00"/>
    <x v="3"/>
    <d v="2023-10-31T00:00:00"/>
    <x v="0"/>
    <n v="64620"/>
    <n v="1830"/>
    <n v="211"/>
    <x v="1"/>
    <x v="1258"/>
    <n v="2.8319405756731662E-2"/>
    <n v="0.93181967213114758"/>
    <n v="8.0816587677725114"/>
    <n v="8844.77"/>
    <n v="0.11530054644808743"/>
    <x v="0"/>
    <x v="2"/>
    <n v="2023"/>
    <s v="Fri"/>
    <n v="11"/>
  </r>
  <r>
    <s v="CMP-01736"/>
    <s v="Q4_Summer_CMP-01736"/>
    <d v="2023-09-08T00:00:00"/>
    <x v="10"/>
    <d v="2023-09-24T00:00:00"/>
    <x v="2"/>
    <n v="49874"/>
    <n v="682"/>
    <n v="98"/>
    <x v="0"/>
    <x v="1259"/>
    <n v="1.3674459638288486E-2"/>
    <n v="1.5870381231671553"/>
    <n v="11.044489795918366"/>
    <n v="3817.6400000000003"/>
    <n v="0.14369501466275661"/>
    <x v="0"/>
    <x v="0"/>
    <n v="2023"/>
    <s v="Fri"/>
    <n v="16"/>
  </r>
  <r>
    <s v="CMP-01737"/>
    <s v="Q3_Summer_CMP-01737"/>
    <d v="2023-12-05T00:00:00"/>
    <x v="2"/>
    <d v="2024-01-04T00:00:00"/>
    <x v="4"/>
    <n v="50708"/>
    <n v="1629"/>
    <n v="191"/>
    <x v="1"/>
    <x v="1260"/>
    <n v="3.2125108464147671E-2"/>
    <n v="1.7546224677716391"/>
    <n v="14.964816753926703"/>
    <n v="6691.7199999999993"/>
    <n v="0.11724984653161449"/>
    <x v="2"/>
    <x v="0"/>
    <n v="2023"/>
    <s v="Tue"/>
    <n v="30"/>
  </r>
  <r>
    <s v="CMP-01738"/>
    <s v="Q4_Summer_CMP-01738"/>
    <d v="2023-04-24T00:00:00"/>
    <x v="4"/>
    <d v="2023-05-19T00:00:00"/>
    <x v="1"/>
    <n v="75553"/>
    <n v="2694"/>
    <n v="271"/>
    <x v="0"/>
    <x v="10"/>
    <n v="3.565708840151946E-2"/>
    <n v="1.3480920564216776"/>
    <n v="13.401328413284132"/>
    <n v="9918.24"/>
    <n v="0.1005939123979213"/>
    <x v="1"/>
    <x v="0"/>
    <n v="2023"/>
    <s v="Mon"/>
    <n v="25"/>
  </r>
  <r>
    <s v="CMP-01739"/>
    <s v="Q1_BlackFriday_CMP-01739"/>
    <d v="2023-04-17T00:00:00"/>
    <x v="4"/>
    <d v="2023-04-18T00:00:00"/>
    <x v="0"/>
    <n v="69344"/>
    <n v="2645"/>
    <n v="286"/>
    <x v="0"/>
    <x v="1261"/>
    <n v="3.8143170281495158E-2"/>
    <n v="0.97399621928166347"/>
    <n v="9.0077622377622379"/>
    <n v="11723.78"/>
    <n v="0.10812854442344046"/>
    <x v="1"/>
    <x v="3"/>
    <n v="2023"/>
    <s v="Mon"/>
    <n v="1"/>
  </r>
  <r>
    <s v="CMP-01740"/>
    <s v="Q4_Winter_CMP-01740"/>
    <d v="2023-02-10T00:00:00"/>
    <x v="6"/>
    <d v="2023-02-17T00:00:00"/>
    <x v="1"/>
    <n v="50138"/>
    <n v="1249"/>
    <n v="107"/>
    <x v="1"/>
    <x v="1262"/>
    <n v="2.4911244963899636E-2"/>
    <n v="1.7783186549239391"/>
    <n v="20.758130841121496"/>
    <n v="3128.88"/>
    <n v="8.5668534827862283E-2"/>
    <x v="2"/>
    <x v="2"/>
    <n v="2023"/>
    <s v="Fri"/>
    <n v="7"/>
  </r>
  <r>
    <s v="CMP-01741"/>
    <s v="Q3_BlackFriday_CMP-01741"/>
    <d v="2023-07-04T00:00:00"/>
    <x v="8"/>
    <d v="2023-07-18T00:00:00"/>
    <x v="1"/>
    <n v="55302"/>
    <n v="1799"/>
    <n v="339"/>
    <x v="0"/>
    <x v="1263"/>
    <n v="3.253046906079346E-2"/>
    <n v="0.5614007782101168"/>
    <n v="2.9792330383480827"/>
    <n v="15940.04"/>
    <n v="0.18843802112284602"/>
    <x v="3"/>
    <x v="3"/>
    <n v="2023"/>
    <s v="Tue"/>
    <n v="14"/>
  </r>
  <r>
    <s v="CMP-01742"/>
    <s v="Q2_Launch_CMP-01742"/>
    <d v="2023-08-01T00:00:00"/>
    <x v="7"/>
    <d v="2023-08-26T00:00:00"/>
    <x v="3"/>
    <n v="48638"/>
    <n v="1363"/>
    <m/>
    <x v="1"/>
    <x v="1264"/>
    <n v="2.8023356223528927E-2"/>
    <n v="0.57449009537784301"/>
    <n v="0"/>
    <n v="-783.03"/>
    <n v="0"/>
    <x v="3"/>
    <x v="1"/>
    <n v="2023"/>
    <s v="Tue"/>
    <n v="25"/>
  </r>
  <r>
    <s v="CMP-01743"/>
    <s v="Q2_BlackFriday_CMP-01743"/>
    <d v="2023-01-30T00:00:00"/>
    <x v="11"/>
    <d v="2023-02-20T00:00:00"/>
    <x v="3"/>
    <n v="79249"/>
    <n v="2922"/>
    <n v="151"/>
    <x v="0"/>
    <x v="10"/>
    <n v="3.6871127711390679E-2"/>
    <n v="1.2429021218343599"/>
    <n v="24.051390728476818"/>
    <n v="3918.2400000000002"/>
    <n v="5.1676933607118412E-2"/>
    <x v="2"/>
    <x v="3"/>
    <n v="2023"/>
    <s v="Mon"/>
    <n v="21"/>
  </r>
  <r>
    <s v="CMP-01744"/>
    <s v="Q4_Launch_CMP-01744"/>
    <d v="2023-01-21T00:00:00"/>
    <x v="11"/>
    <d v="2023-02-15T00:00:00"/>
    <x v="1"/>
    <n v="3719"/>
    <n v="123"/>
    <n v="6"/>
    <x v="1"/>
    <x v="0"/>
    <n v="3.3073406829792956E-2"/>
    <n v="2.6758739837398373"/>
    <n v="54.855416666666663"/>
    <n v="-29.132499999999993"/>
    <n v="4.878048780487805E-2"/>
    <x v="2"/>
    <x v="1"/>
    <n v="2023"/>
    <s v="Sat"/>
    <n v="25"/>
  </r>
  <r>
    <s v="CMP-01745"/>
    <s v="Q4_Launch_CMP-01745"/>
    <d v="2023-02-09T00:00:00"/>
    <x v="6"/>
    <d v="2023-02-14T00:00:00"/>
    <x v="1"/>
    <n v="23890"/>
    <n v="741"/>
    <n v="145"/>
    <x v="0"/>
    <x v="1265"/>
    <n v="3.1017161992465465E-2"/>
    <n v="0.98690958164642373"/>
    <n v="5.0434482758620689"/>
    <n v="6518.7"/>
    <n v="0.19568151147098514"/>
    <x v="2"/>
    <x v="1"/>
    <n v="2023"/>
    <s v="Thu"/>
    <n v="5"/>
  </r>
  <r>
    <s v="CMP-01746"/>
    <s v="Q1_Launch_CMP-01746"/>
    <d v="2023-02-19T00:00:00"/>
    <x v="6"/>
    <d v="2023-03-06T00:00:00"/>
    <x v="1"/>
    <n v="78236"/>
    <n v="1563"/>
    <n v="130"/>
    <x v="1"/>
    <x v="1266"/>
    <n v="1.9978015235952759E-2"/>
    <n v="1.5091362763915548"/>
    <n v="18.144461538461542"/>
    <n v="4141.2199999999993"/>
    <n v="8.3173384516954579E-2"/>
    <x v="2"/>
    <x v="1"/>
    <n v="2023"/>
    <s v="Sun"/>
    <n v="15"/>
  </r>
  <r>
    <s v="CMP-01747"/>
    <s v="Q1_Launch_CMP-01747"/>
    <d v="2023-07-17T00:00:00"/>
    <x v="8"/>
    <d v="2023-08-14T00:00:00"/>
    <x v="1"/>
    <n v="37509"/>
    <n v="378"/>
    <n v="64"/>
    <x v="0"/>
    <x v="1267"/>
    <n v="1.0077581380468688E-2"/>
    <n v="1.0058994708994708"/>
    <n v="5.9410937500000003"/>
    <n v="2819.77"/>
    <n v="0.1693121693121693"/>
    <x v="3"/>
    <x v="1"/>
    <n v="2023"/>
    <s v="Mon"/>
    <n v="28"/>
  </r>
  <r>
    <s v="CMP-01748"/>
    <s v="Q1_BlackFriday_CMP-01748"/>
    <d v="2023-05-08T00:00:00"/>
    <x v="1"/>
    <d v="2023-05-27T00:00:00"/>
    <x v="4"/>
    <n v="43534"/>
    <n v="738"/>
    <n v="43"/>
    <x v="0"/>
    <x v="1268"/>
    <n v="1.6952267193457986E-2"/>
    <n v="0.76940379403794046"/>
    <n v="13.205116279069768"/>
    <n v="1582.1799999999998"/>
    <n v="5.8265582655826556E-2"/>
    <x v="1"/>
    <x v="3"/>
    <n v="2023"/>
    <s v="Mon"/>
    <n v="19"/>
  </r>
  <r>
    <s v="CMP-01749"/>
    <s v="Q4_Launch_CMP-01749"/>
    <d v="2023-10-13T00:00:00"/>
    <x v="3"/>
    <d v="2023-11-08T00:00:00"/>
    <x v="0"/>
    <n v="93241"/>
    <n v="1369"/>
    <n v="257"/>
    <x v="0"/>
    <x v="1269"/>
    <n v="1.4682382213832971E-2"/>
    <n v="0.92202337472607743"/>
    <n v="4.9114785992217902"/>
    <n v="11587.75"/>
    <n v="0.1877282688093499"/>
    <x v="0"/>
    <x v="1"/>
    <n v="2023"/>
    <s v="Fri"/>
    <n v="26"/>
  </r>
  <r>
    <s v="CMP-01750"/>
    <s v="Q3_Launch_CMP-01750"/>
    <d v="2023-02-24T00:00:00"/>
    <x v="6"/>
    <d v="2023-03-21T00:00:00"/>
    <x v="4"/>
    <n v="19787"/>
    <n v="553"/>
    <n v="100"/>
    <x v="0"/>
    <x v="1270"/>
    <n v="2.7947642391469147E-2"/>
    <n v="1.1863652802893307"/>
    <n v="6.5605999999999991"/>
    <n v="4343.9400000000005"/>
    <n v="0.18083182640144665"/>
    <x v="2"/>
    <x v="1"/>
    <n v="2023"/>
    <s v="Fri"/>
    <n v="25"/>
  </r>
  <r>
    <s v="CMP-01751"/>
    <s v="Q3_Summer_CMP-01751"/>
    <d v="2023-12-12T00:00:00"/>
    <x v="2"/>
    <d v="2024-01-05T00:00:00"/>
    <x v="4"/>
    <n v="49845"/>
    <n v="1719"/>
    <m/>
    <x v="0"/>
    <x v="1271"/>
    <n v="3.4486909419199518E-2"/>
    <n v="1.2130773705642817"/>
    <n v="0"/>
    <n v="-2085.2800000000002"/>
    <n v="0"/>
    <x v="2"/>
    <x v="0"/>
    <n v="2023"/>
    <s v="Tue"/>
    <n v="24"/>
  </r>
  <r>
    <s v="CMP-01752"/>
    <s v="Q1_Winter_CMP-01752"/>
    <d v="2023-02-23T00:00:00"/>
    <x v="6"/>
    <d v="2023-02-28T00:00:00"/>
    <x v="2"/>
    <n v="58932"/>
    <n v="1091"/>
    <n v="56"/>
    <x v="0"/>
    <x v="1272"/>
    <n v="1.8512862281952081E-2"/>
    <n v="1.6745004582951422"/>
    <n v="32.622857142857143"/>
    <n v="973.11999999999989"/>
    <n v="5.1329055912007336E-2"/>
    <x v="2"/>
    <x v="2"/>
    <n v="2023"/>
    <s v="Thu"/>
    <n v="5"/>
  </r>
  <r>
    <s v="CMP-01753"/>
    <s v="Q1_BlackFriday_CMP-01753"/>
    <d v="2023-07-25T00:00:00"/>
    <x v="8"/>
    <d v="2023-08-15T00:00:00"/>
    <x v="1"/>
    <n v="93124"/>
    <n v="4429"/>
    <m/>
    <x v="1"/>
    <x v="10"/>
    <n v="4.7560242257634978E-2"/>
    <n v="0.81999548430797009"/>
    <n v="0"/>
    <n v="-3631.7599999999998"/>
    <n v="0"/>
    <x v="3"/>
    <x v="3"/>
    <n v="2023"/>
    <s v="Tue"/>
    <n v="21"/>
  </r>
  <r>
    <s v="CMP-01754"/>
    <s v="Q2_BlackFriday_CMP-01754"/>
    <d v="2023-10-01T00:00:00"/>
    <x v="3"/>
    <d v="2023-10-27T00:00:00"/>
    <x v="0"/>
    <n v="92659"/>
    <n v="951"/>
    <n v="105"/>
    <x v="1"/>
    <x v="1273"/>
    <n v="1.0263439061505088E-2"/>
    <n v="1.1852260778128287"/>
    <n v="10.734761904761905"/>
    <n v="4122.8500000000004"/>
    <n v="0.11041009463722397"/>
    <x v="0"/>
    <x v="3"/>
    <n v="2023"/>
    <s v="Sun"/>
    <n v="26"/>
  </r>
  <r>
    <s v="CMP-01755"/>
    <s v="Q1_Summer_CMP-01755"/>
    <d v="2023-06-30T00:00:00"/>
    <x v="9"/>
    <d v="2023-07-10T00:00:00"/>
    <x v="2"/>
    <n v="34062"/>
    <n v="1392"/>
    <n v="165"/>
    <x v="1"/>
    <x v="10"/>
    <n v="4.0866654923375025E-2"/>
    <n v="2.609022988505747"/>
    <n v="22.010666666666665"/>
    <n v="4618.24"/>
    <n v="0.11853448275862069"/>
    <x v="3"/>
    <x v="0"/>
    <n v="2023"/>
    <s v="Fri"/>
    <n v="10"/>
  </r>
  <r>
    <s v="CMP-01756"/>
    <s v="Q1_BlackFriday_CMP-01756"/>
    <d v="2023-06-16T00:00:00"/>
    <x v="9"/>
    <d v="2023-06-29T00:00:00"/>
    <x v="0"/>
    <n v="76713"/>
    <n v="2685"/>
    <n v="254"/>
    <x v="1"/>
    <x v="1274"/>
    <n v="3.5000586602010088E-2"/>
    <n v="0.67135567970204835"/>
    <n v="7.0968110236220472"/>
    <n v="10897.41"/>
    <n v="9.4599627560521413E-2"/>
    <x v="3"/>
    <x v="3"/>
    <n v="2023"/>
    <s v="Fri"/>
    <n v="13"/>
  </r>
  <r>
    <s v="CMP-01757"/>
    <s v="Q4_Winter_CMP-01757"/>
    <d v="2023-11-21T00:00:00"/>
    <x v="0"/>
    <d v="2023-11-29T00:00:00"/>
    <x v="3"/>
    <n v="88263"/>
    <n v="2201"/>
    <m/>
    <x v="1"/>
    <x v="1275"/>
    <n v="2.4936836500005666E-2"/>
    <n v="0.88303044070876868"/>
    <n v="0"/>
    <n v="-1943.55"/>
    <n v="0"/>
    <x v="0"/>
    <x v="2"/>
    <n v="2023"/>
    <s v="Tue"/>
    <n v="8"/>
  </r>
  <r>
    <s v="CMP-01758"/>
    <s v="Q3_Summer_CMP-01758"/>
    <d v="2023-11-08T00:00:00"/>
    <x v="0"/>
    <d v="2023-11-13T00:00:00"/>
    <x v="2"/>
    <n v="96756"/>
    <n v="1162"/>
    <n v="160"/>
    <x v="0"/>
    <x v="1276"/>
    <n v="1.2009591136466989E-2"/>
    <n v="1.741962134251291"/>
    <n v="12.651"/>
    <n v="5975.84"/>
    <n v="0.13769363166953527"/>
    <x v="0"/>
    <x v="0"/>
    <n v="2023"/>
    <s v="Wed"/>
    <n v="5"/>
  </r>
  <r>
    <s v="CMP-01759"/>
    <s v="Q4_Winter_CMP-01759"/>
    <d v="2023-07-12T00:00:00"/>
    <x v="8"/>
    <d v="2023-07-13T00:00:00"/>
    <x v="3"/>
    <n v="61461"/>
    <n v="2157"/>
    <m/>
    <x v="1"/>
    <x v="1277"/>
    <n v="3.5095426367940642E-2"/>
    <n v="1.0669911914696337"/>
    <n v="0"/>
    <n v="-2301.5"/>
    <n v="0"/>
    <x v="3"/>
    <x v="2"/>
    <n v="2023"/>
    <s v="Wed"/>
    <n v="1"/>
  </r>
  <r>
    <s v="CMP-01760"/>
    <s v="Q3_Summer_CMP-01760"/>
    <d v="2023-05-11T00:00:00"/>
    <x v="1"/>
    <d v="2023-06-10T00:00:00"/>
    <x v="2"/>
    <n v="76418"/>
    <n v="1942"/>
    <n v="179"/>
    <x v="0"/>
    <x v="10"/>
    <n v="2.5412860844303699E-2"/>
    <n v="1.8701132852729143"/>
    <n v="20.289162011173183"/>
    <n v="5318.24"/>
    <n v="9.2173017507723998E-2"/>
    <x v="1"/>
    <x v="0"/>
    <n v="2023"/>
    <s v="Thu"/>
    <n v="30"/>
  </r>
  <r>
    <s v="CMP-01761"/>
    <s v="Q2_Summer_CMP-01761"/>
    <d v="2023-07-23T00:00:00"/>
    <x v="8"/>
    <d v="2023-07-31T00:00:00"/>
    <x v="1"/>
    <n v="67672"/>
    <n v="3211"/>
    <n v="178"/>
    <x v="0"/>
    <x v="10"/>
    <n v="4.7449462111360682E-2"/>
    <n v="1.1310370601058859"/>
    <n v="20.403146067415729"/>
    <n v="5268.24"/>
    <n v="5.5434444098411709E-2"/>
    <x v="3"/>
    <x v="0"/>
    <n v="2023"/>
    <s v="Sun"/>
    <n v="8"/>
  </r>
  <r>
    <s v="CMP-01762"/>
    <s v="Q4_Winter_CMP-01762"/>
    <d v="2023-01-18T00:00:00"/>
    <x v="11"/>
    <d v="2023-02-16T00:00:00"/>
    <x v="4"/>
    <n v="35832"/>
    <n v="1135"/>
    <n v="226"/>
    <x v="1"/>
    <x v="1278"/>
    <n v="3.1675597231524896E-2"/>
    <n v="1.6879030837004405"/>
    <n v="8.4768584070796464"/>
    <n v="9384.23"/>
    <n v="0.19911894273127753"/>
    <x v="2"/>
    <x v="2"/>
    <n v="2023"/>
    <s v="Wed"/>
    <n v="29"/>
  </r>
  <r>
    <s v="CMP-01763"/>
    <s v="Q2_BlackFriday_CMP-01763"/>
    <d v="2023-09-23T00:00:00"/>
    <x v="10"/>
    <d v="2023-10-08T00:00:00"/>
    <x v="3"/>
    <n v="32966"/>
    <n v="1568"/>
    <n v="191"/>
    <x v="1"/>
    <x v="1279"/>
    <n v="4.7564157010252989E-2"/>
    <n v="1.1034630102040817"/>
    <n v="9.0587958115183245"/>
    <n v="7819.77"/>
    <n v="0.12181122448979592"/>
    <x v="0"/>
    <x v="3"/>
    <n v="2023"/>
    <s v="Sat"/>
    <n v="15"/>
  </r>
  <r>
    <s v="CMP-01764"/>
    <s v="Q1_Winter_CMP-01764"/>
    <d v="2023-01-04T00:00:00"/>
    <x v="11"/>
    <d v="2023-01-13T00:00:00"/>
    <x v="0"/>
    <n v="73545"/>
    <n v="1384"/>
    <n v="226"/>
    <x v="0"/>
    <x v="1280"/>
    <n v="1.8818410496974643E-2"/>
    <n v="1.1374277456647399"/>
    <n v="6.965486725663717"/>
    <n v="9725.7999999999993"/>
    <n v="0.16329479768786126"/>
    <x v="2"/>
    <x v="2"/>
    <n v="2023"/>
    <s v="Wed"/>
    <n v="9"/>
  </r>
  <r>
    <s v="CMP-01765"/>
    <s v="Q4_Winter_CMP-01765"/>
    <d v="2023-11-06T00:00:00"/>
    <x v="0"/>
    <d v="2023-12-06T00:00:00"/>
    <x v="3"/>
    <n v="13987"/>
    <n v="545"/>
    <n v="64"/>
    <x v="1"/>
    <x v="1281"/>
    <n v="3.8964752984914565E-2"/>
    <n v="1.0743302752293578"/>
    <n v="9.1485937499999999"/>
    <n v="2614.4899999999998"/>
    <n v="0.11743119266055047"/>
    <x v="0"/>
    <x v="2"/>
    <n v="2023"/>
    <s v="Mon"/>
    <n v="30"/>
  </r>
  <r>
    <s v="CMP-01766"/>
    <s v="Q1_Summer_CMP-01766"/>
    <d v="2023-12-20T00:00:00"/>
    <x v="2"/>
    <d v="2024-01-02T00:00:00"/>
    <x v="4"/>
    <n v="38311"/>
    <n v="1329"/>
    <n v="75"/>
    <x v="0"/>
    <x v="1282"/>
    <n v="3.4689775782412363E-2"/>
    <n v="1.5786155003762228"/>
    <n v="27.973066666666668"/>
    <n v="1652.02"/>
    <n v="5.6433408577878104E-2"/>
    <x v="2"/>
    <x v="0"/>
    <n v="2023"/>
    <s v="Wed"/>
    <n v="13"/>
  </r>
  <r>
    <s v="CMP-01767"/>
    <s v="Q4_Winter_CMP-01767"/>
    <d v="2023-09-19T00:00:00"/>
    <x v="10"/>
    <d v="2023-10-04T00:00:00"/>
    <x v="2"/>
    <n v="32575"/>
    <n v="1289"/>
    <n v="124"/>
    <x v="0"/>
    <x v="1283"/>
    <n v="3.9570222563315424E-2"/>
    <n v="1.3212800620636154"/>
    <n v="13.734919354838711"/>
    <n v="4496.87"/>
    <n v="9.6198603568657878E-2"/>
    <x v="0"/>
    <x v="2"/>
    <n v="2023"/>
    <s v="Tue"/>
    <n v="15"/>
  </r>
  <r>
    <s v="CMP-01768"/>
    <s v="Q1_BlackFriday_CMP-01768"/>
    <d v="2023-03-21T00:00:00"/>
    <x v="5"/>
    <d v="2023-04-20T00:00:00"/>
    <x v="0"/>
    <n v="64852"/>
    <n v="1205"/>
    <n v="118"/>
    <x v="0"/>
    <x v="1284"/>
    <n v="1.8580768519089619E-2"/>
    <n v="1.9156680497925311"/>
    <n v="19.562542372881357"/>
    <n v="3591.62"/>
    <n v="9.7925311203319501E-2"/>
    <x v="1"/>
    <x v="3"/>
    <n v="2023"/>
    <s v="Tue"/>
    <n v="30"/>
  </r>
  <r>
    <s v="CMP-01769"/>
    <s v="Q1_Winter_CMP-01769"/>
    <d v="2023-08-24T00:00:00"/>
    <x v="7"/>
    <d v="2023-09-08T00:00:00"/>
    <x v="3"/>
    <n v="2007"/>
    <n v="73"/>
    <n v="12"/>
    <x v="1"/>
    <x v="0"/>
    <n v="3.6372695565520675E-2"/>
    <n v="4.5086643835616433"/>
    <n v="27.427708333333332"/>
    <n v="270.86750000000001"/>
    <n v="0.16438356164383561"/>
    <x v="3"/>
    <x v="2"/>
    <n v="2023"/>
    <s v="Thu"/>
    <n v="15"/>
  </r>
  <r>
    <s v="CMP-01770"/>
    <s v="Q3_Winter_CMP-01770"/>
    <d v="2023-07-07T00:00:00"/>
    <x v="8"/>
    <d v="2023-07-19T00:00:00"/>
    <x v="1"/>
    <n v="71981"/>
    <n v="2153"/>
    <n v="318"/>
    <x v="0"/>
    <x v="1285"/>
    <n v="2.9910670871479975E-2"/>
    <n v="0.65084533209475148"/>
    <n v="4.4065094339622641"/>
    <n v="14498.73"/>
    <n v="0.14770088248954946"/>
    <x v="3"/>
    <x v="2"/>
    <n v="2023"/>
    <s v="Fri"/>
    <n v="12"/>
  </r>
  <r>
    <s v="CMP-01771"/>
    <s v="Q4_Winter_CMP-01771"/>
    <d v="2023-05-12T00:00:00"/>
    <x v="1"/>
    <d v="2024-01-03T00:00:00"/>
    <x v="0"/>
    <n v="77242"/>
    <n v="3067"/>
    <n v="280"/>
    <x v="0"/>
    <x v="1286"/>
    <n v="3.9706377359467644E-2"/>
    <n v="1.0898924029996739"/>
    <n v="11.938214285714285"/>
    <n v="10657.3"/>
    <n v="9.1294424519074019E-2"/>
    <x v="1"/>
    <x v="2"/>
    <n v="2023"/>
    <s v="Fri"/>
    <n v="236"/>
  </r>
  <r>
    <s v="CMP-01772"/>
    <s v="Q3_Launch_CMP-01772"/>
    <d v="2023-07-24T00:00:00"/>
    <x v="8"/>
    <d v="2023-07-31T00:00:00"/>
    <x v="1"/>
    <n v="48517"/>
    <n v="1119"/>
    <m/>
    <x v="1"/>
    <x v="1287"/>
    <n v="2.3064080631531217E-2"/>
    <n v="1.4250670241286865"/>
    <n v="0"/>
    <n v="-1594.65"/>
    <n v="0"/>
    <x v="3"/>
    <x v="1"/>
    <n v="2023"/>
    <s v="Mon"/>
    <n v="7"/>
  </r>
  <r>
    <s v="CMP-01773"/>
    <s v="Q1_Winter_CMP-01773"/>
    <d v="2023-02-09T00:00:00"/>
    <x v="6"/>
    <d v="2023-02-24T00:00:00"/>
    <x v="1"/>
    <n v="30257"/>
    <n v="1379"/>
    <m/>
    <x v="0"/>
    <x v="1288"/>
    <n v="4.5576230293816307E-2"/>
    <n v="1.7911965192168238"/>
    <n v="0"/>
    <n v="-2470.06"/>
    <n v="0"/>
    <x v="2"/>
    <x v="2"/>
    <n v="2023"/>
    <s v="Thu"/>
    <n v="15"/>
  </r>
  <r>
    <s v="CMP-01774"/>
    <s v="Q2_Winter_CMP-01774"/>
    <d v="2023-03-30T00:00:00"/>
    <x v="5"/>
    <d v="2023-04-04T00:00:00"/>
    <x v="1"/>
    <n v="88272"/>
    <n v="1180"/>
    <n v="235"/>
    <x v="0"/>
    <x v="1289"/>
    <n v="1.3367772340039876E-2"/>
    <n v="1.0192966101694916"/>
    <n v="5.118170212765957"/>
    <n v="10547.23"/>
    <n v="0.19915254237288135"/>
    <x v="1"/>
    <x v="2"/>
    <n v="2023"/>
    <s v="Thu"/>
    <n v="5"/>
  </r>
  <r>
    <s v="CMP-01775"/>
    <s v="Q3_Launch_CMP-01775"/>
    <d v="2023-12-26T00:00:00"/>
    <x v="2"/>
    <d v="2024-01-09T00:00:00"/>
    <x v="1"/>
    <n v="43207"/>
    <n v="1827"/>
    <n v="364"/>
    <x v="0"/>
    <x v="1290"/>
    <n v="4.2284814960538798E-2"/>
    <n v="1.4806787082649151"/>
    <n v="7.4318681318681312"/>
    <n v="15494.8"/>
    <n v="0.19923371647509577"/>
    <x v="2"/>
    <x v="1"/>
    <n v="2023"/>
    <s v="Tue"/>
    <n v="14"/>
  </r>
  <r>
    <s v="CMP-01776"/>
    <s v="Q3_Winter_CMP-01776"/>
    <d v="2023-11-01T00:00:00"/>
    <x v="0"/>
    <d v="2023-12-01T00:00:00"/>
    <x v="4"/>
    <n v="14281"/>
    <n v="634"/>
    <n v="49"/>
    <x v="0"/>
    <x v="1291"/>
    <n v="4.4394650234577414E-2"/>
    <n v="1.0252996845425868"/>
    <n v="13.266122448979591"/>
    <n v="1799.96"/>
    <n v="7.7287066246056788E-2"/>
    <x v="0"/>
    <x v="2"/>
    <n v="2023"/>
    <s v="Wed"/>
    <n v="30"/>
  </r>
  <r>
    <s v="CMP-01777"/>
    <s v="Q3_Launch_CMP-01777"/>
    <d v="2023-10-23T00:00:00"/>
    <x v="3"/>
    <d v="2023-10-31T00:00:00"/>
    <x v="0"/>
    <n v="62246"/>
    <n v="2657"/>
    <n v="257"/>
    <x v="1"/>
    <x v="10"/>
    <n v="4.2685473765382516E-2"/>
    <n v="1.3668648852088821"/>
    <n v="14.13136186770428"/>
    <n v="9218.24"/>
    <n v="9.6725630410237115E-2"/>
    <x v="0"/>
    <x v="1"/>
    <n v="2023"/>
    <s v="Mon"/>
    <n v="8"/>
  </r>
  <r>
    <s v="CMP-01778"/>
    <s v="Q1_Launch_CMP-01778"/>
    <d v="2023-06-21T00:00:00"/>
    <x v="9"/>
    <d v="2023-06-26T00:00:00"/>
    <x v="1"/>
    <n v="2435"/>
    <n v="74"/>
    <n v="9"/>
    <x v="1"/>
    <x v="0"/>
    <n v="3.0390143737166326E-2"/>
    <n v="4.4477364864864866"/>
    <n v="36.570277777777775"/>
    <n v="120.86750000000001"/>
    <n v="0.12162162162162163"/>
    <x v="3"/>
    <x v="1"/>
    <n v="2023"/>
    <s v="Wed"/>
    <n v="5"/>
  </r>
  <r>
    <s v="CMP-01779"/>
    <s v="Q4_Launch_CMP-01779"/>
    <d v="2023-08-02T00:00:00"/>
    <x v="7"/>
    <d v="2023-08-31T00:00:00"/>
    <x v="0"/>
    <n v="99875"/>
    <n v="2750"/>
    <m/>
    <x v="0"/>
    <x v="1292"/>
    <n v="2.7534418022528161E-2"/>
    <n v="0.84703636363636359"/>
    <n v="0"/>
    <n v="-2329.35"/>
    <n v="0"/>
    <x v="3"/>
    <x v="1"/>
    <n v="2023"/>
    <s v="Wed"/>
    <n v="29"/>
  </r>
  <r>
    <s v="CMP-01780"/>
    <s v="Q3_Winter_CMP-01780"/>
    <d v="2023-04-27T00:00:00"/>
    <x v="4"/>
    <d v="2023-05-18T00:00:00"/>
    <x v="0"/>
    <n v="92357"/>
    <n v="4604"/>
    <n v="594"/>
    <x v="0"/>
    <x v="10"/>
    <n v="4.9850038437801142E-2"/>
    <n v="0.78882710686359681"/>
    <n v="6.1140740740740736"/>
    <n v="26068.240000000002"/>
    <n v="0.12901824500434406"/>
    <x v="1"/>
    <x v="2"/>
    <n v="2023"/>
    <s v="Thu"/>
    <n v="21"/>
  </r>
  <r>
    <s v="CMP-01781"/>
    <s v="Q4_BlackFriday_CMP-01781"/>
    <d v="2023-01-06T00:00:00"/>
    <x v="11"/>
    <d v="2023-02-05T00:00:00"/>
    <x v="2"/>
    <n v="27660"/>
    <n v="530"/>
    <n v="103"/>
    <x v="1"/>
    <x v="1293"/>
    <n v="1.9161243673174257E-2"/>
    <n v="1.9899056603773586"/>
    <n v="10.239320388349515"/>
    <n v="4095.35"/>
    <n v="0.19433962264150945"/>
    <x v="2"/>
    <x v="3"/>
    <n v="2023"/>
    <s v="Fri"/>
    <n v="30"/>
  </r>
  <r>
    <s v="CMP-01782"/>
    <s v="Q1_Launch_CMP-01782"/>
    <d v="2023-01-28T00:00:00"/>
    <x v="11"/>
    <d v="2023-02-01T00:00:00"/>
    <x v="2"/>
    <n v="6084"/>
    <n v="193"/>
    <m/>
    <x v="1"/>
    <x v="10"/>
    <n v="3.1722550953320182E-2"/>
    <n v="18.817409326424869"/>
    <n v="0"/>
    <n v="-3631.7599999999998"/>
    <n v="0"/>
    <x v="2"/>
    <x v="1"/>
    <n v="2023"/>
    <s v="Sat"/>
    <n v="4"/>
  </r>
  <r>
    <s v="CMP-01783"/>
    <s v="Q1_Launch_CMP-01783"/>
    <d v="2023-10-04T00:00:00"/>
    <x v="3"/>
    <d v="2023-10-14T00:00:00"/>
    <x v="0"/>
    <n v="83197"/>
    <n v="3063"/>
    <n v="250"/>
    <x v="1"/>
    <x v="10"/>
    <n v="3.6816231354495958E-2"/>
    <n v="1.1856872347371856"/>
    <n v="14.52704"/>
    <n v="8868.24"/>
    <n v="8.1619327456741761E-2"/>
    <x v="0"/>
    <x v="1"/>
    <n v="2023"/>
    <s v="Wed"/>
    <n v="10"/>
  </r>
  <r>
    <s v="CMP-01784"/>
    <s v="Q2_Winter_CMP-01784"/>
    <d v="2023-12-24T00:00:00"/>
    <x v="2"/>
    <d v="2024-01-05T00:00:00"/>
    <x v="3"/>
    <n v="14507"/>
    <n v="551"/>
    <n v="36"/>
    <x v="0"/>
    <x v="1294"/>
    <n v="3.7981664024264152E-2"/>
    <n v="1.2749364791288567"/>
    <n v="19.513611111111111"/>
    <n v="1097.51"/>
    <n v="6.5335753176043551E-2"/>
    <x v="2"/>
    <x v="2"/>
    <n v="2023"/>
    <s v="Sun"/>
    <n v="12"/>
  </r>
  <r>
    <s v="CMP-01785"/>
    <s v="Q1_Summer_CMP-01785"/>
    <d v="2023-07-21T00:00:00"/>
    <x v="8"/>
    <d v="2023-07-23T00:00:00"/>
    <x v="1"/>
    <n v="73595"/>
    <n v="1336"/>
    <n v="204"/>
    <x v="1"/>
    <x v="1295"/>
    <n v="1.8153407160812554E-2"/>
    <n v="0.92690119760479039"/>
    <n v="6.0702941176470588"/>
    <n v="8961.66"/>
    <n v="0.15269461077844312"/>
    <x v="3"/>
    <x v="0"/>
    <n v="2023"/>
    <s v="Fri"/>
    <n v="2"/>
  </r>
  <r>
    <s v="CMP-01786"/>
    <s v="Q1_Winter_CMP-01786"/>
    <d v="2023-10-22T00:00:00"/>
    <x v="3"/>
    <d v="2023-11-03T00:00:00"/>
    <x v="2"/>
    <n v="84807"/>
    <n v="3066"/>
    <n v="226"/>
    <x v="1"/>
    <x v="10"/>
    <n v="3.6152676076267286E-2"/>
    <n v="1.1845270711024134"/>
    <n v="16.069734513274334"/>
    <n v="7668.24"/>
    <n v="7.3711676451402475E-2"/>
    <x v="0"/>
    <x v="2"/>
    <n v="2023"/>
    <s v="Sun"/>
    <n v="12"/>
  </r>
  <r>
    <s v="CMP-01787"/>
    <s v="Q4_Summer_CMP-01787"/>
    <d v="2023-05-29T00:00:00"/>
    <x v="1"/>
    <d v="2023-06-13T00:00:00"/>
    <x v="3"/>
    <n v="46539"/>
    <n v="1988"/>
    <n v="334"/>
    <x v="0"/>
    <x v="1296"/>
    <n v="4.2716861127226627E-2"/>
    <n v="1.7722736418511067"/>
    <n v="10.54874251497006"/>
    <n v="13176.72"/>
    <n v="0.16800804828973842"/>
    <x v="1"/>
    <x v="0"/>
    <n v="2023"/>
    <s v="Mon"/>
    <n v="15"/>
  </r>
  <r>
    <s v="CMP-01788"/>
    <s v="Q2_BlackFriday_CMP-01788"/>
    <d v="2023-06-22T00:00:00"/>
    <x v="9"/>
    <d v="2023-07-22T00:00:00"/>
    <x v="2"/>
    <n v="8491"/>
    <n v="101"/>
    <n v="9"/>
    <x v="0"/>
    <x v="0"/>
    <n v="1.1894947591567543E-2"/>
    <n v="3.258737623762376"/>
    <n v="36.570277777777775"/>
    <n v="120.86750000000001"/>
    <n v="8.9108910891089105E-2"/>
    <x v="3"/>
    <x v="3"/>
    <n v="2023"/>
    <s v="Thu"/>
    <n v="30"/>
  </r>
  <r>
    <s v="CMP-01789"/>
    <s v="Q2_BlackFriday_CMP-01789"/>
    <d v="2023-10-20T00:00:00"/>
    <x v="3"/>
    <d v="2023-11-02T00:00:00"/>
    <x v="1"/>
    <n v="51192"/>
    <n v="2378"/>
    <n v="235"/>
    <x v="1"/>
    <x v="1297"/>
    <n v="4.6452570714174087E-2"/>
    <n v="0.93506728343145507"/>
    <n v="9.4620851063829789"/>
    <n v="9526.41"/>
    <n v="9.8822539949537422E-2"/>
    <x v="0"/>
    <x v="3"/>
    <n v="2023"/>
    <s v="Fri"/>
    <n v="13"/>
  </r>
  <r>
    <s v="CMP-01790"/>
    <s v="Q4_BlackFriday_CMP-01790"/>
    <d v="2023-05-15T00:00:00"/>
    <x v="1"/>
    <d v="2023-06-13T00:00:00"/>
    <x v="3"/>
    <n v="81395"/>
    <n v="910"/>
    <n v="46"/>
    <x v="0"/>
    <x v="1298"/>
    <n v="1.1180047914491061E-2"/>
    <n v="0.80219780219780223"/>
    <n v="15.869565217391305"/>
    <n v="1570"/>
    <n v="5.054945054945055E-2"/>
    <x v="1"/>
    <x v="3"/>
    <n v="2023"/>
    <s v="Mon"/>
    <n v="29"/>
  </r>
  <r>
    <s v="CMP-01791"/>
    <s v="Q3_BlackFriday_CMP-01791"/>
    <d v="2023-09-14T00:00:00"/>
    <x v="10"/>
    <d v="2023-10-05T00:00:00"/>
    <x v="2"/>
    <n v="64888"/>
    <n v="1572"/>
    <n v="243"/>
    <x v="0"/>
    <x v="1299"/>
    <n v="2.4226359265195414E-2"/>
    <n v="0.89781170483460548"/>
    <n v="5.8080658436213985"/>
    <n v="10738.64"/>
    <n v="0.15458015267175573"/>
    <x v="0"/>
    <x v="3"/>
    <n v="2023"/>
    <s v="Thu"/>
    <n v="21"/>
  </r>
  <r>
    <s v="CMP-01792"/>
    <s v="Q3_Summer_CMP-01792"/>
    <d v="2023-03-11T00:00:00"/>
    <x v="5"/>
    <d v="2023-04-08T00:00:00"/>
    <x v="3"/>
    <n v="74609"/>
    <n v="793"/>
    <n v="53"/>
    <x v="0"/>
    <x v="1300"/>
    <n v="1.0628744521438433E-2"/>
    <n v="0.75464060529634291"/>
    <n v="11.291132075471698"/>
    <n v="2051.5700000000002"/>
    <n v="6.683480453972257E-2"/>
    <x v="1"/>
    <x v="0"/>
    <n v="2023"/>
    <s v="Sat"/>
    <n v="28"/>
  </r>
  <r>
    <s v="CMP-01793"/>
    <s v="Q1_Launch_CMP-01793"/>
    <d v="2023-07-22T00:00:00"/>
    <x v="8"/>
    <d v="2023-08-05T00:00:00"/>
    <x v="3"/>
    <n v="10077"/>
    <n v="131"/>
    <n v="21"/>
    <x v="1"/>
    <x v="0"/>
    <n v="1.2999900764116305E-2"/>
    <n v="2.5124618320610685"/>
    <n v="15.67297619047619"/>
    <n v="720.86750000000006"/>
    <n v="0.16030534351145037"/>
    <x v="3"/>
    <x v="1"/>
    <n v="2023"/>
    <s v="Sat"/>
    <n v="14"/>
  </r>
  <r>
    <s v="CMP-01794"/>
    <s v="Q2_Summer_CMP-01794"/>
    <d v="2023-11-12T00:00:00"/>
    <x v="0"/>
    <d v="2023-11-15T00:00:00"/>
    <x v="1"/>
    <n v="21953"/>
    <n v="1019"/>
    <n v="126"/>
    <x v="0"/>
    <x v="1301"/>
    <n v="4.6417346148590173E-2"/>
    <n v="1.1287046123650639"/>
    <n v="9.1281746031746032"/>
    <n v="5149.8500000000004"/>
    <n v="0.12365063788027478"/>
    <x v="0"/>
    <x v="0"/>
    <n v="2023"/>
    <s v="Sun"/>
    <n v="3"/>
  </r>
  <r>
    <s v="CMP-01795"/>
    <s v="Q4_Winter_CMP-01795"/>
    <d v="2023-05-05T00:00:00"/>
    <x v="1"/>
    <d v="2023-05-25T00:00:00"/>
    <x v="0"/>
    <n v="77919"/>
    <n v="1885"/>
    <n v="316"/>
    <x v="0"/>
    <x v="1302"/>
    <n v="2.4191788908995239E-2"/>
    <n v="0.66994694960212198"/>
    <n v="3.9963607594936708"/>
    <n v="14537.15"/>
    <n v="0.16763925729442972"/>
    <x v="1"/>
    <x v="2"/>
    <n v="2023"/>
    <s v="Fri"/>
    <n v="20"/>
  </r>
  <r>
    <s v="CMP-01796"/>
    <s v="Q2_Summer_CMP-01796"/>
    <d v="2023-08-09T00:00:00"/>
    <x v="7"/>
    <d v="2023-08-19T00:00:00"/>
    <x v="1"/>
    <n v="68889"/>
    <n v="1859"/>
    <n v="255"/>
    <x v="1"/>
    <x v="1303"/>
    <n v="2.6985440346063958E-2"/>
    <n v="0.75786982248520718"/>
    <n v="5.5250196078431379"/>
    <n v="11341.119999999999"/>
    <n v="0.13717052178590641"/>
    <x v="3"/>
    <x v="0"/>
    <n v="2023"/>
    <s v="Wed"/>
    <n v="10"/>
  </r>
  <r>
    <s v="CMP-01797"/>
    <s v="Q4_Launch_CMP-01797"/>
    <d v="2023-02-15T00:00:00"/>
    <x v="6"/>
    <d v="2023-02-27T00:00:00"/>
    <x v="3"/>
    <n v="24821"/>
    <n v="462"/>
    <m/>
    <x v="0"/>
    <x v="1304"/>
    <n v="1.861327102050683E-2"/>
    <n v="1.3209956709956709"/>
    <n v="0"/>
    <n v="-610.29999999999995"/>
    <n v="0"/>
    <x v="2"/>
    <x v="1"/>
    <n v="2023"/>
    <s v="Wed"/>
    <n v="12"/>
  </r>
  <r>
    <s v="CMP-01798"/>
    <s v="Q1_Summer_CMP-01798"/>
    <d v="2023-07-07T00:00:00"/>
    <x v="8"/>
    <d v="2023-08-03T00:00:00"/>
    <x v="1"/>
    <n v="38567"/>
    <n v="1306"/>
    <n v="215"/>
    <x v="0"/>
    <x v="1305"/>
    <n v="3.3863147250239839E-2"/>
    <n v="0.74689892802450231"/>
    <n v="4.5369767441860471"/>
    <n v="9774.5499999999993"/>
    <n v="0.16462480857580397"/>
    <x v="3"/>
    <x v="0"/>
    <n v="2023"/>
    <s v="Fri"/>
    <n v="27"/>
  </r>
  <r>
    <s v="CMP-01799"/>
    <s v="Q2_Summer_CMP-01799"/>
    <d v="2023-11-01T00:00:00"/>
    <x v="0"/>
    <d v="2023-11-18T00:00:00"/>
    <x v="0"/>
    <n v="25860"/>
    <n v="873"/>
    <n v="52"/>
    <x v="0"/>
    <x v="1306"/>
    <n v="3.3758700696055688E-2"/>
    <n v="0.59581901489117983"/>
    <n v="10.002884615384614"/>
    <n v="2079.85"/>
    <n v="5.9564719358533788E-2"/>
    <x v="0"/>
    <x v="0"/>
    <n v="2023"/>
    <s v="Wed"/>
    <n v="17"/>
  </r>
  <r>
    <s v="CMP-01800"/>
    <s v="Q4_Winter_CMP-01800"/>
    <d v="2023-03-28T00:00:00"/>
    <x v="5"/>
    <d v="2023-04-15T00:00:00"/>
    <x v="3"/>
    <n v="22195"/>
    <n v="552"/>
    <m/>
    <x v="0"/>
    <x v="1307"/>
    <n v="2.4870466321243522E-2"/>
    <n v="0.97608695652173905"/>
    <n v="0"/>
    <n v="-538.79999999999995"/>
    <n v="0"/>
    <x v="1"/>
    <x v="2"/>
    <n v="2023"/>
    <s v="Tue"/>
    <n v="18"/>
  </r>
  <r>
    <s v="CMP-01801"/>
    <s v="Q1_Summer_CMP-01801"/>
    <d v="2023-08-15T00:00:00"/>
    <x v="7"/>
    <d v="2023-08-31T00:00:00"/>
    <x v="2"/>
    <n v="78475"/>
    <n v="1830"/>
    <n v="138"/>
    <x v="0"/>
    <x v="1308"/>
    <n v="2.3319528512265052E-2"/>
    <n v="0.83048087431693984"/>
    <n v="11.012898550724637"/>
    <n v="5380.22"/>
    <n v="7.5409836065573776E-2"/>
    <x v="3"/>
    <x v="0"/>
    <n v="2023"/>
    <s v="Tue"/>
    <n v="16"/>
  </r>
  <r>
    <s v="CMP-01802"/>
    <s v="Q2_Launch_CMP-01802"/>
    <d v="2023-04-30T00:00:00"/>
    <x v="4"/>
    <d v="2023-05-30T00:00:00"/>
    <x v="4"/>
    <n v="91874"/>
    <n v="4170"/>
    <n v="679"/>
    <x v="1"/>
    <x v="10"/>
    <n v="4.538824912379999E-2"/>
    <n v="0.87092565947242195"/>
    <n v="5.3486892488954343"/>
    <n v="30318.240000000002"/>
    <n v="0.16282973621103117"/>
    <x v="1"/>
    <x v="1"/>
    <n v="2023"/>
    <s v="Sun"/>
    <n v="30"/>
  </r>
  <r>
    <s v="CMP-01803"/>
    <s v="Q3_Launch_CMP-01803"/>
    <d v="2023-02-13T00:00:00"/>
    <x v="6"/>
    <d v="2023-03-15T00:00:00"/>
    <x v="2"/>
    <n v="88266"/>
    <n v="2235"/>
    <n v="417"/>
    <x v="0"/>
    <x v="1309"/>
    <n v="2.532118822649718E-2"/>
    <n v="0.65355257270693512"/>
    <n v="3.5028537170263792"/>
    <n v="19389.310000000001"/>
    <n v="0.18657718120805369"/>
    <x v="2"/>
    <x v="1"/>
    <n v="2023"/>
    <s v="Mon"/>
    <n v="30"/>
  </r>
  <r>
    <s v="CMP-01804"/>
    <s v="Q2_Launch_CMP-01804"/>
    <d v="2023-11-14T00:00:00"/>
    <x v="0"/>
    <d v="2023-12-12T00:00:00"/>
    <x v="1"/>
    <n v="22427"/>
    <n v="666"/>
    <n v="88"/>
    <x v="0"/>
    <x v="1310"/>
    <n v="2.9696348151781335E-2"/>
    <n v="1.6276576576576576"/>
    <n v="12.318409090909091"/>
    <n v="3315.98"/>
    <n v="0.13213213213213212"/>
    <x v="0"/>
    <x v="1"/>
    <n v="2023"/>
    <s v="Tue"/>
    <n v="28"/>
  </r>
  <r>
    <s v="CMP-01805"/>
    <s v="Q1_Winter_CMP-01805"/>
    <d v="2023-05-28T00:00:00"/>
    <x v="1"/>
    <d v="2023-06-25T00:00:00"/>
    <x v="2"/>
    <n v="28083"/>
    <n v="599"/>
    <n v="77"/>
    <x v="0"/>
    <x v="1311"/>
    <n v="2.1329630025282199E-2"/>
    <n v="1.8593489148580968"/>
    <n v="14.464285714285714"/>
    <n v="2736.25"/>
    <n v="0.1285475792988314"/>
    <x v="1"/>
    <x v="2"/>
    <n v="2023"/>
    <s v="Sun"/>
    <n v="28"/>
  </r>
  <r>
    <s v="CMP-01806"/>
    <s v="Q2_BlackFriday_CMP-01806"/>
    <d v="2023-12-22T00:00:00"/>
    <x v="2"/>
    <d v="2024-01-07T00:00:00"/>
    <x v="1"/>
    <n v="88046"/>
    <n v="3651"/>
    <m/>
    <x v="0"/>
    <x v="10"/>
    <n v="4.1466960452490743E-2"/>
    <n v="0.9947302109011229"/>
    <n v="0"/>
    <n v="-3631.7599999999998"/>
    <n v="0"/>
    <x v="2"/>
    <x v="3"/>
    <n v="2023"/>
    <s v="Fri"/>
    <n v="16"/>
  </r>
  <r>
    <s v="CMP-01807"/>
    <s v="Q1_Summer_CMP-01807"/>
    <d v="2023-08-30T00:00:00"/>
    <x v="7"/>
    <d v="2023-09-02T00:00:00"/>
    <x v="1"/>
    <n v="58372"/>
    <n v="1511"/>
    <n v="76"/>
    <x v="0"/>
    <x v="1312"/>
    <n v="2.5885698622627289E-2"/>
    <n v="1.2992389146260754"/>
    <n v="25.830921052631581"/>
    <n v="1836.85"/>
    <n v="5.0297816015883519E-2"/>
    <x v="3"/>
    <x v="0"/>
    <n v="2023"/>
    <s v="Wed"/>
    <n v="3"/>
  </r>
  <r>
    <s v="CMP-01808"/>
    <s v="Q2_BlackFriday_CMP-01808"/>
    <d v="2023-04-18T00:00:00"/>
    <x v="4"/>
    <d v="2023-04-30T00:00:00"/>
    <x v="4"/>
    <n v="45064"/>
    <n v="1376"/>
    <n v="258"/>
    <x v="1"/>
    <x v="1313"/>
    <n v="3.0534351145038167E-2"/>
    <n v="1.7910029069767441"/>
    <n v="9.5520155038759693"/>
    <n v="10435.58"/>
    <n v="0.1875"/>
    <x v="1"/>
    <x v="3"/>
    <n v="2023"/>
    <s v="Tue"/>
    <n v="12"/>
  </r>
  <r>
    <s v="CMP-01809"/>
    <s v="Q3_Winter_CMP-01809"/>
    <d v="2023-10-07T00:00:00"/>
    <x v="3"/>
    <d v="2023-10-18T00:00:00"/>
    <x v="1"/>
    <n v="8813"/>
    <n v="177"/>
    <n v="14"/>
    <x v="0"/>
    <x v="0"/>
    <n v="2.0083966867128107E-2"/>
    <n v="1.859505649717514"/>
    <n v="23.509464285714284"/>
    <n v="370.86750000000001"/>
    <n v="7.909604519774012E-2"/>
    <x v="0"/>
    <x v="2"/>
    <n v="2023"/>
    <s v="Sat"/>
    <n v="11"/>
  </r>
  <r>
    <s v="CMP-01810"/>
    <s v="Q3_Launch_CMP-01810"/>
    <d v="2023-09-05T00:00:00"/>
    <x v="10"/>
    <d v="2023-09-12T00:00:00"/>
    <x v="3"/>
    <n v="32598"/>
    <n v="1613"/>
    <n v="318"/>
    <x v="0"/>
    <x v="1314"/>
    <n v="4.9481563286091171E-2"/>
    <n v="0.51582765034097955"/>
    <n v="2.6164465408805029"/>
    <n v="15067.97"/>
    <n v="0.19714817110973343"/>
    <x v="0"/>
    <x v="1"/>
    <n v="2023"/>
    <s v="Tue"/>
    <n v="7"/>
  </r>
  <r>
    <s v="CMP-01811"/>
    <s v="Q2_Summer_CMP-01811"/>
    <d v="2023-12-22T00:00:00"/>
    <x v="2"/>
    <d v="2024-01-01T00:00:00"/>
    <x v="1"/>
    <n v="94106"/>
    <n v="2038"/>
    <n v="326"/>
    <x v="0"/>
    <x v="1315"/>
    <n v="2.1656429983210421E-2"/>
    <n v="1.0911334641805692"/>
    <n v="6.8212576687116568"/>
    <n v="14076.27"/>
    <n v="0.15996074582924436"/>
    <x v="2"/>
    <x v="0"/>
    <n v="2023"/>
    <s v="Fri"/>
    <n v="10"/>
  </r>
  <r>
    <s v="CMP-01812"/>
    <s v="Q4_Launch_CMP-01812"/>
    <d v="2023-10-26T00:00:00"/>
    <x v="3"/>
    <d v="2023-11-25T00:00:00"/>
    <x v="0"/>
    <n v="28082"/>
    <n v="1146"/>
    <n v="190"/>
    <x v="1"/>
    <x v="1316"/>
    <n v="4.0809059183818816E-2"/>
    <n v="1.7764310645724257"/>
    <n v="10.714684210526316"/>
    <n v="7464.21"/>
    <n v="0.16579406631762653"/>
    <x v="0"/>
    <x v="1"/>
    <n v="2023"/>
    <s v="Thu"/>
    <n v="30"/>
  </r>
  <r>
    <s v="CMP-01813"/>
    <s v="Q2_BlackFriday_CMP-01813"/>
    <d v="2023-05-11T00:00:00"/>
    <x v="1"/>
    <d v="2023-05-28T00:00:00"/>
    <x v="2"/>
    <n v="30241"/>
    <n v="819"/>
    <n v="121"/>
    <x v="0"/>
    <x v="1317"/>
    <n v="2.7082437750074403E-2"/>
    <n v="1.0187912087912088"/>
    <n v="6.8957851239669417"/>
    <n v="5215.6099999999997"/>
    <n v="0.14774114774114774"/>
    <x v="1"/>
    <x v="3"/>
    <n v="2023"/>
    <s v="Thu"/>
    <n v="17"/>
  </r>
  <r>
    <s v="CMP-01814"/>
    <s v="Q1_Winter_CMP-01814"/>
    <d v="2023-12-23T00:00:00"/>
    <x v="2"/>
    <d v="2023-12-29T00:00:00"/>
    <x v="3"/>
    <n v="97214"/>
    <n v="1774"/>
    <n v="214"/>
    <x v="1"/>
    <x v="1318"/>
    <n v="1.8248400436151172E-2"/>
    <n v="0.55282412626832023"/>
    <n v="4.5827570093457943"/>
    <n v="9719.2900000000009"/>
    <n v="0.12063134160090191"/>
    <x v="2"/>
    <x v="2"/>
    <n v="2023"/>
    <s v="Sat"/>
    <n v="6"/>
  </r>
  <r>
    <s v="CMP-01815"/>
    <s v="Q2_Winter_CMP-01815"/>
    <d v="2023-12-02T00:00:00"/>
    <x v="2"/>
    <d v="2024-01-01T00:00:00"/>
    <x v="0"/>
    <n v="45569"/>
    <n v="1913"/>
    <n v="259"/>
    <x v="0"/>
    <x v="1319"/>
    <n v="4.1980293620663169E-2"/>
    <n v="1.6192681651855723"/>
    <n v="11.960077220077219"/>
    <n v="9852.34"/>
    <n v="0.1353894406691061"/>
    <x v="2"/>
    <x v="2"/>
    <n v="2023"/>
    <s v="Sat"/>
    <n v="30"/>
  </r>
  <r>
    <s v="CMP-01816"/>
    <s v="Q3_Launch_CMP-01816"/>
    <d v="2023-12-05T00:00:00"/>
    <x v="2"/>
    <d v="2023-12-09T00:00:00"/>
    <x v="4"/>
    <n v="12745"/>
    <n v="297"/>
    <n v="16"/>
    <x v="0"/>
    <x v="1320"/>
    <n v="2.3303256178893682E-2"/>
    <n v="1.7030639730639732"/>
    <n v="31.613125"/>
    <n v="294.19"/>
    <n v="5.387205387205387E-2"/>
    <x v="2"/>
    <x v="1"/>
    <n v="2023"/>
    <s v="Tue"/>
    <n v="4"/>
  </r>
  <r>
    <s v="CMP-01817"/>
    <s v="Q1_Launch_CMP-01817"/>
    <d v="2023-12-04T00:00:00"/>
    <x v="2"/>
    <d v="2023-12-09T00:00:00"/>
    <x v="0"/>
    <n v="27029"/>
    <n v="1205"/>
    <n v="173"/>
    <x v="0"/>
    <x v="1321"/>
    <n v="4.4581745532576121E-2"/>
    <n v="0.74088796680497926"/>
    <n v="5.1605202312138729"/>
    <n v="7757.23"/>
    <n v="0.14356846473029045"/>
    <x v="2"/>
    <x v="1"/>
    <n v="2023"/>
    <s v="Mon"/>
    <n v="5"/>
  </r>
  <r>
    <s v="CMP-01818"/>
    <s v="Q1_Winter_CMP-01818"/>
    <d v="2023-05-30T00:00:00"/>
    <x v="1"/>
    <d v="2023-06-23T00:00:00"/>
    <x v="4"/>
    <n v="14025"/>
    <n v="653"/>
    <n v="93"/>
    <x v="1"/>
    <x v="1322"/>
    <n v="4.6559714795008915E-2"/>
    <n v="1.3060183767228177"/>
    <n v="9.1702150537634406"/>
    <n v="3797.17"/>
    <n v="0.14241960183767227"/>
    <x v="1"/>
    <x v="2"/>
    <n v="2023"/>
    <s v="Tue"/>
    <n v="24"/>
  </r>
  <r>
    <s v="CMP-01819"/>
    <s v="Q3_Winter_CMP-01819"/>
    <d v="2023-04-29T00:00:00"/>
    <x v="4"/>
    <d v="2023-05-22T00:00:00"/>
    <x v="3"/>
    <n v="15288"/>
    <n v="678"/>
    <n v="124"/>
    <x v="1"/>
    <x v="1323"/>
    <n v="4.4348508634222919E-2"/>
    <n v="0.78793510324483784"/>
    <n v="4.3082258064516132"/>
    <n v="5665.78"/>
    <n v="0.18289085545722714"/>
    <x v="1"/>
    <x v="2"/>
    <n v="2023"/>
    <s v="Sat"/>
    <n v="23"/>
  </r>
  <r>
    <s v="CMP-01820"/>
    <s v="Q2_BlackFriday_CMP-01820"/>
    <d v="2023-12-30T00:00:00"/>
    <x v="2"/>
    <d v="2024-01-17T00:00:00"/>
    <x v="4"/>
    <n v="90186"/>
    <n v="1028"/>
    <n v="129"/>
    <x v="1"/>
    <x v="1324"/>
    <n v="1.139866498126095E-2"/>
    <n v="1.578852140077821"/>
    <n v="12.581860465116279"/>
    <n v="4826.9400000000005"/>
    <n v="0.1254863813229572"/>
    <x v="2"/>
    <x v="3"/>
    <n v="2023"/>
    <s v="Sat"/>
    <n v="18"/>
  </r>
  <r>
    <s v="CMP-01821"/>
    <s v="Q1_Summer_CMP-01821"/>
    <d v="2023-06-11T00:00:00"/>
    <x v="9"/>
    <d v="2023-06-20T00:00:00"/>
    <x v="0"/>
    <n v="7540"/>
    <n v="312"/>
    <m/>
    <x v="0"/>
    <x v="0"/>
    <n v="4.1379310344827586E-2"/>
    <n v="1.0549118589743589"/>
    <n v="0"/>
    <n v="-329.13249999999999"/>
    <n v="0"/>
    <x v="3"/>
    <x v="0"/>
    <n v="2023"/>
    <s v="Sun"/>
    <n v="9"/>
  </r>
  <r>
    <s v="CMP-01822"/>
    <s v="Q1_Launch_CMP-01822"/>
    <d v="2023-02-15T00:00:00"/>
    <x v="6"/>
    <d v="2023-02-17T00:00:00"/>
    <x v="0"/>
    <n v="98768"/>
    <n v="2612"/>
    <n v="250"/>
    <x v="0"/>
    <x v="1325"/>
    <n v="2.6445812408877369E-2"/>
    <n v="0.97432235834609493"/>
    <n v="10.17972"/>
    <n v="9955.07"/>
    <n v="9.5712098009188368E-2"/>
    <x v="2"/>
    <x v="1"/>
    <n v="2023"/>
    <s v="Wed"/>
    <n v="2"/>
  </r>
  <r>
    <s v="CMP-01823"/>
    <s v="Q1_Winter_CMP-01823"/>
    <d v="2023-08-23T00:00:00"/>
    <x v="7"/>
    <d v="2023-08-24T00:00:00"/>
    <x v="4"/>
    <n v="82958"/>
    <n v="3728"/>
    <n v="553"/>
    <x v="0"/>
    <x v="10"/>
    <n v="4.4938402565153454E-2"/>
    <n v="0.97418454935622312"/>
    <n v="6.5673779385171782"/>
    <n v="24018.240000000002"/>
    <n v="0.14833690987124465"/>
    <x v="3"/>
    <x v="2"/>
    <n v="2023"/>
    <s v="Wed"/>
    <n v="1"/>
  </r>
  <r>
    <s v="CMP-01824"/>
    <s v="Q3_BlackFriday_CMP-01824"/>
    <d v="2023-01-21T00:00:00"/>
    <x v="11"/>
    <d v="2023-02-07T00:00:00"/>
    <x v="1"/>
    <n v="69878"/>
    <n v="2481"/>
    <n v="213"/>
    <x v="0"/>
    <x v="1326"/>
    <n v="3.5504736827041417E-2"/>
    <n v="1.2144820636839984"/>
    <n v="14.146150234741784"/>
    <n v="7636.87"/>
    <n v="8.5852478839177751E-2"/>
    <x v="2"/>
    <x v="3"/>
    <n v="2023"/>
    <s v="Sat"/>
    <n v="17"/>
  </r>
  <r>
    <s v="CMP-01825"/>
    <s v="Q1_Winter_CMP-01825"/>
    <d v="2023-06-20T00:00:00"/>
    <x v="9"/>
    <d v="2023-06-27T00:00:00"/>
    <x v="3"/>
    <n v="42846"/>
    <n v="1857"/>
    <n v="170"/>
    <x v="1"/>
    <x v="1327"/>
    <n v="4.3341268729869764E-2"/>
    <n v="1.5046311254711899"/>
    <n v="16.435882352941174"/>
    <n v="5705.9"/>
    <n v="9.1545503500269257E-2"/>
    <x v="3"/>
    <x v="2"/>
    <n v="2023"/>
    <s v="Tue"/>
    <n v="7"/>
  </r>
  <r>
    <s v="CMP-01826"/>
    <s v="Q1_Winter_CMP-01826"/>
    <d v="2023-01-10T00:00:00"/>
    <x v="11"/>
    <d v="2023-01-31T00:00:00"/>
    <x v="4"/>
    <n v="76932"/>
    <n v="2306"/>
    <n v="399"/>
    <x v="1"/>
    <x v="1328"/>
    <n v="2.9974522955337181E-2"/>
    <n v="1.1035602775368603"/>
    <n v="6.3779699248120298"/>
    <n v="17405.189999999999"/>
    <n v="0.17302688638334779"/>
    <x v="2"/>
    <x v="2"/>
    <n v="2023"/>
    <s v="Tue"/>
    <n v="21"/>
  </r>
  <r>
    <s v="CMP-01827"/>
    <s v="Q1_Launch_CMP-01827"/>
    <d v="2023-11-17T00:00:00"/>
    <x v="0"/>
    <d v="2023-12-04T00:00:00"/>
    <x v="0"/>
    <n v="18482"/>
    <n v="580"/>
    <n v="79"/>
    <x v="0"/>
    <x v="1329"/>
    <n v="3.1381885077372579E-2"/>
    <n v="0.94701724137931031"/>
    <n v="6.9527848101265821"/>
    <n v="3400.73"/>
    <n v="0.13620689655172413"/>
    <x v="0"/>
    <x v="1"/>
    <n v="2023"/>
    <s v="Fri"/>
    <n v="17"/>
  </r>
  <r>
    <s v="CMP-01828"/>
    <s v="Q1_Summer_CMP-01828"/>
    <d v="2023-09-14T00:00:00"/>
    <x v="10"/>
    <d v="2023-09-26T00:00:00"/>
    <x v="4"/>
    <n v="24411"/>
    <n v="385"/>
    <n v="48"/>
    <x v="1"/>
    <x v="1330"/>
    <n v="1.5771578386792839E-2"/>
    <n v="1.4382077922077923"/>
    <n v="11.535625000000001"/>
    <n v="1846.29"/>
    <n v="0.12467532467532468"/>
    <x v="0"/>
    <x v="0"/>
    <n v="2023"/>
    <s v="Thu"/>
    <n v="12"/>
  </r>
  <r>
    <s v="CMP-01829"/>
    <s v="Q4_Summer_CMP-01829"/>
    <d v="2023-05-12T00:00:00"/>
    <x v="1"/>
    <d v="2023-05-13T00:00:00"/>
    <x v="3"/>
    <n v="51975"/>
    <n v="2149"/>
    <n v="210"/>
    <x v="1"/>
    <x v="1331"/>
    <n v="4.1346801346801347E-2"/>
    <n v="0.73228478362028848"/>
    <n v="7.4937142857142858"/>
    <n v="8926.32"/>
    <n v="9.7719869706840393E-2"/>
    <x v="1"/>
    <x v="0"/>
    <n v="2023"/>
    <s v="Fri"/>
    <n v="1"/>
  </r>
  <r>
    <s v="CMP-01830"/>
    <s v="Q2_Summer_CMP-01830"/>
    <d v="2023-01-16T00:00:00"/>
    <x v="11"/>
    <d v="2023-01-31T00:00:00"/>
    <x v="0"/>
    <n v="61545"/>
    <n v="1647"/>
    <n v="262"/>
    <x v="0"/>
    <x v="1332"/>
    <n v="2.6760906653668048E-2"/>
    <n v="1.0595021250758956"/>
    <n v="6.6603053435114505"/>
    <n v="11355"/>
    <n v="0.15907710989678203"/>
    <x v="2"/>
    <x v="0"/>
    <n v="2023"/>
    <s v="Mon"/>
    <n v="15"/>
  </r>
  <r>
    <s v="CMP-01831"/>
    <s v="Q1_Summer_CMP-01831"/>
    <d v="2023-04-26T00:00:00"/>
    <x v="4"/>
    <d v="2023-05-09T00:00:00"/>
    <x v="4"/>
    <n v="79797"/>
    <n v="2394"/>
    <m/>
    <x v="1"/>
    <x v="1333"/>
    <n v="3.0001127861949698E-2"/>
    <n v="0.81355472013366759"/>
    <n v="0"/>
    <n v="-1947.65"/>
    <n v="0"/>
    <x v="1"/>
    <x v="0"/>
    <n v="2023"/>
    <s v="Wed"/>
    <n v="13"/>
  </r>
  <r>
    <s v="CMP-01832"/>
    <s v="Q4_Launch_CMP-01832"/>
    <d v="2023-12-03T00:00:00"/>
    <x v="2"/>
    <d v="2023-12-14T00:00:00"/>
    <x v="0"/>
    <n v="53307"/>
    <n v="2207"/>
    <n v="354"/>
    <x v="1"/>
    <x v="1334"/>
    <n v="4.14016920854672E-2"/>
    <n v="1.5436927956502038"/>
    <n v="9.6240960451977404"/>
    <n v="14293.07"/>
    <n v="0.16039873130946986"/>
    <x v="2"/>
    <x v="1"/>
    <n v="2023"/>
    <s v="Sun"/>
    <n v="11"/>
  </r>
  <r>
    <s v="CMP-01833"/>
    <s v="Q3_Launch_CMP-01833"/>
    <d v="2023-09-24T00:00:00"/>
    <x v="10"/>
    <d v="2023-10-20T00:00:00"/>
    <x v="3"/>
    <n v="4093"/>
    <n v="138"/>
    <n v="8"/>
    <x v="1"/>
    <x v="0"/>
    <n v="3.3716100659662837E-2"/>
    <n v="2.3850181159420289"/>
    <n v="41.141562499999999"/>
    <n v="70.867500000000007"/>
    <n v="5.7971014492753624E-2"/>
    <x v="0"/>
    <x v="1"/>
    <n v="2023"/>
    <s v="Sun"/>
    <n v="26"/>
  </r>
  <r>
    <s v="CMP-01834"/>
    <s v="Q4_Winter_CMP-01834"/>
    <d v="2023-11-17T00:00:00"/>
    <x v="0"/>
    <d v="2023-12-07T00:00:00"/>
    <x v="0"/>
    <n v="78258"/>
    <n v="1412"/>
    <n v="253"/>
    <x v="1"/>
    <x v="1335"/>
    <n v="1.8042883794628026E-2"/>
    <n v="1.9932648725212463"/>
    <n v="11.124466403162055"/>
    <n v="9835.51"/>
    <n v="0.17917847025495751"/>
    <x v="0"/>
    <x v="2"/>
    <n v="2023"/>
    <s v="Fri"/>
    <n v="20"/>
  </r>
  <r>
    <s v="CMP-01835"/>
    <s v="Q4_BlackFriday_CMP-01835"/>
    <d v="2023-10-21T00:00:00"/>
    <x v="3"/>
    <d v="2023-11-05T00:00:00"/>
    <x v="0"/>
    <n v="23042"/>
    <n v="774"/>
    <m/>
    <x v="0"/>
    <x v="1336"/>
    <n v="3.359083412898186E-2"/>
    <n v="1.1754134366925064"/>
    <n v="0"/>
    <n v="-909.77"/>
    <n v="0"/>
    <x v="0"/>
    <x v="3"/>
    <n v="2023"/>
    <s v="Sat"/>
    <n v="15"/>
  </r>
  <r>
    <s v="CMP-01836"/>
    <s v="Q3_Launch_CMP-01836"/>
    <d v="2023-11-06T00:00:00"/>
    <x v="0"/>
    <d v="2023-11-18T00:00:00"/>
    <x v="1"/>
    <n v="53930"/>
    <n v="1418"/>
    <n v="164"/>
    <x v="0"/>
    <x v="1337"/>
    <n v="2.6293343222696088E-2"/>
    <n v="0.87879407616361083"/>
    <n v="7.5983536585365856"/>
    <n v="6953.87"/>
    <n v="0.1156558533145275"/>
    <x v="0"/>
    <x v="1"/>
    <n v="2023"/>
    <s v="Mon"/>
    <n v="12"/>
  </r>
  <r>
    <s v="CMP-01837"/>
    <s v="Q4_Winter_CMP-01837"/>
    <d v="2023-04-16T00:00:00"/>
    <x v="4"/>
    <d v="2023-05-06T00:00:00"/>
    <x v="3"/>
    <n v="45413"/>
    <n v="1307"/>
    <n v="185"/>
    <x v="0"/>
    <x v="1338"/>
    <n v="2.8780305198951844E-2"/>
    <n v="1.16424636572303"/>
    <n v="8.2252432432432432"/>
    <n v="7728.33"/>
    <n v="0.14154552410099464"/>
    <x v="1"/>
    <x v="2"/>
    <n v="2023"/>
    <s v="Sun"/>
    <n v="20"/>
  </r>
  <r>
    <s v="CMP-01838"/>
    <s v="Q4_BlackFriday_CMP-01838"/>
    <d v="2023-12-17T00:00:00"/>
    <x v="2"/>
    <d v="2023-12-28T00:00:00"/>
    <x v="2"/>
    <n v="94623"/>
    <n v="1053"/>
    <n v="151"/>
    <x v="1"/>
    <x v="1339"/>
    <n v="1.1128372594400939E-2"/>
    <n v="1.7709021842355175"/>
    <n v="12.349403973509935"/>
    <n v="5685.24"/>
    <n v="0.14339981006647673"/>
    <x v="2"/>
    <x v="3"/>
    <n v="2023"/>
    <s v="Sun"/>
    <n v="11"/>
  </r>
  <r>
    <s v="CMP-01839"/>
    <s v="Q2_Winter_CMP-01839"/>
    <d v="2023-06-08T00:00:00"/>
    <x v="9"/>
    <d v="2023-06-18T00:00:00"/>
    <x v="3"/>
    <n v="98883"/>
    <n v="1819"/>
    <n v="126"/>
    <x v="0"/>
    <x v="1340"/>
    <n v="1.8395477483490588E-2"/>
    <n v="0.80901044529961508"/>
    <n v="11.679285714285713"/>
    <n v="4828.41"/>
    <n v="6.9268829026937873E-2"/>
    <x v="3"/>
    <x v="2"/>
    <n v="2023"/>
    <s v="Thu"/>
    <n v="10"/>
  </r>
  <r>
    <s v="CMP-01840"/>
    <s v="Q3_Winter_CMP-01840"/>
    <d v="2023-03-11T00:00:00"/>
    <x v="5"/>
    <d v="2023-03-23T00:00:00"/>
    <x v="4"/>
    <n v="34756"/>
    <n v="738"/>
    <n v="120"/>
    <x v="1"/>
    <x v="1341"/>
    <n v="2.1233743814017724E-2"/>
    <n v="1.9281436314363145"/>
    <n v="11.858083333333333"/>
    <n v="4577.03"/>
    <n v="0.16260162601626016"/>
    <x v="1"/>
    <x v="2"/>
    <n v="2023"/>
    <s v="Sat"/>
    <n v="12"/>
  </r>
  <r>
    <s v="CMP-01841"/>
    <s v="Q4_BlackFriday_CMP-01841"/>
    <d v="2023-03-16T00:00:00"/>
    <x v="5"/>
    <d v="2023-03-18T00:00:00"/>
    <x v="4"/>
    <n v="54268"/>
    <n v="2090"/>
    <n v="191"/>
    <x v="0"/>
    <x v="1342"/>
    <n v="3.8512567258789709E-2"/>
    <n v="1.0127990430622009"/>
    <n v="11.082460732984293"/>
    <n v="7433.25"/>
    <n v="9.1387559808612434E-2"/>
    <x v="1"/>
    <x v="3"/>
    <n v="2023"/>
    <s v="Thu"/>
    <n v="2"/>
  </r>
  <r>
    <s v="CMP-01842"/>
    <s v="Q2_BlackFriday_CMP-01842"/>
    <d v="2023-03-22T00:00:00"/>
    <x v="5"/>
    <d v="2023-04-17T00:00:00"/>
    <x v="0"/>
    <n v="40214"/>
    <n v="420"/>
    <n v="78"/>
    <x v="0"/>
    <x v="1343"/>
    <n v="1.0444123936937385E-2"/>
    <n v="1.9787142857142856"/>
    <n v="10.654615384615385"/>
    <n v="3068.94"/>
    <n v="0.18571428571428572"/>
    <x v="1"/>
    <x v="3"/>
    <n v="2023"/>
    <s v="Wed"/>
    <n v="26"/>
  </r>
  <r>
    <s v="CMP-01843"/>
    <s v="Q1_Launch_CMP-01843"/>
    <d v="2023-03-02T00:00:00"/>
    <x v="5"/>
    <d v="2023-03-19T00:00:00"/>
    <x v="4"/>
    <n v="82871"/>
    <n v="2183"/>
    <n v="376"/>
    <x v="0"/>
    <x v="10"/>
    <n v="2.6342146227268888E-2"/>
    <n v="1.6636555199267062"/>
    <n v="9.6589361702127654"/>
    <n v="15168.24"/>
    <n v="0.17224003664681631"/>
    <x v="1"/>
    <x v="1"/>
    <n v="2023"/>
    <s v="Thu"/>
    <n v="17"/>
  </r>
  <r>
    <s v="CMP-01844"/>
    <s v="Q3_Winter_CMP-01844"/>
    <d v="2023-03-16T00:00:00"/>
    <x v="5"/>
    <d v="2023-04-04T00:00:00"/>
    <x v="0"/>
    <n v="29602"/>
    <n v="1390"/>
    <n v="141"/>
    <x v="1"/>
    <x v="1344"/>
    <n v="4.6956286737382606E-2"/>
    <n v="1.7128561151079136"/>
    <n v="16.885602836879432"/>
    <n v="4669.13"/>
    <n v="0.10143884892086331"/>
    <x v="1"/>
    <x v="2"/>
    <n v="2023"/>
    <s v="Thu"/>
    <n v="19"/>
  </r>
  <r>
    <s v="CMP-01845"/>
    <s v="Q1_Launch_CMP-01845"/>
    <d v="2023-07-31T00:00:00"/>
    <x v="8"/>
    <d v="2023-08-04T00:00:00"/>
    <x v="3"/>
    <n v="54331"/>
    <n v="786"/>
    <n v="134"/>
    <x v="0"/>
    <x v="1345"/>
    <n v="1.4466878945721596E-2"/>
    <n v="0.97685750636132307"/>
    <n v="5.7299253731343276"/>
    <n v="5932.1900000000005"/>
    <n v="0.17048346055979643"/>
    <x v="3"/>
    <x v="1"/>
    <n v="2023"/>
    <s v="Mon"/>
    <n v="4"/>
  </r>
  <r>
    <s v="CMP-01846"/>
    <s v="Q4_Winter_CMP-01846"/>
    <d v="2023-11-23T00:00:00"/>
    <x v="0"/>
    <d v="2023-12-22T00:00:00"/>
    <x v="3"/>
    <n v="49901"/>
    <n v="1529"/>
    <n v="158"/>
    <x v="0"/>
    <x v="1346"/>
    <n v="3.0640668523676879E-2"/>
    <n v="0.51316546762589932"/>
    <n v="4.9660126582278483"/>
    <n v="7115.37"/>
    <n v="0.10333551340745585"/>
    <x v="0"/>
    <x v="2"/>
    <n v="2023"/>
    <s v="Thu"/>
    <n v="29"/>
  </r>
  <r>
    <s v="CMP-01847"/>
    <s v="Q4_Winter_CMP-01847"/>
    <d v="2023-04-07T00:00:00"/>
    <x v="4"/>
    <d v="2023-04-22T00:00:00"/>
    <x v="1"/>
    <n v="64416"/>
    <n v="2670"/>
    <n v="173"/>
    <x v="1"/>
    <x v="1347"/>
    <n v="4.1449329359165427E-2"/>
    <n v="1.0731985018726593"/>
    <n v="16.563236994219654"/>
    <n v="5784.5599999999995"/>
    <n v="6.4794007490636699E-2"/>
    <x v="1"/>
    <x v="2"/>
    <n v="2023"/>
    <s v="Fri"/>
    <n v="15"/>
  </r>
  <r>
    <s v="CMP-01848"/>
    <s v="Q3_Winter_CMP-01848"/>
    <d v="2023-11-10T00:00:00"/>
    <x v="0"/>
    <d v="2023-12-05T00:00:00"/>
    <x v="3"/>
    <n v="33196"/>
    <n v="1583"/>
    <m/>
    <x v="1"/>
    <x v="1348"/>
    <n v="4.7686468249186646E-2"/>
    <n v="0.95271636133922932"/>
    <n v="0"/>
    <n v="-1508.15"/>
    <n v="0"/>
    <x v="0"/>
    <x v="2"/>
    <n v="2023"/>
    <s v="Fri"/>
    <n v="25"/>
  </r>
  <r>
    <s v="CMP-01849"/>
    <s v="Q4_Launch_CMP-01849"/>
    <d v="2023-11-10T00:00:00"/>
    <x v="0"/>
    <d v="2023-11-26T00:00:00"/>
    <x v="0"/>
    <n v="6626"/>
    <n v="264"/>
    <n v="39"/>
    <x v="0"/>
    <x v="0"/>
    <n v="3.9843042559613642E-2"/>
    <n v="1.246714015151515"/>
    <n v="8.4392948717948713"/>
    <n v="1620.8675000000001"/>
    <n v="0.14772727272727273"/>
    <x v="0"/>
    <x v="1"/>
    <n v="2023"/>
    <s v="Fri"/>
    <n v="16"/>
  </r>
  <r>
    <s v="CMP-01850"/>
    <s v="Q4_Launch_CMP-01850"/>
    <d v="2023-12-18T00:00:00"/>
    <x v="2"/>
    <d v="2024-01-01T00:00:00"/>
    <x v="1"/>
    <n v="8424"/>
    <n v="327"/>
    <n v="38"/>
    <x v="1"/>
    <x v="1349"/>
    <n v="3.8817663817663821E-2"/>
    <n v="1.2580428134556574"/>
    <n v="10.82578947368421"/>
    <n v="1488.62"/>
    <n v="0.11620795107033639"/>
    <x v="2"/>
    <x v="1"/>
    <n v="2023"/>
    <s v="Mon"/>
    <n v="14"/>
  </r>
  <r>
    <s v="CMP-01851"/>
    <s v="Q4_Launch_CMP-01851"/>
    <d v="2023-02-10T00:00:00"/>
    <x v="6"/>
    <d v="2023-03-07T00:00:00"/>
    <x v="2"/>
    <n v="13857"/>
    <n v="596"/>
    <m/>
    <x v="0"/>
    <x v="1350"/>
    <n v="4.3010752688172046E-2"/>
    <n v="1.1045469798657717"/>
    <n v="0"/>
    <n v="-658.31"/>
    <n v="0"/>
    <x v="2"/>
    <x v="1"/>
    <n v="2023"/>
    <s v="Fri"/>
    <n v="25"/>
  </r>
  <r>
    <s v="CMP-01852"/>
    <s v="Q4_Launch_CMP-01852"/>
    <d v="2023-09-15T00:00:00"/>
    <x v="10"/>
    <d v="2023-10-02T00:00:00"/>
    <x v="3"/>
    <n v="20982"/>
    <n v="584"/>
    <n v="57"/>
    <x v="0"/>
    <x v="1351"/>
    <n v="2.7833380993232293E-2"/>
    <n v="1.4518321917808219"/>
    <n v="14.874912280701755"/>
    <n v="2002.13"/>
    <n v="9.7602739726027399E-2"/>
    <x v="0"/>
    <x v="1"/>
    <n v="2023"/>
    <s v="Fri"/>
    <n v="17"/>
  </r>
  <r>
    <s v="CMP-01853"/>
    <s v="Q3_BlackFriday_CMP-01853"/>
    <d v="2023-11-29T00:00:00"/>
    <x v="0"/>
    <d v="2023-12-01T00:00:00"/>
    <x v="2"/>
    <n v="77961"/>
    <n v="3292"/>
    <n v="649"/>
    <x v="0"/>
    <x v="10"/>
    <n v="4.22262413257911E-2"/>
    <n v="1.1032077764277035"/>
    <n v="5.5959322033898298"/>
    <n v="28818.240000000002"/>
    <n v="0.19714459295261239"/>
    <x v="0"/>
    <x v="3"/>
    <n v="2023"/>
    <s v="Wed"/>
    <n v="2"/>
  </r>
  <r>
    <s v="CMP-01854"/>
    <s v="Q3_Launch_CMP-01854"/>
    <d v="2023-09-09T00:00:00"/>
    <x v="10"/>
    <d v="2023-10-01T00:00:00"/>
    <x v="2"/>
    <n v="2980"/>
    <n v="30"/>
    <m/>
    <x v="0"/>
    <x v="0"/>
    <n v="1.0067114093959731E-2"/>
    <n v="10.971083333333333"/>
    <n v="0"/>
    <n v="-329.13249999999999"/>
    <n v="0"/>
    <x v="0"/>
    <x v="1"/>
    <n v="2023"/>
    <s v="Sat"/>
    <n v="22"/>
  </r>
  <r>
    <s v="CMP-01855"/>
    <s v="Q2_Winter_CMP-01855"/>
    <d v="2023-04-26T00:00:00"/>
    <x v="4"/>
    <d v="2023-05-21T00:00:00"/>
    <x v="3"/>
    <n v="49290"/>
    <n v="2315"/>
    <n v="225"/>
    <x v="0"/>
    <x v="10"/>
    <n v="4.6966930411848247E-2"/>
    <n v="1.5687948164146868"/>
    <n v="16.141155555555553"/>
    <n v="7618.24"/>
    <n v="9.719222462203024E-2"/>
    <x v="1"/>
    <x v="2"/>
    <n v="2023"/>
    <s v="Wed"/>
    <n v="25"/>
  </r>
  <r>
    <s v="CMP-01856"/>
    <s v="Q2_Winter_CMP-01856"/>
    <d v="2023-01-08T00:00:00"/>
    <x v="11"/>
    <d v="2023-01-26T00:00:00"/>
    <x v="4"/>
    <n v="27431"/>
    <n v="760"/>
    <n v="93"/>
    <x v="0"/>
    <x v="1352"/>
    <n v="2.7705880208523204E-2"/>
    <n v="0.78039473684210525"/>
    <n v="6.3774193548387101"/>
    <n v="4056.9"/>
    <n v="0.12236842105263158"/>
    <x v="2"/>
    <x v="2"/>
    <n v="2023"/>
    <s v="Sun"/>
    <n v="18"/>
  </r>
  <r>
    <s v="CMP-01857"/>
    <s v="Q2_Winter_CMP-01857"/>
    <d v="2023-04-24T00:00:00"/>
    <x v="4"/>
    <d v="2023-05-18T00:00:00"/>
    <x v="3"/>
    <n v="85976"/>
    <n v="2762"/>
    <n v="336"/>
    <x v="1"/>
    <x v="1353"/>
    <n v="3.2125244254210476E-2"/>
    <n v="1.1679109341057206"/>
    <n v="9.6005059523809528"/>
    <n v="13574.23"/>
    <n v="0.12165097755249819"/>
    <x v="1"/>
    <x v="2"/>
    <n v="2023"/>
    <s v="Mon"/>
    <n v="24"/>
  </r>
  <r>
    <s v="CMP-01858"/>
    <s v="Q3_Launch_CMP-01858"/>
    <d v="2023-04-15T00:00:00"/>
    <x v="4"/>
    <d v="2023-05-09T00:00:00"/>
    <x v="2"/>
    <n v="83711"/>
    <n v="1690"/>
    <n v="203"/>
    <x v="1"/>
    <x v="1354"/>
    <n v="2.0188505692202936E-2"/>
    <n v="1.2321775147928995"/>
    <n v="10.258029556650246"/>
    <n v="8067.62"/>
    <n v="0.12011834319526628"/>
    <x v="1"/>
    <x v="1"/>
    <n v="2023"/>
    <s v="Sat"/>
    <n v="24"/>
  </r>
  <r>
    <s v="CMP-01859"/>
    <s v="Q4_BlackFriday_CMP-01859"/>
    <d v="2023-08-13T00:00:00"/>
    <x v="7"/>
    <d v="2023-09-01T00:00:00"/>
    <x v="1"/>
    <n v="27385"/>
    <n v="1087"/>
    <n v="83"/>
    <x v="0"/>
    <x v="1355"/>
    <n v="3.9693262735073946E-2"/>
    <n v="1.7195952161913524"/>
    <n v="22.520481927710843"/>
    <n v="2280.8000000000002"/>
    <n v="7.635694572217111E-2"/>
    <x v="3"/>
    <x v="3"/>
    <n v="2023"/>
    <s v="Sun"/>
    <n v="19"/>
  </r>
  <r>
    <s v="CMP-01860"/>
    <s v="Q3_Winter_CMP-01860"/>
    <d v="2023-06-16T00:00:00"/>
    <x v="9"/>
    <d v="2023-07-03T00:00:00"/>
    <x v="2"/>
    <n v="39158"/>
    <n v="511"/>
    <n v="36"/>
    <x v="1"/>
    <x v="1356"/>
    <n v="1.3049696102967466E-2"/>
    <n v="0.64884540117416833"/>
    <n v="9.2100000000000009"/>
    <n v="1468.44"/>
    <n v="7.0450097847358117E-2"/>
    <x v="3"/>
    <x v="2"/>
    <n v="2023"/>
    <s v="Fri"/>
    <n v="17"/>
  </r>
  <r>
    <s v="CMP-01861"/>
    <s v="Q4_Winter_CMP-01861"/>
    <d v="2023-08-07T00:00:00"/>
    <x v="7"/>
    <d v="2023-09-06T00:00:00"/>
    <x v="3"/>
    <n v="24019"/>
    <n v="1078"/>
    <n v="95"/>
    <x v="0"/>
    <x v="1357"/>
    <n v="4.4881135767517386E-2"/>
    <n v="1.1429684601113173"/>
    <n v="12.969684210526315"/>
    <n v="3517.88"/>
    <n v="8.8126159554730979E-2"/>
    <x v="3"/>
    <x v="2"/>
    <n v="2023"/>
    <s v="Mon"/>
    <n v="30"/>
  </r>
  <r>
    <s v="CMP-01862"/>
    <s v="Q4_Summer_CMP-01862"/>
    <d v="2023-07-14T00:00:00"/>
    <x v="8"/>
    <d v="2023-07-19T00:00:00"/>
    <x v="0"/>
    <n v="19639"/>
    <n v="846"/>
    <m/>
    <x v="0"/>
    <x v="1358"/>
    <n v="4.3077549773410051E-2"/>
    <n v="1.4427541371158392"/>
    <n v="0"/>
    <n v="-1220.57"/>
    <n v="0"/>
    <x v="3"/>
    <x v="0"/>
    <n v="2023"/>
    <s v="Fri"/>
    <n v="5"/>
  </r>
  <r>
    <s v="CMP-01863"/>
    <s v="Q4_BlackFriday_CMP-01863"/>
    <d v="2023-10-20T00:00:00"/>
    <x v="3"/>
    <d v="2023-11-19T00:00:00"/>
    <x v="2"/>
    <n v="86530"/>
    <n v="1613"/>
    <m/>
    <x v="0"/>
    <x v="1359"/>
    <n v="1.864093378019184E-2"/>
    <n v="0.82273403595784245"/>
    <n v="0"/>
    <n v="-1327.07"/>
    <n v="0"/>
    <x v="0"/>
    <x v="3"/>
    <n v="2023"/>
    <s v="Fri"/>
    <n v="30"/>
  </r>
  <r>
    <s v="CMP-01864"/>
    <s v="Q4_Summer_CMP-01864"/>
    <d v="2023-12-27T00:00:00"/>
    <x v="2"/>
    <d v="2024-01-23T00:00:00"/>
    <x v="1"/>
    <n v="22563"/>
    <n v="956"/>
    <n v="156"/>
    <x v="0"/>
    <x v="1360"/>
    <n v="4.237025218277711E-2"/>
    <n v="1.4412029288702928"/>
    <n v="8.8319871794871787"/>
    <n v="6422.21"/>
    <n v="0.16317991631799164"/>
    <x v="2"/>
    <x v="0"/>
    <n v="2023"/>
    <s v="Wed"/>
    <n v="27"/>
  </r>
  <r>
    <s v="CMP-01865"/>
    <s v="Q2_Winter_CMP-01865"/>
    <d v="2023-08-20T00:00:00"/>
    <x v="7"/>
    <d v="2023-09-02T00:00:00"/>
    <x v="4"/>
    <n v="40341"/>
    <n v="1672"/>
    <n v="273"/>
    <x v="0"/>
    <x v="1361"/>
    <n v="4.14466671624402E-2"/>
    <n v="1.8854964114832538"/>
    <n v="11.547802197802199"/>
    <n v="10497.45"/>
    <n v="0.16327751196172249"/>
    <x v="3"/>
    <x v="2"/>
    <n v="2023"/>
    <s v="Sun"/>
    <n v="13"/>
  </r>
  <r>
    <s v="CMP-01866"/>
    <s v="Q3_Winter_CMP-01866"/>
    <d v="2023-05-06T00:00:00"/>
    <x v="1"/>
    <d v="2023-05-17T00:00:00"/>
    <x v="4"/>
    <n v="6776"/>
    <n v="239"/>
    <m/>
    <x v="0"/>
    <x v="1362"/>
    <n v="3.5271546635182997E-2"/>
    <n v="1.9962761506276152"/>
    <n v="0"/>
    <n v="-477.11"/>
    <n v="0"/>
    <x v="1"/>
    <x v="2"/>
    <n v="2023"/>
    <s v="Sat"/>
    <n v="11"/>
  </r>
  <r>
    <s v="CMP-01867"/>
    <s v="Q4_Launch_CMP-01867"/>
    <d v="2023-01-21T00:00:00"/>
    <x v="11"/>
    <d v="2023-02-12T00:00:00"/>
    <x v="3"/>
    <n v="37444"/>
    <n v="933"/>
    <n v="170"/>
    <x v="0"/>
    <x v="1363"/>
    <n v="2.4917209699818397E-2"/>
    <n v="0.54868167202572349"/>
    <n v="3.0112941176470591"/>
    <n v="7988.08"/>
    <n v="0.18220793140407288"/>
    <x v="2"/>
    <x v="1"/>
    <n v="2023"/>
    <s v="Sat"/>
    <n v="22"/>
  </r>
  <r>
    <s v="CMP-01868"/>
    <s v="Q2_Launch_CMP-01868"/>
    <d v="2023-11-19T00:00:00"/>
    <x v="0"/>
    <d v="2023-12-12T00:00:00"/>
    <x v="1"/>
    <n v="69916"/>
    <n v="1458"/>
    <n v="130"/>
    <x v="1"/>
    <x v="1364"/>
    <n v="2.0853595743463585E-2"/>
    <n v="0.8533813443072702"/>
    <n v="9.5709999999999997"/>
    <n v="5255.77"/>
    <n v="8.9163237311385465E-2"/>
    <x v="0"/>
    <x v="1"/>
    <n v="2023"/>
    <s v="Sun"/>
    <n v="23"/>
  </r>
  <r>
    <s v="CMP-01869"/>
    <s v="Q1_Winter_CMP-01869"/>
    <d v="2023-08-14T00:00:00"/>
    <x v="7"/>
    <d v="2023-08-29T00:00:00"/>
    <x v="1"/>
    <n v="9711"/>
    <n v="187"/>
    <n v="15"/>
    <x v="0"/>
    <x v="0"/>
    <n v="1.9256513232416846E-2"/>
    <n v="1.760066844919786"/>
    <n v="21.942166666666665"/>
    <n v="420.86750000000001"/>
    <n v="8.0213903743315509E-2"/>
    <x v="3"/>
    <x v="2"/>
    <n v="2023"/>
    <s v="Mon"/>
    <n v="15"/>
  </r>
  <r>
    <s v="CMP-01870"/>
    <s v="Q4_Winter_CMP-01870"/>
    <d v="2023-05-27T00:00:00"/>
    <x v="1"/>
    <d v="2023-06-20T00:00:00"/>
    <x v="4"/>
    <n v="75318"/>
    <n v="1713"/>
    <m/>
    <x v="0"/>
    <x v="1365"/>
    <n v="2.2743567274755037E-2"/>
    <n v="1.0986865148861646"/>
    <n v="0"/>
    <n v="-1882.05"/>
    <n v="0"/>
    <x v="1"/>
    <x v="2"/>
    <n v="2023"/>
    <s v="Sat"/>
    <n v="24"/>
  </r>
  <r>
    <s v="CMP-01871"/>
    <s v="Q3_Winter_CMP-01871"/>
    <d v="2023-11-10T00:00:00"/>
    <x v="0"/>
    <d v="2023-12-04T00:00:00"/>
    <x v="0"/>
    <n v="83970"/>
    <n v="3874"/>
    <n v="347"/>
    <x v="1"/>
    <x v="1366"/>
    <n v="4.6135524592116235E-2"/>
    <n v="0.8633866804336604"/>
    <n v="9.6390778097982714"/>
    <n v="14005.24"/>
    <n v="8.9571502323180174E-2"/>
    <x v="0"/>
    <x v="2"/>
    <n v="2023"/>
    <s v="Fri"/>
    <n v="24"/>
  </r>
  <r>
    <s v="CMP-01872"/>
    <s v="Q4_Winter_CMP-01872"/>
    <d v="2023-03-14T00:00:00"/>
    <x v="5"/>
    <d v="2023-04-04T00:00:00"/>
    <x v="2"/>
    <n v="86553"/>
    <n v="1134"/>
    <m/>
    <x v="0"/>
    <x v="1367"/>
    <n v="1.3101798897785172E-2"/>
    <n v="0.80522927689594359"/>
    <n v="0"/>
    <n v="-913.13"/>
    <n v="0"/>
    <x v="1"/>
    <x v="2"/>
    <n v="2023"/>
    <s v="Tue"/>
    <n v="21"/>
  </r>
  <r>
    <s v="CMP-01873"/>
    <s v="Q2_Launch_CMP-01873"/>
    <d v="2023-02-16T00:00:00"/>
    <x v="6"/>
    <d v="2023-02-25T00:00:00"/>
    <x v="3"/>
    <n v="31707"/>
    <n v="1368"/>
    <n v="198"/>
    <x v="0"/>
    <x v="1368"/>
    <n v="4.3145046835083738E-2"/>
    <n v="1.9318274853801167"/>
    <n v="13.347171717171715"/>
    <n v="7257.26"/>
    <n v="0.14473684210526316"/>
    <x v="2"/>
    <x v="1"/>
    <n v="2023"/>
    <s v="Thu"/>
    <n v="9"/>
  </r>
  <r>
    <s v="CMP-01874"/>
    <s v="Q3_Launch_CMP-01874"/>
    <d v="2023-10-27T00:00:00"/>
    <x v="3"/>
    <d v="2023-11-01T00:00:00"/>
    <x v="0"/>
    <n v="40110"/>
    <n v="960"/>
    <n v="173"/>
    <x v="1"/>
    <x v="1369"/>
    <n v="2.3934181002243829E-2"/>
    <n v="1.8777812500000002"/>
    <n v="10.420057803468209"/>
    <n v="6847.33"/>
    <n v="0.18020833333333333"/>
    <x v="0"/>
    <x v="1"/>
    <n v="2023"/>
    <s v="Fri"/>
    <n v="5"/>
  </r>
  <r>
    <s v="CMP-01875"/>
    <s v="Q2_Winter_CMP-01875"/>
    <d v="2023-03-11T00:00:00"/>
    <x v="5"/>
    <d v="2023-03-16T00:00:00"/>
    <x v="4"/>
    <n v="62788"/>
    <n v="1937"/>
    <m/>
    <x v="1"/>
    <x v="1370"/>
    <n v="3.0849843919220233E-2"/>
    <n v="0.57049044914816727"/>
    <n v="0"/>
    <n v="-1105.04"/>
    <n v="0"/>
    <x v="1"/>
    <x v="2"/>
    <n v="2023"/>
    <s v="Sat"/>
    <n v="5"/>
  </r>
  <r>
    <s v="CMP-01876"/>
    <s v="Q4_BlackFriday_CMP-01876"/>
    <d v="2023-01-13T00:00:00"/>
    <x v="11"/>
    <d v="2023-02-07T00:00:00"/>
    <x v="1"/>
    <n v="83879"/>
    <n v="3504"/>
    <n v="656"/>
    <x v="1"/>
    <x v="1371"/>
    <n v="4.1774460830482002E-2"/>
    <n v="1.0082191780821919"/>
    <n v="5.3853658536585369"/>
    <n v="29267.200000000001"/>
    <n v="0.18721461187214611"/>
    <x v="2"/>
    <x v="3"/>
    <n v="2023"/>
    <s v="Fri"/>
    <n v="25"/>
  </r>
  <r>
    <s v="CMP-01877"/>
    <s v="Q1_Summer_CMP-01877"/>
    <d v="2023-12-31T00:00:00"/>
    <x v="2"/>
    <d v="2024-01-30T00:00:00"/>
    <x v="3"/>
    <n v="39827"/>
    <n v="1807"/>
    <m/>
    <x v="0"/>
    <x v="1372"/>
    <n v="4.537123057222487E-2"/>
    <n v="1.1077255118981739"/>
    <n v="0"/>
    <n v="-2001.66"/>
    <n v="0"/>
    <x v="2"/>
    <x v="0"/>
    <n v="2023"/>
    <s v="Sun"/>
    <n v="30"/>
  </r>
  <r>
    <s v="CMP-01878"/>
    <s v="Q1_Summer_CMP-01878"/>
    <d v="2023-02-16T00:00:00"/>
    <x v="6"/>
    <d v="2023-02-23T00:00:00"/>
    <x v="4"/>
    <n v="6655"/>
    <n v="158"/>
    <n v="19"/>
    <x v="0"/>
    <x v="0"/>
    <n v="2.3741547708489859E-2"/>
    <n v="2.0831170886075947"/>
    <n v="17.322763157894737"/>
    <n v="620.86750000000006"/>
    <n v="0.12025316455696203"/>
    <x v="2"/>
    <x v="0"/>
    <n v="2023"/>
    <s v="Thu"/>
    <n v="7"/>
  </r>
  <r>
    <s v="CMP-01879"/>
    <s v="Q1_Summer_CMP-01879"/>
    <d v="2023-12-31T00:00:00"/>
    <x v="2"/>
    <d v="2024-01-03T00:00:00"/>
    <x v="2"/>
    <n v="45859"/>
    <n v="1305"/>
    <n v="151"/>
    <x v="1"/>
    <x v="1373"/>
    <n v="2.8456791469504351E-2"/>
    <n v="1.4433103448275861"/>
    <n v="12.473642384105959"/>
    <n v="5666.48"/>
    <n v="0.11570881226053639"/>
    <x v="2"/>
    <x v="0"/>
    <n v="2023"/>
    <s v="Sun"/>
    <n v="3"/>
  </r>
  <r>
    <s v="CMP-01880"/>
    <s v="Q1_BlackFriday_CMP-01880"/>
    <d v="2023-05-03T00:00:00"/>
    <x v="1"/>
    <d v="2023-06-02T00:00:00"/>
    <x v="4"/>
    <n v="54625"/>
    <n v="1451"/>
    <n v="238"/>
    <x v="1"/>
    <x v="1374"/>
    <n v="2.6562929061784896E-2"/>
    <n v="1.4605720192970364"/>
    <n v="8.9045798319327734"/>
    <n v="9780.7099999999991"/>
    <n v="0.16402481047553411"/>
    <x v="1"/>
    <x v="3"/>
    <n v="2023"/>
    <s v="Wed"/>
    <n v="30"/>
  </r>
  <r>
    <s v="CMP-01881"/>
    <s v="Q1_BlackFriday_CMP-01881"/>
    <d v="2023-12-28T00:00:00"/>
    <x v="2"/>
    <d v="2024-01-10T00:00:00"/>
    <x v="4"/>
    <n v="53098"/>
    <n v="559"/>
    <n v="63"/>
    <x v="1"/>
    <x v="1375"/>
    <n v="1.0527703491656937E-2"/>
    <n v="1.7757602862254025"/>
    <n v="15.756349206349206"/>
    <n v="2157.35"/>
    <n v="0.11270125223613596"/>
    <x v="2"/>
    <x v="3"/>
    <n v="2023"/>
    <s v="Thu"/>
    <n v="13"/>
  </r>
  <r>
    <s v="CMP-01882"/>
    <s v="Q3_Winter_CMP-01882"/>
    <d v="2023-09-26T00:00:00"/>
    <x v="10"/>
    <d v="2023-10-05T00:00:00"/>
    <x v="0"/>
    <n v="16251"/>
    <n v="354"/>
    <n v="67"/>
    <x v="0"/>
    <x v="1376"/>
    <n v="2.1783274875392285E-2"/>
    <n v="1.6112994350282486"/>
    <n v="8.5134328358208951"/>
    <n v="2779.6"/>
    <n v="0.18926553672316385"/>
    <x v="0"/>
    <x v="2"/>
    <n v="2023"/>
    <s v="Tue"/>
    <n v="9"/>
  </r>
  <r>
    <s v="CMP-01883"/>
    <s v="Q2_Winter_CMP-01883"/>
    <d v="2023-09-19T00:00:00"/>
    <x v="10"/>
    <d v="2023-10-02T00:00:00"/>
    <x v="1"/>
    <n v="1526"/>
    <n v="43"/>
    <n v="7"/>
    <x v="0"/>
    <x v="0"/>
    <n v="2.8178243774574049E-2"/>
    <n v="7.6542441860465118"/>
    <n v="47.018928571428567"/>
    <n v="20.867500000000007"/>
    <n v="0.16279069767441862"/>
    <x v="0"/>
    <x v="2"/>
    <n v="2023"/>
    <s v="Tue"/>
    <n v="13"/>
  </r>
  <r>
    <s v="CMP-01884"/>
    <s v="Q3_Summer_CMP-01884"/>
    <d v="2023-10-09T00:00:00"/>
    <x v="3"/>
    <d v="2023-10-17T00:00:00"/>
    <x v="2"/>
    <n v="69760"/>
    <n v="1844"/>
    <m/>
    <x v="1"/>
    <x v="1377"/>
    <n v="2.643348623853211E-2"/>
    <n v="1.4803796095444686"/>
    <n v="0"/>
    <n v="-2729.82"/>
    <n v="0"/>
    <x v="0"/>
    <x v="0"/>
    <n v="2023"/>
    <s v="Mon"/>
    <n v="8"/>
  </r>
  <r>
    <s v="CMP-01885"/>
    <s v="Q3_BlackFriday_CMP-01885"/>
    <d v="2023-06-21T00:00:00"/>
    <x v="9"/>
    <d v="2023-06-23T00:00:00"/>
    <x v="2"/>
    <n v="48837"/>
    <n v="1898"/>
    <n v="115"/>
    <x v="1"/>
    <x v="1378"/>
    <n v="3.8863976083707022E-2"/>
    <n v="0.91098524762908317"/>
    <n v="15.035217391304348"/>
    <n v="4020.95"/>
    <n v="6.0590094836670182E-2"/>
    <x v="3"/>
    <x v="3"/>
    <n v="2023"/>
    <s v="Wed"/>
    <n v="2"/>
  </r>
  <r>
    <s v="CMP-01886"/>
    <s v="Q4_Launch_CMP-01886"/>
    <d v="2023-03-18T00:00:00"/>
    <x v="5"/>
    <d v="2023-03-20T00:00:00"/>
    <x v="3"/>
    <n v="12536"/>
    <n v="318"/>
    <n v="56"/>
    <x v="0"/>
    <x v="1379"/>
    <n v="2.5366943203573709E-2"/>
    <n v="1.3895911949685533"/>
    <n v="7.8908928571428572"/>
    <n v="2358.11"/>
    <n v="0.1761006289308176"/>
    <x v="1"/>
    <x v="1"/>
    <n v="2023"/>
    <s v="Sat"/>
    <n v="2"/>
  </r>
  <r>
    <s v="CMP-01887"/>
    <s v="Q3_Winter_CMP-01887"/>
    <d v="2023-12-31T00:00:00"/>
    <x v="2"/>
    <d v="2024-01-10T00:00:00"/>
    <x v="0"/>
    <n v="29541"/>
    <n v="873"/>
    <n v="146"/>
    <x v="0"/>
    <x v="1380"/>
    <n v="2.9552147862293085E-2"/>
    <n v="1.2338373424971365"/>
    <n v="7.3776712328767129"/>
    <n v="6222.86"/>
    <n v="0.1672394043528064"/>
    <x v="2"/>
    <x v="2"/>
    <n v="2023"/>
    <s v="Sun"/>
    <n v="10"/>
  </r>
  <r>
    <s v="CMP-01888"/>
    <s v="Q3_BlackFriday_CMP-01888"/>
    <d v="2023-06-07T00:00:00"/>
    <x v="9"/>
    <d v="2023-06-08T00:00:00"/>
    <x v="1"/>
    <n v="80083"/>
    <n v="2177"/>
    <n v="142"/>
    <x v="1"/>
    <x v="1381"/>
    <n v="2.718429629259643E-2"/>
    <n v="0.7000183739090492"/>
    <n v="10.731971830985916"/>
    <n v="5576.0599999999995"/>
    <n v="6.5227377124483232E-2"/>
    <x v="3"/>
    <x v="3"/>
    <n v="2023"/>
    <s v="Wed"/>
    <n v="1"/>
  </r>
  <r>
    <s v="CMP-01889"/>
    <s v="Q1_Winter_CMP-01889"/>
    <d v="2023-08-17T00:00:00"/>
    <x v="7"/>
    <d v="2023-08-22T00:00:00"/>
    <x v="2"/>
    <n v="52027"/>
    <n v="2061"/>
    <n v="136"/>
    <x v="1"/>
    <x v="1382"/>
    <n v="3.9614046552751456E-2"/>
    <n v="0.86381853469189707"/>
    <n v="13.090661764705882"/>
    <n v="5019.67"/>
    <n v="6.5987384764677345E-2"/>
    <x v="3"/>
    <x v="2"/>
    <n v="2023"/>
    <s v="Thu"/>
    <n v="5"/>
  </r>
  <r>
    <s v="CMP-01890"/>
    <s v="Q2_Winter_CMP-01890"/>
    <d v="2023-03-09T00:00:00"/>
    <x v="5"/>
    <d v="2023-09-10T00:00:00"/>
    <x v="0"/>
    <n v="35531"/>
    <n v="1581"/>
    <m/>
    <x v="0"/>
    <x v="1383"/>
    <n v="4.4496355295375871E-2"/>
    <n v="0.93753953194180895"/>
    <n v="0"/>
    <n v="-1482.25"/>
    <n v="0"/>
    <x v="1"/>
    <x v="2"/>
    <n v="2023"/>
    <s v="Thu"/>
    <n v="185"/>
  </r>
  <r>
    <s v="CMP-01891"/>
    <s v="Q4_Summer_CMP-01891"/>
    <d v="2023-10-05T00:00:00"/>
    <x v="3"/>
    <d v="2023-11-04T00:00:00"/>
    <x v="3"/>
    <n v="9712"/>
    <n v="303"/>
    <n v="15"/>
    <x v="1"/>
    <x v="1384"/>
    <n v="3.119851729818781E-2"/>
    <n v="1.8864686468646865"/>
    <n v="38.106666666666669"/>
    <n v="178.39999999999998"/>
    <n v="4.9504950495049507E-2"/>
    <x v="0"/>
    <x v="0"/>
    <n v="2023"/>
    <s v="Thu"/>
    <n v="30"/>
  </r>
  <r>
    <s v="CMP-01892"/>
    <s v="Q4_Winter_CMP-01892"/>
    <d v="2023-09-12T00:00:00"/>
    <x v="10"/>
    <d v="2023-10-01T00:00:00"/>
    <x v="3"/>
    <n v="66455"/>
    <n v="2763"/>
    <n v="365"/>
    <x v="0"/>
    <x v="1385"/>
    <n v="4.1577006997216163E-2"/>
    <n v="0.84558089033659067"/>
    <n v="6.4009315068493153"/>
    <n v="15913.66"/>
    <n v="0.13210278682591386"/>
    <x v="0"/>
    <x v="2"/>
    <n v="2023"/>
    <s v="Tue"/>
    <n v="19"/>
  </r>
  <r>
    <s v="CMP-01893"/>
    <s v="Q4_BlackFriday_CMP-01893"/>
    <d v="2023-01-03T00:00:00"/>
    <x v="11"/>
    <d v="2023-01-10T00:00:00"/>
    <x v="3"/>
    <n v="75744"/>
    <n v="1656"/>
    <n v="324"/>
    <x v="0"/>
    <x v="1386"/>
    <n v="2.1863117870722433E-2"/>
    <n v="0.93386473429951689"/>
    <n v="4.7730864197530867"/>
    <n v="14653.52"/>
    <n v="0.19565217391304349"/>
    <x v="2"/>
    <x v="3"/>
    <n v="2023"/>
    <s v="Tue"/>
    <n v="7"/>
  </r>
  <r>
    <s v="CMP-01894"/>
    <s v="Q2_Summer_CMP-01894"/>
    <d v="2023-04-22T00:00:00"/>
    <x v="4"/>
    <d v="2023-05-06T00:00:00"/>
    <x v="4"/>
    <n v="6109"/>
    <n v="193"/>
    <n v="22"/>
    <x v="0"/>
    <x v="0"/>
    <n v="3.1592732034702899E-2"/>
    <n v="1.7053497409326424"/>
    <n v="14.960568181818182"/>
    <n v="770.86750000000006"/>
    <n v="0.11398963730569948"/>
    <x v="1"/>
    <x v="0"/>
    <n v="2023"/>
    <s v="Sat"/>
    <n v="14"/>
  </r>
  <r>
    <s v="CMP-01895"/>
    <s v="Q2_Launch_CMP-01895"/>
    <d v="2023-07-29T00:00:00"/>
    <x v="8"/>
    <d v="2023-08-24T00:00:00"/>
    <x v="2"/>
    <n v="50268"/>
    <n v="1196"/>
    <n v="156"/>
    <x v="0"/>
    <x v="1387"/>
    <n v="2.3792472348213575E-2"/>
    <n v="1.4956103678929766"/>
    <n v="11.466346153846153"/>
    <n v="6011.25"/>
    <n v="0.13043478260869565"/>
    <x v="3"/>
    <x v="1"/>
    <n v="2023"/>
    <s v="Sat"/>
    <n v="26"/>
  </r>
  <r>
    <s v="CMP-01896"/>
    <s v="Q1_Summer_CMP-01896"/>
    <d v="2023-01-04T00:00:00"/>
    <x v="11"/>
    <d v="2023-01-31T00:00:00"/>
    <x v="4"/>
    <n v="55615"/>
    <n v="1477"/>
    <n v="288"/>
    <x v="0"/>
    <x v="713"/>
    <n v="2.6557583385777218E-2"/>
    <n v="0.67735951252538928"/>
    <n v="3.4738194444444446"/>
    <n v="13399.54"/>
    <n v="0.19498984427894381"/>
    <x v="2"/>
    <x v="0"/>
    <n v="2023"/>
    <s v="Wed"/>
    <n v="27"/>
  </r>
  <r>
    <s v="CMP-01897"/>
    <s v="Q2_Launch_CMP-01897"/>
    <d v="2023-11-14T00:00:00"/>
    <x v="0"/>
    <d v="2023-12-13T00:00:00"/>
    <x v="1"/>
    <n v="83503"/>
    <n v="3281"/>
    <n v="289"/>
    <x v="1"/>
    <x v="10"/>
    <n v="3.9292001484976587E-2"/>
    <n v="1.1069064309661687"/>
    <n v="12.566643598615917"/>
    <n v="10818.24"/>
    <n v="8.8082901554404139E-2"/>
    <x v="0"/>
    <x v="1"/>
    <n v="2023"/>
    <s v="Tue"/>
    <n v="29"/>
  </r>
  <r>
    <s v="CMP-01898"/>
    <s v="Q4_Launch_CMP-01898"/>
    <d v="2023-04-17T00:00:00"/>
    <x v="4"/>
    <d v="2023-04-22T00:00:00"/>
    <x v="1"/>
    <n v="30759"/>
    <n v="1392"/>
    <m/>
    <x v="0"/>
    <x v="1388"/>
    <n v="4.5255047303228324E-2"/>
    <n v="1.7983548850574713"/>
    <n v="0"/>
    <n v="-2503.31"/>
    <n v="0"/>
    <x v="1"/>
    <x v="1"/>
    <n v="2023"/>
    <s v="Mon"/>
    <n v="5"/>
  </r>
  <r>
    <s v="CMP-01899"/>
    <s v="Q4_Winter_CMP-01899"/>
    <d v="2023-03-17T00:00:00"/>
    <x v="5"/>
    <d v="2023-03-31T00:00:00"/>
    <x v="2"/>
    <n v="86708"/>
    <n v="1288"/>
    <m/>
    <x v="1"/>
    <x v="1389"/>
    <n v="1.4854454029616644E-2"/>
    <n v="1.3658229813664597"/>
    <n v="0"/>
    <n v="-1759.18"/>
    <n v="0"/>
    <x v="1"/>
    <x v="2"/>
    <n v="2023"/>
    <s v="Fri"/>
    <n v="14"/>
  </r>
  <r>
    <s v="CMP-01900"/>
    <s v="Q1_BlackFriday_CMP-01900"/>
    <d v="2023-06-28T00:00:00"/>
    <x v="9"/>
    <d v="2023-07-16T00:00:00"/>
    <x v="2"/>
    <n v="61112"/>
    <n v="2162"/>
    <n v="292"/>
    <x v="0"/>
    <x v="1390"/>
    <n v="3.537766723393114E-2"/>
    <n v="1.511054579093432"/>
    <n v="11.188013698630137"/>
    <n v="11333.1"/>
    <n v="0.13506012950971322"/>
    <x v="3"/>
    <x v="3"/>
    <n v="2023"/>
    <s v="Wed"/>
    <n v="18"/>
  </r>
  <r>
    <s v="CMP-01901"/>
    <s v="Q4_Winter_CMP-01901"/>
    <d v="2023-01-17T00:00:00"/>
    <x v="11"/>
    <d v="2023-02-05T00:00:00"/>
    <x v="3"/>
    <n v="27589"/>
    <n v="918"/>
    <n v="93"/>
    <x v="0"/>
    <x v="1391"/>
    <n v="3.3274130994236831E-2"/>
    <n v="0.52498910675381261"/>
    <n v="5.1821505376344081"/>
    <n v="4168.0600000000004"/>
    <n v="0.10130718954248366"/>
    <x v="2"/>
    <x v="2"/>
    <n v="2023"/>
    <s v="Tue"/>
    <n v="19"/>
  </r>
  <r>
    <s v="CMP-01902"/>
    <s v="Q4_Summer_CMP-01902"/>
    <d v="2023-06-02T00:00:00"/>
    <x v="9"/>
    <d v="2023-07-02T00:00:00"/>
    <x v="3"/>
    <n v="31015"/>
    <n v="457"/>
    <n v="61"/>
    <x v="1"/>
    <x v="1392"/>
    <n v="1.4734805739158472E-2"/>
    <n v="1.0084245076586433"/>
    <n v="7.5549180327868859"/>
    <n v="2589.15"/>
    <n v="0.13347921225382933"/>
    <x v="3"/>
    <x v="0"/>
    <n v="2023"/>
    <s v="Fri"/>
    <n v="30"/>
  </r>
  <r>
    <s v="CMP-01903"/>
    <s v="Q4_BlackFriday_CMP-01903"/>
    <d v="2023-02-25T00:00:00"/>
    <x v="6"/>
    <d v="2023-03-27T00:00:00"/>
    <x v="2"/>
    <n v="30009"/>
    <n v="554"/>
    <n v="33"/>
    <x v="0"/>
    <x v="1393"/>
    <n v="1.8461128328168215E-2"/>
    <n v="1.6934837545126356"/>
    <n v="28.430000000000003"/>
    <n v="711.81"/>
    <n v="5.9566787003610108E-2"/>
    <x v="2"/>
    <x v="3"/>
    <n v="2023"/>
    <s v="Sat"/>
    <n v="30"/>
  </r>
  <r>
    <s v="CMP-01904"/>
    <s v="Q3_Summer_CMP-01904"/>
    <d v="2023-12-11T00:00:00"/>
    <x v="2"/>
    <d v="2023-12-18T00:00:00"/>
    <x v="3"/>
    <n v="84309"/>
    <n v="1891"/>
    <n v="311"/>
    <x v="1"/>
    <x v="1394"/>
    <n v="2.2429396624322431E-2"/>
    <n v="0.61622421998942356"/>
    <n v="3.7468810289389065"/>
    <n v="14384.72"/>
    <n v="0.1644632469592808"/>
    <x v="2"/>
    <x v="0"/>
    <n v="2023"/>
    <s v="Mon"/>
    <n v="7"/>
  </r>
  <r>
    <s v="CMP-01905"/>
    <s v="Q3_Summer_CMP-01905"/>
    <d v="2023-12-25T00:00:00"/>
    <x v="2"/>
    <d v="2023-12-26T00:00:00"/>
    <x v="0"/>
    <n v="63046"/>
    <n v="1051"/>
    <m/>
    <x v="0"/>
    <x v="1395"/>
    <n v="1.6670367668051897E-2"/>
    <n v="0.92347288296860142"/>
    <n v="0"/>
    <n v="-970.57"/>
    <n v="0"/>
    <x v="2"/>
    <x v="0"/>
    <n v="2023"/>
    <s v="Mon"/>
    <n v="1"/>
  </r>
  <r>
    <s v="CMP-01906"/>
    <s v="Q2_Winter_CMP-01906"/>
    <d v="2023-04-01T00:00:00"/>
    <x v="4"/>
    <d v="2023-04-04T00:00:00"/>
    <x v="2"/>
    <n v="27143"/>
    <n v="536"/>
    <n v="98"/>
    <x v="0"/>
    <x v="1396"/>
    <n v="1.9747264488081642E-2"/>
    <n v="1.3779477611940298"/>
    <n v="7.5365306122448983"/>
    <n v="4161.42"/>
    <n v="0.18283582089552239"/>
    <x v="1"/>
    <x v="2"/>
    <n v="2023"/>
    <s v="Sat"/>
    <n v="3"/>
  </r>
  <r>
    <s v="CMP-01907"/>
    <s v="Q3_Launch_CMP-01907"/>
    <d v="2023-07-04T00:00:00"/>
    <x v="8"/>
    <d v="2023-08-03T00:00:00"/>
    <x v="1"/>
    <n v="7154"/>
    <n v="148"/>
    <n v="15"/>
    <x v="0"/>
    <x v="0"/>
    <n v="2.0687727145652781E-2"/>
    <n v="2.2238682432432433"/>
    <n v="21.942166666666665"/>
    <n v="420.86750000000001"/>
    <n v="0.10135135135135136"/>
    <x v="3"/>
    <x v="1"/>
    <n v="2023"/>
    <s v="Tue"/>
    <n v="30"/>
  </r>
  <r>
    <s v="CMP-01908"/>
    <s v="Q2_Summer_CMP-01908"/>
    <d v="2023-06-03T00:00:00"/>
    <x v="9"/>
    <d v="2023-07-01T00:00:00"/>
    <x v="1"/>
    <n v="22804"/>
    <n v="534"/>
    <n v="38"/>
    <x v="0"/>
    <x v="1397"/>
    <n v="2.3416944395720049E-2"/>
    <n v="1.9009737827715356"/>
    <n v="26.713684210526317"/>
    <n v="884.88"/>
    <n v="7.116104868913857E-2"/>
    <x v="3"/>
    <x v="0"/>
    <n v="2023"/>
    <s v="Sat"/>
    <n v="28"/>
  </r>
  <r>
    <s v="CMP-01909"/>
    <s v="Q2_BlackFriday_CMP-01909"/>
    <d v="2023-02-04T00:00:00"/>
    <x v="6"/>
    <d v="2023-02-06T00:00:00"/>
    <x v="0"/>
    <n v="42688"/>
    <n v="1706"/>
    <n v="263"/>
    <x v="0"/>
    <x v="1398"/>
    <n v="3.9964392803598203E-2"/>
    <n v="0.69658851113716302"/>
    <n v="4.5185551330798486"/>
    <n v="11961.619999999999"/>
    <n v="0.15416178194607269"/>
    <x v="2"/>
    <x v="3"/>
    <n v="2023"/>
    <s v="Sat"/>
    <n v="2"/>
  </r>
  <r>
    <s v="CMP-01910"/>
    <s v="Q3_Summer_CMP-01910"/>
    <d v="2023-02-03T00:00:00"/>
    <x v="6"/>
    <d v="2023-02-12T00:00:00"/>
    <x v="4"/>
    <n v="65288"/>
    <n v="2146"/>
    <n v="160"/>
    <x v="0"/>
    <x v="10"/>
    <n v="3.2869746354613406E-2"/>
    <n v="1.6923392357875116"/>
    <n v="22.698499999999999"/>
    <n v="4368.24"/>
    <n v="7.4557315936626276E-2"/>
    <x v="2"/>
    <x v="0"/>
    <n v="2023"/>
    <s v="Fri"/>
    <n v="9"/>
  </r>
  <r>
    <s v="CMP-01911"/>
    <s v="Q3_Launch_CMP-01911"/>
    <d v="2023-12-22T00:00:00"/>
    <x v="2"/>
    <d v="2024-01-15T00:00:00"/>
    <x v="1"/>
    <n v="52195"/>
    <n v="2581"/>
    <n v="420"/>
    <x v="1"/>
    <x v="1399"/>
    <n v="4.9449180956030271E-2"/>
    <n v="1.2619217357613328"/>
    <n v="7.7548095238095236"/>
    <n v="17742.98"/>
    <n v="0.16272762495156917"/>
    <x v="2"/>
    <x v="1"/>
    <n v="2023"/>
    <s v="Fri"/>
    <n v="24"/>
  </r>
  <r>
    <s v="CMP-01912"/>
    <s v="Q1_Launch_CMP-01912"/>
    <d v="2023-07-31T00:00:00"/>
    <x v="8"/>
    <d v="2023-08-16T00:00:00"/>
    <x v="3"/>
    <n v="21581"/>
    <n v="573"/>
    <m/>
    <x v="0"/>
    <x v="1400"/>
    <n v="2.6551132941012929E-2"/>
    <n v="1.6254973821989529"/>
    <n v="0"/>
    <n v="-931.41"/>
    <n v="0"/>
    <x v="3"/>
    <x v="1"/>
    <n v="2023"/>
    <s v="Mon"/>
    <n v="16"/>
  </r>
  <r>
    <s v="CMP-01913"/>
    <s v="Q2_BlackFriday_CMP-01913"/>
    <d v="2023-10-11T00:00:00"/>
    <x v="3"/>
    <d v="2023-12-06T00:00:00"/>
    <x v="1"/>
    <n v="53648"/>
    <n v="2154"/>
    <n v="359"/>
    <x v="1"/>
    <x v="1401"/>
    <n v="4.015061139278258E-2"/>
    <n v="0.96607242339832877"/>
    <n v="5.7964345403899724"/>
    <n v="15869.08"/>
    <n v="0.16666666666666666"/>
    <x v="0"/>
    <x v="3"/>
    <n v="2023"/>
    <s v="Wed"/>
    <n v="56"/>
  </r>
  <r>
    <s v="CMP-01914"/>
    <s v="Q3_Winter_CMP-01914"/>
    <d v="2023-10-20T00:00:00"/>
    <x v="3"/>
    <d v="2023-10-23T00:00:00"/>
    <x v="2"/>
    <n v="31087"/>
    <n v="1394"/>
    <n v="74"/>
    <x v="1"/>
    <x v="1402"/>
    <n v="4.4841895326020523E-2"/>
    <n v="1.2717360114777618"/>
    <n v="23.956756756756757"/>
    <n v="1927.2"/>
    <n v="5.308464849354376E-2"/>
    <x v="0"/>
    <x v="2"/>
    <n v="2023"/>
    <s v="Fri"/>
    <n v="3"/>
  </r>
  <r>
    <s v="CMP-01915"/>
    <s v="Q3_Summer_CMP-01915"/>
    <d v="2023-02-14T00:00:00"/>
    <x v="6"/>
    <d v="2023-02-22T00:00:00"/>
    <x v="2"/>
    <n v="50930"/>
    <n v="1892"/>
    <n v="264"/>
    <x v="1"/>
    <x v="1403"/>
    <n v="3.7149028077753776E-2"/>
    <n v="1.7852536997885835"/>
    <n v="12.794318181818181"/>
    <n v="9822.2999999999993"/>
    <n v="0.13953488372093023"/>
    <x v="2"/>
    <x v="0"/>
    <n v="2023"/>
    <s v="Tue"/>
    <n v="8"/>
  </r>
  <r>
    <s v="CMP-01916"/>
    <s v="Q4_BlackFriday_CMP-01916"/>
    <d v="2023-12-28T00:00:00"/>
    <x v="2"/>
    <d v="2024-01-12T00:00:00"/>
    <x v="3"/>
    <n v="33981"/>
    <n v="899"/>
    <n v="138"/>
    <x v="0"/>
    <x v="1404"/>
    <n v="2.6455960683911598E-2"/>
    <n v="1.2003225806451612"/>
    <n v="7.8194927536231882"/>
    <n v="5820.91"/>
    <n v="0.15350389321468297"/>
    <x v="2"/>
    <x v="3"/>
    <n v="2023"/>
    <s v="Thu"/>
    <n v="15"/>
  </r>
  <r>
    <s v="CMP-01917"/>
    <s v="Q2_Summer_CMP-01917"/>
    <d v="2023-06-12T00:00:00"/>
    <x v="9"/>
    <d v="2023-07-12T00:00:00"/>
    <x v="4"/>
    <n v="70298"/>
    <n v="2822"/>
    <n v="490"/>
    <x v="1"/>
    <x v="1405"/>
    <n v="4.0143389570115789E-2"/>
    <n v="1.0395783132530121"/>
    <n v="5.9871224489795916"/>
    <n v="21566.31"/>
    <n v="0.17363571934798017"/>
    <x v="3"/>
    <x v="0"/>
    <n v="2023"/>
    <s v="Mon"/>
    <n v="30"/>
  </r>
  <r>
    <s v="CMP-01918"/>
    <s v="Q2_BlackFriday_CMP-01918"/>
    <d v="2023-11-16T00:00:00"/>
    <x v="0"/>
    <d v="2023-11-22T00:00:00"/>
    <x v="3"/>
    <n v="47167"/>
    <n v="855"/>
    <n v="49"/>
    <x v="0"/>
    <x v="1406"/>
    <n v="1.812708037399029E-2"/>
    <n v="1.3042339181286549"/>
    <n v="22.757551020408162"/>
    <n v="1334.88"/>
    <n v="5.7309941520467839E-2"/>
    <x v="0"/>
    <x v="3"/>
    <n v="2023"/>
    <s v="Thu"/>
    <n v="6"/>
  </r>
  <r>
    <s v="CMP-01919"/>
    <s v="Q3_Launch_CMP-01919"/>
    <d v="2023-10-16T00:00:00"/>
    <x v="3"/>
    <d v="2023-11-15T00:00:00"/>
    <x v="2"/>
    <n v="76304"/>
    <n v="1762"/>
    <n v="214"/>
    <x v="0"/>
    <x v="1407"/>
    <n v="2.3091843153700987E-2"/>
    <n v="1.5760442678774118"/>
    <n v="12.976588785046728"/>
    <n v="7923.01"/>
    <n v="0.12145289443813848"/>
    <x v="0"/>
    <x v="1"/>
    <n v="2023"/>
    <s v="Mon"/>
    <n v="30"/>
  </r>
  <r>
    <s v="CMP-01920"/>
    <s v="Q4_BlackFriday_CMP-01920"/>
    <d v="2023-09-12T00:00:00"/>
    <x v="10"/>
    <d v="2023-10-04T00:00:00"/>
    <x v="1"/>
    <n v="44408"/>
    <n v="1415"/>
    <n v="184"/>
    <x v="0"/>
    <x v="1408"/>
    <n v="3.1863628175103582E-2"/>
    <n v="1.1653427561837455"/>
    <n v="8.9617391304347827"/>
    <n v="7551.04"/>
    <n v="0.13003533568904593"/>
    <x v="0"/>
    <x v="3"/>
    <n v="2023"/>
    <s v="Tue"/>
    <n v="22"/>
  </r>
  <r>
    <s v="CMP-01921"/>
    <s v="Q1_BlackFriday_CMP-01921"/>
    <d v="2023-11-09T00:00:00"/>
    <x v="0"/>
    <d v="2023-11-25T00:00:00"/>
    <x v="4"/>
    <n v="40499"/>
    <n v="1337"/>
    <n v="100"/>
    <x v="0"/>
    <x v="1409"/>
    <n v="3.301316081878565E-2"/>
    <n v="1.9083171278982798"/>
    <n v="25.514200000000002"/>
    <n v="2448.58"/>
    <n v="7.4794315632011971E-2"/>
    <x v="0"/>
    <x v="3"/>
    <n v="2023"/>
    <s v="Thu"/>
    <n v="16"/>
  </r>
  <r>
    <s v="CMP-01922"/>
    <s v="Q4_Summer_CMP-01922"/>
    <d v="2023-10-04T00:00:00"/>
    <x v="3"/>
    <d v="2023-11-03T00:00:00"/>
    <x v="4"/>
    <n v="53269"/>
    <n v="579"/>
    <n v="56"/>
    <x v="0"/>
    <x v="1410"/>
    <n v="1.0869361166907582E-2"/>
    <n v="0.94241796200345418"/>
    <n v="9.7439285714285706"/>
    <n v="2254.34"/>
    <n v="9.6718480138169263E-2"/>
    <x v="0"/>
    <x v="0"/>
    <n v="2023"/>
    <s v="Wed"/>
    <n v="30"/>
  </r>
  <r>
    <s v="CMP-01923"/>
    <s v="Q3_Summer_CMP-01923"/>
    <d v="2023-01-13T00:00:00"/>
    <x v="11"/>
    <d v="2023-01-16T00:00:00"/>
    <x v="1"/>
    <n v="39559"/>
    <n v="1891"/>
    <n v="219"/>
    <x v="0"/>
    <x v="1411"/>
    <n v="4.7802017240071791E-2"/>
    <n v="1.2131940772078267"/>
    <n v="10.475570776255708"/>
    <n v="8655.85"/>
    <n v="0.11581173982020095"/>
    <x v="2"/>
    <x v="0"/>
    <n v="2023"/>
    <s v="Fri"/>
    <n v="3"/>
  </r>
  <r>
    <s v="CMP-01924"/>
    <s v="Q2_Summer_CMP-01924"/>
    <d v="2023-04-17T00:00:00"/>
    <x v="4"/>
    <d v="2023-05-09T00:00:00"/>
    <x v="3"/>
    <n v="75319"/>
    <n v="2851"/>
    <n v="498"/>
    <x v="0"/>
    <x v="10"/>
    <n v="3.7852334736255128E-2"/>
    <n v="1.2738547877937565"/>
    <n v="7.2926907630522084"/>
    <n v="21268.240000000002"/>
    <n v="0.17467555243774113"/>
    <x v="1"/>
    <x v="0"/>
    <n v="2023"/>
    <s v="Mon"/>
    <n v="22"/>
  </r>
  <r>
    <s v="CMP-01925"/>
    <s v="Q1_BlackFriday_CMP-01925"/>
    <d v="2023-07-31T00:00:00"/>
    <x v="8"/>
    <d v="2023-08-15T00:00:00"/>
    <x v="3"/>
    <n v="96317"/>
    <n v="2872"/>
    <n v="543"/>
    <x v="1"/>
    <x v="10"/>
    <n v="2.9818204470654194E-2"/>
    <n v="1.2645403899721448"/>
    <n v="6.6883241252302019"/>
    <n v="23518.240000000002"/>
    <n v="0.18906685236768803"/>
    <x v="3"/>
    <x v="3"/>
    <n v="2023"/>
    <s v="Mon"/>
    <n v="15"/>
  </r>
  <r>
    <s v="CMP-01926"/>
    <s v="Q4_Winter_CMP-01926"/>
    <d v="2023-06-29T00:00:00"/>
    <x v="9"/>
    <d v="2023-07-25T00:00:00"/>
    <x v="1"/>
    <n v="97347"/>
    <n v="4606"/>
    <n v="664"/>
    <x v="1"/>
    <x v="10"/>
    <n v="4.7315274225194409E-2"/>
    <n v="0.78848458532349108"/>
    <n v="5.4695180722891559"/>
    <n v="29568.240000000002"/>
    <n v="0.14415979157620495"/>
    <x v="3"/>
    <x v="2"/>
    <n v="2023"/>
    <s v="Thu"/>
    <n v="26"/>
  </r>
  <r>
    <s v="CMP-01927"/>
    <s v="Q4_Launch_CMP-01927"/>
    <d v="2023-01-06T00:00:00"/>
    <x v="11"/>
    <d v="2023-02-04T00:00:00"/>
    <x v="2"/>
    <n v="49787"/>
    <n v="1372"/>
    <n v="149"/>
    <x v="0"/>
    <x v="1412"/>
    <n v="2.755739450057244E-2"/>
    <n v="1.9952113702623906"/>
    <n v="18.372013422818792"/>
    <n v="4712.57"/>
    <n v="0.10860058309037901"/>
    <x v="2"/>
    <x v="1"/>
    <n v="2023"/>
    <s v="Fri"/>
    <n v="29"/>
  </r>
  <r>
    <s v="CMP-01928"/>
    <s v="Q4_Summer_CMP-01928"/>
    <d v="2023-05-11T00:00:00"/>
    <x v="1"/>
    <d v="2023-05-22T00:00:00"/>
    <x v="4"/>
    <n v="36488"/>
    <n v="1795"/>
    <n v="158"/>
    <x v="0"/>
    <x v="1413"/>
    <n v="4.9194255645691735E-2"/>
    <n v="1.1402896935933147"/>
    <n v="12.954556962025316"/>
    <n v="5853.18"/>
    <n v="8.8022284122562675E-2"/>
    <x v="1"/>
    <x v="0"/>
    <n v="2023"/>
    <s v="Thu"/>
    <n v="11"/>
  </r>
  <r>
    <s v="CMP-01929"/>
    <s v="Q3_Launch_CMP-01929"/>
    <d v="2023-09-17T00:00:00"/>
    <x v="10"/>
    <d v="2023-10-07T00:00:00"/>
    <x v="2"/>
    <n v="75441"/>
    <n v="2300"/>
    <n v="453"/>
    <x v="0"/>
    <x v="1414"/>
    <n v="3.0487400750255165E-2"/>
    <n v="0.6667260869565218"/>
    <n v="3.3851434878587199"/>
    <n v="21116.53"/>
    <n v="0.19695652173913045"/>
    <x v="0"/>
    <x v="1"/>
    <n v="2023"/>
    <s v="Sun"/>
    <n v="20"/>
  </r>
  <r>
    <s v="CMP-01930"/>
    <s v="Q3_BlackFriday_CMP-01930"/>
    <d v="2023-02-28T00:00:00"/>
    <x v="6"/>
    <d v="2023-03-24T00:00:00"/>
    <x v="3"/>
    <n v="75663"/>
    <n v="1102"/>
    <n v="217"/>
    <x v="0"/>
    <x v="1415"/>
    <n v="1.4564582424698994E-2"/>
    <n v="0.54562613430127038"/>
    <n v="2.7708755760368664"/>
    <n v="10248.719999999999"/>
    <n v="0.19691470054446461"/>
    <x v="2"/>
    <x v="3"/>
    <n v="2023"/>
    <s v="Tue"/>
    <n v="24"/>
  </r>
  <r>
    <s v="CMP-01931"/>
    <s v="Q4_Launch_CMP-01931"/>
    <d v="2023-10-19T00:00:00"/>
    <x v="3"/>
    <d v="2023-10-31T00:00:00"/>
    <x v="3"/>
    <n v="23431"/>
    <n v="951"/>
    <n v="179"/>
    <x v="1"/>
    <x v="1416"/>
    <n v="4.058725619905254E-2"/>
    <n v="1.5903154574132494"/>
    <n v="8.4491061452513971"/>
    <n v="7437.61"/>
    <n v="0.1882229232386961"/>
    <x v="0"/>
    <x v="1"/>
    <n v="2023"/>
    <s v="Thu"/>
    <n v="12"/>
  </r>
  <r>
    <s v="CMP-01932"/>
    <s v="Q3_Winter_CMP-01932"/>
    <d v="2023-03-31T00:00:00"/>
    <x v="5"/>
    <d v="2023-04-28T00:00:00"/>
    <x v="1"/>
    <n v="62681"/>
    <n v="2328"/>
    <n v="390"/>
    <x v="0"/>
    <x v="10"/>
    <n v="3.7140441282047194E-2"/>
    <n v="1.5600343642611683"/>
    <n v="9.312205128205127"/>
    <n v="15868.24"/>
    <n v="0.16752577319587628"/>
    <x v="1"/>
    <x v="2"/>
    <n v="2023"/>
    <s v="Fri"/>
    <n v="28"/>
  </r>
  <r>
    <s v="CMP-01933"/>
    <s v="Q3_BlackFriday_CMP-01933"/>
    <d v="2023-12-11T00:00:00"/>
    <x v="2"/>
    <d v="2023-12-27T00:00:00"/>
    <x v="1"/>
    <n v="64483"/>
    <n v="2638"/>
    <n v="260"/>
    <x v="0"/>
    <x v="1417"/>
    <n v="4.0910007288742771E-2"/>
    <n v="0.83106899166034875"/>
    <n v="8.432153846153847"/>
    <n v="10807.64"/>
    <n v="9.8559514783927216E-2"/>
    <x v="2"/>
    <x v="3"/>
    <n v="2023"/>
    <s v="Mon"/>
    <n v="16"/>
  </r>
  <r>
    <s v="CMP-01934"/>
    <s v="Q2_Launch_CMP-01934"/>
    <d v="2023-01-19T00:00:00"/>
    <x v="11"/>
    <d v="2023-01-28T00:00:00"/>
    <x v="3"/>
    <n v="50153"/>
    <n v="2410"/>
    <n v="415"/>
    <x v="0"/>
    <x v="1418"/>
    <n v="4.8052957948677047E-2"/>
    <n v="0.7376721991701245"/>
    <n v="4.2838313253012048"/>
    <n v="18972.21"/>
    <n v="0.17219917012448133"/>
    <x v="2"/>
    <x v="1"/>
    <n v="2023"/>
    <s v="Thu"/>
    <n v="9"/>
  </r>
  <r>
    <s v="CMP-01935"/>
    <s v="Q3_BlackFriday_CMP-01935"/>
    <d v="2023-11-18T00:00:00"/>
    <x v="0"/>
    <d v="2023-12-07T00:00:00"/>
    <x v="4"/>
    <n v="7368"/>
    <n v="302"/>
    <n v="33"/>
    <x v="1"/>
    <x v="0"/>
    <n v="4.0988056460369161E-2"/>
    <n v="1.089842715231788"/>
    <n v="9.9737121212121203"/>
    <n v="1320.8675000000001"/>
    <n v="0.10927152317880795"/>
    <x v="0"/>
    <x v="3"/>
    <n v="2023"/>
    <s v="Sat"/>
    <n v="19"/>
  </r>
  <r>
    <s v="CMP-01936"/>
    <s v="Q1_Launch_CMP-01936"/>
    <d v="2023-06-21T00:00:00"/>
    <x v="9"/>
    <d v="2023-07-09T00:00:00"/>
    <x v="1"/>
    <n v="28424"/>
    <n v="979"/>
    <n v="96"/>
    <x v="0"/>
    <x v="1419"/>
    <n v="3.4442724458204337E-2"/>
    <n v="1.7340551583248214"/>
    <n v="17.68375"/>
    <n v="3102.3599999999997"/>
    <n v="9.8059244126659853E-2"/>
    <x v="3"/>
    <x v="1"/>
    <n v="2023"/>
    <s v="Wed"/>
    <n v="18"/>
  </r>
  <r>
    <s v="CMP-01937"/>
    <s v="Q1_BlackFriday_CMP-01937"/>
    <d v="2023-01-29T00:00:00"/>
    <x v="11"/>
    <d v="2023-02-16T00:00:00"/>
    <x v="2"/>
    <n v="46004"/>
    <n v="2037"/>
    <n v="329"/>
    <x v="0"/>
    <x v="1420"/>
    <n v="4.427875836883749E-2"/>
    <n v="0.96707412862052045"/>
    <n v="5.9876291793313072"/>
    <n v="14480.07"/>
    <n v="0.16151202749140894"/>
    <x v="2"/>
    <x v="3"/>
    <n v="2023"/>
    <s v="Sun"/>
    <n v="18"/>
  </r>
  <r>
    <s v="CMP-01938"/>
    <s v="Q1_Summer_CMP-01938"/>
    <d v="2023-12-14T00:00:00"/>
    <x v="2"/>
    <d v="2024-01-12T00:00:00"/>
    <x v="0"/>
    <n v="84869"/>
    <n v="3134"/>
    <n v="194"/>
    <x v="1"/>
    <x v="1421"/>
    <n v="3.6927500029457161E-2"/>
    <n v="1.1025462667517549"/>
    <n v="17.811237113402061"/>
    <n v="6244.62"/>
    <n v="6.1901723037651561E-2"/>
    <x v="2"/>
    <x v="0"/>
    <n v="2023"/>
    <s v="Thu"/>
    <n v="29"/>
  </r>
  <r>
    <s v="CMP-01939"/>
    <s v="Q2_Summer_CMP-01939"/>
    <d v="2023-04-17T00:00:00"/>
    <x v="4"/>
    <d v="2023-05-16T00:00:00"/>
    <x v="4"/>
    <n v="89652"/>
    <n v="2360"/>
    <n v="135"/>
    <x v="1"/>
    <x v="1422"/>
    <n v="2.6324008387989112E-2"/>
    <n v="1.2541271186440677"/>
    <n v="21.923999999999999"/>
    <n v="3790.26"/>
    <n v="5.7203389830508475E-2"/>
    <x v="1"/>
    <x v="0"/>
    <n v="2023"/>
    <s v="Mon"/>
    <n v="29"/>
  </r>
  <r>
    <s v="CMP-01940"/>
    <s v="Q2_Summer_CMP-01940"/>
    <d v="2023-01-07T00:00:00"/>
    <x v="11"/>
    <d v="2023-07-28T00:00:00"/>
    <x v="2"/>
    <n v="57985"/>
    <n v="2633"/>
    <n v="308"/>
    <x v="1"/>
    <x v="10"/>
    <n v="4.5408295248771234E-2"/>
    <n v="1.3793239650588682"/>
    <n v="11.79142857142857"/>
    <n v="11768.24"/>
    <n v="0.11697683251044436"/>
    <x v="2"/>
    <x v="0"/>
    <n v="2023"/>
    <s v="Sat"/>
    <n v="202"/>
  </r>
  <r>
    <s v="CMP-01941"/>
    <s v="Q2_BlackFriday_CMP-01941"/>
    <d v="2023-03-18T00:00:00"/>
    <x v="5"/>
    <d v="2023-04-11T00:00:00"/>
    <x v="0"/>
    <n v="51069"/>
    <n v="963"/>
    <n v="112"/>
    <x v="0"/>
    <x v="1423"/>
    <n v="1.8856840744874582E-2"/>
    <n v="1.4762512980269991"/>
    <n v="12.693125"/>
    <n v="4178.37"/>
    <n v="0.11630321910695743"/>
    <x v="1"/>
    <x v="3"/>
    <n v="2023"/>
    <s v="Sat"/>
    <n v="24"/>
  </r>
  <r>
    <s v="CMP-01942"/>
    <s v="Q1_Winter_CMP-01942"/>
    <d v="2023-07-12T00:00:00"/>
    <x v="8"/>
    <d v="2023-08-11T00:00:00"/>
    <x v="4"/>
    <n v="53326"/>
    <n v="2057"/>
    <n v="379"/>
    <x v="0"/>
    <x v="1424"/>
    <n v="3.8574053932415704E-2"/>
    <n v="1.4225960136120566"/>
    <n v="7.7210554089709769"/>
    <n v="16023.72"/>
    <n v="0.18424890617403986"/>
    <x v="3"/>
    <x v="2"/>
    <n v="2023"/>
    <s v="Wed"/>
    <n v="30"/>
  </r>
  <r>
    <s v="CMP-01943"/>
    <s v="Q2_Summer_CMP-01943"/>
    <d v="2023-10-20T00:00:00"/>
    <x v="3"/>
    <d v="2023-11-10T00:00:00"/>
    <x v="0"/>
    <n v="82061"/>
    <n v="3714"/>
    <n v="255"/>
    <x v="0"/>
    <x v="1425"/>
    <n v="4.5259014635454113E-2"/>
    <n v="0.7635083467959074"/>
    <n v="11.120274509803922"/>
    <n v="9914.33"/>
    <n v="6.8659127625201932E-2"/>
    <x v="0"/>
    <x v="0"/>
    <n v="2023"/>
    <s v="Fri"/>
    <n v="21"/>
  </r>
  <r>
    <s v="CMP-01944"/>
    <s v="Q1_Summer_CMP-01944"/>
    <d v="2023-03-01T00:00:00"/>
    <x v="5"/>
    <d v="2023-03-23T00:00:00"/>
    <x v="3"/>
    <n v="24398"/>
    <n v="957"/>
    <n v="65"/>
    <x v="0"/>
    <x v="1426"/>
    <n v="3.9224526600541029E-2"/>
    <n v="1.2697805642633229"/>
    <n v="18.695076923076925"/>
    <n v="2034.82"/>
    <n v="6.7920585161964475E-2"/>
    <x v="1"/>
    <x v="0"/>
    <n v="2023"/>
    <s v="Wed"/>
    <n v="22"/>
  </r>
  <r>
    <s v="CMP-01945"/>
    <s v="Q1_BlackFriday_CMP-01945"/>
    <d v="2023-12-28T00:00:00"/>
    <x v="2"/>
    <d v="2024-01-08T00:00:00"/>
    <x v="0"/>
    <n v="99393"/>
    <n v="3766"/>
    <n v="271"/>
    <x v="0"/>
    <x v="10"/>
    <n v="3.7889992252975561E-2"/>
    <n v="0.96435475305363771"/>
    <n v="13.401328413284132"/>
    <n v="9918.24"/>
    <n v="7.1959638874137019E-2"/>
    <x v="2"/>
    <x v="3"/>
    <n v="2023"/>
    <s v="Thu"/>
    <n v="11"/>
  </r>
  <r>
    <s v="CMP-01946"/>
    <s v="Q1_Winter_CMP-01946"/>
    <d v="2023-05-20T00:00:00"/>
    <x v="1"/>
    <d v="2023-06-06T00:00:00"/>
    <x v="0"/>
    <n v="51861"/>
    <n v="2079"/>
    <n v="113"/>
    <x v="0"/>
    <x v="10"/>
    <n v="4.0087927344247119E-2"/>
    <n v="1.7468783068783067"/>
    <n v="32.139469026548667"/>
    <n v="2018.2400000000002"/>
    <n v="5.4353054353054354E-2"/>
    <x v="1"/>
    <x v="2"/>
    <n v="2023"/>
    <s v="Sat"/>
    <n v="17"/>
  </r>
  <r>
    <s v="CMP-01947"/>
    <s v="Q4_BlackFriday_CMP-01947"/>
    <d v="2023-05-02T00:00:00"/>
    <x v="1"/>
    <d v="2023-05-07T00:00:00"/>
    <x v="3"/>
    <n v="76897"/>
    <n v="2199"/>
    <n v="133"/>
    <x v="1"/>
    <x v="1427"/>
    <n v="2.8596694279360704E-2"/>
    <n v="0.80211005002273761"/>
    <n v="13.261954887218044"/>
    <n v="4886.16"/>
    <n v="6.0482037289677125E-2"/>
    <x v="1"/>
    <x v="3"/>
    <n v="2023"/>
    <s v="Tue"/>
    <n v="5"/>
  </r>
  <r>
    <s v="CMP-01948"/>
    <s v="Q1_Summer_CMP-01948"/>
    <d v="2023-06-04T00:00:00"/>
    <x v="9"/>
    <d v="2023-06-26T00:00:00"/>
    <x v="3"/>
    <n v="82905"/>
    <n v="3727"/>
    <n v="555"/>
    <x v="0"/>
    <x v="1428"/>
    <n v="4.4955069054942405E-2"/>
    <n v="0.51431446203380737"/>
    <n v="3.4537837837837837"/>
    <n v="25833.15"/>
    <n v="0.1489133351220821"/>
    <x v="3"/>
    <x v="0"/>
    <n v="2023"/>
    <s v="Sun"/>
    <n v="22"/>
  </r>
  <r>
    <s v="CMP-01949"/>
    <s v="Q1_Winter_CMP-01949"/>
    <d v="2023-02-27T00:00:00"/>
    <x v="6"/>
    <d v="2023-03-21T00:00:00"/>
    <x v="0"/>
    <n v="69577"/>
    <n v="1261"/>
    <n v="144"/>
    <x v="0"/>
    <x v="1429"/>
    <n v="1.8123805280480618E-2"/>
    <n v="0.61295003965107053"/>
    <n v="5.3675694444444444"/>
    <n v="6427.07"/>
    <n v="0.11419508326724821"/>
    <x v="2"/>
    <x v="2"/>
    <n v="2023"/>
    <s v="Mon"/>
    <n v="22"/>
  </r>
  <r>
    <s v="CMP-01950"/>
    <s v="Q2_Summer_CMP-01950"/>
    <d v="2023-04-14T00:00:00"/>
    <x v="4"/>
    <d v="2023-05-11T00:00:00"/>
    <x v="3"/>
    <n v="66641"/>
    <n v="1005"/>
    <n v="165"/>
    <x v="1"/>
    <x v="1430"/>
    <n v="1.5080806110352486E-2"/>
    <n v="1.0637810945273631"/>
    <n v="6.4793939393939386"/>
    <n v="7180.9"/>
    <n v="0.16417910447761194"/>
    <x v="1"/>
    <x v="0"/>
    <n v="2023"/>
    <s v="Fri"/>
    <n v="27"/>
  </r>
  <r>
    <s v="CMP-01951"/>
    <s v="Q2_Summer_CMP-01951"/>
    <d v="2023-01-13T00:00:00"/>
    <x v="11"/>
    <d v="2023-02-05T00:00:00"/>
    <x v="1"/>
    <n v="10078"/>
    <n v="215"/>
    <n v="42"/>
    <x v="0"/>
    <x v="1431"/>
    <n v="2.1333597936098431E-2"/>
    <n v="1.7308372093023257"/>
    <n v="8.8602380952380955"/>
    <n v="1727.87"/>
    <n v="0.19534883720930232"/>
    <x v="2"/>
    <x v="0"/>
    <n v="2023"/>
    <s v="Fri"/>
    <n v="23"/>
  </r>
  <r>
    <s v="CMP-01952"/>
    <s v="Q1_Summer_CMP-01952"/>
    <d v="2023-03-20T00:00:00"/>
    <x v="5"/>
    <d v="2023-04-08T00:00:00"/>
    <x v="1"/>
    <n v="26003"/>
    <n v="812"/>
    <n v="120"/>
    <x v="1"/>
    <x v="1432"/>
    <n v="3.1227166096219668E-2"/>
    <n v="0.51071428571428568"/>
    <n v="3.4558333333333331"/>
    <n v="5585.3"/>
    <n v="0.14778325123152711"/>
    <x v="1"/>
    <x v="0"/>
    <n v="2023"/>
    <s v="Mon"/>
    <n v="19"/>
  </r>
  <r>
    <s v="CMP-01953"/>
    <s v="Q4_Winter_CMP-01953"/>
    <d v="2023-09-26T00:00:00"/>
    <x v="10"/>
    <d v="2023-10-26T00:00:00"/>
    <x v="2"/>
    <n v="63768"/>
    <n v="1939"/>
    <n v="111"/>
    <x v="1"/>
    <x v="1433"/>
    <n v="3.0407100740183164E-2"/>
    <n v="1.1850954100051574"/>
    <n v="20.701801801801803"/>
    <n v="3252.1"/>
    <n v="5.7246003094378543E-2"/>
    <x v="0"/>
    <x v="2"/>
    <n v="2023"/>
    <s v="Tue"/>
    <n v="30"/>
  </r>
  <r>
    <s v="CMP-01954"/>
    <s v="Q2_Summer_CMP-01954"/>
    <d v="2023-02-20T00:00:00"/>
    <x v="6"/>
    <d v="2023-03-14T00:00:00"/>
    <x v="3"/>
    <n v="52047"/>
    <n v="2228"/>
    <m/>
    <x v="1"/>
    <x v="1434"/>
    <n v="4.2807462485830117E-2"/>
    <n v="0.99384649910233391"/>
    <n v="0"/>
    <n v="-2214.29"/>
    <n v="0"/>
    <x v="2"/>
    <x v="0"/>
    <n v="2023"/>
    <s v="Mon"/>
    <n v="22"/>
  </r>
  <r>
    <s v="CMP-01955"/>
    <s v="Q1_Launch_CMP-01955"/>
    <d v="2023-12-13T00:00:00"/>
    <x v="2"/>
    <d v="2023-12-22T00:00:00"/>
    <x v="3"/>
    <n v="72626"/>
    <n v="1901"/>
    <n v="346"/>
    <x v="0"/>
    <x v="1435"/>
    <n v="2.6175198964558149E-2"/>
    <n v="0.57872172540768019"/>
    <n v="3.1796242774566474"/>
    <n v="16199.85"/>
    <n v="0.18200946870068385"/>
    <x v="2"/>
    <x v="1"/>
    <n v="2023"/>
    <s v="Wed"/>
    <n v="9"/>
  </r>
  <r>
    <s v="CMP-01956"/>
    <s v="Q3_Winter_CMP-01956"/>
    <d v="2023-01-19T00:00:00"/>
    <x v="11"/>
    <d v="2023-02-14T00:00:00"/>
    <x v="0"/>
    <n v="58660"/>
    <n v="1723"/>
    <n v="222"/>
    <x v="1"/>
    <x v="1436"/>
    <n v="2.9372655983634505E-2"/>
    <n v="1.1753569355774811"/>
    <n v="9.1222522522522524"/>
    <n v="9074.86"/>
    <n v="0.12884503772489844"/>
    <x v="2"/>
    <x v="2"/>
    <n v="2023"/>
    <s v="Thu"/>
    <n v="26"/>
  </r>
  <r>
    <s v="CMP-01957"/>
    <s v="Q4_Winter_CMP-01957"/>
    <d v="2023-09-25T00:00:00"/>
    <x v="10"/>
    <d v="2023-10-15T00:00:00"/>
    <x v="2"/>
    <n v="50786"/>
    <n v="535"/>
    <n v="92"/>
    <x v="1"/>
    <x v="1437"/>
    <n v="1.0534399243886111E-2"/>
    <n v="0.88213084112149531"/>
    <n v="5.1297826086956517"/>
    <n v="4128.0600000000004"/>
    <n v="0.17196261682242991"/>
    <x v="0"/>
    <x v="2"/>
    <n v="2023"/>
    <s v="Mon"/>
    <n v="20"/>
  </r>
  <r>
    <s v="CMP-01958"/>
    <s v="Q4_Winter_CMP-01958"/>
    <d v="2023-01-23T00:00:00"/>
    <x v="11"/>
    <d v="2023-02-17T00:00:00"/>
    <x v="1"/>
    <n v="2925"/>
    <n v="77"/>
    <n v="13"/>
    <x v="1"/>
    <x v="0"/>
    <n v="2.6324786324786326E-2"/>
    <n v="4.2744480519480517"/>
    <n v="25.317884615384614"/>
    <n v="320.86750000000001"/>
    <n v="0.16883116883116883"/>
    <x v="2"/>
    <x v="2"/>
    <n v="2023"/>
    <s v="Mon"/>
    <n v="25"/>
  </r>
  <r>
    <s v="CMP-01959"/>
    <s v="Q4_BlackFriday_CMP-01959"/>
    <d v="2023-02-14T00:00:00"/>
    <x v="6"/>
    <d v="2023-03-15T00:00:00"/>
    <x v="0"/>
    <n v="84976"/>
    <n v="3051"/>
    <n v="577"/>
    <x v="0"/>
    <x v="10"/>
    <n v="3.5904255319148939E-2"/>
    <n v="1.1903507046869879"/>
    <n v="6.2942114384748695"/>
    <n v="25218.240000000002"/>
    <n v="0.1891183218616847"/>
    <x v="2"/>
    <x v="3"/>
    <n v="2023"/>
    <s v="Tue"/>
    <n v="29"/>
  </r>
  <r>
    <s v="CMP-01960"/>
    <s v="Q1_Launch_CMP-01960"/>
    <d v="2023-02-22T00:00:00"/>
    <x v="6"/>
    <d v="2023-03-02T00:00:00"/>
    <x v="1"/>
    <n v="27015"/>
    <n v="286"/>
    <n v="55"/>
    <x v="1"/>
    <x v="1438"/>
    <n v="1.0586711086433463E-2"/>
    <n v="1.2823426573426573"/>
    <n v="6.668181818181818"/>
    <n v="2383.25"/>
    <n v="0.19230769230769232"/>
    <x v="2"/>
    <x v="1"/>
    <n v="2023"/>
    <s v="Wed"/>
    <n v="8"/>
  </r>
  <r>
    <s v="CMP-01961"/>
    <s v="Q2_Summer_CMP-01961"/>
    <d v="2023-09-06T00:00:00"/>
    <x v="10"/>
    <d v="2023-10-06T00:00:00"/>
    <x v="1"/>
    <n v="34320"/>
    <n v="728"/>
    <n v="96"/>
    <x v="0"/>
    <x v="1439"/>
    <n v="2.1212121212121213E-2"/>
    <n v="0.68696428571428569"/>
    <n v="5.2094791666666671"/>
    <n v="4299.8900000000003"/>
    <n v="0.13186813186813187"/>
    <x v="0"/>
    <x v="0"/>
    <n v="2023"/>
    <s v="Wed"/>
    <n v="30"/>
  </r>
  <r>
    <s v="CMP-01962"/>
    <s v="Q1_Winter_CMP-01962"/>
    <d v="2023-06-09T00:00:00"/>
    <x v="9"/>
    <d v="2023-07-06T00:00:00"/>
    <x v="1"/>
    <n v="65881"/>
    <n v="1206"/>
    <n v="121"/>
    <x v="1"/>
    <x v="1440"/>
    <n v="1.8305733064161139E-2"/>
    <n v="1.9421227197346598"/>
    <n v="19.35702479338843"/>
    <n v="3707.8"/>
    <n v="0.10033167495854063"/>
    <x v="3"/>
    <x v="2"/>
    <n v="2023"/>
    <s v="Fri"/>
    <n v="27"/>
  </r>
  <r>
    <s v="CMP-01963"/>
    <s v="Q2_BlackFriday_CMP-01963"/>
    <d v="2023-04-13T00:00:00"/>
    <x v="4"/>
    <d v="2023-04-14T00:00:00"/>
    <x v="1"/>
    <n v="91827"/>
    <n v="1072"/>
    <n v="208"/>
    <x v="0"/>
    <x v="1441"/>
    <n v="1.1674126346281595E-2"/>
    <n v="1.4538619402985073"/>
    <n v="7.4929807692307691"/>
    <n v="8841.4599999999991"/>
    <n v="0.19402985074626866"/>
    <x v="1"/>
    <x v="3"/>
    <n v="2023"/>
    <s v="Thu"/>
    <n v="1"/>
  </r>
  <r>
    <s v="CMP-01964"/>
    <s v="Q2_Winter_CMP-01964"/>
    <d v="2023-06-13T00:00:00"/>
    <x v="9"/>
    <d v="2023-06-27T00:00:00"/>
    <x v="1"/>
    <n v="27289"/>
    <n v="796"/>
    <n v="105"/>
    <x v="0"/>
    <x v="1442"/>
    <n v="2.9169262340137052E-2"/>
    <n v="1.6488065326633166"/>
    <n v="12.49952380952381"/>
    <n v="3937.55"/>
    <n v="0.13190954773869346"/>
    <x v="3"/>
    <x v="2"/>
    <n v="2023"/>
    <s v="Tue"/>
    <n v="14"/>
  </r>
  <r>
    <s v="CMP-01965"/>
    <s v="Q1_Summer_CMP-01965"/>
    <d v="2023-05-20T00:00:00"/>
    <x v="1"/>
    <d v="2023-06-05T00:00:00"/>
    <x v="1"/>
    <n v="4389"/>
    <n v="75"/>
    <n v="4"/>
    <x v="1"/>
    <x v="0"/>
    <n v="1.7088174982911826E-2"/>
    <n v="4.3884333333333334"/>
    <n v="82.283124999999998"/>
    <n v="-129.13249999999999"/>
    <n v="5.3333333333333337E-2"/>
    <x v="1"/>
    <x v="0"/>
    <n v="2023"/>
    <s v="Sat"/>
    <n v="16"/>
  </r>
  <r>
    <s v="CMP-01966"/>
    <s v="Q2_Winter_CMP-01966"/>
    <d v="2023-01-08T00:00:00"/>
    <x v="11"/>
    <d v="2023-01-17T00:00:00"/>
    <x v="4"/>
    <n v="26683"/>
    <n v="1059"/>
    <n v="155"/>
    <x v="0"/>
    <x v="1443"/>
    <n v="3.9688190983022897E-2"/>
    <n v="0.57058545797922566"/>
    <n v="3.8983870967741936"/>
    <n v="7145.75"/>
    <n v="0.14636449480642116"/>
    <x v="2"/>
    <x v="2"/>
    <n v="2023"/>
    <s v="Sun"/>
    <n v="9"/>
  </r>
  <r>
    <s v="CMP-01967"/>
    <s v="Q3_Winter_CMP-01967"/>
    <d v="2023-02-22T00:00:00"/>
    <x v="6"/>
    <d v="2023-03-05T00:00:00"/>
    <x v="1"/>
    <n v="14629"/>
    <n v="642"/>
    <n v="88"/>
    <x v="1"/>
    <x v="1444"/>
    <n v="4.3885433043953793E-2"/>
    <n v="0.52917445482866043"/>
    <n v="3.8605681818181821"/>
    <n v="4060.27"/>
    <n v="0.13707165109034267"/>
    <x v="2"/>
    <x v="2"/>
    <n v="2023"/>
    <s v="Wed"/>
    <n v="11"/>
  </r>
  <r>
    <s v="CMP-01968"/>
    <s v="Q2_Launch_CMP-01968"/>
    <d v="2023-06-13T00:00:00"/>
    <x v="9"/>
    <d v="2023-06-30T00:00:00"/>
    <x v="0"/>
    <n v="62550"/>
    <n v="1990"/>
    <n v="366"/>
    <x v="0"/>
    <x v="1445"/>
    <n v="3.1814548361310951E-2"/>
    <n v="0.78319095477386935"/>
    <n v="4.2583333333333329"/>
    <n v="16741.45"/>
    <n v="0.18391959798994975"/>
    <x v="3"/>
    <x v="1"/>
    <n v="2023"/>
    <s v="Tue"/>
    <n v="17"/>
  </r>
  <r>
    <s v="CMP-01969"/>
    <s v="Q3_Launch_CMP-01969"/>
    <d v="2023-05-26T00:00:00"/>
    <x v="1"/>
    <d v="2023-06-05T00:00:00"/>
    <x v="0"/>
    <n v="25826"/>
    <n v="1272"/>
    <n v="188"/>
    <x v="0"/>
    <x v="1446"/>
    <n v="4.9252691086501973E-2"/>
    <n v="1.1216116352201257"/>
    <n v="7.5887765957446813"/>
    <n v="7973.3099999999995"/>
    <n v="0.14779874213836477"/>
    <x v="1"/>
    <x v="1"/>
    <n v="2023"/>
    <s v="Fri"/>
    <n v="10"/>
  </r>
  <r>
    <s v="CMP-01970"/>
    <s v="Q3_Winter_CMP-01970"/>
    <d v="2023-06-09T00:00:00"/>
    <x v="9"/>
    <d v="2023-06-25T00:00:00"/>
    <x v="4"/>
    <n v="27630"/>
    <n v="774"/>
    <n v="79"/>
    <x v="0"/>
    <x v="1447"/>
    <n v="2.8013029315960912E-2"/>
    <n v="1.9037338501291989"/>
    <n v="18.651772151898733"/>
    <n v="2476.5100000000002"/>
    <n v="0.1020671834625323"/>
    <x v="3"/>
    <x v="2"/>
    <n v="2023"/>
    <s v="Fri"/>
    <n v="16"/>
  </r>
  <r>
    <s v="CMP-01971"/>
    <s v="Q4_BlackFriday_CMP-01971"/>
    <d v="2023-08-16T00:00:00"/>
    <x v="7"/>
    <d v="2023-09-09T00:00:00"/>
    <x v="3"/>
    <n v="99762"/>
    <n v="3046"/>
    <n v="593"/>
    <x v="1"/>
    <x v="1448"/>
    <n v="3.0532667749243198E-2"/>
    <n v="1.18559093893631"/>
    <n v="6.0898988195615518"/>
    <n v="26038.69"/>
    <n v="0.19468154957321077"/>
    <x v="3"/>
    <x v="3"/>
    <n v="2023"/>
    <s v="Wed"/>
    <n v="24"/>
  </r>
  <r>
    <s v="CMP-01972"/>
    <s v="Q3_Winter_CMP-01972"/>
    <d v="2023-01-15T00:00:00"/>
    <x v="11"/>
    <d v="2023-01-28T00:00:00"/>
    <x v="2"/>
    <n v="47163"/>
    <n v="2337"/>
    <m/>
    <x v="0"/>
    <x v="1449"/>
    <n v="4.9551555244577314E-2"/>
    <n v="0.93538296961916978"/>
    <n v="0"/>
    <n v="-2185.9899999999998"/>
    <n v="0"/>
    <x v="2"/>
    <x v="2"/>
    <n v="2023"/>
    <s v="Sun"/>
    <n v="13"/>
  </r>
  <r>
    <s v="CMP-01973"/>
    <s v="Q1_BlackFriday_CMP-01973"/>
    <d v="2023-02-24T00:00:00"/>
    <x v="6"/>
    <d v="2023-02-26T00:00:00"/>
    <x v="2"/>
    <n v="99511"/>
    <n v="1916"/>
    <n v="276"/>
    <x v="1"/>
    <x v="1450"/>
    <n v="1.9254152807227341E-2"/>
    <n v="1.3429018789144049"/>
    <n v="9.3224637681159415"/>
    <n v="11227"/>
    <n v="0.1440501043841336"/>
    <x v="2"/>
    <x v="3"/>
    <n v="2023"/>
    <s v="Fri"/>
    <n v="2"/>
  </r>
  <r>
    <s v="CMP-01974"/>
    <s v="Q3_Winter_CMP-01974"/>
    <d v="2023-07-20T00:00:00"/>
    <x v="8"/>
    <d v="2023-08-08T00:00:00"/>
    <x v="2"/>
    <n v="67435"/>
    <n v="3216"/>
    <n v="302"/>
    <x v="0"/>
    <x v="1451"/>
    <n v="4.7690368503002893E-2"/>
    <n v="0.66790111940298502"/>
    <n v="7.1124834437086086"/>
    <n v="12952.03"/>
    <n v="9.3905472636815923E-2"/>
    <x v="3"/>
    <x v="2"/>
    <n v="2023"/>
    <s v="Thu"/>
    <n v="19"/>
  </r>
  <r>
    <s v="CMP-01975"/>
    <s v="Q1_Summer_CMP-01975"/>
    <d v="2023-10-31T00:00:00"/>
    <x v="3"/>
    <d v="2023-11-10T00:00:00"/>
    <x v="4"/>
    <n v="12653"/>
    <n v="148"/>
    <n v="15"/>
    <x v="1"/>
    <x v="0"/>
    <n v="1.1696830791116731E-2"/>
    <n v="2.2238682432432433"/>
    <n v="21.942166666666665"/>
    <n v="420.86750000000001"/>
    <n v="0.10135135135135136"/>
    <x v="0"/>
    <x v="0"/>
    <n v="2023"/>
    <s v="Tue"/>
    <n v="10"/>
  </r>
  <r>
    <s v="CMP-01976"/>
    <s v="Q1_Launch_CMP-01976"/>
    <d v="2023-08-17T00:00:00"/>
    <x v="7"/>
    <d v="2023-09-12T00:00:00"/>
    <x v="0"/>
    <n v="28961"/>
    <n v="806"/>
    <n v="121"/>
    <x v="1"/>
    <x v="1452"/>
    <n v="2.7830530713718448E-2"/>
    <n v="1.3526426799007445"/>
    <n v="9.0101652892561983"/>
    <n v="4959.7700000000004"/>
    <n v="0.15012406947890819"/>
    <x v="3"/>
    <x v="1"/>
    <n v="2023"/>
    <s v="Thu"/>
    <n v="26"/>
  </r>
  <r>
    <s v="CMP-01977"/>
    <s v="Q3_Summer_CMP-01977"/>
    <d v="2023-04-12T00:00:00"/>
    <x v="4"/>
    <d v="2023-05-10T00:00:00"/>
    <x v="3"/>
    <n v="82941"/>
    <n v="1061"/>
    <n v="64"/>
    <x v="1"/>
    <x v="1453"/>
    <n v="1.2792225799061984E-2"/>
    <n v="1.6879924599434497"/>
    <n v="27.983750000000001"/>
    <n v="1409.04"/>
    <n v="6.0320452403393024E-2"/>
    <x v="1"/>
    <x v="0"/>
    <n v="2023"/>
    <s v="Wed"/>
    <n v="28"/>
  </r>
  <r>
    <s v="CMP-01978"/>
    <s v="Q4_Summer_CMP-01978"/>
    <d v="2023-01-10T00:00:00"/>
    <x v="11"/>
    <d v="2023-10-10T00:00:00"/>
    <x v="0"/>
    <n v="75137"/>
    <n v="2943"/>
    <n v="260"/>
    <x v="0"/>
    <x v="10"/>
    <n v="3.9168452293809976E-2"/>
    <n v="1.2340332993544001"/>
    <n v="13.968307692307691"/>
    <n v="9368.24"/>
    <n v="8.8345225959904863E-2"/>
    <x v="2"/>
    <x v="0"/>
    <n v="2023"/>
    <s v="Tue"/>
    <n v="273"/>
  </r>
  <r>
    <s v="CMP-01979"/>
    <s v="Q4_Summer_CMP-01979"/>
    <d v="2023-08-27T00:00:00"/>
    <x v="7"/>
    <d v="2023-08-31T00:00:00"/>
    <x v="4"/>
    <n v="34662"/>
    <n v="1190"/>
    <n v="186"/>
    <x v="0"/>
    <x v="1454"/>
    <n v="3.4331544631008022E-2"/>
    <n v="0.87631092436974789"/>
    <n v="5.606505376344086"/>
    <n v="8257.19"/>
    <n v="0.15630252100840336"/>
    <x v="3"/>
    <x v="0"/>
    <n v="2023"/>
    <s v="Sun"/>
    <n v="4"/>
  </r>
  <r>
    <s v="CMP-01980"/>
    <s v="Q1_BlackFriday_CMP-01980"/>
    <d v="2023-12-24T00:00:00"/>
    <x v="2"/>
    <d v="2024-01-20T00:00:00"/>
    <x v="3"/>
    <n v="99818"/>
    <n v="3819"/>
    <n v="465"/>
    <x v="1"/>
    <x v="10"/>
    <n v="3.8259632531206796E-2"/>
    <n v="0.95097145849698872"/>
    <n v="7.8102365591397849"/>
    <n v="19618.240000000002"/>
    <n v="0.12175962293794187"/>
    <x v="2"/>
    <x v="3"/>
    <n v="2023"/>
    <s v="Sun"/>
    <n v="27"/>
  </r>
  <r>
    <s v="CMP-01981"/>
    <s v="Q3_Summer_CMP-01981"/>
    <d v="2023-12-17T00:00:00"/>
    <x v="2"/>
    <d v="2023-12-22T00:00:00"/>
    <x v="0"/>
    <n v="57446"/>
    <n v="1434"/>
    <n v="158"/>
    <x v="0"/>
    <x v="1455"/>
    <n v="2.4962573547331408E-2"/>
    <n v="1.8632984658298464"/>
    <n v="16.911202531645568"/>
    <n v="5228.0300000000007"/>
    <n v="0.1101813110181311"/>
    <x v="2"/>
    <x v="0"/>
    <n v="2023"/>
    <s v="Sun"/>
    <n v="5"/>
  </r>
  <r>
    <s v="CMP-01982"/>
    <s v="Q3_BlackFriday_CMP-01982"/>
    <d v="2023-08-29T00:00:00"/>
    <x v="7"/>
    <d v="2023-09-16T00:00:00"/>
    <x v="1"/>
    <n v="22288"/>
    <n v="552"/>
    <m/>
    <x v="1"/>
    <x v="1456"/>
    <n v="2.4766690595836326E-2"/>
    <n v="1.6777898550724637"/>
    <n v="0"/>
    <n v="-926.14"/>
    <n v="0"/>
    <x v="3"/>
    <x v="3"/>
    <n v="2023"/>
    <s v="Tue"/>
    <n v="18"/>
  </r>
  <r>
    <s v="CMP-01983"/>
    <s v="Q4_BlackFriday_CMP-01983"/>
    <d v="2023-11-12T00:00:00"/>
    <x v="0"/>
    <d v="2023-11-20T00:00:00"/>
    <x v="1"/>
    <n v="96081"/>
    <n v="1134"/>
    <n v="131"/>
    <x v="1"/>
    <x v="1457"/>
    <n v="1.1802541605520342E-2"/>
    <n v="1.231111111111111"/>
    <n v="10.657099236641221"/>
    <n v="5153.92"/>
    <n v="0.11552028218694885"/>
    <x v="0"/>
    <x v="3"/>
    <n v="2023"/>
    <s v="Sun"/>
    <n v="8"/>
  </r>
  <r>
    <s v="CMP-01984"/>
    <s v="Q4_BlackFriday_CMP-01984"/>
    <d v="2023-04-04T00:00:00"/>
    <x v="4"/>
    <d v="2023-05-02T00:00:00"/>
    <x v="4"/>
    <n v="37877"/>
    <n v="908"/>
    <n v="150"/>
    <x v="0"/>
    <x v="1458"/>
    <n v="2.3972331494046518E-2"/>
    <n v="1.9180616740088106"/>
    <n v="11.610666666666667"/>
    <n v="5758.4"/>
    <n v="0.16519823788546256"/>
    <x v="1"/>
    <x v="3"/>
    <n v="2023"/>
    <s v="Tue"/>
    <n v="28"/>
  </r>
  <r>
    <s v="CMP-01985"/>
    <s v="Q4_BlackFriday_CMP-01985"/>
    <d v="2023-06-16T00:00:00"/>
    <x v="9"/>
    <d v="2023-07-12T00:00:00"/>
    <x v="4"/>
    <n v="16313"/>
    <n v="769"/>
    <n v="68"/>
    <x v="1"/>
    <x v="1459"/>
    <n v="4.7140317538159747E-2"/>
    <n v="0.58585175552665802"/>
    <n v="6.6252941176470586"/>
    <n v="2949.48"/>
    <n v="8.8426527958387513E-2"/>
    <x v="3"/>
    <x v="3"/>
    <n v="2023"/>
    <s v="Fri"/>
    <n v="26"/>
  </r>
  <r>
    <s v="CMP-01986"/>
    <s v="Q4_BlackFriday_CMP-01986"/>
    <d v="2023-09-01T00:00:00"/>
    <x v="10"/>
    <d v="2023-09-09T00:00:00"/>
    <x v="4"/>
    <n v="81885"/>
    <n v="2060"/>
    <n v="104"/>
    <x v="0"/>
    <x v="10"/>
    <n v="2.5157232704402517E-2"/>
    <n v="1.7629902912621358"/>
    <n v="34.920769230769231"/>
    <n v="1568.2400000000002"/>
    <n v="5.0485436893203881E-2"/>
    <x v="0"/>
    <x v="3"/>
    <n v="2023"/>
    <s v="Fri"/>
    <n v="8"/>
  </r>
  <r>
    <s v="CMP-01987"/>
    <s v="Q2_Winter_CMP-01987"/>
    <d v="2023-03-29T00:00:00"/>
    <x v="5"/>
    <d v="2023-04-27T00:00:00"/>
    <x v="1"/>
    <n v="73715"/>
    <n v="3188"/>
    <n v="479"/>
    <x v="1"/>
    <x v="1460"/>
    <n v="4.3247642949196231E-2"/>
    <n v="0.57576223337515686"/>
    <n v="3.8320041753653444"/>
    <n v="22114.47"/>
    <n v="0.15025094102885822"/>
    <x v="1"/>
    <x v="2"/>
    <n v="2023"/>
    <s v="Wed"/>
    <n v="29"/>
  </r>
  <r>
    <s v="CMP-01988"/>
    <s v="Q2_Summer_CMP-01988"/>
    <d v="2023-10-22T00:00:00"/>
    <x v="3"/>
    <d v="2023-10-30T00:00:00"/>
    <x v="2"/>
    <n v="11326"/>
    <n v="494"/>
    <n v="96"/>
    <x v="1"/>
    <x v="1461"/>
    <n v="4.3616457707928658E-2"/>
    <n v="1.3209514170040484"/>
    <n v="6.7973958333333329"/>
    <n v="4147.45"/>
    <n v="0.19433198380566802"/>
    <x v="0"/>
    <x v="0"/>
    <n v="2023"/>
    <s v="Sun"/>
    <n v="8"/>
  </r>
  <r>
    <s v="CMP-01989"/>
    <s v="Q3_Launch_CMP-01989"/>
    <d v="2024-01-01T00:00:00"/>
    <x v="11"/>
    <d v="2024-01-16T00:00:00"/>
    <x v="0"/>
    <n v="2560"/>
    <n v="63"/>
    <n v="8"/>
    <x v="0"/>
    <x v="0"/>
    <n v="2.4609374999999999E-2"/>
    <n v="5.2243253968253969"/>
    <n v="41.141562499999999"/>
    <n v="70.867500000000007"/>
    <n v="0.12698412698412698"/>
    <x v="2"/>
    <x v="1"/>
    <n v="2024"/>
    <s v="Mon"/>
    <n v="15"/>
  </r>
  <r>
    <s v="CMP-01990"/>
    <s v="Q4_Launch_CMP-01990"/>
    <d v="2023-11-29T00:00:00"/>
    <x v="0"/>
    <d v="2023-12-28T00:00:00"/>
    <x v="2"/>
    <n v="80148"/>
    <n v="2827"/>
    <n v="192"/>
    <x v="0"/>
    <x v="1462"/>
    <n v="3.5272246344263111E-2"/>
    <n v="0.89408206579412808"/>
    <n v="13.164427083333335"/>
    <n v="7072.43"/>
    <n v="6.7916519278386989E-2"/>
    <x v="0"/>
    <x v="1"/>
    <n v="2023"/>
    <s v="Wed"/>
    <n v="29"/>
  </r>
  <r>
    <s v="CMP-01991"/>
    <s v="Q3_Launch_CMP-01991"/>
    <d v="2023-06-04T00:00:00"/>
    <x v="9"/>
    <d v="2023-06-09T00:00:00"/>
    <x v="0"/>
    <n v="84186"/>
    <n v="1163"/>
    <n v="114"/>
    <x v="1"/>
    <x v="1463"/>
    <n v="1.3814648516380396E-2"/>
    <n v="1.2083748925193465"/>
    <n v="12.327543859649122"/>
    <n v="4294.66"/>
    <n v="9.8022355975924333E-2"/>
    <x v="3"/>
    <x v="1"/>
    <n v="2023"/>
    <s v="Sun"/>
    <n v="5"/>
  </r>
  <r>
    <s v="CMP-01992"/>
    <s v="Q4_Launch_CMP-01992"/>
    <d v="2023-07-31T00:00:00"/>
    <x v="8"/>
    <d v="2023-08-30T00:00:00"/>
    <x v="4"/>
    <n v="27745"/>
    <n v="392"/>
    <n v="70"/>
    <x v="0"/>
    <x v="1464"/>
    <n v="1.412867183276266E-2"/>
    <n v="0.98650510204081632"/>
    <n v="5.5244285714285715"/>
    <n v="3113.29"/>
    <n v="0.17857142857142858"/>
    <x v="3"/>
    <x v="1"/>
    <n v="2023"/>
    <s v="Mon"/>
    <n v="30"/>
  </r>
  <r>
    <s v="CMP-01993"/>
    <s v="Q4_Winter_CMP-01993"/>
    <d v="2023-03-23T00:00:00"/>
    <x v="5"/>
    <d v="2023-03-27T00:00:00"/>
    <x v="4"/>
    <n v="32890"/>
    <n v="392"/>
    <n v="33"/>
    <x v="0"/>
    <x v="1465"/>
    <n v="1.1918516266342353E-2"/>
    <n v="1.9282142857142857"/>
    <n v="22.904848484848486"/>
    <n v="894.14"/>
    <n v="8.4183673469387751E-2"/>
    <x v="1"/>
    <x v="2"/>
    <n v="2023"/>
    <s v="Thu"/>
    <n v="4"/>
  </r>
  <r>
    <s v="CMP-01994"/>
    <s v="Q2_Launch_CMP-01994"/>
    <d v="2023-06-24T00:00:00"/>
    <x v="9"/>
    <d v="2023-07-17T00:00:00"/>
    <x v="1"/>
    <n v="21022"/>
    <n v="698"/>
    <n v="98"/>
    <x v="0"/>
    <x v="1466"/>
    <n v="3.3203310817239082E-2"/>
    <n v="1.7354727793696274"/>
    <n v="12.36081632653061"/>
    <n v="3688.6400000000003"/>
    <n v="0.14040114613180515"/>
    <x v="3"/>
    <x v="1"/>
    <n v="2023"/>
    <s v="Sat"/>
    <n v="23"/>
  </r>
  <r>
    <s v="CMP-01995"/>
    <s v="Q4_Summer_CMP-01995"/>
    <d v="2023-08-09T00:00:00"/>
    <x v="7"/>
    <d v="2023-08-27T00:00:00"/>
    <x v="0"/>
    <n v="53579"/>
    <n v="1448"/>
    <n v="159"/>
    <x v="0"/>
    <x v="1467"/>
    <n v="2.7025513727393195E-2"/>
    <n v="1.5635013812154694"/>
    <n v="14.238679245283018"/>
    <n v="5686.05"/>
    <n v="0.10980662983425414"/>
    <x v="3"/>
    <x v="0"/>
    <n v="2023"/>
    <s v="Wed"/>
    <n v="18"/>
  </r>
  <r>
    <s v="CMP-01996"/>
    <s v="Q2_BlackFriday_CMP-01996"/>
    <d v="2023-06-25T00:00:00"/>
    <x v="9"/>
    <d v="2023-07-12T00:00:00"/>
    <x v="4"/>
    <n v="71316"/>
    <n v="2276"/>
    <n v="184"/>
    <x v="0"/>
    <x v="1468"/>
    <n v="3.1914296931964778E-2"/>
    <n v="1.3814411247803162"/>
    <n v="17.087826086956522"/>
    <n v="6055.84"/>
    <n v="8.0843585237258347E-2"/>
    <x v="3"/>
    <x v="3"/>
    <n v="2023"/>
    <s v="Sun"/>
    <n v="17"/>
  </r>
  <r>
    <s v="CMP-01997"/>
    <s v="Q4_Winter_CMP-01997"/>
    <d v="2023-12-06T00:00:00"/>
    <x v="2"/>
    <d v="2023-12-18T00:00:00"/>
    <x v="1"/>
    <n v="84847"/>
    <n v="2616"/>
    <n v="449"/>
    <x v="1"/>
    <x v="10"/>
    <n v="3.0831968130870861E-2"/>
    <n v="1.3882874617737002"/>
    <n v="8.0885523385300662"/>
    <n v="18818.240000000002"/>
    <n v="0.17163608562691132"/>
    <x v="2"/>
    <x v="2"/>
    <n v="2023"/>
    <s v="Wed"/>
    <n v="12"/>
  </r>
  <r>
    <s v="CMP-01998"/>
    <s v="Q4_BlackFriday_CMP-01998"/>
    <d v="2023-12-31T00:00:00"/>
    <x v="2"/>
    <d v="2024-01-14T00:00:00"/>
    <x v="3"/>
    <n v="29380"/>
    <n v="705"/>
    <m/>
    <x v="1"/>
    <x v="1469"/>
    <n v="2.3995915588835941E-2"/>
    <n v="1.0883971631205676"/>
    <n v="0"/>
    <n v="-767.32"/>
    <n v="0"/>
    <x v="2"/>
    <x v="3"/>
    <n v="2023"/>
    <s v="Sun"/>
    <n v="14"/>
  </r>
  <r>
    <s v="CMP-01999"/>
    <s v="Q1_Launch_CMP-01999"/>
    <d v="2023-10-31T00:00:00"/>
    <x v="3"/>
    <d v="2023-11-24T00:00:00"/>
    <x v="3"/>
    <n v="3356"/>
    <n v="124"/>
    <n v="18"/>
    <x v="1"/>
    <x v="0"/>
    <n v="3.6948748510131108E-2"/>
    <n v="2.6542943548387097"/>
    <n v="18.285138888888888"/>
    <n v="570.86750000000006"/>
    <n v="0.14516129032258066"/>
    <x v="0"/>
    <x v="1"/>
    <n v="2023"/>
    <s v="Tue"/>
    <n v="24"/>
  </r>
  <r>
    <s v="CMP-02000"/>
    <s v="Q2_Winter_CMP-02000"/>
    <d v="2023-02-19T00:00:00"/>
    <x v="6"/>
    <d v="2023-03-04T00:00:00"/>
    <x v="0"/>
    <n v="71326"/>
    <n v="2877"/>
    <n v="245"/>
    <x v="0"/>
    <x v="10"/>
    <n v="4.0335922384544205E-2"/>
    <n v="1.2623427181091413"/>
    <n v="14.823510204081632"/>
    <n v="8618.24"/>
    <n v="8.5158150851581502E-2"/>
    <x v="2"/>
    <x v="2"/>
    <n v="2023"/>
    <s v="Sun"/>
    <n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65DE34-4598-458E-B2BD-1015C5D1A44D}" name="PivotTable6"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channel">
  <location ref="B12:C17" firstHeaderRow="1" firstDataRow="1" firstDataCol="1"/>
  <pivotFields count="21">
    <pivotField showAll="0"/>
    <pivotField showAll="0"/>
    <pivotField numFmtId="14" showAll="0"/>
    <pivotField showAll="0"/>
    <pivotField numFmtId="14" showAll="0"/>
    <pivotField axis="axisRow" showAll="0">
      <items count="6">
        <item x="2"/>
        <item x="1"/>
        <item x="4"/>
        <item x="3"/>
        <item x="0"/>
        <item t="default"/>
      </items>
    </pivotField>
    <pivotField showAll="0"/>
    <pivotField showAll="0"/>
    <pivotField showAll="0"/>
    <pivotField showAll="0"/>
    <pivotField dataField="1" showAll="0"/>
    <pivotField numFmtId="164"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x v="4"/>
    </i>
  </rowItems>
  <colItems count="1">
    <i/>
  </colItems>
  <dataFields count="1">
    <dataField name="Total Spent" fld="10" baseField="5" baseItem="0" numFmtId="166"/>
  </dataFields>
  <formats count="1">
    <format dxfId="0">
      <pivotArea outline="0" collapsedLevelsAreSubtotals="1" fieldPosition="0"/>
    </format>
  </formats>
  <chartFormats count="7">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5" count="1" selected="0">
            <x v="0"/>
          </reference>
        </references>
      </pivotArea>
    </chartFormat>
    <chartFormat chart="7" format="2">
      <pivotArea type="data" outline="0" fieldPosition="0">
        <references count="2">
          <reference field="4294967294" count="1" selected="0">
            <x v="0"/>
          </reference>
          <reference field="5" count="1" selected="0">
            <x v="1"/>
          </reference>
        </references>
      </pivotArea>
    </chartFormat>
    <chartFormat chart="7" format="3">
      <pivotArea type="data" outline="0" fieldPosition="0">
        <references count="2">
          <reference field="4294967294" count="1" selected="0">
            <x v="0"/>
          </reference>
          <reference field="5" count="1" selected="0">
            <x v="2"/>
          </reference>
        </references>
      </pivotArea>
    </chartFormat>
    <chartFormat chart="7" format="4">
      <pivotArea type="data" outline="0" fieldPosition="0">
        <references count="2">
          <reference field="4294967294" count="1" selected="0">
            <x v="0"/>
          </reference>
          <reference field="5" count="1" selected="0">
            <x v="3"/>
          </reference>
        </references>
      </pivotArea>
    </chartFormat>
    <chartFormat chart="7"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5D7FF3-0AE7-4B86-8CDF-A76FC95CDEFA}" name="PivotTable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channel">
  <location ref="G4:H9" firstHeaderRow="1" firstDataRow="1" firstDataCol="1"/>
  <pivotFields count="21">
    <pivotField showAll="0"/>
    <pivotField showAll="0"/>
    <pivotField numFmtId="14" showAll="0"/>
    <pivotField showAll="0"/>
    <pivotField numFmtId="14" showAll="0"/>
    <pivotField axis="axisRow" showAll="0" sortType="descending">
      <items count="6">
        <item x="2"/>
        <item x="1"/>
        <item x="4"/>
        <item x="3"/>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5"/>
  </rowFields>
  <rowItems count="5">
    <i>
      <x v="1"/>
    </i>
    <i>
      <x v="4"/>
    </i>
    <i>
      <x/>
    </i>
    <i>
      <x v="3"/>
    </i>
    <i>
      <x v="2"/>
    </i>
  </rowItems>
  <colItems count="1">
    <i/>
  </colItems>
  <dataFields count="1">
    <dataField name="Total Clicks" fld="7" baseField="0" baseItem="0" numFmtId="165"/>
  </dataFields>
  <formats count="1">
    <format dxfId="1">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F6FB41-085E-450E-B59F-BD9549B6FC5D}" name="PivotTable1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Season">
  <location ref="R20:V21" firstHeaderRow="0" firstDataRow="1" firstDataCol="0"/>
  <pivotFields count="21">
    <pivotField dataField="1" showAll="0"/>
    <pivotField showAll="0"/>
    <pivotField numFmtId="14" showAll="0"/>
    <pivotField showAll="0"/>
    <pivotField numFmtId="14" showAll="0"/>
    <pivotField showAll="0"/>
    <pivotField showAll="0"/>
    <pivotField showAll="0"/>
    <pivotField dataField="1" showAll="0"/>
    <pivotField showAll="0"/>
    <pivotField dataField="1" showAll="0"/>
    <pivotField numFmtId="164" showAll="0"/>
    <pivotField showAll="0"/>
    <pivotField showAll="0"/>
    <pivotField dataField="1"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Total coversions" fld="8" baseField="0" baseItem="0" numFmtId="166"/>
    <dataField name="Spent" fld="10" baseField="0" baseItem="1"/>
    <dataField name="NO.Campaigns" fld="0" subtotal="count" baseField="0" baseItem="0"/>
    <dataField name="Avg. Conversions" fld="8" subtotal="average" baseField="0" baseItem="1"/>
    <dataField name="Total ROI" fld="14" baseField="0" baseItem="0" numFmtId="166"/>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F54C56-8DA5-4557-9CDA-ABC824390E1F}" name="PivotTable10"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Month">
  <location ref="H25:J37" firstHeaderRow="0" firstDataRow="1" firstDataCol="1"/>
  <pivotFields count="21">
    <pivotField showAll="0"/>
    <pivotField showAll="0"/>
    <pivotField numFmtId="14" showAll="0"/>
    <pivotField axis="axisRow" showAll="0">
      <items count="13">
        <item x="11"/>
        <item x="6"/>
        <item x="5"/>
        <item x="4"/>
        <item x="1"/>
        <item x="9"/>
        <item x="8"/>
        <item x="7"/>
        <item x="10"/>
        <item x="3"/>
        <item x="0"/>
        <item x="2"/>
        <item t="default"/>
      </items>
    </pivotField>
    <pivotField numFmtId="14" showAll="0"/>
    <pivotField showAll="0"/>
    <pivotField showAll="0"/>
    <pivotField showAll="0"/>
    <pivotField showAll="0"/>
    <pivotField showAll="0"/>
    <pivotField dataField="1" showAll="0"/>
    <pivotField numFmtId="164" showAll="0"/>
    <pivotField showAll="0"/>
    <pivotField showAll="0"/>
    <pivotField dataField="1"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x v="11"/>
    </i>
  </rowItems>
  <colFields count="1">
    <field x="-2"/>
  </colFields>
  <colItems count="2">
    <i>
      <x/>
    </i>
    <i i="1">
      <x v="1"/>
    </i>
  </colItems>
  <dataFields count="2">
    <dataField name="Spent" fld="10" baseField="3" baseItem="0"/>
    <dataField name=" ROI" fld="14" baseField="0" baseItem="0"/>
  </dataFields>
  <formats count="1">
    <format dxfId="4">
      <pivotArea outline="0" collapsedLevelsAreSubtotals="1" fieldPosition="0"/>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25235E-3863-4FB2-9546-A0C43ADDE2A7}"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Seasons">
  <location ref="B4:C8" firstHeaderRow="1" firstDataRow="1" firstDataCol="1"/>
  <pivotFields count="21">
    <pivotField showAll="0"/>
    <pivotField showAll="0"/>
    <pivotField numFmtId="14" showAll="0"/>
    <pivotField showAll="0"/>
    <pivotField numFmtId="14" showAll="0"/>
    <pivotField showAll="0"/>
    <pivotField showAll="0"/>
    <pivotField showAll="0"/>
    <pivotField showAll="0"/>
    <pivotField showAll="0">
      <items count="3">
        <item x="1"/>
        <item x="0"/>
        <item t="default"/>
      </items>
    </pivotField>
    <pivotField dataField="1" showAll="0"/>
    <pivotField numFmtId="164"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pivotFields>
  <rowFields count="1">
    <field x="16"/>
  </rowFields>
  <rowItems count="4">
    <i>
      <x v="1"/>
    </i>
    <i>
      <x v="2"/>
    </i>
    <i>
      <x/>
    </i>
    <i>
      <x v="3"/>
    </i>
  </rowItems>
  <colItems count="1">
    <i/>
  </colItems>
  <dataFields count="1">
    <dataField name="Total Spent" fld="10" baseField="16" baseItem="0" numFmtId="166"/>
  </dataFields>
  <formats count="1">
    <format dxfId="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F14F4E-84E0-49DF-8841-57544B5483D3}" name="PivotTable9" cacheId="8"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11" rowHeaderCaption="Campaign_Type">
  <location ref="B25:C29" firstHeaderRow="1" firstDataRow="1" firstDataCol="1"/>
  <pivotFields count="21">
    <pivotField showAll="0"/>
    <pivotField showAll="0"/>
    <pivotField numFmtId="14" showAll="0"/>
    <pivotField showAll="0"/>
    <pivotField numFmtId="14" showAll="0"/>
    <pivotField showAll="0"/>
    <pivotField showAll="0"/>
    <pivotField showAll="0"/>
    <pivotField showAll="0"/>
    <pivotField showAll="0"/>
    <pivotField showAll="0"/>
    <pivotField numFmtId="164" showAll="0"/>
    <pivotField showAll="0"/>
    <pivotField dataField="1" showAll="0"/>
    <pivotField showAll="0"/>
    <pivotField showAll="0"/>
    <pivotField showAll="0"/>
    <pivotField axis="axisRow" showAll="0">
      <items count="5">
        <item x="3"/>
        <item x="1"/>
        <item x="2"/>
        <item x="0"/>
        <item t="default"/>
      </items>
    </pivotField>
    <pivotField showAll="0"/>
    <pivotField showAll="0"/>
    <pivotField showAll="0"/>
  </pivotFields>
  <rowFields count="1">
    <field x="17"/>
  </rowFields>
  <rowItems count="4">
    <i>
      <x/>
    </i>
    <i>
      <x v="1"/>
    </i>
    <i>
      <x v="2"/>
    </i>
    <i>
      <x v="3"/>
    </i>
  </rowItems>
  <colItems count="1">
    <i/>
  </colItems>
  <dataFields count="1">
    <dataField name="Average CPA" fld="13" subtotal="average" baseField="17" baseItem="0" numFmtId="44"/>
  </dataFields>
  <formats count="1">
    <format dxfId="6">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EEDB5C-8B33-45F8-85A2-8E5E54AC93DC}" name="PivotTable8"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channel">
  <location ref="L15:M16" firstHeaderRow="1" firstDataRow="1" firstDataCol="1"/>
  <pivotFields count="21">
    <pivotField showAll="0"/>
    <pivotField showAll="0"/>
    <pivotField numFmtId="14" showAll="0"/>
    <pivotField showAll="0"/>
    <pivotField numFmtId="14" showAll="0"/>
    <pivotField axis="axisRow" showAll="0">
      <items count="6">
        <item h="1" x="2"/>
        <item x="1"/>
        <item h="1" x="4"/>
        <item h="1" x="3"/>
        <item h="1" x="0"/>
        <item t="default"/>
      </items>
    </pivotField>
    <pivotField showAll="0"/>
    <pivotField showAll="0"/>
    <pivotField showAll="0"/>
    <pivotField showAll="0"/>
    <pivotField showAll="0"/>
    <pivotField numFmtId="164" showAll="0"/>
    <pivotField showAll="0"/>
    <pivotField showAll="0"/>
    <pivotField showAll="0"/>
    <pivotField dataField="1" showAll="0"/>
    <pivotField showAll="0"/>
    <pivotField showAll="0"/>
    <pivotField showAll="0"/>
    <pivotField showAll="0"/>
    <pivotField showAll="0"/>
  </pivotFields>
  <rowFields count="1">
    <field x="5"/>
  </rowFields>
  <rowItems count="1">
    <i>
      <x v="1"/>
    </i>
  </rowItems>
  <colItems count="1">
    <i/>
  </colItems>
  <dataFields count="1">
    <dataField name="Average of Conversion Rate" fld="15" subtotal="average" baseField="5" baseItem="0" numFmtId="1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139AE5-DCB4-45C8-969E-D5739CEC4423}" name="PivotTable7"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Active">
  <location ref="G15:H16" firstHeaderRow="1" firstDataRow="1" firstDataCol="1"/>
  <pivotFields count="21">
    <pivotField showAll="0"/>
    <pivotField showAll="0"/>
    <pivotField numFmtId="14" showAll="0"/>
    <pivotField showAll="0"/>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axis="axisRow" showAll="0" measureFilter="1">
      <items count="3">
        <item x="1"/>
        <item x="0"/>
        <item t="default"/>
      </items>
    </pivotField>
    <pivotField showAll="0"/>
    <pivotField numFmtId="164" showAll="0"/>
    <pivotField showAll="0"/>
    <pivotField showAll="0"/>
    <pivotField showAll="0"/>
    <pivotField showAll="0"/>
    <pivotField showAll="0"/>
    <pivotField showAll="0"/>
    <pivotField showAll="0"/>
    <pivotField showAll="0"/>
    <pivotField showAll="0"/>
  </pivotFields>
  <rowFields count="1">
    <field x="9"/>
  </rowFields>
  <rowItems count="1">
    <i>
      <x v="1"/>
    </i>
  </rowItems>
  <colItems count="1">
    <i/>
  </colItems>
  <dataFields count="1">
    <dataField name="No. Campaigns" fld="7" subtotal="count"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6BF897-2F68-419C-9D5F-06675451B6F3}" name="PivotTable11"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Season">
  <location ref="M25:N26" firstHeaderRow="1" firstDataRow="1" firstDataCol="1"/>
  <pivotFields count="21">
    <pivotField dataField="1" showAll="0"/>
    <pivotField showAll="0"/>
    <pivotField numFmtId="14" showAll="0"/>
    <pivotField showAll="0"/>
    <pivotField numFmtId="14" showAll="0"/>
    <pivotField showAll="0"/>
    <pivotField showAll="0"/>
    <pivotField showAll="0"/>
    <pivotField showAll="0"/>
    <pivotField showAll="0"/>
    <pivotField showAll="0"/>
    <pivotField numFmtId="164" showAll="0"/>
    <pivotField showAll="0"/>
    <pivotField showAll="0"/>
    <pivotField showAll="0"/>
    <pivotField showAll="0"/>
    <pivotField axis="axisRow" showAll="0" measureFilter="1">
      <items count="5">
        <item x="2"/>
        <item x="3"/>
        <item x="0"/>
        <item x="1"/>
        <item t="default"/>
      </items>
    </pivotField>
    <pivotField showAll="0"/>
    <pivotField showAll="0"/>
    <pivotField showAll="0"/>
    <pivotField showAll="0"/>
  </pivotFields>
  <rowFields count="1">
    <field x="16"/>
  </rowFields>
  <rowItems count="1">
    <i>
      <x v="2"/>
    </i>
  </rowItems>
  <colItems count="1">
    <i/>
  </colItems>
  <dataFields count="1">
    <dataField name="No. Campaigns" fld="0" subtotal="count" baseField="0" baseItem="0"/>
  </dataFields>
  <pivotTableStyleInfo name="PivotStyleLight16" showRowHeaders="1" showColHeaders="1" showRowStripes="0" showColStripes="0" showLastColumn="1"/>
  <filters count="1">
    <filter fld="1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ECF6EE-EDCB-4CEA-ACCE-FC354051FCA4}" name="PivotTable5"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Season">
  <location ref="L4:M5" firstHeaderRow="1" firstDataRow="1" firstDataCol="1"/>
  <pivotFields count="21">
    <pivotField showAll="0"/>
    <pivotField showAll="0"/>
    <pivotField numFmtId="14" showAll="0"/>
    <pivotField showAll="0"/>
    <pivotField numFmtId="14" showAll="0"/>
    <pivotField showAll="0"/>
    <pivotField dataField="1" showAll="0"/>
    <pivotField showAll="0"/>
    <pivotField showAll="0"/>
    <pivotField showAll="0"/>
    <pivotField showAll="0"/>
    <pivotField numFmtId="164"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s>
  <rowFields count="1">
    <field x="16"/>
  </rowFields>
  <rowItems count="1">
    <i>
      <x/>
    </i>
  </rowItems>
  <colItems count="1">
    <i/>
  </colItems>
  <dataFields count="1">
    <dataField name="Total Impressions" fld="6" baseField="0" baseItem="0" numFmtId="166"/>
  </dataFields>
  <formats count="1">
    <format dxfId="8">
      <pivotArea outline="0" collapsedLevelsAreSubtotals="1" fieldPosition="0"/>
    </format>
  </formats>
  <pivotTableStyleInfo name="PivotStyleLight16" showRowHeaders="1" showColHeaders="1" showRowStripes="0" showColStripes="0" showLastColumn="1"/>
  <filters count="1">
    <filter fld="16" type="captionEqual" evalOrder="-1" id="1" stringValue1="Winter">
      <autoFilter ref="A1">
        <filterColumn colId="0">
          <filters>
            <filter val="Winter"/>
          </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73F09803-C65D-45EF-BBA4-6394B03383F4}" sourceName="Campaign_Type">
  <pivotTables>
    <pivotTable tabId="5" name="PivotTable1"/>
  </pivotTables>
  <data>
    <tabular pivotCacheId="1145881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 xr10:uid="{FE86EB88-E533-4B4E-8ADE-B81094620A62}" sourceName="Active">
  <pivotTables>
    <pivotTable tabId="5" name="PivotTable1"/>
  </pivotTables>
  <data>
    <tabular pivotCacheId="114588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Type" xr10:uid="{30C14EDB-D25D-4EBD-9756-9374924502C0}" cache="Slicer_Campaign_Type" caption="Campaign_Type" columnCount="2" rowHeight="310896"/>
  <slicer name="Active" xr10:uid="{FB238A35-50E1-4B0D-8405-93CD3E8C0697}" cache="Slicer_Active" caption="Activ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0B296F-5360-49A3-970E-D437C584855B}" name="marketing_data" displayName="marketing_data" ref="A1:U2001" totalsRowShown="0" headerRowDxfId="16">
  <autoFilter ref="A1:U2001" xr:uid="{530B296F-5360-49A3-970E-D437C584855B}"/>
  <tableColumns count="21">
    <tableColumn id="1" xr3:uid="{B6BC2540-EE14-4A6F-B0F6-211462D19F6E}" name=" Campaign_ID "/>
    <tableColumn id="2" xr3:uid="{5EE06A7B-4AC1-4CAB-AB6E-06C0B6C284CA}" name="Campaign_Name"/>
    <tableColumn id="3" xr3:uid="{BB413937-A251-45CA-9BC4-9ACEA4EAC32C}" name="Start_date" dataDxfId="15"/>
    <tableColumn id="4" xr3:uid="{56DE8AC0-A5FA-44CC-9156-DA3C39D35F15}" name="Month">
      <calculatedColumnFormula>TEXT(C2,"mmm")</calculatedColumnFormula>
    </tableColumn>
    <tableColumn id="5" xr3:uid="{DAB0C00D-28AF-4C4D-BC8B-D97448A66ED7}" name="Cleaned End_date" dataDxfId="14"/>
    <tableColumn id="6" xr3:uid="{87662D75-94A6-417B-85DD-FF7E74A03AE3}" name="Channel"/>
    <tableColumn id="7" xr3:uid="{422C2B7D-062B-4E7A-A533-0CC10A3868C3}" name="Impressions"/>
    <tableColumn id="8" xr3:uid="{F191C56B-7A51-4425-A5BF-B3ABFABA4EC8}" name="Clicks "/>
    <tableColumn id="9" xr3:uid="{55EA69D3-B658-4F1D-ACDB-0258A3EE5945}" name="Conversions"/>
    <tableColumn id="10" xr3:uid="{6748E3B2-3CF7-42EC-A475-D5274E0034A4}" name="Active"/>
    <tableColumn id="11" xr3:uid="{39BA571C-5F0D-48E4-BAF1-5114C10D0DA2}" name="Cleaned Spend" dataDxfId="13"/>
    <tableColumn id="12" xr3:uid="{8A336A9E-1DB9-4F9E-9BC0-D110D84A7F1E}" name="CTR" dataDxfId="12">
      <calculatedColumnFormula>H2/G2</calculatedColumnFormula>
    </tableColumn>
    <tableColumn id="13" xr3:uid="{55038A86-1694-409C-A348-4C39729F25BC}" name="CPC">
      <calculatedColumnFormula>K2/H2</calculatedColumnFormula>
    </tableColumn>
    <tableColumn id="14" xr3:uid="{0B8014E3-2945-420A-8B12-BB034E025D7B}" name="CPA">
      <calculatedColumnFormula>IFERROR(K2/I2,0)</calculatedColumnFormula>
    </tableColumn>
    <tableColumn id="15" xr3:uid="{4C7374A7-C017-4659-94DD-5A0D2E762C53}" name="ROI">
      <calculatedColumnFormula>(50*I2)-K2</calculatedColumnFormula>
    </tableColumn>
    <tableColumn id="16" xr3:uid="{0EAC9329-DAC6-4C93-82C0-FB971C892230}" name="Conversion Rate">
      <calculatedColumnFormula>I2/H2</calculatedColumnFormula>
    </tableColumn>
    <tableColumn id="17" xr3:uid="{FE7CA03E-9E83-4937-A0A2-0B9C2846226E}" name="Season"/>
    <tableColumn id="18" xr3:uid="{175541B3-9394-492F-88EF-141045FEEA23}" name="Campaign_Type"/>
    <tableColumn id="19" xr3:uid="{22F86EBA-8455-4204-8017-CCCFD13FF2C6}" name="year" dataDxfId="11">
      <calculatedColumnFormula>YEAR(marketing_data[[#This Row],[Start_date]])</calculatedColumnFormula>
    </tableColumn>
    <tableColumn id="20" xr3:uid="{D14D0B52-8BD2-4D49-AE22-C84281B42B06}" name="day" dataDxfId="10">
      <calculatedColumnFormula>TEXT(marketing_data[[#This Row],[Start_date]],"ddd")</calculatedColumnFormula>
    </tableColumn>
    <tableColumn id="21" xr3:uid="{F11C308B-42C7-4380-85F6-C238B2909473}" name="duration" dataDxfId="9">
      <calculatedColumnFormula>marketing_data[[#This Row],[Cleaned End_date]]-marketing_data[[#This Row],[Start_date]]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B2E9F-35E5-4D65-8EDE-3A735A2A4AFA}">
  <dimension ref="A1:L2021"/>
  <sheetViews>
    <sheetView topLeftCell="C1" workbookViewId="0">
      <selection activeCell="B23" sqref="B23"/>
    </sheetView>
  </sheetViews>
  <sheetFormatPr defaultRowHeight="14.25" x14ac:dyDescent="0.2"/>
  <cols>
    <col min="1" max="1" width="12.25" bestFit="1" customWidth="1"/>
    <col min="2" max="2" width="24" bestFit="1" customWidth="1"/>
    <col min="3" max="3" width="14.375" bestFit="1" customWidth="1"/>
    <col min="4" max="4" width="10.375" bestFit="1" customWidth="1"/>
    <col min="5" max="5" width="10" bestFit="1" customWidth="1"/>
    <col min="6" max="6" width="10.75" bestFit="1" customWidth="1"/>
    <col min="7" max="7" width="6.25" bestFit="1" customWidth="1"/>
    <col min="8" max="8" width="9.625" bestFit="1" customWidth="1"/>
    <col min="9" max="9" width="10.875" bestFit="1" customWidth="1"/>
    <col min="10" max="11" width="6" bestFit="1" customWidth="1"/>
    <col min="12" max="12" width="12.625" bestFit="1" customWidth="1"/>
    <col min="16" max="16" width="17"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s="1">
        <v>45254</v>
      </c>
      <c r="D2" s="2">
        <v>45273</v>
      </c>
      <c r="E2" t="s">
        <v>14</v>
      </c>
      <c r="F2">
        <v>16795</v>
      </c>
      <c r="G2">
        <v>197</v>
      </c>
      <c r="H2" s="3">
        <v>102.82</v>
      </c>
      <c r="I2">
        <v>20</v>
      </c>
      <c r="J2" t="s">
        <v>15</v>
      </c>
      <c r="L2" t="s">
        <v>16</v>
      </c>
    </row>
    <row r="3" spans="1:12" x14ac:dyDescent="0.2">
      <c r="A3" t="s">
        <v>17</v>
      </c>
      <c r="B3" t="s">
        <v>18</v>
      </c>
      <c r="C3" s="1">
        <v>45052</v>
      </c>
      <c r="D3" s="2">
        <v>45058</v>
      </c>
      <c r="E3" t="s">
        <v>19</v>
      </c>
      <c r="F3">
        <v>1860</v>
      </c>
      <c r="G3">
        <v>30</v>
      </c>
      <c r="H3">
        <v>24.33</v>
      </c>
      <c r="I3">
        <v>1</v>
      </c>
      <c r="J3">
        <v>0</v>
      </c>
      <c r="L3" t="s">
        <v>20</v>
      </c>
    </row>
    <row r="4" spans="1:12" x14ac:dyDescent="0.2">
      <c r="A4" t="s">
        <v>21</v>
      </c>
      <c r="B4" t="s">
        <v>22</v>
      </c>
      <c r="C4" s="1">
        <v>45273</v>
      </c>
      <c r="D4" s="2">
        <v>45280</v>
      </c>
      <c r="E4" t="s">
        <v>23</v>
      </c>
      <c r="F4">
        <v>77820</v>
      </c>
      <c r="G4">
        <v>843</v>
      </c>
      <c r="H4">
        <v>1323.39</v>
      </c>
      <c r="I4">
        <v>51</v>
      </c>
      <c r="J4" t="s">
        <v>24</v>
      </c>
      <c r="L4" t="s">
        <v>25</v>
      </c>
    </row>
    <row r="5" spans="1:12" x14ac:dyDescent="0.2">
      <c r="A5" t="s">
        <v>26</v>
      </c>
      <c r="B5" t="s">
        <v>27</v>
      </c>
      <c r="C5" s="2">
        <v>45229</v>
      </c>
      <c r="D5" s="2">
        <v>45233</v>
      </c>
      <c r="E5" t="s">
        <v>14</v>
      </c>
      <c r="F5">
        <v>55886</v>
      </c>
      <c r="G5">
        <v>2019</v>
      </c>
      <c r="H5">
        <v>2180.38</v>
      </c>
      <c r="I5">
        <v>135</v>
      </c>
      <c r="J5" t="b">
        <v>1</v>
      </c>
      <c r="L5" t="s">
        <v>16</v>
      </c>
    </row>
    <row r="6" spans="1:12" x14ac:dyDescent="0.2">
      <c r="A6" t="s">
        <v>28</v>
      </c>
      <c r="B6" t="s">
        <v>29</v>
      </c>
      <c r="C6" s="1">
        <v>45038</v>
      </c>
      <c r="D6" s="2">
        <v>45039</v>
      </c>
      <c r="E6" t="s">
        <v>19</v>
      </c>
      <c r="F6">
        <v>7265</v>
      </c>
      <c r="G6">
        <v>169</v>
      </c>
      <c r="H6">
        <v>252.44</v>
      </c>
      <c r="I6">
        <v>30</v>
      </c>
      <c r="J6" t="s">
        <v>30</v>
      </c>
      <c r="L6" t="s">
        <v>20</v>
      </c>
    </row>
    <row r="7" spans="1:12" x14ac:dyDescent="0.2">
      <c r="A7" t="s">
        <v>31</v>
      </c>
      <c r="B7" t="s">
        <v>32</v>
      </c>
      <c r="C7" s="1">
        <v>45214</v>
      </c>
      <c r="D7" s="2">
        <v>45227</v>
      </c>
      <c r="E7" t="s">
        <v>33</v>
      </c>
      <c r="F7">
        <v>83386</v>
      </c>
      <c r="G7">
        <v>2643</v>
      </c>
      <c r="H7">
        <v>2697.03</v>
      </c>
      <c r="J7">
        <v>1</v>
      </c>
      <c r="L7" t="s">
        <v>34</v>
      </c>
    </row>
    <row r="8" spans="1:12" x14ac:dyDescent="0.2">
      <c r="A8" t="s">
        <v>35</v>
      </c>
      <c r="B8" t="s">
        <v>36</v>
      </c>
      <c r="C8" s="1">
        <v>45206</v>
      </c>
      <c r="D8" s="2">
        <v>45222</v>
      </c>
      <c r="E8" t="s">
        <v>19</v>
      </c>
      <c r="F8">
        <v>38194</v>
      </c>
      <c r="G8">
        <v>1135</v>
      </c>
      <c r="H8">
        <v>1232.76</v>
      </c>
      <c r="I8">
        <v>178</v>
      </c>
      <c r="J8" t="s">
        <v>30</v>
      </c>
      <c r="L8" t="s">
        <v>20</v>
      </c>
    </row>
    <row r="9" spans="1:12" x14ac:dyDescent="0.2">
      <c r="A9" t="s">
        <v>37</v>
      </c>
      <c r="B9" t="s">
        <v>38</v>
      </c>
      <c r="C9" s="2">
        <v>45069</v>
      </c>
      <c r="D9" s="2">
        <v>45074</v>
      </c>
      <c r="E9" t="s">
        <v>33</v>
      </c>
      <c r="F9">
        <v>88498</v>
      </c>
      <c r="G9">
        <v>1173</v>
      </c>
      <c r="H9">
        <v>865.7</v>
      </c>
      <c r="I9">
        <v>127</v>
      </c>
      <c r="J9">
        <v>1</v>
      </c>
      <c r="L9" t="s">
        <v>34</v>
      </c>
    </row>
    <row r="10" spans="1:12" x14ac:dyDescent="0.2">
      <c r="A10" t="s">
        <v>39</v>
      </c>
      <c r="B10" t="s">
        <v>40</v>
      </c>
      <c r="C10" s="1">
        <v>45008</v>
      </c>
      <c r="D10" s="2">
        <v>45017</v>
      </c>
      <c r="E10" t="s">
        <v>41</v>
      </c>
      <c r="F10">
        <v>45131</v>
      </c>
      <c r="G10">
        <v>1179</v>
      </c>
      <c r="H10">
        <v>1046.18</v>
      </c>
      <c r="I10">
        <v>104</v>
      </c>
      <c r="J10">
        <v>1</v>
      </c>
      <c r="L10" t="s">
        <v>42</v>
      </c>
    </row>
    <row r="11" spans="1:12" x14ac:dyDescent="0.2">
      <c r="A11" t="s">
        <v>43</v>
      </c>
      <c r="B11" t="s">
        <v>44</v>
      </c>
      <c r="C11" s="1">
        <v>45006</v>
      </c>
      <c r="D11" s="2">
        <v>45017</v>
      </c>
      <c r="E11" t="s">
        <v>23</v>
      </c>
      <c r="F11">
        <v>61263</v>
      </c>
      <c r="G11">
        <v>1153</v>
      </c>
      <c r="H11">
        <v>1623.56</v>
      </c>
      <c r="J11">
        <v>0</v>
      </c>
      <c r="L11" t="s">
        <v>25</v>
      </c>
    </row>
    <row r="12" spans="1:12" x14ac:dyDescent="0.2">
      <c r="A12" t="s">
        <v>45</v>
      </c>
      <c r="B12" t="s">
        <v>46</v>
      </c>
      <c r="C12" t="s">
        <v>47</v>
      </c>
      <c r="D12" s="2">
        <v>44986</v>
      </c>
      <c r="E12" t="s">
        <v>33</v>
      </c>
      <c r="F12">
        <v>17023</v>
      </c>
      <c r="G12">
        <v>455</v>
      </c>
      <c r="H12">
        <v>523.13</v>
      </c>
      <c r="I12">
        <v>76</v>
      </c>
      <c r="J12">
        <v>1</v>
      </c>
      <c r="L12" t="s">
        <v>34</v>
      </c>
    </row>
    <row r="13" spans="1:12" x14ac:dyDescent="0.2">
      <c r="A13" t="s">
        <v>48</v>
      </c>
      <c r="B13" t="s">
        <v>49</v>
      </c>
      <c r="C13" s="1">
        <v>44976</v>
      </c>
      <c r="D13" s="2">
        <v>44977</v>
      </c>
      <c r="E13" t="s">
        <v>41</v>
      </c>
      <c r="F13">
        <v>42090</v>
      </c>
      <c r="G13">
        <v>763</v>
      </c>
      <c r="H13">
        <v>1267.69</v>
      </c>
      <c r="I13">
        <v>109</v>
      </c>
      <c r="J13" t="b">
        <v>0</v>
      </c>
      <c r="L13" t="s">
        <v>42</v>
      </c>
    </row>
    <row r="14" spans="1:12" x14ac:dyDescent="0.2">
      <c r="A14" t="s">
        <v>50</v>
      </c>
      <c r="B14" t="s">
        <v>51</v>
      </c>
      <c r="C14" s="1">
        <v>45062</v>
      </c>
      <c r="D14" s="2">
        <v>45078</v>
      </c>
      <c r="E14" t="s">
        <v>41</v>
      </c>
      <c r="F14">
        <v>68221</v>
      </c>
      <c r="G14">
        <v>2975</v>
      </c>
      <c r="H14">
        <v>5292.16</v>
      </c>
      <c r="I14">
        <v>567</v>
      </c>
      <c r="J14" t="s">
        <v>24</v>
      </c>
      <c r="L14" t="s">
        <v>42</v>
      </c>
    </row>
    <row r="15" spans="1:12" x14ac:dyDescent="0.2">
      <c r="A15" t="s">
        <v>52</v>
      </c>
      <c r="B15" t="s">
        <v>53</v>
      </c>
      <c r="C15" s="1">
        <v>45201</v>
      </c>
      <c r="D15" s="2">
        <v>45214</v>
      </c>
      <c r="E15" t="s">
        <v>14</v>
      </c>
      <c r="F15">
        <v>65820</v>
      </c>
      <c r="G15">
        <v>1116</v>
      </c>
      <c r="H15">
        <v>1464.72</v>
      </c>
      <c r="I15">
        <v>169</v>
      </c>
      <c r="J15" t="s">
        <v>15</v>
      </c>
      <c r="L15" t="s">
        <v>16</v>
      </c>
    </row>
    <row r="16" spans="1:12" x14ac:dyDescent="0.2">
      <c r="A16" t="s">
        <v>54</v>
      </c>
      <c r="B16" t="s">
        <v>55</v>
      </c>
      <c r="C16" s="1">
        <v>44967</v>
      </c>
      <c r="D16" s="2">
        <v>44973</v>
      </c>
      <c r="E16" t="s">
        <v>41</v>
      </c>
      <c r="F16">
        <v>1769</v>
      </c>
      <c r="G16">
        <v>85</v>
      </c>
      <c r="H16">
        <v>139.18</v>
      </c>
      <c r="I16">
        <v>11</v>
      </c>
      <c r="J16" t="s">
        <v>30</v>
      </c>
      <c r="L16" t="s">
        <v>42</v>
      </c>
    </row>
    <row r="17" spans="1:12" x14ac:dyDescent="0.2">
      <c r="A17" t="s">
        <v>56</v>
      </c>
      <c r="B17" t="s">
        <v>57</v>
      </c>
      <c r="C17" s="1">
        <v>45243</v>
      </c>
      <c r="D17" s="2">
        <v>45253</v>
      </c>
      <c r="E17" t="s">
        <v>58</v>
      </c>
      <c r="F17">
        <v>60735</v>
      </c>
      <c r="G17">
        <v>1617</v>
      </c>
      <c r="H17">
        <v>1552.9</v>
      </c>
      <c r="I17">
        <v>228</v>
      </c>
      <c r="J17" t="s">
        <v>15</v>
      </c>
      <c r="L17" t="s">
        <v>59</v>
      </c>
    </row>
    <row r="18" spans="1:12" x14ac:dyDescent="0.2">
      <c r="A18" t="s">
        <v>60</v>
      </c>
      <c r="B18" t="s">
        <v>61</v>
      </c>
      <c r="C18" s="2">
        <v>45025</v>
      </c>
      <c r="D18" s="2">
        <v>45200</v>
      </c>
      <c r="E18" t="s">
        <v>23</v>
      </c>
      <c r="F18">
        <v>63955</v>
      </c>
      <c r="G18">
        <v>2804</v>
      </c>
      <c r="H18">
        <v>3147.37</v>
      </c>
      <c r="I18">
        <v>536</v>
      </c>
      <c r="J18" t="s">
        <v>24</v>
      </c>
      <c r="L18" t="s">
        <v>25</v>
      </c>
    </row>
    <row r="19" spans="1:12" x14ac:dyDescent="0.2">
      <c r="A19" t="s">
        <v>62</v>
      </c>
      <c r="B19" t="s">
        <v>63</v>
      </c>
      <c r="C19" s="1">
        <v>45043</v>
      </c>
      <c r="D19" s="2">
        <v>45071</v>
      </c>
      <c r="E19" t="s">
        <v>33</v>
      </c>
      <c r="F19">
        <v>65925</v>
      </c>
      <c r="G19">
        <v>2317</v>
      </c>
      <c r="H19">
        <v>3635.76</v>
      </c>
      <c r="I19">
        <v>389</v>
      </c>
      <c r="J19" t="b">
        <v>1</v>
      </c>
      <c r="L19" t="s">
        <v>34</v>
      </c>
    </row>
    <row r="20" spans="1:12" x14ac:dyDescent="0.2">
      <c r="A20" t="s">
        <v>64</v>
      </c>
      <c r="B20" t="s">
        <v>65</v>
      </c>
      <c r="C20" s="1">
        <v>45046</v>
      </c>
      <c r="D20" s="2">
        <v>45064</v>
      </c>
      <c r="E20" t="s">
        <v>19</v>
      </c>
      <c r="F20">
        <v>68969</v>
      </c>
      <c r="G20">
        <v>2718</v>
      </c>
      <c r="H20">
        <v>2933.59</v>
      </c>
      <c r="I20">
        <v>145</v>
      </c>
      <c r="J20" t="s">
        <v>24</v>
      </c>
      <c r="L20" t="s">
        <v>20</v>
      </c>
    </row>
    <row r="21" spans="1:12" x14ac:dyDescent="0.2">
      <c r="A21" t="s">
        <v>66</v>
      </c>
      <c r="B21" t="s">
        <v>67</v>
      </c>
      <c r="C21" s="1">
        <v>45159</v>
      </c>
      <c r="D21" s="2">
        <v>45168</v>
      </c>
      <c r="E21" t="s">
        <v>23</v>
      </c>
      <c r="F21">
        <v>6311</v>
      </c>
      <c r="G21">
        <v>256</v>
      </c>
      <c r="H21">
        <v>353.99</v>
      </c>
      <c r="J21" t="s">
        <v>30</v>
      </c>
      <c r="L21" t="s">
        <v>68</v>
      </c>
    </row>
    <row r="22" spans="1:12" x14ac:dyDescent="0.2">
      <c r="A22" t="s">
        <v>69</v>
      </c>
      <c r="B22" t="s">
        <v>70</v>
      </c>
      <c r="C22" s="1">
        <v>45116</v>
      </c>
      <c r="D22" s="2">
        <v>45124</v>
      </c>
      <c r="E22" t="s">
        <v>19</v>
      </c>
      <c r="F22">
        <v>84104</v>
      </c>
      <c r="G22">
        <v>2539</v>
      </c>
      <c r="H22">
        <v>1975.49</v>
      </c>
      <c r="J22" t="s">
        <v>15</v>
      </c>
      <c r="L22" t="s">
        <v>20</v>
      </c>
    </row>
    <row r="23" spans="1:12" x14ac:dyDescent="0.2">
      <c r="A23" t="s">
        <v>71</v>
      </c>
      <c r="B23" t="s">
        <v>72</v>
      </c>
      <c r="C23" s="1">
        <v>45286</v>
      </c>
      <c r="D23" s="2">
        <v>45293</v>
      </c>
      <c r="E23" t="s">
        <v>41</v>
      </c>
      <c r="F23">
        <v>54707</v>
      </c>
      <c r="G23">
        <v>1735</v>
      </c>
      <c r="H23" s="3">
        <v>2428.4</v>
      </c>
      <c r="J23" t="s">
        <v>15</v>
      </c>
      <c r="L23" t="s">
        <v>42</v>
      </c>
    </row>
    <row r="24" spans="1:12" x14ac:dyDescent="0.2">
      <c r="A24" t="s">
        <v>73</v>
      </c>
      <c r="B24" t="s">
        <v>74</v>
      </c>
      <c r="C24" s="1">
        <v>45238</v>
      </c>
      <c r="D24" s="2">
        <v>45254</v>
      </c>
      <c r="E24" t="s">
        <v>41</v>
      </c>
      <c r="F24">
        <v>86305</v>
      </c>
      <c r="G24">
        <v>2637</v>
      </c>
      <c r="H24" s="3">
        <v>4726.22</v>
      </c>
      <c r="I24">
        <v>216</v>
      </c>
      <c r="J24">
        <v>0</v>
      </c>
      <c r="K24">
        <v>86385</v>
      </c>
      <c r="L24" t="s">
        <v>42</v>
      </c>
    </row>
    <row r="25" spans="1:12" x14ac:dyDescent="0.2">
      <c r="A25" t="s">
        <v>75</v>
      </c>
      <c r="B25" t="s">
        <v>76</v>
      </c>
      <c r="C25" s="1">
        <v>45052</v>
      </c>
      <c r="D25" s="2">
        <v>45047</v>
      </c>
      <c r="E25" t="s">
        <v>33</v>
      </c>
      <c r="F25">
        <v>29693</v>
      </c>
      <c r="G25">
        <v>995</v>
      </c>
      <c r="H25">
        <v>1793.94</v>
      </c>
      <c r="I25">
        <v>179</v>
      </c>
      <c r="J25">
        <v>0</v>
      </c>
      <c r="L25" t="s">
        <v>34</v>
      </c>
    </row>
    <row r="26" spans="1:12" x14ac:dyDescent="0.2">
      <c r="A26" t="s">
        <v>77</v>
      </c>
      <c r="B26" t="s">
        <v>78</v>
      </c>
      <c r="C26" s="1">
        <v>45254</v>
      </c>
      <c r="D26" s="2">
        <v>45278</v>
      </c>
      <c r="E26" t="s">
        <v>23</v>
      </c>
      <c r="F26">
        <v>72932</v>
      </c>
      <c r="G26">
        <v>815</v>
      </c>
      <c r="H26">
        <v>1293.01</v>
      </c>
      <c r="I26">
        <v>157</v>
      </c>
      <c r="J26" t="s">
        <v>24</v>
      </c>
      <c r="L26" t="s">
        <v>25</v>
      </c>
    </row>
    <row r="27" spans="1:12" x14ac:dyDescent="0.2">
      <c r="A27" t="s">
        <v>79</v>
      </c>
      <c r="B27" t="s">
        <v>80</v>
      </c>
      <c r="C27" s="1">
        <v>45093</v>
      </c>
      <c r="D27" s="2">
        <v>45109</v>
      </c>
      <c r="E27" t="s">
        <v>41</v>
      </c>
      <c r="F27">
        <v>94016</v>
      </c>
      <c r="G27">
        <v>2427</v>
      </c>
      <c r="H27">
        <v>3928.42</v>
      </c>
      <c r="I27">
        <v>207</v>
      </c>
      <c r="J27" t="s">
        <v>24</v>
      </c>
      <c r="L27" t="s">
        <v>42</v>
      </c>
    </row>
    <row r="28" spans="1:12" x14ac:dyDescent="0.2">
      <c r="A28" t="s">
        <v>81</v>
      </c>
      <c r="B28" t="s">
        <v>82</v>
      </c>
      <c r="C28" s="1">
        <v>45044</v>
      </c>
      <c r="D28" s="2">
        <v>45058</v>
      </c>
      <c r="E28" t="s">
        <v>14</v>
      </c>
      <c r="F28">
        <v>26658</v>
      </c>
      <c r="G28">
        <v>912</v>
      </c>
      <c r="H28">
        <v>1219.24</v>
      </c>
      <c r="I28">
        <v>166</v>
      </c>
      <c r="J28" t="b">
        <v>1</v>
      </c>
      <c r="L28" t="s">
        <v>16</v>
      </c>
    </row>
    <row r="29" spans="1:12" x14ac:dyDescent="0.2">
      <c r="A29" t="s">
        <v>83</v>
      </c>
      <c r="B29" t="s">
        <v>84</v>
      </c>
      <c r="C29" s="1">
        <v>45132</v>
      </c>
      <c r="D29" s="2">
        <v>45146</v>
      </c>
      <c r="E29" t="s">
        <v>23</v>
      </c>
      <c r="F29">
        <v>85478</v>
      </c>
      <c r="G29">
        <v>2898</v>
      </c>
      <c r="H29">
        <v>3990.55</v>
      </c>
      <c r="I29">
        <v>187</v>
      </c>
      <c r="J29">
        <v>1</v>
      </c>
      <c r="L29" t="s">
        <v>25</v>
      </c>
    </row>
    <row r="30" spans="1:12" x14ac:dyDescent="0.2">
      <c r="A30" t="s">
        <v>85</v>
      </c>
      <c r="B30" t="s">
        <v>86</v>
      </c>
      <c r="C30" s="1">
        <v>45217</v>
      </c>
      <c r="D30" s="2">
        <v>45245</v>
      </c>
      <c r="E30" t="s">
        <v>33</v>
      </c>
      <c r="F30">
        <v>19431</v>
      </c>
      <c r="G30">
        <v>810</v>
      </c>
      <c r="H30">
        <v>567.39</v>
      </c>
      <c r="I30">
        <v>47</v>
      </c>
      <c r="J30" t="s">
        <v>30</v>
      </c>
      <c r="L30" t="s">
        <v>34</v>
      </c>
    </row>
    <row r="31" spans="1:12" x14ac:dyDescent="0.2">
      <c r="A31" t="s">
        <v>87</v>
      </c>
      <c r="B31" t="s">
        <v>88</v>
      </c>
      <c r="C31" s="1">
        <v>45262</v>
      </c>
      <c r="D31" s="2">
        <v>45268</v>
      </c>
      <c r="E31" t="s">
        <v>33</v>
      </c>
      <c r="F31">
        <v>3747</v>
      </c>
      <c r="G31">
        <v>135</v>
      </c>
      <c r="H31">
        <v>157.38</v>
      </c>
      <c r="I31">
        <v>9</v>
      </c>
      <c r="J31">
        <v>0</v>
      </c>
      <c r="L31" t="s">
        <v>34</v>
      </c>
    </row>
    <row r="32" spans="1:12" x14ac:dyDescent="0.2">
      <c r="A32" t="s">
        <v>89</v>
      </c>
      <c r="B32" t="s">
        <v>90</v>
      </c>
      <c r="C32" s="1">
        <v>45256</v>
      </c>
      <c r="D32" s="2">
        <v>45272</v>
      </c>
      <c r="E32" t="s">
        <v>41</v>
      </c>
      <c r="F32">
        <v>60150</v>
      </c>
      <c r="G32">
        <v>2988</v>
      </c>
      <c r="H32">
        <v>3514.38</v>
      </c>
      <c r="I32">
        <v>175</v>
      </c>
      <c r="J32" t="s">
        <v>30</v>
      </c>
      <c r="L32" t="s">
        <v>42</v>
      </c>
    </row>
    <row r="33" spans="1:12" x14ac:dyDescent="0.2">
      <c r="A33" t="s">
        <v>91</v>
      </c>
      <c r="B33" t="s">
        <v>92</v>
      </c>
      <c r="C33" s="1">
        <v>45053</v>
      </c>
      <c r="D33" s="2">
        <v>45075</v>
      </c>
      <c r="E33" t="s">
        <v>33</v>
      </c>
      <c r="F33">
        <v>66725</v>
      </c>
      <c r="G33">
        <v>1424</v>
      </c>
      <c r="H33" s="3">
        <v>2759.35</v>
      </c>
      <c r="I33">
        <v>251</v>
      </c>
      <c r="J33" t="b">
        <v>1</v>
      </c>
      <c r="L33" t="s">
        <v>34</v>
      </c>
    </row>
    <row r="34" spans="1:12" x14ac:dyDescent="0.2">
      <c r="A34" t="s">
        <v>93</v>
      </c>
      <c r="B34" t="s">
        <v>94</v>
      </c>
      <c r="C34" s="1">
        <v>45226</v>
      </c>
      <c r="D34" s="2">
        <v>45228</v>
      </c>
      <c r="E34" t="s">
        <v>33</v>
      </c>
      <c r="F34">
        <v>85654</v>
      </c>
      <c r="G34">
        <v>2087</v>
      </c>
      <c r="H34" s="3">
        <v>2393.02</v>
      </c>
      <c r="I34">
        <v>122</v>
      </c>
      <c r="J34">
        <v>0</v>
      </c>
      <c r="L34" t="s">
        <v>34</v>
      </c>
    </row>
    <row r="35" spans="1:12" x14ac:dyDescent="0.2">
      <c r="A35" t="s">
        <v>95</v>
      </c>
      <c r="B35" t="s">
        <v>96</v>
      </c>
      <c r="C35" s="1">
        <v>45112</v>
      </c>
      <c r="D35" s="2">
        <v>45124</v>
      </c>
      <c r="E35" t="s">
        <v>19</v>
      </c>
      <c r="F35">
        <v>36773</v>
      </c>
      <c r="G35">
        <v>932</v>
      </c>
      <c r="H35">
        <v>1233.98</v>
      </c>
      <c r="I35">
        <v>84</v>
      </c>
      <c r="J35">
        <v>0</v>
      </c>
      <c r="L35" t="s">
        <v>20</v>
      </c>
    </row>
    <row r="36" spans="1:12" x14ac:dyDescent="0.2">
      <c r="A36" t="s">
        <v>97</v>
      </c>
      <c r="B36" t="s">
        <v>98</v>
      </c>
      <c r="C36" s="1">
        <v>45187</v>
      </c>
      <c r="D36" s="2">
        <v>45191</v>
      </c>
      <c r="E36" t="s">
        <v>33</v>
      </c>
      <c r="F36">
        <v>68435</v>
      </c>
      <c r="G36">
        <v>1959</v>
      </c>
      <c r="H36">
        <v>2546.46</v>
      </c>
      <c r="I36">
        <v>128</v>
      </c>
      <c r="J36">
        <v>1</v>
      </c>
      <c r="L36" t="s">
        <v>34</v>
      </c>
    </row>
    <row r="37" spans="1:12" x14ac:dyDescent="0.2">
      <c r="A37" t="s">
        <v>99</v>
      </c>
      <c r="B37" t="s">
        <v>100</v>
      </c>
      <c r="C37" s="1">
        <v>44983</v>
      </c>
      <c r="D37" s="2">
        <v>44986</v>
      </c>
      <c r="E37" t="s">
        <v>14</v>
      </c>
      <c r="F37">
        <v>57886</v>
      </c>
      <c r="G37">
        <v>2514</v>
      </c>
      <c r="H37">
        <v>3658.23</v>
      </c>
      <c r="I37">
        <v>237</v>
      </c>
      <c r="J37" t="s">
        <v>30</v>
      </c>
      <c r="L37" t="s">
        <v>16</v>
      </c>
    </row>
    <row r="38" spans="1:12" x14ac:dyDescent="0.2">
      <c r="A38" t="s">
        <v>101</v>
      </c>
      <c r="B38" t="s">
        <v>102</v>
      </c>
      <c r="C38" s="2">
        <v>45275</v>
      </c>
      <c r="D38" s="2">
        <v>45286</v>
      </c>
      <c r="E38" t="s">
        <v>33</v>
      </c>
      <c r="F38">
        <v>67803</v>
      </c>
      <c r="G38">
        <v>1317</v>
      </c>
      <c r="H38" s="3">
        <v>2136.63</v>
      </c>
      <c r="I38">
        <v>83</v>
      </c>
      <c r="J38" t="s">
        <v>30</v>
      </c>
      <c r="L38" t="s">
        <v>34</v>
      </c>
    </row>
    <row r="39" spans="1:12" x14ac:dyDescent="0.2">
      <c r="A39" t="s">
        <v>103</v>
      </c>
      <c r="B39" t="s">
        <v>104</v>
      </c>
      <c r="C39" s="1">
        <v>45122</v>
      </c>
      <c r="D39" s="2">
        <v>45145</v>
      </c>
      <c r="E39" t="s">
        <v>14</v>
      </c>
      <c r="F39">
        <v>32551</v>
      </c>
      <c r="G39">
        <v>1335</v>
      </c>
      <c r="H39" s="3">
        <v>1118.1500000000001</v>
      </c>
      <c r="I39">
        <v>200</v>
      </c>
      <c r="J39" t="s">
        <v>30</v>
      </c>
      <c r="L39" t="s">
        <v>16</v>
      </c>
    </row>
    <row r="40" spans="1:12" x14ac:dyDescent="0.2">
      <c r="A40" t="s">
        <v>105</v>
      </c>
      <c r="B40" t="s">
        <v>106</v>
      </c>
      <c r="C40" s="1">
        <v>45055</v>
      </c>
      <c r="D40" s="2">
        <v>45071</v>
      </c>
      <c r="E40" t="s">
        <v>23</v>
      </c>
      <c r="F40">
        <v>12394</v>
      </c>
      <c r="G40">
        <v>324</v>
      </c>
      <c r="H40">
        <v>418.96</v>
      </c>
      <c r="I40">
        <v>22</v>
      </c>
      <c r="J40">
        <v>1</v>
      </c>
      <c r="L40" t="s">
        <v>25</v>
      </c>
    </row>
    <row r="41" spans="1:12" x14ac:dyDescent="0.2">
      <c r="A41" t="s">
        <v>107</v>
      </c>
      <c r="B41" t="s">
        <v>108</v>
      </c>
      <c r="C41" s="1">
        <v>44932</v>
      </c>
      <c r="D41" s="2">
        <v>44952</v>
      </c>
      <c r="E41" t="s">
        <v>23</v>
      </c>
      <c r="F41">
        <v>70092</v>
      </c>
      <c r="G41">
        <v>2388</v>
      </c>
      <c r="H41">
        <v>4152.4399999999996</v>
      </c>
      <c r="I41">
        <v>424</v>
      </c>
      <c r="J41">
        <v>0</v>
      </c>
      <c r="L41" t="s">
        <v>25</v>
      </c>
    </row>
    <row r="42" spans="1:12" x14ac:dyDescent="0.2">
      <c r="A42" t="s">
        <v>109</v>
      </c>
      <c r="B42" t="s">
        <v>110</v>
      </c>
      <c r="C42" s="1">
        <v>45201</v>
      </c>
      <c r="D42" s="2">
        <v>45211</v>
      </c>
      <c r="E42" t="s">
        <v>23</v>
      </c>
      <c r="F42">
        <v>4890</v>
      </c>
      <c r="G42">
        <v>172</v>
      </c>
      <c r="H42" s="3">
        <v>205.48</v>
      </c>
      <c r="I42">
        <v>29</v>
      </c>
      <c r="J42" t="b">
        <v>1</v>
      </c>
      <c r="L42" t="s">
        <v>25</v>
      </c>
    </row>
    <row r="43" spans="1:12" x14ac:dyDescent="0.2">
      <c r="A43" t="s">
        <v>111</v>
      </c>
      <c r="B43" t="s">
        <v>112</v>
      </c>
      <c r="C43" s="1">
        <v>45101</v>
      </c>
      <c r="D43" s="2">
        <v>45106</v>
      </c>
      <c r="E43" t="s">
        <v>14</v>
      </c>
      <c r="F43">
        <v>42606</v>
      </c>
      <c r="G43">
        <v>1061</v>
      </c>
      <c r="H43">
        <v>973.67</v>
      </c>
      <c r="I43">
        <v>55</v>
      </c>
      <c r="J43" t="s">
        <v>30</v>
      </c>
      <c r="L43" t="s">
        <v>16</v>
      </c>
    </row>
    <row r="44" spans="1:12" x14ac:dyDescent="0.2">
      <c r="A44" t="s">
        <v>113</v>
      </c>
      <c r="B44" t="s">
        <v>114</v>
      </c>
      <c r="C44" t="s">
        <v>115</v>
      </c>
      <c r="D44" s="2">
        <v>45167</v>
      </c>
      <c r="E44" t="s">
        <v>33</v>
      </c>
      <c r="F44">
        <v>97276</v>
      </c>
      <c r="G44">
        <v>2967</v>
      </c>
      <c r="H44">
        <v>4397.28</v>
      </c>
      <c r="I44">
        <v>546</v>
      </c>
      <c r="J44" t="s">
        <v>15</v>
      </c>
      <c r="L44" t="s">
        <v>34</v>
      </c>
    </row>
    <row r="45" spans="1:12" x14ac:dyDescent="0.2">
      <c r="A45" t="s">
        <v>116</v>
      </c>
      <c r="B45" t="s">
        <v>117</v>
      </c>
      <c r="C45" s="1">
        <v>45061</v>
      </c>
      <c r="D45" s="2">
        <v>45078</v>
      </c>
      <c r="E45" t="s">
        <v>58</v>
      </c>
      <c r="F45">
        <v>81038</v>
      </c>
      <c r="G45">
        <v>2149</v>
      </c>
      <c r="H45">
        <v>3729.91</v>
      </c>
      <c r="I45">
        <v>116</v>
      </c>
      <c r="J45">
        <v>1</v>
      </c>
      <c r="K45">
        <v>81075</v>
      </c>
      <c r="L45" t="s">
        <v>59</v>
      </c>
    </row>
    <row r="46" spans="1:12" x14ac:dyDescent="0.2">
      <c r="A46" t="s">
        <v>118</v>
      </c>
      <c r="B46" t="s">
        <v>119</v>
      </c>
      <c r="C46" s="1">
        <v>45186</v>
      </c>
      <c r="D46" s="2">
        <v>45202</v>
      </c>
      <c r="E46" t="s">
        <v>14</v>
      </c>
      <c r="F46">
        <v>88313</v>
      </c>
      <c r="G46">
        <v>1127</v>
      </c>
      <c r="H46">
        <v>670.24</v>
      </c>
      <c r="I46">
        <v>96</v>
      </c>
      <c r="J46" t="b">
        <v>0</v>
      </c>
      <c r="L46" t="s">
        <v>16</v>
      </c>
    </row>
    <row r="47" spans="1:12" x14ac:dyDescent="0.2">
      <c r="A47" t="s">
        <v>120</v>
      </c>
      <c r="B47" t="s">
        <v>121</v>
      </c>
      <c r="C47" s="1">
        <v>45079</v>
      </c>
      <c r="D47" s="2">
        <v>45105</v>
      </c>
      <c r="E47" t="s">
        <v>33</v>
      </c>
      <c r="F47">
        <v>11627</v>
      </c>
      <c r="G47">
        <v>319</v>
      </c>
      <c r="H47">
        <v>531.19000000000005</v>
      </c>
      <c r="I47">
        <v>17</v>
      </c>
      <c r="J47" t="b">
        <v>1</v>
      </c>
      <c r="L47" t="s">
        <v>34</v>
      </c>
    </row>
    <row r="48" spans="1:12" x14ac:dyDescent="0.2">
      <c r="A48" t="s">
        <v>122</v>
      </c>
      <c r="B48" t="s">
        <v>123</v>
      </c>
      <c r="C48" s="1">
        <v>45028</v>
      </c>
      <c r="D48" s="2">
        <v>45035</v>
      </c>
      <c r="E48" t="s">
        <v>41</v>
      </c>
      <c r="F48">
        <v>9792</v>
      </c>
      <c r="G48">
        <v>136</v>
      </c>
      <c r="H48">
        <v>235.62</v>
      </c>
      <c r="I48">
        <v>13</v>
      </c>
      <c r="J48" t="s">
        <v>15</v>
      </c>
      <c r="L48" t="s">
        <v>42</v>
      </c>
    </row>
    <row r="49" spans="1:12" x14ac:dyDescent="0.2">
      <c r="A49" t="s">
        <v>124</v>
      </c>
      <c r="B49" t="s">
        <v>125</v>
      </c>
      <c r="C49" s="1">
        <v>45203</v>
      </c>
      <c r="D49" s="2">
        <v>45217</v>
      </c>
      <c r="E49" t="s">
        <v>23</v>
      </c>
      <c r="F49">
        <v>74969</v>
      </c>
      <c r="G49">
        <v>1964</v>
      </c>
      <c r="H49">
        <v>2341.65</v>
      </c>
      <c r="I49">
        <v>249</v>
      </c>
      <c r="J49" t="s">
        <v>30</v>
      </c>
      <c r="L49" t="s">
        <v>25</v>
      </c>
    </row>
    <row r="50" spans="1:12" x14ac:dyDescent="0.2">
      <c r="A50" t="s">
        <v>126</v>
      </c>
      <c r="B50" t="s">
        <v>127</v>
      </c>
      <c r="C50" s="1">
        <v>44927</v>
      </c>
      <c r="D50" s="2">
        <v>44943</v>
      </c>
      <c r="E50" t="s">
        <v>19</v>
      </c>
      <c r="F50">
        <v>44001</v>
      </c>
      <c r="G50">
        <v>1483</v>
      </c>
      <c r="H50">
        <v>2928.86</v>
      </c>
      <c r="J50" t="b">
        <v>0</v>
      </c>
      <c r="L50" t="s">
        <v>20</v>
      </c>
    </row>
    <row r="51" spans="1:12" x14ac:dyDescent="0.2">
      <c r="A51" t="s">
        <v>128</v>
      </c>
      <c r="B51" t="s">
        <v>129</v>
      </c>
      <c r="C51" s="1">
        <v>44984</v>
      </c>
      <c r="D51" s="2">
        <v>44985</v>
      </c>
      <c r="E51" t="s">
        <v>23</v>
      </c>
      <c r="F51">
        <v>77552</v>
      </c>
      <c r="G51">
        <v>2572</v>
      </c>
      <c r="H51">
        <v>4321.12</v>
      </c>
      <c r="I51">
        <v>258</v>
      </c>
      <c r="J51" t="b">
        <v>1</v>
      </c>
      <c r="L51" t="s">
        <v>68</v>
      </c>
    </row>
    <row r="52" spans="1:12" x14ac:dyDescent="0.2">
      <c r="A52" t="s">
        <v>130</v>
      </c>
      <c r="B52" t="s">
        <v>131</v>
      </c>
      <c r="C52" s="1">
        <v>45084</v>
      </c>
      <c r="D52" s="2">
        <v>45094</v>
      </c>
      <c r="E52" t="s">
        <v>41</v>
      </c>
      <c r="F52">
        <v>24897</v>
      </c>
      <c r="G52">
        <v>908</v>
      </c>
      <c r="H52">
        <v>1507.73</v>
      </c>
      <c r="I52">
        <v>141</v>
      </c>
      <c r="J52">
        <v>1</v>
      </c>
      <c r="L52" t="s">
        <v>42</v>
      </c>
    </row>
    <row r="53" spans="1:12" x14ac:dyDescent="0.2">
      <c r="A53" t="s">
        <v>132</v>
      </c>
      <c r="B53" t="s">
        <v>133</v>
      </c>
      <c r="C53" s="2">
        <v>45217</v>
      </c>
      <c r="D53" s="2">
        <v>45238</v>
      </c>
      <c r="E53" t="s">
        <v>14</v>
      </c>
      <c r="F53">
        <v>69148</v>
      </c>
      <c r="G53">
        <v>954</v>
      </c>
      <c r="H53">
        <v>1547.16</v>
      </c>
      <c r="I53">
        <v>74</v>
      </c>
      <c r="J53" t="b">
        <v>0</v>
      </c>
      <c r="L53" t="s">
        <v>16</v>
      </c>
    </row>
    <row r="54" spans="1:12" x14ac:dyDescent="0.2">
      <c r="A54" t="s">
        <v>134</v>
      </c>
      <c r="B54" t="s">
        <v>135</v>
      </c>
      <c r="C54" s="1">
        <v>45175</v>
      </c>
      <c r="D54" s="2">
        <v>45181</v>
      </c>
      <c r="E54" t="s">
        <v>19</v>
      </c>
      <c r="F54">
        <v>24483</v>
      </c>
      <c r="G54">
        <v>883</v>
      </c>
      <c r="H54">
        <v>640.98</v>
      </c>
      <c r="J54">
        <v>0</v>
      </c>
      <c r="L54" t="s">
        <v>20</v>
      </c>
    </row>
    <row r="55" spans="1:12" x14ac:dyDescent="0.2">
      <c r="A55" t="s">
        <v>136</v>
      </c>
      <c r="B55" t="s">
        <v>137</v>
      </c>
      <c r="C55" s="1">
        <v>45199</v>
      </c>
      <c r="D55" s="2">
        <v>45210</v>
      </c>
      <c r="E55" t="s">
        <v>138</v>
      </c>
      <c r="F55">
        <v>49555</v>
      </c>
      <c r="G55">
        <v>1114</v>
      </c>
      <c r="H55" s="3">
        <v>919.99</v>
      </c>
      <c r="I55">
        <v>95</v>
      </c>
      <c r="J55" t="s">
        <v>24</v>
      </c>
      <c r="L55" t="s">
        <v>139</v>
      </c>
    </row>
    <row r="56" spans="1:12" x14ac:dyDescent="0.2">
      <c r="A56" t="s">
        <v>140</v>
      </c>
      <c r="B56" t="s">
        <v>141</v>
      </c>
      <c r="C56" s="1">
        <v>45170</v>
      </c>
      <c r="D56" s="2">
        <v>45165</v>
      </c>
      <c r="E56" t="s">
        <v>41</v>
      </c>
      <c r="F56">
        <v>18159</v>
      </c>
      <c r="G56">
        <v>471</v>
      </c>
      <c r="H56">
        <v>563.30999999999995</v>
      </c>
      <c r="I56">
        <v>33</v>
      </c>
      <c r="J56" t="b">
        <v>0</v>
      </c>
      <c r="L56" t="s">
        <v>42</v>
      </c>
    </row>
    <row r="57" spans="1:12" x14ac:dyDescent="0.2">
      <c r="A57" t="s">
        <v>142</v>
      </c>
      <c r="B57" t="s">
        <v>143</v>
      </c>
      <c r="C57" s="1">
        <v>45197</v>
      </c>
      <c r="D57" s="2">
        <v>45207</v>
      </c>
      <c r="E57" t="s">
        <v>19</v>
      </c>
      <c r="F57">
        <v>81077</v>
      </c>
      <c r="G57">
        <v>3593</v>
      </c>
      <c r="H57" s="3">
        <v>3219.35</v>
      </c>
      <c r="I57">
        <v>279</v>
      </c>
      <c r="J57" t="s">
        <v>24</v>
      </c>
      <c r="L57" t="s">
        <v>20</v>
      </c>
    </row>
    <row r="58" spans="1:12" x14ac:dyDescent="0.2">
      <c r="A58" t="s">
        <v>144</v>
      </c>
      <c r="B58" t="s">
        <v>145</v>
      </c>
      <c r="C58" s="1">
        <v>45035</v>
      </c>
      <c r="D58" s="2">
        <v>45057</v>
      </c>
      <c r="E58" t="s">
        <v>23</v>
      </c>
      <c r="F58">
        <v>36920</v>
      </c>
      <c r="G58">
        <v>382</v>
      </c>
      <c r="H58">
        <v>428.93</v>
      </c>
      <c r="I58">
        <v>29</v>
      </c>
      <c r="J58" t="s">
        <v>15</v>
      </c>
      <c r="L58" t="s">
        <v>25</v>
      </c>
    </row>
    <row r="59" spans="1:12" x14ac:dyDescent="0.2">
      <c r="A59" t="s">
        <v>146</v>
      </c>
      <c r="B59" t="s">
        <v>147</v>
      </c>
      <c r="C59" s="1">
        <v>45280</v>
      </c>
      <c r="D59" s="2">
        <v>45300</v>
      </c>
      <c r="E59" t="s">
        <v>14</v>
      </c>
      <c r="F59">
        <v>93067</v>
      </c>
      <c r="G59">
        <v>3121</v>
      </c>
      <c r="H59">
        <v>5719.84</v>
      </c>
      <c r="I59">
        <v>396</v>
      </c>
      <c r="J59" t="b">
        <v>1</v>
      </c>
      <c r="L59" t="s">
        <v>16</v>
      </c>
    </row>
    <row r="60" spans="1:12" x14ac:dyDescent="0.2">
      <c r="A60" t="s">
        <v>148</v>
      </c>
      <c r="B60" t="s">
        <v>149</v>
      </c>
      <c r="C60" s="1">
        <v>45270</v>
      </c>
      <c r="D60" s="2">
        <v>45284</v>
      </c>
      <c r="E60" t="s">
        <v>19</v>
      </c>
      <c r="F60">
        <v>68121</v>
      </c>
      <c r="G60">
        <v>2312</v>
      </c>
      <c r="H60" s="3">
        <v>4014.77</v>
      </c>
      <c r="I60">
        <v>408</v>
      </c>
      <c r="J60" t="s">
        <v>15</v>
      </c>
      <c r="L60" t="s">
        <v>20</v>
      </c>
    </row>
    <row r="61" spans="1:12" x14ac:dyDescent="0.2">
      <c r="A61" t="s">
        <v>150</v>
      </c>
      <c r="B61" t="s">
        <v>151</v>
      </c>
      <c r="C61" s="1">
        <v>45191</v>
      </c>
      <c r="D61" s="2">
        <v>45211</v>
      </c>
      <c r="E61" t="s">
        <v>23</v>
      </c>
      <c r="F61">
        <v>70479</v>
      </c>
      <c r="G61">
        <v>1823</v>
      </c>
      <c r="H61">
        <v>2634.34</v>
      </c>
      <c r="I61">
        <v>112</v>
      </c>
      <c r="J61" t="s">
        <v>15</v>
      </c>
      <c r="L61" t="s">
        <v>25</v>
      </c>
    </row>
    <row r="62" spans="1:12" x14ac:dyDescent="0.2">
      <c r="A62" t="s">
        <v>152</v>
      </c>
      <c r="B62" t="s">
        <v>153</v>
      </c>
      <c r="C62" s="1">
        <v>44959</v>
      </c>
      <c r="D62" s="2">
        <v>44963</v>
      </c>
      <c r="E62" t="s">
        <v>41</v>
      </c>
      <c r="F62">
        <v>90475</v>
      </c>
      <c r="G62">
        <v>1762</v>
      </c>
      <c r="H62">
        <v>3149.01</v>
      </c>
      <c r="I62">
        <v>274</v>
      </c>
      <c r="J62" t="s">
        <v>30</v>
      </c>
      <c r="L62" t="s">
        <v>42</v>
      </c>
    </row>
    <row r="63" spans="1:12" x14ac:dyDescent="0.2">
      <c r="A63" t="s">
        <v>154</v>
      </c>
      <c r="B63" t="s">
        <v>155</v>
      </c>
      <c r="C63" s="2">
        <v>45044</v>
      </c>
      <c r="D63" s="2">
        <v>45064</v>
      </c>
      <c r="E63" t="s">
        <v>41</v>
      </c>
      <c r="F63">
        <v>20457</v>
      </c>
      <c r="G63">
        <v>396</v>
      </c>
      <c r="H63">
        <v>663.56</v>
      </c>
      <c r="I63">
        <v>58</v>
      </c>
      <c r="J63">
        <v>1</v>
      </c>
      <c r="L63" t="s">
        <v>42</v>
      </c>
    </row>
    <row r="64" spans="1:12" x14ac:dyDescent="0.2">
      <c r="A64" t="s">
        <v>156</v>
      </c>
      <c r="B64" t="s">
        <v>157</v>
      </c>
      <c r="C64" s="1">
        <v>45289</v>
      </c>
      <c r="D64" s="2">
        <v>45294</v>
      </c>
      <c r="E64" t="s">
        <v>19</v>
      </c>
      <c r="F64">
        <v>67557</v>
      </c>
      <c r="G64">
        <v>3063</v>
      </c>
      <c r="H64">
        <v>3502.47</v>
      </c>
      <c r="I64">
        <v>554</v>
      </c>
      <c r="J64" t="b">
        <v>0</v>
      </c>
      <c r="L64" t="s">
        <v>20</v>
      </c>
    </row>
    <row r="65" spans="1:12" x14ac:dyDescent="0.2">
      <c r="A65" t="s">
        <v>158</v>
      </c>
      <c r="B65" t="s">
        <v>159</v>
      </c>
      <c r="C65" s="2">
        <v>44943</v>
      </c>
      <c r="D65" s="2">
        <v>44960</v>
      </c>
      <c r="E65" t="s">
        <v>23</v>
      </c>
      <c r="F65">
        <v>78189</v>
      </c>
      <c r="G65">
        <v>2164</v>
      </c>
      <c r="H65">
        <v>1734.66</v>
      </c>
      <c r="I65">
        <v>187</v>
      </c>
      <c r="J65" t="b">
        <v>1</v>
      </c>
      <c r="K65">
        <v>78213</v>
      </c>
      <c r="L65" t="s">
        <v>25</v>
      </c>
    </row>
    <row r="66" spans="1:12" x14ac:dyDescent="0.2">
      <c r="A66" t="s">
        <v>160</v>
      </c>
      <c r="B66" t="s">
        <v>161</v>
      </c>
      <c r="C66" s="1">
        <v>45048</v>
      </c>
      <c r="D66" s="2">
        <v>45058</v>
      </c>
      <c r="E66" t="s">
        <v>23</v>
      </c>
      <c r="F66">
        <v>79953</v>
      </c>
      <c r="G66">
        <v>1857</v>
      </c>
      <c r="H66">
        <v>2360.81</v>
      </c>
      <c r="I66">
        <v>218</v>
      </c>
      <c r="J66">
        <v>0</v>
      </c>
      <c r="L66" t="s">
        <v>25</v>
      </c>
    </row>
    <row r="67" spans="1:12" x14ac:dyDescent="0.2">
      <c r="A67" t="s">
        <v>162</v>
      </c>
      <c r="B67" t="s">
        <v>163</v>
      </c>
      <c r="C67" s="1">
        <v>45203</v>
      </c>
      <c r="D67" s="2">
        <v>45214</v>
      </c>
      <c r="E67" t="s">
        <v>14</v>
      </c>
      <c r="F67">
        <v>53995</v>
      </c>
      <c r="G67">
        <v>1509</v>
      </c>
      <c r="H67">
        <v>2420.9499999999998</v>
      </c>
      <c r="I67">
        <v>285</v>
      </c>
      <c r="J67">
        <v>1</v>
      </c>
      <c r="L67" t="s">
        <v>16</v>
      </c>
    </row>
    <row r="68" spans="1:12" x14ac:dyDescent="0.2">
      <c r="A68" t="s">
        <v>164</v>
      </c>
      <c r="B68" t="s">
        <v>165</v>
      </c>
      <c r="C68" s="1">
        <v>45219</v>
      </c>
      <c r="D68" s="2">
        <v>45243</v>
      </c>
      <c r="E68" t="s">
        <v>41</v>
      </c>
      <c r="F68">
        <v>41757</v>
      </c>
      <c r="G68">
        <v>1535</v>
      </c>
      <c r="H68">
        <v>1772.36</v>
      </c>
      <c r="J68">
        <v>1</v>
      </c>
      <c r="L68" t="s">
        <v>42</v>
      </c>
    </row>
    <row r="69" spans="1:12" x14ac:dyDescent="0.2">
      <c r="A69" t="s">
        <v>166</v>
      </c>
      <c r="B69" t="s">
        <v>167</v>
      </c>
      <c r="C69" s="1">
        <v>45169</v>
      </c>
      <c r="D69" s="2">
        <v>45181</v>
      </c>
      <c r="E69" t="s">
        <v>19</v>
      </c>
      <c r="F69">
        <v>10692</v>
      </c>
      <c r="G69">
        <v>169</v>
      </c>
      <c r="H69">
        <v>253.53</v>
      </c>
      <c r="I69">
        <v>18</v>
      </c>
      <c r="J69" t="b">
        <v>1</v>
      </c>
      <c r="L69" t="s">
        <v>20</v>
      </c>
    </row>
    <row r="70" spans="1:12" x14ac:dyDescent="0.2">
      <c r="A70" t="s">
        <v>168</v>
      </c>
      <c r="B70" t="s">
        <v>169</v>
      </c>
      <c r="C70" s="1">
        <v>44976</v>
      </c>
      <c r="D70" s="2">
        <v>45002</v>
      </c>
      <c r="E70" t="s">
        <v>23</v>
      </c>
      <c r="F70">
        <v>46758</v>
      </c>
      <c r="G70">
        <v>1308</v>
      </c>
      <c r="H70">
        <v>839.07</v>
      </c>
      <c r="I70">
        <v>91</v>
      </c>
      <c r="J70">
        <v>1</v>
      </c>
      <c r="L70" t="s">
        <v>25</v>
      </c>
    </row>
    <row r="71" spans="1:12" x14ac:dyDescent="0.2">
      <c r="A71" t="s">
        <v>170</v>
      </c>
      <c r="B71" t="s">
        <v>171</v>
      </c>
      <c r="C71" s="1">
        <v>45137</v>
      </c>
      <c r="D71" s="2">
        <v>45160</v>
      </c>
      <c r="E71" t="s">
        <v>23</v>
      </c>
      <c r="F71">
        <v>73409</v>
      </c>
      <c r="G71">
        <v>2460</v>
      </c>
      <c r="H71">
        <v>3990.14</v>
      </c>
      <c r="I71">
        <v>219</v>
      </c>
      <c r="J71" t="s">
        <v>30</v>
      </c>
      <c r="L71" t="s">
        <v>25</v>
      </c>
    </row>
    <row r="72" spans="1:12" x14ac:dyDescent="0.2">
      <c r="A72" t="s">
        <v>172</v>
      </c>
      <c r="B72" t="s">
        <v>173</v>
      </c>
      <c r="C72" s="1">
        <v>45271</v>
      </c>
      <c r="D72" s="2">
        <v>45299</v>
      </c>
      <c r="E72" t="s">
        <v>14</v>
      </c>
      <c r="F72">
        <v>72211</v>
      </c>
      <c r="G72">
        <v>3462</v>
      </c>
      <c r="H72">
        <v>5951.42</v>
      </c>
      <c r="I72">
        <v>474</v>
      </c>
      <c r="J72">
        <v>1</v>
      </c>
      <c r="L72" t="s">
        <v>16</v>
      </c>
    </row>
    <row r="73" spans="1:12" x14ac:dyDescent="0.2">
      <c r="A73" t="s">
        <v>174</v>
      </c>
      <c r="B73" t="s">
        <v>175</v>
      </c>
      <c r="C73" s="1">
        <v>44958</v>
      </c>
      <c r="D73" s="2">
        <v>44953</v>
      </c>
      <c r="E73" t="s">
        <v>23</v>
      </c>
      <c r="F73">
        <v>66697</v>
      </c>
      <c r="G73">
        <v>1340</v>
      </c>
      <c r="H73" s="3">
        <v>2090.7399999999998</v>
      </c>
      <c r="J73" t="s">
        <v>30</v>
      </c>
      <c r="L73" t="s">
        <v>25</v>
      </c>
    </row>
    <row r="74" spans="1:12" x14ac:dyDescent="0.2">
      <c r="A74" t="s">
        <v>176</v>
      </c>
      <c r="B74" t="s">
        <v>177</v>
      </c>
      <c r="C74" s="1">
        <v>44982</v>
      </c>
      <c r="D74" s="2">
        <v>44994</v>
      </c>
      <c r="E74" t="s">
        <v>41</v>
      </c>
      <c r="F74">
        <v>38065</v>
      </c>
      <c r="G74">
        <v>927</v>
      </c>
      <c r="H74" s="3">
        <v>1808.48</v>
      </c>
      <c r="J74" t="b">
        <v>0</v>
      </c>
      <c r="L74" t="s">
        <v>42</v>
      </c>
    </row>
    <row r="75" spans="1:12" x14ac:dyDescent="0.2">
      <c r="A75" t="s">
        <v>178</v>
      </c>
      <c r="B75" t="s">
        <v>179</v>
      </c>
      <c r="C75" s="1">
        <v>45156</v>
      </c>
      <c r="D75" s="2">
        <v>45175</v>
      </c>
      <c r="E75" t="s">
        <v>58</v>
      </c>
      <c r="F75">
        <v>93093</v>
      </c>
      <c r="G75">
        <v>2343</v>
      </c>
      <c r="H75">
        <v>4076.77</v>
      </c>
      <c r="I75">
        <v>327</v>
      </c>
      <c r="J75" t="b">
        <v>0</v>
      </c>
      <c r="L75" t="s">
        <v>59</v>
      </c>
    </row>
    <row r="76" spans="1:12" x14ac:dyDescent="0.2">
      <c r="A76" t="s">
        <v>180</v>
      </c>
      <c r="B76" t="s">
        <v>181</v>
      </c>
      <c r="C76" s="1">
        <v>45163</v>
      </c>
      <c r="D76" s="2">
        <v>45179</v>
      </c>
      <c r="E76" t="s">
        <v>14</v>
      </c>
      <c r="F76">
        <v>33606</v>
      </c>
      <c r="G76">
        <v>1150</v>
      </c>
      <c r="H76">
        <v>2132.84</v>
      </c>
      <c r="I76">
        <v>152</v>
      </c>
      <c r="J76" t="s">
        <v>15</v>
      </c>
      <c r="L76" t="s">
        <v>16</v>
      </c>
    </row>
    <row r="77" spans="1:12" x14ac:dyDescent="0.2">
      <c r="A77" t="s">
        <v>182</v>
      </c>
      <c r="B77" t="s">
        <v>183</v>
      </c>
      <c r="C77" s="1">
        <v>45153</v>
      </c>
      <c r="D77" s="2">
        <v>45156</v>
      </c>
      <c r="E77" t="s">
        <v>23</v>
      </c>
      <c r="F77">
        <v>12534</v>
      </c>
      <c r="G77">
        <v>304</v>
      </c>
      <c r="H77">
        <v>577.71</v>
      </c>
      <c r="I77">
        <v>38</v>
      </c>
      <c r="J77" t="s">
        <v>30</v>
      </c>
      <c r="L77" t="s">
        <v>25</v>
      </c>
    </row>
    <row r="78" spans="1:12" x14ac:dyDescent="0.2">
      <c r="A78" t="s">
        <v>184</v>
      </c>
      <c r="B78" t="s">
        <v>185</v>
      </c>
      <c r="C78" t="s">
        <v>186</v>
      </c>
      <c r="D78" s="2">
        <v>44978</v>
      </c>
      <c r="E78" t="s">
        <v>41</v>
      </c>
      <c r="F78">
        <v>95663</v>
      </c>
      <c r="G78">
        <v>2998</v>
      </c>
      <c r="H78">
        <v>5102.66</v>
      </c>
      <c r="I78">
        <v>460</v>
      </c>
      <c r="J78">
        <v>0</v>
      </c>
      <c r="L78" t="s">
        <v>42</v>
      </c>
    </row>
    <row r="79" spans="1:12" x14ac:dyDescent="0.2">
      <c r="A79" t="s">
        <v>187</v>
      </c>
      <c r="B79" t="s">
        <v>188</v>
      </c>
      <c r="C79" s="1">
        <v>45203</v>
      </c>
      <c r="D79" s="2">
        <v>45218</v>
      </c>
      <c r="E79" t="s">
        <v>23</v>
      </c>
      <c r="F79">
        <v>41397</v>
      </c>
      <c r="G79">
        <v>1708</v>
      </c>
      <c r="H79">
        <v>2581.4499999999998</v>
      </c>
      <c r="I79">
        <v>299</v>
      </c>
      <c r="J79" t="b">
        <v>0</v>
      </c>
      <c r="L79" t="s">
        <v>25</v>
      </c>
    </row>
    <row r="80" spans="1:12" x14ac:dyDescent="0.2">
      <c r="A80" t="s">
        <v>189</v>
      </c>
      <c r="B80" t="s">
        <v>190</v>
      </c>
      <c r="C80" s="1">
        <v>45048</v>
      </c>
      <c r="D80" s="2">
        <v>45060</v>
      </c>
      <c r="E80" t="s">
        <v>191</v>
      </c>
      <c r="F80">
        <v>92387</v>
      </c>
      <c r="G80">
        <v>3530</v>
      </c>
      <c r="H80">
        <v>1795.28</v>
      </c>
      <c r="I80">
        <v>347</v>
      </c>
      <c r="J80">
        <v>1</v>
      </c>
      <c r="L80" t="s">
        <v>42</v>
      </c>
    </row>
    <row r="81" spans="1:12" x14ac:dyDescent="0.2">
      <c r="A81" t="s">
        <v>192</v>
      </c>
      <c r="B81" t="s">
        <v>193</v>
      </c>
      <c r="C81" s="1">
        <v>45036</v>
      </c>
      <c r="D81" s="2">
        <v>45050</v>
      </c>
      <c r="E81" t="s">
        <v>19</v>
      </c>
      <c r="F81">
        <v>2016</v>
      </c>
      <c r="G81">
        <v>56</v>
      </c>
      <c r="H81" s="3">
        <v>67.13</v>
      </c>
      <c r="I81">
        <v>10</v>
      </c>
      <c r="J81" t="b">
        <v>1</v>
      </c>
      <c r="L81" t="s">
        <v>20</v>
      </c>
    </row>
    <row r="82" spans="1:12" x14ac:dyDescent="0.2">
      <c r="A82" t="s">
        <v>194</v>
      </c>
      <c r="B82" t="s">
        <v>195</v>
      </c>
      <c r="C82" s="1">
        <v>45011</v>
      </c>
      <c r="D82" s="2">
        <v>45019</v>
      </c>
      <c r="E82" t="s">
        <v>23</v>
      </c>
      <c r="F82">
        <v>90789</v>
      </c>
      <c r="G82">
        <v>4046</v>
      </c>
      <c r="H82">
        <v>5489.38</v>
      </c>
      <c r="I82">
        <v>299</v>
      </c>
      <c r="J82" t="b">
        <v>1</v>
      </c>
      <c r="L82" t="s">
        <v>25</v>
      </c>
    </row>
    <row r="83" spans="1:12" x14ac:dyDescent="0.2">
      <c r="A83" t="s">
        <v>196</v>
      </c>
      <c r="B83" t="s">
        <v>197</v>
      </c>
      <c r="C83" s="1">
        <v>45062</v>
      </c>
      <c r="D83" s="2">
        <v>45069</v>
      </c>
      <c r="E83" t="s">
        <v>14</v>
      </c>
      <c r="F83">
        <v>56591</v>
      </c>
      <c r="G83">
        <v>1829</v>
      </c>
      <c r="H83">
        <v>1748.61</v>
      </c>
      <c r="I83">
        <v>138</v>
      </c>
      <c r="J83" t="s">
        <v>24</v>
      </c>
      <c r="L83" t="s">
        <v>16</v>
      </c>
    </row>
    <row r="84" spans="1:12" x14ac:dyDescent="0.2">
      <c r="A84" t="s">
        <v>198</v>
      </c>
      <c r="B84" t="s">
        <v>199</v>
      </c>
      <c r="C84" s="1">
        <v>45073</v>
      </c>
      <c r="D84" s="2">
        <v>45084</v>
      </c>
      <c r="E84" t="s">
        <v>33</v>
      </c>
      <c r="F84">
        <v>90812</v>
      </c>
      <c r="G84">
        <v>2869</v>
      </c>
      <c r="H84" s="3">
        <v>2803.46</v>
      </c>
      <c r="I84">
        <v>258</v>
      </c>
      <c r="J84" t="s">
        <v>30</v>
      </c>
      <c r="L84" t="s">
        <v>34</v>
      </c>
    </row>
    <row r="85" spans="1:12" x14ac:dyDescent="0.2">
      <c r="A85" t="s">
        <v>200</v>
      </c>
      <c r="B85" t="s">
        <v>201</v>
      </c>
      <c r="C85" s="1">
        <v>45211</v>
      </c>
      <c r="D85" s="2">
        <v>45234</v>
      </c>
      <c r="E85" t="s">
        <v>33</v>
      </c>
      <c r="F85">
        <v>24247</v>
      </c>
      <c r="G85">
        <v>275</v>
      </c>
      <c r="H85">
        <v>533.98</v>
      </c>
      <c r="I85">
        <v>18</v>
      </c>
      <c r="J85">
        <v>0</v>
      </c>
      <c r="L85" t="s">
        <v>34</v>
      </c>
    </row>
    <row r="86" spans="1:12" x14ac:dyDescent="0.2">
      <c r="A86" t="s">
        <v>202</v>
      </c>
      <c r="B86" t="s">
        <v>203</v>
      </c>
      <c r="C86" s="1">
        <v>45024</v>
      </c>
      <c r="D86" s="2">
        <v>45032</v>
      </c>
      <c r="E86" t="s">
        <v>23</v>
      </c>
      <c r="F86">
        <v>25300</v>
      </c>
      <c r="G86">
        <v>1251</v>
      </c>
      <c r="H86">
        <v>2298.8000000000002</v>
      </c>
      <c r="I86">
        <v>105</v>
      </c>
      <c r="J86" t="s">
        <v>15</v>
      </c>
      <c r="L86" t="s">
        <v>25</v>
      </c>
    </row>
    <row r="87" spans="1:12" x14ac:dyDescent="0.2">
      <c r="A87" t="s">
        <v>204</v>
      </c>
      <c r="B87" t="s">
        <v>205</v>
      </c>
      <c r="C87" s="2">
        <v>45223</v>
      </c>
      <c r="D87" s="2">
        <v>45253</v>
      </c>
      <c r="E87" t="s">
        <v>41</v>
      </c>
      <c r="F87">
        <v>75065</v>
      </c>
      <c r="G87">
        <v>1119</v>
      </c>
      <c r="H87">
        <v>1984.85</v>
      </c>
      <c r="I87">
        <v>73</v>
      </c>
      <c r="J87">
        <v>1</v>
      </c>
      <c r="L87" t="s">
        <v>68</v>
      </c>
    </row>
    <row r="88" spans="1:12" x14ac:dyDescent="0.2">
      <c r="A88" t="s">
        <v>206</v>
      </c>
      <c r="B88" t="s">
        <v>207</v>
      </c>
      <c r="C88" s="2">
        <v>45205</v>
      </c>
      <c r="D88" s="2">
        <v>45115</v>
      </c>
      <c r="E88" t="s">
        <v>33</v>
      </c>
      <c r="F88">
        <v>83798</v>
      </c>
      <c r="G88">
        <v>1612</v>
      </c>
      <c r="H88">
        <v>1787.74</v>
      </c>
      <c r="I88">
        <v>279</v>
      </c>
      <c r="J88" t="s">
        <v>30</v>
      </c>
      <c r="L88" t="s">
        <v>34</v>
      </c>
    </row>
    <row r="89" spans="1:12" x14ac:dyDescent="0.2">
      <c r="A89" t="s">
        <v>208</v>
      </c>
      <c r="B89" t="s">
        <v>209</v>
      </c>
      <c r="C89" s="1">
        <v>45226</v>
      </c>
      <c r="D89" s="2">
        <v>45255</v>
      </c>
      <c r="E89" t="s">
        <v>33</v>
      </c>
      <c r="F89">
        <v>10268</v>
      </c>
      <c r="G89">
        <v>123</v>
      </c>
      <c r="H89">
        <v>64.03</v>
      </c>
      <c r="I89">
        <v>8</v>
      </c>
      <c r="J89" t="s">
        <v>24</v>
      </c>
      <c r="L89" t="s">
        <v>34</v>
      </c>
    </row>
    <row r="90" spans="1:12" x14ac:dyDescent="0.2">
      <c r="A90" t="s">
        <v>210</v>
      </c>
      <c r="B90" t="s">
        <v>211</v>
      </c>
      <c r="C90" s="1">
        <v>45198</v>
      </c>
      <c r="D90" s="2">
        <v>45209</v>
      </c>
      <c r="E90" t="s">
        <v>138</v>
      </c>
      <c r="F90">
        <v>87807</v>
      </c>
      <c r="G90">
        <v>3125</v>
      </c>
      <c r="H90">
        <v>1938.54</v>
      </c>
      <c r="I90">
        <v>506</v>
      </c>
      <c r="J90" t="b">
        <v>1</v>
      </c>
      <c r="K90">
        <v>87884</v>
      </c>
      <c r="L90" t="s">
        <v>139</v>
      </c>
    </row>
    <row r="91" spans="1:12" x14ac:dyDescent="0.2">
      <c r="A91" t="s">
        <v>212</v>
      </c>
      <c r="B91" t="s">
        <v>213</v>
      </c>
      <c r="C91" s="2">
        <v>44968</v>
      </c>
      <c r="D91" s="2">
        <v>45253</v>
      </c>
      <c r="E91" t="s">
        <v>33</v>
      </c>
      <c r="F91">
        <v>13185</v>
      </c>
      <c r="G91">
        <v>250</v>
      </c>
      <c r="H91">
        <v>242.07</v>
      </c>
      <c r="I91">
        <v>14</v>
      </c>
      <c r="J91" t="s">
        <v>30</v>
      </c>
      <c r="L91" t="s">
        <v>34</v>
      </c>
    </row>
    <row r="92" spans="1:12" x14ac:dyDescent="0.2">
      <c r="A92" t="s">
        <v>214</v>
      </c>
      <c r="B92" t="s">
        <v>215</v>
      </c>
      <c r="C92" s="1">
        <v>44961</v>
      </c>
      <c r="D92" s="2">
        <v>44991</v>
      </c>
      <c r="E92" t="s">
        <v>33</v>
      </c>
      <c r="F92">
        <v>64704</v>
      </c>
      <c r="G92">
        <v>1112</v>
      </c>
      <c r="H92">
        <v>582.26</v>
      </c>
      <c r="I92">
        <v>213</v>
      </c>
      <c r="J92">
        <v>1</v>
      </c>
      <c r="L92" t="s">
        <v>34</v>
      </c>
    </row>
    <row r="93" spans="1:12" x14ac:dyDescent="0.2">
      <c r="A93" t="s">
        <v>216</v>
      </c>
      <c r="B93" t="s">
        <v>217</v>
      </c>
      <c r="C93" s="1">
        <v>44988</v>
      </c>
      <c r="D93" s="2">
        <v>45017</v>
      </c>
      <c r="E93" t="s">
        <v>41</v>
      </c>
      <c r="F93">
        <v>87779</v>
      </c>
      <c r="G93">
        <v>1188</v>
      </c>
      <c r="H93" s="3">
        <v>624.55999999999995</v>
      </c>
      <c r="I93">
        <v>186</v>
      </c>
      <c r="J93">
        <v>0</v>
      </c>
      <c r="L93" t="s">
        <v>42</v>
      </c>
    </row>
    <row r="94" spans="1:12" x14ac:dyDescent="0.2">
      <c r="A94" t="s">
        <v>218</v>
      </c>
      <c r="B94" t="s">
        <v>219</v>
      </c>
      <c r="C94" s="1">
        <v>45223</v>
      </c>
      <c r="D94" s="2">
        <v>45239</v>
      </c>
      <c r="E94" t="s">
        <v>41</v>
      </c>
      <c r="F94">
        <v>40099</v>
      </c>
      <c r="G94">
        <v>566</v>
      </c>
      <c r="H94">
        <v>1061.2</v>
      </c>
      <c r="I94">
        <v>28</v>
      </c>
      <c r="J94">
        <v>0</v>
      </c>
      <c r="L94" t="s">
        <v>42</v>
      </c>
    </row>
    <row r="95" spans="1:12" x14ac:dyDescent="0.2">
      <c r="A95" t="s">
        <v>220</v>
      </c>
      <c r="B95" t="s">
        <v>221</v>
      </c>
      <c r="C95" s="1">
        <v>45141</v>
      </c>
      <c r="D95" s="2">
        <v>45167</v>
      </c>
      <c r="E95" t="s">
        <v>138</v>
      </c>
      <c r="F95">
        <v>9571</v>
      </c>
      <c r="G95">
        <v>319</v>
      </c>
      <c r="H95">
        <v>497.4</v>
      </c>
      <c r="I95">
        <v>52</v>
      </c>
      <c r="J95" t="b">
        <v>0</v>
      </c>
      <c r="L95" t="s">
        <v>139</v>
      </c>
    </row>
    <row r="96" spans="1:12" x14ac:dyDescent="0.2">
      <c r="A96" t="s">
        <v>222</v>
      </c>
      <c r="B96" t="s">
        <v>223</v>
      </c>
      <c r="C96" s="1">
        <v>45088</v>
      </c>
      <c r="D96" s="2">
        <v>45097</v>
      </c>
      <c r="E96" t="s">
        <v>14</v>
      </c>
      <c r="F96">
        <v>39044</v>
      </c>
      <c r="G96">
        <v>1465</v>
      </c>
      <c r="H96">
        <v>1411.43</v>
      </c>
      <c r="I96">
        <v>186</v>
      </c>
      <c r="J96">
        <v>1</v>
      </c>
      <c r="L96" t="s">
        <v>16</v>
      </c>
    </row>
    <row r="97" spans="1:12" x14ac:dyDescent="0.2">
      <c r="A97" t="s">
        <v>224</v>
      </c>
      <c r="B97" t="s">
        <v>225</v>
      </c>
      <c r="C97" s="1">
        <v>45087</v>
      </c>
      <c r="D97" s="2">
        <v>45105</v>
      </c>
      <c r="E97" t="s">
        <v>41</v>
      </c>
      <c r="F97">
        <v>52214</v>
      </c>
      <c r="G97">
        <v>1352</v>
      </c>
      <c r="H97">
        <v>945</v>
      </c>
      <c r="I97">
        <v>225</v>
      </c>
      <c r="J97" t="s">
        <v>24</v>
      </c>
      <c r="L97" t="s">
        <v>42</v>
      </c>
    </row>
    <row r="98" spans="1:12" x14ac:dyDescent="0.2">
      <c r="A98" t="s">
        <v>226</v>
      </c>
      <c r="B98" t="s">
        <v>227</v>
      </c>
      <c r="C98" s="1">
        <v>45270</v>
      </c>
      <c r="D98" s="2">
        <v>45281</v>
      </c>
      <c r="E98" t="s">
        <v>23</v>
      </c>
      <c r="F98">
        <v>62228</v>
      </c>
      <c r="G98">
        <v>1816</v>
      </c>
      <c r="H98">
        <v>2301.6999999999998</v>
      </c>
      <c r="I98">
        <v>233</v>
      </c>
      <c r="J98" t="b">
        <v>0</v>
      </c>
      <c r="L98" t="s">
        <v>25</v>
      </c>
    </row>
    <row r="99" spans="1:12" x14ac:dyDescent="0.2">
      <c r="A99" t="s">
        <v>228</v>
      </c>
      <c r="B99" t="s">
        <v>229</v>
      </c>
      <c r="C99" s="2">
        <v>45109</v>
      </c>
      <c r="D99" s="2">
        <v>44983</v>
      </c>
      <c r="E99" t="s">
        <v>138</v>
      </c>
      <c r="F99">
        <v>49984</v>
      </c>
      <c r="G99">
        <v>1871</v>
      </c>
      <c r="H99">
        <v>950.5</v>
      </c>
      <c r="I99">
        <v>273</v>
      </c>
      <c r="J99" t="b">
        <v>0</v>
      </c>
      <c r="L99" t="s">
        <v>139</v>
      </c>
    </row>
    <row r="100" spans="1:12" x14ac:dyDescent="0.2">
      <c r="A100" t="s">
        <v>230</v>
      </c>
      <c r="B100" t="s">
        <v>231</v>
      </c>
      <c r="C100" s="1">
        <v>45245</v>
      </c>
      <c r="D100" s="2">
        <v>45271</v>
      </c>
      <c r="E100" t="s">
        <v>33</v>
      </c>
      <c r="F100">
        <v>41774</v>
      </c>
      <c r="G100">
        <v>446</v>
      </c>
      <c r="H100">
        <v>850.8</v>
      </c>
      <c r="I100">
        <v>74</v>
      </c>
      <c r="J100" t="b">
        <v>0</v>
      </c>
      <c r="L100" t="s">
        <v>34</v>
      </c>
    </row>
    <row r="101" spans="1:12" x14ac:dyDescent="0.2">
      <c r="A101" t="s">
        <v>232</v>
      </c>
      <c r="B101" t="s">
        <v>233</v>
      </c>
      <c r="C101" s="1">
        <v>44964</v>
      </c>
      <c r="D101" s="2">
        <v>44975</v>
      </c>
      <c r="E101" t="s">
        <v>234</v>
      </c>
      <c r="F101">
        <v>3568</v>
      </c>
      <c r="G101">
        <v>81</v>
      </c>
      <c r="H101" s="3">
        <v>90.9</v>
      </c>
      <c r="I101">
        <v>8</v>
      </c>
      <c r="J101" t="s">
        <v>30</v>
      </c>
      <c r="L101" t="s">
        <v>16</v>
      </c>
    </row>
    <row r="102" spans="1:12" x14ac:dyDescent="0.2">
      <c r="A102" t="s">
        <v>235</v>
      </c>
      <c r="B102" t="s">
        <v>236</v>
      </c>
      <c r="C102" s="1">
        <v>44994</v>
      </c>
      <c r="D102" s="2">
        <v>45017</v>
      </c>
      <c r="E102" t="s">
        <v>14</v>
      </c>
      <c r="F102">
        <v>63592</v>
      </c>
      <c r="G102">
        <v>3111</v>
      </c>
      <c r="H102">
        <v>3433</v>
      </c>
      <c r="I102">
        <v>156</v>
      </c>
      <c r="J102" t="s">
        <v>24</v>
      </c>
      <c r="L102" t="s">
        <v>16</v>
      </c>
    </row>
    <row r="103" spans="1:12" x14ac:dyDescent="0.2">
      <c r="A103" t="s">
        <v>237</v>
      </c>
      <c r="B103" t="s">
        <v>238</v>
      </c>
      <c r="C103" s="1">
        <v>45052</v>
      </c>
      <c r="D103" s="2">
        <v>45059</v>
      </c>
      <c r="E103" t="s">
        <v>41</v>
      </c>
      <c r="F103">
        <v>68563</v>
      </c>
      <c r="G103">
        <v>2276</v>
      </c>
      <c r="H103">
        <v>2471.4899999999998</v>
      </c>
      <c r="I103">
        <v>403</v>
      </c>
      <c r="J103" t="b">
        <v>1</v>
      </c>
      <c r="L103" t="s">
        <v>42</v>
      </c>
    </row>
    <row r="104" spans="1:12" x14ac:dyDescent="0.2">
      <c r="A104" t="s">
        <v>239</v>
      </c>
      <c r="B104" t="s">
        <v>240</v>
      </c>
      <c r="C104" s="1">
        <v>45205</v>
      </c>
      <c r="D104" s="2">
        <v>45234</v>
      </c>
      <c r="E104" t="s">
        <v>138</v>
      </c>
      <c r="F104">
        <v>3695</v>
      </c>
      <c r="G104">
        <v>74</v>
      </c>
      <c r="H104" s="3">
        <v>44.7</v>
      </c>
      <c r="I104">
        <v>7</v>
      </c>
      <c r="J104">
        <v>0</v>
      </c>
      <c r="L104" t="s">
        <v>139</v>
      </c>
    </row>
    <row r="105" spans="1:12" x14ac:dyDescent="0.2">
      <c r="A105" t="s">
        <v>241</v>
      </c>
      <c r="B105" t="s">
        <v>242</v>
      </c>
      <c r="C105" s="1">
        <v>45261</v>
      </c>
      <c r="D105" s="2">
        <v>45266</v>
      </c>
      <c r="E105" t="s">
        <v>23</v>
      </c>
      <c r="F105">
        <v>49190</v>
      </c>
      <c r="G105">
        <v>1518</v>
      </c>
      <c r="H105">
        <v>2212.46</v>
      </c>
      <c r="I105">
        <v>188</v>
      </c>
      <c r="J105" t="s">
        <v>30</v>
      </c>
      <c r="L105" t="s">
        <v>25</v>
      </c>
    </row>
    <row r="106" spans="1:12" x14ac:dyDescent="0.2">
      <c r="A106" t="s">
        <v>243</v>
      </c>
      <c r="B106" t="s">
        <v>244</v>
      </c>
      <c r="C106" s="1">
        <v>45210</v>
      </c>
      <c r="D106" s="2">
        <v>45221</v>
      </c>
      <c r="E106" t="s">
        <v>14</v>
      </c>
      <c r="F106">
        <v>6258</v>
      </c>
      <c r="G106">
        <v>148</v>
      </c>
      <c r="H106">
        <v>236.73</v>
      </c>
      <c r="I106">
        <v>7</v>
      </c>
      <c r="J106" t="b">
        <v>1</v>
      </c>
      <c r="L106" t="s">
        <v>16</v>
      </c>
    </row>
    <row r="107" spans="1:12" x14ac:dyDescent="0.2">
      <c r="A107" t="s">
        <v>245</v>
      </c>
      <c r="B107" t="s">
        <v>246</v>
      </c>
      <c r="C107" s="1">
        <v>44995</v>
      </c>
      <c r="D107" s="2">
        <v>45021</v>
      </c>
      <c r="E107" t="s">
        <v>41</v>
      </c>
      <c r="F107">
        <v>88538</v>
      </c>
      <c r="G107">
        <v>2770</v>
      </c>
      <c r="H107">
        <v>4194.3</v>
      </c>
      <c r="I107">
        <v>342</v>
      </c>
      <c r="J107">
        <v>0</v>
      </c>
      <c r="L107" t="s">
        <v>42</v>
      </c>
    </row>
    <row r="108" spans="1:12" x14ac:dyDescent="0.2">
      <c r="A108" t="s">
        <v>247</v>
      </c>
      <c r="B108" t="s">
        <v>248</v>
      </c>
      <c r="C108" s="1">
        <v>45210</v>
      </c>
      <c r="D108" s="2">
        <v>45231</v>
      </c>
      <c r="E108" t="s">
        <v>41</v>
      </c>
      <c r="F108">
        <v>40504</v>
      </c>
      <c r="G108">
        <v>608</v>
      </c>
      <c r="H108">
        <v>430.25</v>
      </c>
      <c r="I108">
        <v>120</v>
      </c>
      <c r="J108" t="s">
        <v>24</v>
      </c>
      <c r="L108" t="s">
        <v>42</v>
      </c>
    </row>
    <row r="109" spans="1:12" x14ac:dyDescent="0.2">
      <c r="A109" t="s">
        <v>249</v>
      </c>
      <c r="B109" t="s">
        <v>250</v>
      </c>
      <c r="C109" s="1">
        <v>45034</v>
      </c>
      <c r="D109" s="2">
        <v>45053</v>
      </c>
      <c r="E109" t="s">
        <v>41</v>
      </c>
      <c r="F109">
        <v>34159</v>
      </c>
      <c r="G109">
        <v>522</v>
      </c>
      <c r="H109">
        <v>714.23</v>
      </c>
      <c r="I109">
        <v>47</v>
      </c>
      <c r="J109" t="s">
        <v>24</v>
      </c>
      <c r="L109" t="s">
        <v>42</v>
      </c>
    </row>
    <row r="110" spans="1:12" x14ac:dyDescent="0.2">
      <c r="A110" t="s">
        <v>251</v>
      </c>
      <c r="B110" t="s">
        <v>252</v>
      </c>
      <c r="C110" s="1">
        <v>45251</v>
      </c>
      <c r="D110" s="2">
        <v>45281</v>
      </c>
      <c r="E110" t="s">
        <v>14</v>
      </c>
      <c r="F110">
        <v>14986</v>
      </c>
      <c r="G110">
        <v>235</v>
      </c>
      <c r="H110">
        <v>318.24</v>
      </c>
      <c r="I110">
        <v>25</v>
      </c>
      <c r="J110">
        <v>1</v>
      </c>
      <c r="L110" t="s">
        <v>16</v>
      </c>
    </row>
    <row r="111" spans="1:12" x14ac:dyDescent="0.2">
      <c r="A111" t="s">
        <v>253</v>
      </c>
      <c r="B111" t="s">
        <v>254</v>
      </c>
      <c r="C111" s="1">
        <v>45055</v>
      </c>
      <c r="D111" s="2">
        <v>45063</v>
      </c>
      <c r="E111" t="s">
        <v>33</v>
      </c>
      <c r="F111">
        <v>62858</v>
      </c>
      <c r="G111">
        <v>2991</v>
      </c>
      <c r="H111">
        <v>5391.63</v>
      </c>
      <c r="I111">
        <v>457</v>
      </c>
      <c r="J111">
        <v>0</v>
      </c>
      <c r="L111" t="s">
        <v>34</v>
      </c>
    </row>
    <row r="112" spans="1:12" x14ac:dyDescent="0.2">
      <c r="A112" t="s">
        <v>255</v>
      </c>
      <c r="B112" t="s">
        <v>256</v>
      </c>
      <c r="C112" s="1">
        <v>44974</v>
      </c>
      <c r="D112" s="2">
        <v>44997</v>
      </c>
      <c r="E112" t="s">
        <v>23</v>
      </c>
      <c r="F112">
        <v>13666</v>
      </c>
      <c r="G112">
        <v>537</v>
      </c>
      <c r="H112">
        <v>573.89</v>
      </c>
      <c r="I112">
        <v>92</v>
      </c>
      <c r="J112">
        <v>0</v>
      </c>
      <c r="L112" t="s">
        <v>25</v>
      </c>
    </row>
    <row r="113" spans="1:12" x14ac:dyDescent="0.2">
      <c r="A113" t="s">
        <v>257</v>
      </c>
      <c r="B113" t="s">
        <v>258</v>
      </c>
      <c r="C113" t="s">
        <v>259</v>
      </c>
      <c r="D113" s="2">
        <v>44968</v>
      </c>
      <c r="E113" t="s">
        <v>23</v>
      </c>
      <c r="F113">
        <v>39660</v>
      </c>
      <c r="G113">
        <v>654</v>
      </c>
      <c r="H113">
        <v>691.43</v>
      </c>
      <c r="I113">
        <v>73</v>
      </c>
      <c r="J113" t="s">
        <v>24</v>
      </c>
      <c r="L113" t="s">
        <v>25</v>
      </c>
    </row>
    <row r="114" spans="1:12" x14ac:dyDescent="0.2">
      <c r="A114" t="s">
        <v>260</v>
      </c>
      <c r="B114" t="s">
        <v>261</v>
      </c>
      <c r="C114" s="1">
        <v>44993</v>
      </c>
      <c r="D114" s="2">
        <v>45013</v>
      </c>
      <c r="E114" t="s">
        <v>33</v>
      </c>
      <c r="F114">
        <v>4561</v>
      </c>
      <c r="G114">
        <v>79</v>
      </c>
      <c r="H114">
        <v>112.8</v>
      </c>
      <c r="I114">
        <v>7</v>
      </c>
      <c r="J114">
        <v>0</v>
      </c>
      <c r="L114" t="s">
        <v>34</v>
      </c>
    </row>
    <row r="115" spans="1:12" x14ac:dyDescent="0.2">
      <c r="A115" t="s">
        <v>262</v>
      </c>
      <c r="B115" t="s">
        <v>263</v>
      </c>
      <c r="C115" s="1">
        <v>45153</v>
      </c>
      <c r="D115" s="2">
        <v>45161</v>
      </c>
      <c r="E115" t="s">
        <v>19</v>
      </c>
      <c r="F115">
        <v>27854</v>
      </c>
      <c r="G115">
        <v>1092</v>
      </c>
      <c r="H115">
        <v>1582.97</v>
      </c>
      <c r="I115">
        <v>208</v>
      </c>
      <c r="J115" t="s">
        <v>15</v>
      </c>
      <c r="L115" t="s">
        <v>20</v>
      </c>
    </row>
    <row r="116" spans="1:12" x14ac:dyDescent="0.2">
      <c r="A116" t="s">
        <v>264</v>
      </c>
      <c r="B116" t="s">
        <v>265</v>
      </c>
      <c r="C116" s="1">
        <v>44931</v>
      </c>
      <c r="D116" s="2">
        <v>44958</v>
      </c>
      <c r="E116" t="s">
        <v>266</v>
      </c>
      <c r="F116">
        <v>65505</v>
      </c>
      <c r="G116">
        <v>1064</v>
      </c>
      <c r="H116">
        <v>1280.98</v>
      </c>
      <c r="I116">
        <v>161</v>
      </c>
      <c r="J116">
        <v>1</v>
      </c>
      <c r="L116" t="s">
        <v>20</v>
      </c>
    </row>
    <row r="117" spans="1:12" x14ac:dyDescent="0.2">
      <c r="A117" t="s">
        <v>267</v>
      </c>
      <c r="B117" t="s">
        <v>268</v>
      </c>
      <c r="C117" s="1">
        <v>45280</v>
      </c>
      <c r="D117" s="2">
        <v>45307</v>
      </c>
      <c r="E117" t="s">
        <v>19</v>
      </c>
      <c r="F117">
        <v>53251</v>
      </c>
      <c r="G117">
        <v>1032</v>
      </c>
      <c r="H117">
        <v>1201.8599999999999</v>
      </c>
      <c r="I117">
        <v>70</v>
      </c>
      <c r="J117" t="s">
        <v>30</v>
      </c>
      <c r="L117" t="s">
        <v>20</v>
      </c>
    </row>
    <row r="118" spans="1:12" x14ac:dyDescent="0.2">
      <c r="A118" t="s">
        <v>269</v>
      </c>
      <c r="B118" t="s">
        <v>270</v>
      </c>
      <c r="C118" s="1">
        <v>45116</v>
      </c>
      <c r="D118" s="2">
        <v>45124</v>
      </c>
      <c r="E118" t="s">
        <v>14</v>
      </c>
      <c r="F118">
        <v>23662</v>
      </c>
      <c r="G118">
        <v>1148</v>
      </c>
      <c r="H118">
        <v>1424.92</v>
      </c>
      <c r="J118" t="s">
        <v>30</v>
      </c>
      <c r="L118" t="s">
        <v>16</v>
      </c>
    </row>
    <row r="119" spans="1:12" x14ac:dyDescent="0.2">
      <c r="A119" t="s">
        <v>271</v>
      </c>
      <c r="B119" t="s">
        <v>272</v>
      </c>
      <c r="C119" s="2">
        <v>45110</v>
      </c>
      <c r="D119" s="2">
        <v>45008</v>
      </c>
      <c r="E119" t="s">
        <v>41</v>
      </c>
      <c r="F119">
        <v>9392</v>
      </c>
      <c r="G119">
        <v>189</v>
      </c>
      <c r="H119">
        <v>338.61</v>
      </c>
      <c r="I119">
        <v>23</v>
      </c>
      <c r="J119" t="b">
        <v>1</v>
      </c>
      <c r="L119" t="s">
        <v>42</v>
      </c>
    </row>
    <row r="120" spans="1:12" x14ac:dyDescent="0.2">
      <c r="A120" t="s">
        <v>273</v>
      </c>
      <c r="B120" t="s">
        <v>274</v>
      </c>
      <c r="C120" s="1">
        <v>45113</v>
      </c>
      <c r="D120" s="2">
        <v>45132</v>
      </c>
      <c r="E120" t="s">
        <v>266</v>
      </c>
      <c r="F120">
        <v>31535</v>
      </c>
      <c r="G120">
        <v>1149</v>
      </c>
      <c r="H120">
        <v>1369.32</v>
      </c>
      <c r="I120">
        <v>95</v>
      </c>
      <c r="J120" t="s">
        <v>30</v>
      </c>
      <c r="L120" t="s">
        <v>20</v>
      </c>
    </row>
    <row r="121" spans="1:12" x14ac:dyDescent="0.2">
      <c r="A121" t="s">
        <v>275</v>
      </c>
      <c r="B121" t="s">
        <v>276</v>
      </c>
      <c r="C121" s="1">
        <v>44947</v>
      </c>
      <c r="D121" s="2">
        <v>44963</v>
      </c>
      <c r="E121" t="s">
        <v>19</v>
      </c>
      <c r="F121">
        <v>79603</v>
      </c>
      <c r="G121">
        <v>3912</v>
      </c>
      <c r="H121">
        <v>7471.52</v>
      </c>
      <c r="I121">
        <v>344</v>
      </c>
      <c r="J121" t="b">
        <v>0</v>
      </c>
      <c r="L121" t="s">
        <v>20</v>
      </c>
    </row>
    <row r="122" spans="1:12" x14ac:dyDescent="0.2">
      <c r="A122" t="s">
        <v>277</v>
      </c>
      <c r="B122" t="s">
        <v>278</v>
      </c>
      <c r="C122" s="1">
        <v>45054</v>
      </c>
      <c r="D122" s="2">
        <v>45083</v>
      </c>
      <c r="E122" t="s">
        <v>23</v>
      </c>
      <c r="F122">
        <v>53256</v>
      </c>
      <c r="G122">
        <v>1329</v>
      </c>
      <c r="H122">
        <v>1669.23</v>
      </c>
      <c r="I122">
        <v>241</v>
      </c>
      <c r="J122">
        <v>0</v>
      </c>
      <c r="L122" t="s">
        <v>25</v>
      </c>
    </row>
    <row r="123" spans="1:12" x14ac:dyDescent="0.2">
      <c r="A123" t="s">
        <v>279</v>
      </c>
      <c r="B123" t="s">
        <v>280</v>
      </c>
      <c r="C123" s="1">
        <v>45213</v>
      </c>
      <c r="D123" s="2">
        <v>45214</v>
      </c>
      <c r="E123" t="s">
        <v>33</v>
      </c>
      <c r="F123">
        <v>90135</v>
      </c>
      <c r="G123">
        <v>964</v>
      </c>
      <c r="H123">
        <v>1854.54</v>
      </c>
      <c r="I123">
        <v>61</v>
      </c>
      <c r="J123" t="s">
        <v>30</v>
      </c>
      <c r="L123" t="s">
        <v>34</v>
      </c>
    </row>
    <row r="124" spans="1:12" x14ac:dyDescent="0.2">
      <c r="A124" t="s">
        <v>281</v>
      </c>
      <c r="B124" t="s">
        <v>282</v>
      </c>
      <c r="C124" s="1">
        <v>45244</v>
      </c>
      <c r="D124" s="2">
        <v>45255</v>
      </c>
      <c r="E124" t="s">
        <v>19</v>
      </c>
      <c r="F124">
        <v>36222</v>
      </c>
      <c r="G124">
        <v>715</v>
      </c>
      <c r="H124" s="3">
        <v>1250.71</v>
      </c>
      <c r="I124">
        <v>112</v>
      </c>
      <c r="J124" t="b">
        <v>1</v>
      </c>
      <c r="L124" t="s">
        <v>20</v>
      </c>
    </row>
    <row r="125" spans="1:12" x14ac:dyDescent="0.2">
      <c r="A125" t="s">
        <v>283</v>
      </c>
      <c r="B125" t="s">
        <v>284</v>
      </c>
      <c r="C125" s="1">
        <v>45048</v>
      </c>
      <c r="D125" s="2">
        <v>45065</v>
      </c>
      <c r="E125" t="s">
        <v>138</v>
      </c>
      <c r="F125">
        <v>78373</v>
      </c>
      <c r="G125">
        <v>3388</v>
      </c>
      <c r="H125">
        <v>3535.88</v>
      </c>
      <c r="I125">
        <v>307</v>
      </c>
      <c r="J125" t="b">
        <v>1</v>
      </c>
      <c r="L125" t="s">
        <v>139</v>
      </c>
    </row>
    <row r="126" spans="1:12" x14ac:dyDescent="0.2">
      <c r="A126" t="s">
        <v>285</v>
      </c>
      <c r="B126" t="s">
        <v>286</v>
      </c>
      <c r="C126" s="2">
        <v>45017</v>
      </c>
      <c r="D126" s="2">
        <v>44959</v>
      </c>
      <c r="E126" t="s">
        <v>23</v>
      </c>
      <c r="F126">
        <v>80575</v>
      </c>
      <c r="G126">
        <v>3592</v>
      </c>
      <c r="H126">
        <v>6449.3</v>
      </c>
      <c r="I126">
        <v>589</v>
      </c>
      <c r="J126" t="b">
        <v>0</v>
      </c>
      <c r="L126" t="s">
        <v>25</v>
      </c>
    </row>
    <row r="127" spans="1:12" x14ac:dyDescent="0.2">
      <c r="A127" t="s">
        <v>287</v>
      </c>
      <c r="B127" t="s">
        <v>288</v>
      </c>
      <c r="C127" s="1">
        <v>45097</v>
      </c>
      <c r="D127" s="2">
        <v>45101</v>
      </c>
      <c r="E127" t="s">
        <v>23</v>
      </c>
      <c r="F127">
        <v>97354</v>
      </c>
      <c r="G127">
        <v>3966</v>
      </c>
      <c r="H127">
        <v>2637.77</v>
      </c>
      <c r="I127">
        <v>628</v>
      </c>
      <c r="J127" t="b">
        <v>1</v>
      </c>
      <c r="L127" t="s">
        <v>25</v>
      </c>
    </row>
    <row r="128" spans="1:12" x14ac:dyDescent="0.2">
      <c r="A128" t="s">
        <v>289</v>
      </c>
      <c r="B128" t="s">
        <v>290</v>
      </c>
      <c r="C128" s="1">
        <v>45269</v>
      </c>
      <c r="D128" s="2">
        <v>45282</v>
      </c>
      <c r="E128" t="s">
        <v>33</v>
      </c>
      <c r="F128">
        <v>85651</v>
      </c>
      <c r="G128">
        <v>1244</v>
      </c>
      <c r="H128" s="3">
        <v>2348.14</v>
      </c>
      <c r="I128">
        <v>63</v>
      </c>
      <c r="J128" t="s">
        <v>24</v>
      </c>
      <c r="L128" t="s">
        <v>34</v>
      </c>
    </row>
    <row r="129" spans="1:12" x14ac:dyDescent="0.2">
      <c r="A129" t="s">
        <v>291</v>
      </c>
      <c r="B129" t="s">
        <v>292</v>
      </c>
      <c r="C129" s="1">
        <v>45063</v>
      </c>
      <c r="D129" s="2">
        <v>45088</v>
      </c>
      <c r="E129" t="s">
        <v>33</v>
      </c>
      <c r="F129">
        <v>64335</v>
      </c>
      <c r="G129">
        <v>2690</v>
      </c>
      <c r="H129">
        <v>3893.68</v>
      </c>
      <c r="J129" t="s">
        <v>15</v>
      </c>
      <c r="L129" t="s">
        <v>34</v>
      </c>
    </row>
    <row r="130" spans="1:12" x14ac:dyDescent="0.2">
      <c r="A130" t="s">
        <v>293</v>
      </c>
      <c r="B130" t="s">
        <v>294</v>
      </c>
      <c r="C130" s="1">
        <v>45122</v>
      </c>
      <c r="D130" s="2">
        <v>45127</v>
      </c>
      <c r="E130" t="s">
        <v>14</v>
      </c>
      <c r="F130">
        <v>11965</v>
      </c>
      <c r="G130">
        <v>559</v>
      </c>
      <c r="H130">
        <v>325.11</v>
      </c>
      <c r="I130">
        <v>39</v>
      </c>
      <c r="J130" t="s">
        <v>24</v>
      </c>
      <c r="L130" t="s">
        <v>16</v>
      </c>
    </row>
    <row r="131" spans="1:12" x14ac:dyDescent="0.2">
      <c r="A131" t="s">
        <v>295</v>
      </c>
      <c r="B131" t="s">
        <v>296</v>
      </c>
      <c r="C131" s="1">
        <v>45040</v>
      </c>
      <c r="D131" s="2">
        <v>45060</v>
      </c>
      <c r="E131" t="s">
        <v>19</v>
      </c>
      <c r="F131">
        <v>25538</v>
      </c>
      <c r="G131">
        <v>868</v>
      </c>
      <c r="H131" s="3">
        <v>1272.82</v>
      </c>
      <c r="I131">
        <v>156</v>
      </c>
      <c r="J131">
        <v>0</v>
      </c>
      <c r="L131" t="s">
        <v>20</v>
      </c>
    </row>
    <row r="132" spans="1:12" x14ac:dyDescent="0.2">
      <c r="A132" t="s">
        <v>297</v>
      </c>
      <c r="B132" t="s">
        <v>298</v>
      </c>
      <c r="C132" s="1">
        <v>45106</v>
      </c>
      <c r="D132" s="2">
        <v>45117</v>
      </c>
      <c r="E132" t="s">
        <v>41</v>
      </c>
      <c r="F132">
        <v>71592</v>
      </c>
      <c r="G132">
        <v>3410</v>
      </c>
      <c r="H132">
        <v>6688.28</v>
      </c>
      <c r="I132">
        <v>616</v>
      </c>
      <c r="J132">
        <v>0</v>
      </c>
      <c r="L132" t="s">
        <v>68</v>
      </c>
    </row>
    <row r="133" spans="1:12" x14ac:dyDescent="0.2">
      <c r="A133" t="s">
        <v>299</v>
      </c>
      <c r="B133" t="s">
        <v>300</v>
      </c>
      <c r="C133" s="1">
        <v>45043</v>
      </c>
      <c r="D133" s="2">
        <v>45046</v>
      </c>
      <c r="E133" t="s">
        <v>41</v>
      </c>
      <c r="F133">
        <v>99018</v>
      </c>
      <c r="G133">
        <v>4265</v>
      </c>
      <c r="H133">
        <v>2579.0500000000002</v>
      </c>
      <c r="I133">
        <v>480</v>
      </c>
      <c r="J133">
        <v>0</v>
      </c>
      <c r="L133" t="s">
        <v>42</v>
      </c>
    </row>
    <row r="134" spans="1:12" x14ac:dyDescent="0.2">
      <c r="A134" t="s">
        <v>301</v>
      </c>
      <c r="B134" t="s">
        <v>302</v>
      </c>
      <c r="C134" s="1">
        <v>45131</v>
      </c>
      <c r="D134" s="2">
        <v>45148</v>
      </c>
      <c r="E134" t="s">
        <v>19</v>
      </c>
      <c r="F134">
        <v>9110</v>
      </c>
      <c r="G134">
        <v>334</v>
      </c>
      <c r="H134">
        <v>444.9</v>
      </c>
      <c r="I134">
        <v>38</v>
      </c>
      <c r="J134">
        <v>1</v>
      </c>
      <c r="L134" t="s">
        <v>20</v>
      </c>
    </row>
    <row r="135" spans="1:12" x14ac:dyDescent="0.2">
      <c r="A135" t="s">
        <v>303</v>
      </c>
      <c r="B135" t="s">
        <v>304</v>
      </c>
      <c r="C135" s="1">
        <v>45069</v>
      </c>
      <c r="D135" s="2">
        <v>45085</v>
      </c>
      <c r="E135" t="s">
        <v>19</v>
      </c>
      <c r="F135">
        <v>80309</v>
      </c>
      <c r="G135">
        <v>2657</v>
      </c>
      <c r="H135">
        <v>4308.83</v>
      </c>
      <c r="I135">
        <v>253</v>
      </c>
      <c r="J135" t="s">
        <v>30</v>
      </c>
      <c r="L135" t="s">
        <v>20</v>
      </c>
    </row>
    <row r="136" spans="1:12" x14ac:dyDescent="0.2">
      <c r="A136" t="s">
        <v>305</v>
      </c>
      <c r="B136" t="s">
        <v>306</v>
      </c>
      <c r="C136" s="1">
        <v>45274</v>
      </c>
      <c r="D136" s="2">
        <v>45289</v>
      </c>
      <c r="E136" t="s">
        <v>41</v>
      </c>
      <c r="F136">
        <v>28266</v>
      </c>
      <c r="G136">
        <v>676</v>
      </c>
      <c r="H136" s="3">
        <v>1159.5999999999999</v>
      </c>
      <c r="J136" t="s">
        <v>15</v>
      </c>
      <c r="L136" t="s">
        <v>42</v>
      </c>
    </row>
    <row r="137" spans="1:12" x14ac:dyDescent="0.2">
      <c r="A137" t="s">
        <v>307</v>
      </c>
      <c r="B137" t="s">
        <v>308</v>
      </c>
      <c r="C137" s="1">
        <v>44941</v>
      </c>
      <c r="D137" s="2">
        <v>44961</v>
      </c>
      <c r="E137" t="s">
        <v>41</v>
      </c>
      <c r="F137">
        <v>53992</v>
      </c>
      <c r="G137">
        <v>883</v>
      </c>
      <c r="H137">
        <v>989.61</v>
      </c>
      <c r="I137">
        <v>91</v>
      </c>
      <c r="J137" t="s">
        <v>30</v>
      </c>
      <c r="L137" t="s">
        <v>42</v>
      </c>
    </row>
    <row r="138" spans="1:12" x14ac:dyDescent="0.2">
      <c r="A138" t="s">
        <v>309</v>
      </c>
      <c r="B138" t="s">
        <v>310</v>
      </c>
      <c r="C138" s="1">
        <v>45018</v>
      </c>
      <c r="D138" s="2">
        <v>45047</v>
      </c>
      <c r="E138" t="s">
        <v>41</v>
      </c>
      <c r="F138">
        <v>83948</v>
      </c>
      <c r="G138">
        <v>2870</v>
      </c>
      <c r="H138">
        <v>2313.94</v>
      </c>
      <c r="I138">
        <v>258</v>
      </c>
      <c r="J138" t="s">
        <v>15</v>
      </c>
      <c r="L138" t="s">
        <v>42</v>
      </c>
    </row>
    <row r="139" spans="1:12" x14ac:dyDescent="0.2">
      <c r="A139" t="s">
        <v>311</v>
      </c>
      <c r="B139" t="s">
        <v>312</v>
      </c>
      <c r="C139" s="1">
        <v>44946</v>
      </c>
      <c r="D139" s="2">
        <v>44975</v>
      </c>
      <c r="E139" t="s">
        <v>19</v>
      </c>
      <c r="F139">
        <v>99806</v>
      </c>
      <c r="G139">
        <v>2268</v>
      </c>
      <c r="H139">
        <v>1278.05</v>
      </c>
      <c r="I139">
        <v>260</v>
      </c>
      <c r="J139" t="s">
        <v>30</v>
      </c>
      <c r="L139" t="s">
        <v>20</v>
      </c>
    </row>
    <row r="140" spans="1:12" x14ac:dyDescent="0.2">
      <c r="A140" t="s">
        <v>313</v>
      </c>
      <c r="B140" t="s">
        <v>314</v>
      </c>
      <c r="C140" s="1">
        <v>45087</v>
      </c>
      <c r="D140" s="2">
        <v>45111</v>
      </c>
      <c r="E140" t="s">
        <v>33</v>
      </c>
      <c r="F140">
        <v>7910</v>
      </c>
      <c r="G140">
        <v>353</v>
      </c>
      <c r="H140" s="3">
        <v>483.47</v>
      </c>
      <c r="I140">
        <v>22</v>
      </c>
      <c r="J140" t="b">
        <v>0</v>
      </c>
      <c r="L140" t="s">
        <v>34</v>
      </c>
    </row>
    <row r="141" spans="1:12" x14ac:dyDescent="0.2">
      <c r="A141" t="s">
        <v>315</v>
      </c>
      <c r="B141" t="s">
        <v>316</v>
      </c>
      <c r="C141" s="1">
        <v>44986</v>
      </c>
      <c r="D141" s="2">
        <v>44995</v>
      </c>
      <c r="E141" t="s">
        <v>33</v>
      </c>
      <c r="F141">
        <v>91982</v>
      </c>
      <c r="G141">
        <v>4574</v>
      </c>
      <c r="H141">
        <v>5394.42</v>
      </c>
      <c r="J141" t="s">
        <v>24</v>
      </c>
      <c r="K141">
        <v>92026</v>
      </c>
      <c r="L141" t="s">
        <v>34</v>
      </c>
    </row>
    <row r="142" spans="1:12" x14ac:dyDescent="0.2">
      <c r="A142" t="s">
        <v>317</v>
      </c>
      <c r="B142" t="s">
        <v>318</v>
      </c>
      <c r="C142" s="2">
        <v>45235</v>
      </c>
      <c r="D142" s="2">
        <v>45060</v>
      </c>
      <c r="E142" t="s">
        <v>19</v>
      </c>
      <c r="F142">
        <v>1206</v>
      </c>
      <c r="G142">
        <v>48</v>
      </c>
      <c r="H142">
        <v>92.31</v>
      </c>
      <c r="I142">
        <v>2</v>
      </c>
      <c r="J142" t="b">
        <v>1</v>
      </c>
      <c r="L142" t="s">
        <v>20</v>
      </c>
    </row>
    <row r="143" spans="1:12" x14ac:dyDescent="0.2">
      <c r="A143" t="s">
        <v>319</v>
      </c>
      <c r="B143" t="s">
        <v>320</v>
      </c>
      <c r="C143" s="2">
        <v>45268</v>
      </c>
      <c r="D143" s="2">
        <v>45165</v>
      </c>
      <c r="E143" t="s">
        <v>14</v>
      </c>
      <c r="F143">
        <v>88054</v>
      </c>
      <c r="G143">
        <v>1199</v>
      </c>
      <c r="H143" s="3">
        <v>708.5</v>
      </c>
      <c r="I143">
        <v>175</v>
      </c>
      <c r="J143" t="b">
        <v>1</v>
      </c>
      <c r="L143" t="s">
        <v>16</v>
      </c>
    </row>
    <row r="144" spans="1:12" x14ac:dyDescent="0.2">
      <c r="A144" t="s">
        <v>321</v>
      </c>
      <c r="B144" t="s">
        <v>322</v>
      </c>
      <c r="C144" s="1">
        <v>45202</v>
      </c>
      <c r="D144" s="2">
        <v>45215</v>
      </c>
      <c r="E144" t="s">
        <v>19</v>
      </c>
      <c r="F144">
        <v>88897</v>
      </c>
      <c r="G144">
        <v>1915</v>
      </c>
      <c r="H144">
        <v>2926.3</v>
      </c>
      <c r="I144">
        <v>148</v>
      </c>
      <c r="J144" t="s">
        <v>24</v>
      </c>
      <c r="L144" t="s">
        <v>20</v>
      </c>
    </row>
    <row r="145" spans="1:12" x14ac:dyDescent="0.2">
      <c r="A145" t="s">
        <v>323</v>
      </c>
      <c r="B145" t="s">
        <v>324</v>
      </c>
      <c r="C145" s="1">
        <v>45270</v>
      </c>
      <c r="D145" s="2">
        <v>45295</v>
      </c>
      <c r="E145" t="s">
        <v>41</v>
      </c>
      <c r="F145">
        <v>24419</v>
      </c>
      <c r="G145">
        <v>350</v>
      </c>
      <c r="H145">
        <v>188.11</v>
      </c>
      <c r="I145">
        <v>29</v>
      </c>
      <c r="J145" t="b">
        <v>0</v>
      </c>
      <c r="K145">
        <v>24436</v>
      </c>
      <c r="L145" t="s">
        <v>42</v>
      </c>
    </row>
    <row r="146" spans="1:12" x14ac:dyDescent="0.2">
      <c r="A146" t="s">
        <v>325</v>
      </c>
      <c r="B146" t="s">
        <v>326</v>
      </c>
      <c r="C146" s="1">
        <v>45267</v>
      </c>
      <c r="D146" s="2">
        <v>45274</v>
      </c>
      <c r="E146" t="s">
        <v>19</v>
      </c>
      <c r="F146">
        <v>51636</v>
      </c>
      <c r="G146">
        <v>1859</v>
      </c>
      <c r="H146">
        <v>-1407.54</v>
      </c>
      <c r="I146">
        <v>270</v>
      </c>
      <c r="J146" t="s">
        <v>15</v>
      </c>
      <c r="L146" t="s">
        <v>20</v>
      </c>
    </row>
    <row r="147" spans="1:12" x14ac:dyDescent="0.2">
      <c r="A147" t="s">
        <v>327</v>
      </c>
      <c r="B147" t="s">
        <v>328</v>
      </c>
      <c r="C147" s="1">
        <v>45266</v>
      </c>
      <c r="D147" s="2">
        <v>45292</v>
      </c>
      <c r="E147" t="s">
        <v>41</v>
      </c>
      <c r="F147">
        <v>51015</v>
      </c>
      <c r="G147">
        <v>2071</v>
      </c>
      <c r="H147">
        <v>2444.54</v>
      </c>
      <c r="J147" t="s">
        <v>24</v>
      </c>
      <c r="L147" t="s">
        <v>42</v>
      </c>
    </row>
    <row r="148" spans="1:12" x14ac:dyDescent="0.2">
      <c r="A148" t="s">
        <v>329</v>
      </c>
      <c r="B148" t="s">
        <v>330</v>
      </c>
      <c r="C148" s="1">
        <v>45080</v>
      </c>
      <c r="D148" s="2">
        <v>45105</v>
      </c>
      <c r="E148" t="s">
        <v>19</v>
      </c>
      <c r="F148">
        <v>55268</v>
      </c>
      <c r="G148">
        <v>2599</v>
      </c>
      <c r="H148">
        <v>3072.82</v>
      </c>
      <c r="I148">
        <v>433</v>
      </c>
      <c r="J148">
        <v>1</v>
      </c>
      <c r="L148" t="s">
        <v>20</v>
      </c>
    </row>
    <row r="149" spans="1:12" x14ac:dyDescent="0.2">
      <c r="A149" t="s">
        <v>331</v>
      </c>
      <c r="B149" t="s">
        <v>332</v>
      </c>
      <c r="C149" s="1">
        <v>45094</v>
      </c>
      <c r="D149" s="2">
        <v>45103</v>
      </c>
      <c r="E149" t="s">
        <v>33</v>
      </c>
      <c r="F149">
        <v>88939</v>
      </c>
      <c r="G149">
        <v>2448</v>
      </c>
      <c r="H149" s="3">
        <v>3741.89</v>
      </c>
      <c r="I149">
        <v>205</v>
      </c>
      <c r="J149" t="s">
        <v>15</v>
      </c>
      <c r="L149" t="s">
        <v>34</v>
      </c>
    </row>
    <row r="150" spans="1:12" x14ac:dyDescent="0.2">
      <c r="A150" t="s">
        <v>333</v>
      </c>
      <c r="B150" t="s">
        <v>334</v>
      </c>
      <c r="C150" s="1">
        <v>44992</v>
      </c>
      <c r="D150" s="2">
        <v>45015</v>
      </c>
      <c r="E150" t="s">
        <v>19</v>
      </c>
      <c r="F150">
        <v>19141</v>
      </c>
      <c r="G150">
        <v>881</v>
      </c>
      <c r="H150">
        <v>1643.35</v>
      </c>
      <c r="I150">
        <v>67</v>
      </c>
      <c r="J150" t="b">
        <v>1</v>
      </c>
      <c r="L150" t="s">
        <v>20</v>
      </c>
    </row>
    <row r="151" spans="1:12" x14ac:dyDescent="0.2">
      <c r="A151" t="s">
        <v>335</v>
      </c>
      <c r="B151" t="s">
        <v>336</v>
      </c>
      <c r="C151" s="1">
        <v>45121</v>
      </c>
      <c r="D151" s="2">
        <v>45126</v>
      </c>
      <c r="E151" t="s">
        <v>138</v>
      </c>
      <c r="F151">
        <v>81356</v>
      </c>
      <c r="G151">
        <v>3670</v>
      </c>
      <c r="H151">
        <v>5352.87</v>
      </c>
      <c r="I151">
        <v>660</v>
      </c>
      <c r="J151">
        <v>1</v>
      </c>
      <c r="L151" t="s">
        <v>139</v>
      </c>
    </row>
    <row r="152" spans="1:12" x14ac:dyDescent="0.2">
      <c r="A152" t="s">
        <v>337</v>
      </c>
      <c r="B152" t="s">
        <v>338</v>
      </c>
      <c r="C152" s="1">
        <v>45242</v>
      </c>
      <c r="D152" s="2">
        <v>45254</v>
      </c>
      <c r="E152" t="s">
        <v>41</v>
      </c>
      <c r="F152">
        <v>72910</v>
      </c>
      <c r="G152">
        <v>1654</v>
      </c>
      <c r="H152">
        <v>3192.72</v>
      </c>
      <c r="I152">
        <v>192</v>
      </c>
      <c r="J152" t="s">
        <v>30</v>
      </c>
      <c r="L152" t="s">
        <v>42</v>
      </c>
    </row>
    <row r="153" spans="1:12" x14ac:dyDescent="0.2">
      <c r="A153" t="s">
        <v>339</v>
      </c>
      <c r="B153" t="s">
        <v>340</v>
      </c>
      <c r="C153" s="1">
        <v>44927</v>
      </c>
      <c r="D153" s="2">
        <v>44955</v>
      </c>
      <c r="E153" t="s">
        <v>58</v>
      </c>
      <c r="F153">
        <v>57044</v>
      </c>
      <c r="G153">
        <v>2553</v>
      </c>
      <c r="H153">
        <v>4652.6499999999996</v>
      </c>
      <c r="I153">
        <v>180</v>
      </c>
      <c r="J153">
        <v>1</v>
      </c>
      <c r="L153" t="s">
        <v>59</v>
      </c>
    </row>
    <row r="154" spans="1:12" x14ac:dyDescent="0.2">
      <c r="A154" t="s">
        <v>341</v>
      </c>
      <c r="B154" t="s">
        <v>342</v>
      </c>
      <c r="C154" s="1">
        <v>45223</v>
      </c>
      <c r="D154" s="2">
        <v>45248</v>
      </c>
      <c r="E154" t="s">
        <v>14</v>
      </c>
      <c r="F154">
        <v>68214</v>
      </c>
      <c r="G154">
        <v>1707</v>
      </c>
      <c r="H154" s="3">
        <v>2350.11</v>
      </c>
      <c r="I154">
        <v>306</v>
      </c>
      <c r="J154" t="s">
        <v>15</v>
      </c>
      <c r="L154" t="s">
        <v>16</v>
      </c>
    </row>
    <row r="155" spans="1:12" x14ac:dyDescent="0.2">
      <c r="A155" t="s">
        <v>343</v>
      </c>
      <c r="B155" t="s">
        <v>344</v>
      </c>
      <c r="C155" s="1">
        <v>45153</v>
      </c>
      <c r="D155" s="2">
        <v>45155</v>
      </c>
      <c r="E155" t="s">
        <v>14</v>
      </c>
      <c r="F155">
        <v>34827</v>
      </c>
      <c r="G155">
        <v>761</v>
      </c>
      <c r="H155">
        <v>1332.27</v>
      </c>
      <c r="I155">
        <v>131</v>
      </c>
      <c r="J155" t="b">
        <v>0</v>
      </c>
      <c r="L155" t="s">
        <v>16</v>
      </c>
    </row>
    <row r="156" spans="1:12" x14ac:dyDescent="0.2">
      <c r="A156" t="s">
        <v>345</v>
      </c>
      <c r="B156" t="s">
        <v>346</v>
      </c>
      <c r="C156" s="1">
        <v>45169</v>
      </c>
      <c r="D156" s="2">
        <v>45185</v>
      </c>
      <c r="E156" t="s">
        <v>19</v>
      </c>
      <c r="F156">
        <v>56820</v>
      </c>
      <c r="G156">
        <v>2043</v>
      </c>
      <c r="H156">
        <v>2990.68</v>
      </c>
      <c r="I156">
        <v>403</v>
      </c>
      <c r="J156" t="s">
        <v>30</v>
      </c>
      <c r="L156" t="s">
        <v>68</v>
      </c>
    </row>
    <row r="157" spans="1:12" x14ac:dyDescent="0.2">
      <c r="A157" t="s">
        <v>347</v>
      </c>
      <c r="B157" t="s">
        <v>348</v>
      </c>
      <c r="C157" s="1">
        <v>45013</v>
      </c>
      <c r="D157" s="2">
        <v>45021</v>
      </c>
      <c r="E157" t="s">
        <v>19</v>
      </c>
      <c r="F157">
        <v>63623</v>
      </c>
      <c r="G157">
        <v>1471</v>
      </c>
      <c r="H157">
        <v>908.84</v>
      </c>
      <c r="I157">
        <v>274</v>
      </c>
      <c r="J157" t="s">
        <v>15</v>
      </c>
      <c r="L157" t="s">
        <v>20</v>
      </c>
    </row>
    <row r="158" spans="1:12" x14ac:dyDescent="0.2">
      <c r="A158" t="s">
        <v>349</v>
      </c>
      <c r="B158" t="s">
        <v>350</v>
      </c>
      <c r="C158" s="1">
        <v>45266</v>
      </c>
      <c r="D158" s="2">
        <v>45261</v>
      </c>
      <c r="E158" t="s">
        <v>14</v>
      </c>
      <c r="F158">
        <v>82734</v>
      </c>
      <c r="G158">
        <v>2912</v>
      </c>
      <c r="H158">
        <v>4690.79</v>
      </c>
      <c r="J158" t="s">
        <v>30</v>
      </c>
      <c r="K158">
        <v>82765</v>
      </c>
      <c r="L158" t="s">
        <v>16</v>
      </c>
    </row>
    <row r="159" spans="1:12" x14ac:dyDescent="0.2">
      <c r="A159" t="s">
        <v>351</v>
      </c>
      <c r="B159" t="s">
        <v>352</v>
      </c>
      <c r="C159" s="1">
        <v>45047</v>
      </c>
      <c r="D159" s="2">
        <v>45068</v>
      </c>
      <c r="E159" t="s">
        <v>23</v>
      </c>
      <c r="F159">
        <v>76450</v>
      </c>
      <c r="G159">
        <v>2629</v>
      </c>
      <c r="H159">
        <v>1688.77</v>
      </c>
      <c r="J159">
        <v>1</v>
      </c>
      <c r="L159" t="s">
        <v>68</v>
      </c>
    </row>
    <row r="160" spans="1:12" x14ac:dyDescent="0.2">
      <c r="A160" t="s">
        <v>353</v>
      </c>
      <c r="B160" t="s">
        <v>354</v>
      </c>
      <c r="C160" s="2">
        <v>45028</v>
      </c>
      <c r="D160" s="2">
        <v>45265</v>
      </c>
      <c r="E160" t="s">
        <v>41</v>
      </c>
      <c r="F160">
        <v>94426</v>
      </c>
      <c r="G160">
        <v>3072</v>
      </c>
      <c r="H160">
        <v>4273.53</v>
      </c>
      <c r="I160">
        <v>201</v>
      </c>
      <c r="J160" t="b">
        <v>1</v>
      </c>
      <c r="L160" t="s">
        <v>42</v>
      </c>
    </row>
    <row r="161" spans="1:12" x14ac:dyDescent="0.2">
      <c r="A161" t="s">
        <v>355</v>
      </c>
      <c r="B161" t="s">
        <v>356</v>
      </c>
      <c r="C161" s="1">
        <v>45170</v>
      </c>
      <c r="D161" s="2">
        <v>45181</v>
      </c>
      <c r="E161" t="s">
        <v>41</v>
      </c>
      <c r="F161">
        <v>23299</v>
      </c>
      <c r="G161">
        <v>587</v>
      </c>
      <c r="H161">
        <v>912.17</v>
      </c>
      <c r="I161">
        <v>79</v>
      </c>
      <c r="J161" t="s">
        <v>15</v>
      </c>
      <c r="L161" t="s">
        <v>42</v>
      </c>
    </row>
    <row r="162" spans="1:12" x14ac:dyDescent="0.2">
      <c r="A162" t="s">
        <v>357</v>
      </c>
      <c r="B162" t="s">
        <v>358</v>
      </c>
      <c r="C162" s="1">
        <v>45160</v>
      </c>
      <c r="D162" s="2">
        <v>45172</v>
      </c>
      <c r="E162" t="s">
        <v>19</v>
      </c>
      <c r="F162">
        <v>44585</v>
      </c>
      <c r="G162">
        <v>1424</v>
      </c>
      <c r="H162">
        <v>854.1</v>
      </c>
      <c r="I162">
        <v>184</v>
      </c>
      <c r="J162" t="b">
        <v>0</v>
      </c>
      <c r="L162" t="s">
        <v>68</v>
      </c>
    </row>
    <row r="163" spans="1:12" x14ac:dyDescent="0.2">
      <c r="A163" t="s">
        <v>359</v>
      </c>
      <c r="B163" t="s">
        <v>360</v>
      </c>
      <c r="C163" s="1">
        <v>45026</v>
      </c>
      <c r="D163" s="2">
        <v>45053</v>
      </c>
      <c r="E163" t="s">
        <v>41</v>
      </c>
      <c r="F163">
        <v>65044</v>
      </c>
      <c r="G163">
        <v>2202</v>
      </c>
      <c r="H163">
        <v>1863.31</v>
      </c>
      <c r="I163">
        <v>261</v>
      </c>
      <c r="J163" t="s">
        <v>24</v>
      </c>
      <c r="L163" t="s">
        <v>42</v>
      </c>
    </row>
    <row r="164" spans="1:12" x14ac:dyDescent="0.2">
      <c r="A164" t="s">
        <v>361</v>
      </c>
      <c r="B164" t="s">
        <v>362</v>
      </c>
      <c r="C164" s="1">
        <v>45131</v>
      </c>
      <c r="D164" s="2">
        <v>45151</v>
      </c>
      <c r="E164" t="s">
        <v>138</v>
      </c>
      <c r="F164">
        <v>43557</v>
      </c>
      <c r="G164">
        <v>1386</v>
      </c>
      <c r="H164">
        <v>2596.6799999999998</v>
      </c>
      <c r="I164">
        <v>151</v>
      </c>
      <c r="J164">
        <v>1</v>
      </c>
      <c r="L164" t="s">
        <v>68</v>
      </c>
    </row>
    <row r="165" spans="1:12" x14ac:dyDescent="0.2">
      <c r="A165" t="s">
        <v>363</v>
      </c>
      <c r="B165" t="s">
        <v>364</v>
      </c>
      <c r="C165" s="1">
        <v>44929</v>
      </c>
      <c r="D165" s="2">
        <v>44945</v>
      </c>
      <c r="E165" t="s">
        <v>41</v>
      </c>
      <c r="F165">
        <v>50080</v>
      </c>
      <c r="G165">
        <v>1391</v>
      </c>
      <c r="H165">
        <v>1981.44</v>
      </c>
      <c r="I165">
        <v>159</v>
      </c>
      <c r="J165" t="s">
        <v>15</v>
      </c>
      <c r="L165" t="s">
        <v>42</v>
      </c>
    </row>
    <row r="166" spans="1:12" x14ac:dyDescent="0.2">
      <c r="A166" t="s">
        <v>365</v>
      </c>
      <c r="B166" t="s">
        <v>366</v>
      </c>
      <c r="C166" s="1">
        <v>44981</v>
      </c>
      <c r="D166" s="2">
        <v>44999</v>
      </c>
      <c r="E166" t="s">
        <v>33</v>
      </c>
      <c r="F166">
        <v>3693</v>
      </c>
      <c r="G166">
        <v>39</v>
      </c>
      <c r="H166">
        <v>33.909999999999997</v>
      </c>
      <c r="J166" t="b">
        <v>0</v>
      </c>
      <c r="L166" t="s">
        <v>34</v>
      </c>
    </row>
    <row r="167" spans="1:12" x14ac:dyDescent="0.2">
      <c r="A167" t="s">
        <v>367</v>
      </c>
      <c r="B167" t="s">
        <v>368</v>
      </c>
      <c r="C167" s="2">
        <v>45283</v>
      </c>
      <c r="D167" s="2">
        <v>45288</v>
      </c>
      <c r="E167" t="s">
        <v>14</v>
      </c>
      <c r="F167">
        <v>96003</v>
      </c>
      <c r="G167">
        <v>3214</v>
      </c>
      <c r="H167" s="3">
        <v>4936.7700000000004</v>
      </c>
      <c r="I167">
        <v>161</v>
      </c>
      <c r="J167" t="s">
        <v>15</v>
      </c>
      <c r="L167" t="s">
        <v>16</v>
      </c>
    </row>
    <row r="168" spans="1:12" x14ac:dyDescent="0.2">
      <c r="A168" t="s">
        <v>369</v>
      </c>
      <c r="B168" t="s">
        <v>370</v>
      </c>
      <c r="C168" s="1">
        <v>45054</v>
      </c>
      <c r="D168" s="2">
        <v>45080</v>
      </c>
      <c r="E168" t="s">
        <v>41</v>
      </c>
      <c r="F168">
        <v>96259</v>
      </c>
      <c r="G168">
        <v>1611</v>
      </c>
      <c r="H168">
        <v>2247.61</v>
      </c>
      <c r="I168">
        <v>143</v>
      </c>
      <c r="J168">
        <v>1</v>
      </c>
      <c r="L168" t="s">
        <v>42</v>
      </c>
    </row>
    <row r="169" spans="1:12" x14ac:dyDescent="0.2">
      <c r="A169" t="s">
        <v>371</v>
      </c>
      <c r="B169" t="s">
        <v>372</v>
      </c>
      <c r="C169" s="1">
        <v>44995</v>
      </c>
      <c r="D169" s="2">
        <v>45004</v>
      </c>
      <c r="E169" t="s">
        <v>19</v>
      </c>
      <c r="F169">
        <v>70163</v>
      </c>
      <c r="G169">
        <v>2505</v>
      </c>
      <c r="H169">
        <v>3137.17</v>
      </c>
      <c r="J169" t="s">
        <v>15</v>
      </c>
      <c r="L169" t="s">
        <v>20</v>
      </c>
    </row>
    <row r="170" spans="1:12" x14ac:dyDescent="0.2">
      <c r="A170" t="s">
        <v>373</v>
      </c>
      <c r="B170" t="s">
        <v>374</v>
      </c>
      <c r="C170" s="1">
        <v>45213</v>
      </c>
      <c r="D170" s="2">
        <v>45224</v>
      </c>
      <c r="E170" t="s">
        <v>41</v>
      </c>
      <c r="F170">
        <v>26939</v>
      </c>
      <c r="G170">
        <v>1087</v>
      </c>
      <c r="H170" s="3">
        <v>2135.17</v>
      </c>
      <c r="I170">
        <v>172</v>
      </c>
      <c r="J170" t="s">
        <v>30</v>
      </c>
      <c r="L170" t="s">
        <v>42</v>
      </c>
    </row>
    <row r="171" spans="1:12" x14ac:dyDescent="0.2">
      <c r="A171" t="s">
        <v>375</v>
      </c>
      <c r="B171" t="s">
        <v>376</v>
      </c>
      <c r="C171" s="1">
        <v>45153</v>
      </c>
      <c r="D171" s="2">
        <v>45169</v>
      </c>
      <c r="E171" t="s">
        <v>14</v>
      </c>
      <c r="F171">
        <v>49925</v>
      </c>
      <c r="G171">
        <v>1498</v>
      </c>
      <c r="H171" s="3">
        <v>2284.7199999999998</v>
      </c>
      <c r="I171">
        <v>114</v>
      </c>
      <c r="J171">
        <v>1</v>
      </c>
      <c r="L171" t="s">
        <v>16</v>
      </c>
    </row>
    <row r="172" spans="1:12" x14ac:dyDescent="0.2">
      <c r="A172" t="s">
        <v>377</v>
      </c>
      <c r="B172" t="s">
        <v>378</v>
      </c>
      <c r="C172" s="1">
        <v>45185</v>
      </c>
      <c r="D172" s="2">
        <v>45196</v>
      </c>
      <c r="E172" t="s">
        <v>138</v>
      </c>
      <c r="F172">
        <v>43941</v>
      </c>
      <c r="G172">
        <v>1392</v>
      </c>
      <c r="H172">
        <v>1479.92</v>
      </c>
      <c r="I172">
        <v>183</v>
      </c>
      <c r="J172" t="s">
        <v>15</v>
      </c>
      <c r="L172" t="s">
        <v>139</v>
      </c>
    </row>
    <row r="173" spans="1:12" x14ac:dyDescent="0.2">
      <c r="A173" t="s">
        <v>379</v>
      </c>
      <c r="B173" t="s">
        <v>380</v>
      </c>
      <c r="C173" s="1">
        <v>45155</v>
      </c>
      <c r="D173" s="2">
        <v>45175</v>
      </c>
      <c r="E173" t="s">
        <v>19</v>
      </c>
      <c r="F173">
        <v>22834</v>
      </c>
      <c r="G173">
        <v>1097</v>
      </c>
      <c r="H173">
        <v>1865.02</v>
      </c>
      <c r="I173">
        <v>172</v>
      </c>
      <c r="J173" t="s">
        <v>24</v>
      </c>
      <c r="L173" t="s">
        <v>20</v>
      </c>
    </row>
    <row r="174" spans="1:12" x14ac:dyDescent="0.2">
      <c r="A174" t="s">
        <v>381</v>
      </c>
      <c r="B174" t="s">
        <v>382</v>
      </c>
      <c r="C174" s="1">
        <v>45170</v>
      </c>
      <c r="D174" s="2">
        <v>45199</v>
      </c>
      <c r="E174" t="s">
        <v>23</v>
      </c>
      <c r="F174">
        <v>19047</v>
      </c>
      <c r="G174">
        <v>835</v>
      </c>
      <c r="H174">
        <v>1525.44</v>
      </c>
      <c r="I174">
        <v>97</v>
      </c>
      <c r="J174" t="b">
        <v>1</v>
      </c>
      <c r="L174" t="s">
        <v>25</v>
      </c>
    </row>
    <row r="175" spans="1:12" x14ac:dyDescent="0.2">
      <c r="A175" t="s">
        <v>383</v>
      </c>
      <c r="B175" t="s">
        <v>384</v>
      </c>
      <c r="C175" s="1">
        <v>45253</v>
      </c>
      <c r="D175" s="2">
        <v>45271</v>
      </c>
      <c r="E175" t="s">
        <v>14</v>
      </c>
      <c r="F175">
        <v>27105</v>
      </c>
      <c r="G175">
        <v>1262</v>
      </c>
      <c r="H175">
        <v>868.04</v>
      </c>
      <c r="I175">
        <v>68</v>
      </c>
      <c r="J175" t="s">
        <v>15</v>
      </c>
      <c r="L175" t="s">
        <v>16</v>
      </c>
    </row>
    <row r="176" spans="1:12" x14ac:dyDescent="0.2">
      <c r="A176" t="s">
        <v>385</v>
      </c>
      <c r="B176" t="s">
        <v>386</v>
      </c>
      <c r="C176" s="1">
        <v>45175</v>
      </c>
      <c r="D176" s="2">
        <v>45182</v>
      </c>
      <c r="E176" t="s">
        <v>23</v>
      </c>
      <c r="F176">
        <v>76766</v>
      </c>
      <c r="G176">
        <v>3266</v>
      </c>
      <c r="H176">
        <v>2615.5100000000002</v>
      </c>
      <c r="I176">
        <v>383</v>
      </c>
      <c r="J176" t="s">
        <v>30</v>
      </c>
      <c r="L176" t="s">
        <v>25</v>
      </c>
    </row>
    <row r="177" spans="1:12" x14ac:dyDescent="0.2">
      <c r="A177" t="s">
        <v>387</v>
      </c>
      <c r="B177" t="s">
        <v>388</v>
      </c>
      <c r="C177" s="1">
        <v>44966</v>
      </c>
      <c r="D177" s="2">
        <v>44993</v>
      </c>
      <c r="E177" t="s">
        <v>14</v>
      </c>
      <c r="F177">
        <v>16707</v>
      </c>
      <c r="G177">
        <v>239</v>
      </c>
      <c r="H177">
        <v>197.02</v>
      </c>
      <c r="I177">
        <v>22</v>
      </c>
      <c r="J177" t="b">
        <v>0</v>
      </c>
      <c r="L177" t="s">
        <v>16</v>
      </c>
    </row>
    <row r="178" spans="1:12" x14ac:dyDescent="0.2">
      <c r="A178" t="s">
        <v>389</v>
      </c>
      <c r="B178" t="s">
        <v>390</v>
      </c>
      <c r="C178" s="1">
        <v>45098</v>
      </c>
      <c r="D178" s="2">
        <v>45124</v>
      </c>
      <c r="E178" t="s">
        <v>14</v>
      </c>
      <c r="F178">
        <v>22976</v>
      </c>
      <c r="G178">
        <v>366</v>
      </c>
      <c r="H178" s="3">
        <v>562.48</v>
      </c>
      <c r="J178" t="s">
        <v>24</v>
      </c>
      <c r="L178" t="s">
        <v>16</v>
      </c>
    </row>
    <row r="179" spans="1:12" x14ac:dyDescent="0.2">
      <c r="A179" t="s">
        <v>391</v>
      </c>
      <c r="B179" t="s">
        <v>392</v>
      </c>
      <c r="C179" s="1">
        <v>44997</v>
      </c>
      <c r="D179" s="2">
        <v>45018</v>
      </c>
      <c r="E179" t="s">
        <v>266</v>
      </c>
      <c r="F179">
        <v>45262</v>
      </c>
      <c r="G179">
        <v>1406</v>
      </c>
      <c r="H179">
        <v>1974.81</v>
      </c>
      <c r="I179">
        <v>96</v>
      </c>
      <c r="J179" t="b">
        <v>0</v>
      </c>
      <c r="L179" t="s">
        <v>20</v>
      </c>
    </row>
    <row r="180" spans="1:12" x14ac:dyDescent="0.2">
      <c r="A180" t="s">
        <v>393</v>
      </c>
      <c r="B180" t="s">
        <v>394</v>
      </c>
      <c r="C180" s="2">
        <v>45005</v>
      </c>
      <c r="D180" s="2">
        <v>45012</v>
      </c>
      <c r="E180" t="s">
        <v>19</v>
      </c>
      <c r="F180">
        <v>24776</v>
      </c>
      <c r="G180">
        <v>491</v>
      </c>
      <c r="H180">
        <v>701.39</v>
      </c>
      <c r="I180">
        <v>72</v>
      </c>
      <c r="J180" t="s">
        <v>24</v>
      </c>
      <c r="L180" t="s">
        <v>20</v>
      </c>
    </row>
    <row r="181" spans="1:12" x14ac:dyDescent="0.2">
      <c r="A181" t="s">
        <v>395</v>
      </c>
      <c r="B181" t="s">
        <v>396</v>
      </c>
      <c r="C181" s="1">
        <v>45135</v>
      </c>
      <c r="D181" s="2">
        <v>45165</v>
      </c>
      <c r="E181" t="s">
        <v>19</v>
      </c>
      <c r="F181">
        <v>31080</v>
      </c>
      <c r="G181">
        <v>903</v>
      </c>
      <c r="H181">
        <v>1725.78</v>
      </c>
      <c r="I181">
        <v>52</v>
      </c>
      <c r="J181" t="b">
        <v>0</v>
      </c>
      <c r="L181" t="s">
        <v>20</v>
      </c>
    </row>
    <row r="182" spans="1:12" x14ac:dyDescent="0.2">
      <c r="A182" t="s">
        <v>397</v>
      </c>
      <c r="B182" t="s">
        <v>398</v>
      </c>
      <c r="C182" s="1">
        <v>44958</v>
      </c>
      <c r="D182" s="2">
        <v>44978</v>
      </c>
      <c r="E182" t="s">
        <v>33</v>
      </c>
      <c r="F182">
        <v>67842</v>
      </c>
      <c r="G182">
        <v>1748</v>
      </c>
      <c r="H182">
        <v>2908.44</v>
      </c>
      <c r="J182" t="b">
        <v>1</v>
      </c>
      <c r="L182" t="s">
        <v>34</v>
      </c>
    </row>
    <row r="183" spans="1:12" x14ac:dyDescent="0.2">
      <c r="A183" t="s">
        <v>399</v>
      </c>
      <c r="B183" t="s">
        <v>400</v>
      </c>
      <c r="C183" s="2">
        <v>45226</v>
      </c>
      <c r="D183" s="2">
        <v>45246</v>
      </c>
      <c r="E183" t="s">
        <v>23</v>
      </c>
      <c r="F183">
        <v>62373</v>
      </c>
      <c r="G183">
        <v>1994</v>
      </c>
      <c r="H183" s="3">
        <v>1379.66</v>
      </c>
      <c r="I183">
        <v>265</v>
      </c>
      <c r="J183" t="s">
        <v>30</v>
      </c>
      <c r="L183" t="s">
        <v>25</v>
      </c>
    </row>
    <row r="184" spans="1:12" x14ac:dyDescent="0.2">
      <c r="A184" t="s">
        <v>401</v>
      </c>
      <c r="B184" t="s">
        <v>402</v>
      </c>
      <c r="C184" s="2">
        <v>45221</v>
      </c>
      <c r="D184" s="2">
        <v>45225</v>
      </c>
      <c r="E184" t="s">
        <v>23</v>
      </c>
      <c r="F184">
        <v>7776</v>
      </c>
      <c r="G184">
        <v>310</v>
      </c>
      <c r="H184" s="3">
        <v>316.58999999999997</v>
      </c>
      <c r="I184">
        <v>29</v>
      </c>
      <c r="J184">
        <v>1</v>
      </c>
      <c r="L184" t="s">
        <v>25</v>
      </c>
    </row>
    <row r="185" spans="1:12" x14ac:dyDescent="0.2">
      <c r="A185" t="s">
        <v>403</v>
      </c>
      <c r="B185" t="s">
        <v>404</v>
      </c>
      <c r="C185" s="1">
        <v>45107</v>
      </c>
      <c r="D185" s="2">
        <v>45117</v>
      </c>
      <c r="E185" t="s">
        <v>23</v>
      </c>
      <c r="F185">
        <v>93787</v>
      </c>
      <c r="G185">
        <v>3622</v>
      </c>
      <c r="H185" s="3">
        <v>4176.49</v>
      </c>
      <c r="I185">
        <v>428</v>
      </c>
      <c r="J185" t="b">
        <v>0</v>
      </c>
      <c r="L185" t="s">
        <v>25</v>
      </c>
    </row>
    <row r="186" spans="1:12" x14ac:dyDescent="0.2">
      <c r="A186" t="s">
        <v>405</v>
      </c>
      <c r="B186" t="s">
        <v>406</v>
      </c>
      <c r="C186" s="1">
        <v>45141</v>
      </c>
      <c r="D186" s="2">
        <v>45165</v>
      </c>
      <c r="E186" t="s">
        <v>266</v>
      </c>
      <c r="F186">
        <v>56016</v>
      </c>
      <c r="G186">
        <v>1728</v>
      </c>
      <c r="H186">
        <v>1890.33</v>
      </c>
      <c r="I186">
        <v>128</v>
      </c>
      <c r="J186" t="s">
        <v>24</v>
      </c>
      <c r="L186" t="s">
        <v>20</v>
      </c>
    </row>
    <row r="187" spans="1:12" x14ac:dyDescent="0.2">
      <c r="A187" t="s">
        <v>407</v>
      </c>
      <c r="B187" t="s">
        <v>408</v>
      </c>
      <c r="C187" s="1">
        <v>45235</v>
      </c>
      <c r="D187" s="2">
        <v>45237</v>
      </c>
      <c r="E187" t="s">
        <v>33</v>
      </c>
      <c r="F187">
        <v>10474</v>
      </c>
      <c r="G187">
        <v>449</v>
      </c>
      <c r="H187">
        <v>675.28</v>
      </c>
      <c r="I187">
        <v>42</v>
      </c>
      <c r="J187" t="s">
        <v>30</v>
      </c>
      <c r="L187" t="s">
        <v>34</v>
      </c>
    </row>
    <row r="188" spans="1:12" x14ac:dyDescent="0.2">
      <c r="A188" t="s">
        <v>409</v>
      </c>
      <c r="B188" t="s">
        <v>410</v>
      </c>
      <c r="C188" s="2">
        <v>45066</v>
      </c>
      <c r="D188" s="2">
        <v>45090</v>
      </c>
      <c r="E188" t="s">
        <v>19</v>
      </c>
      <c r="F188">
        <v>59053</v>
      </c>
      <c r="G188">
        <v>1608</v>
      </c>
      <c r="H188">
        <v>2955.25</v>
      </c>
      <c r="I188">
        <v>230</v>
      </c>
      <c r="J188" t="s">
        <v>15</v>
      </c>
      <c r="L188" t="s">
        <v>20</v>
      </c>
    </row>
    <row r="189" spans="1:12" x14ac:dyDescent="0.2">
      <c r="A189" t="s">
        <v>411</v>
      </c>
      <c r="B189" t="s">
        <v>412</v>
      </c>
      <c r="C189" s="1">
        <v>45099</v>
      </c>
      <c r="D189" s="2">
        <v>45128</v>
      </c>
      <c r="E189" t="s">
        <v>58</v>
      </c>
      <c r="F189">
        <v>22959</v>
      </c>
      <c r="G189">
        <v>1053</v>
      </c>
      <c r="H189">
        <v>1009.91</v>
      </c>
      <c r="I189">
        <v>100</v>
      </c>
      <c r="J189" t="b">
        <v>1</v>
      </c>
      <c r="L189" t="s">
        <v>59</v>
      </c>
    </row>
    <row r="190" spans="1:12" x14ac:dyDescent="0.2">
      <c r="A190" t="s">
        <v>413</v>
      </c>
      <c r="B190" t="s">
        <v>414</v>
      </c>
      <c r="C190" s="1">
        <v>45011</v>
      </c>
      <c r="D190" s="2">
        <v>45018</v>
      </c>
      <c r="E190" t="s">
        <v>415</v>
      </c>
      <c r="F190">
        <v>6530</v>
      </c>
      <c r="G190">
        <v>83</v>
      </c>
      <c r="H190" s="3">
        <v>110.21</v>
      </c>
      <c r="I190">
        <v>15</v>
      </c>
      <c r="J190" t="s">
        <v>30</v>
      </c>
      <c r="L190" t="s">
        <v>34</v>
      </c>
    </row>
    <row r="191" spans="1:12" x14ac:dyDescent="0.2">
      <c r="A191" t="s">
        <v>416</v>
      </c>
      <c r="B191" t="s">
        <v>417</v>
      </c>
      <c r="C191" s="1">
        <v>45245</v>
      </c>
      <c r="D191" s="2">
        <v>45262</v>
      </c>
      <c r="E191" t="s">
        <v>19</v>
      </c>
      <c r="F191">
        <v>95856</v>
      </c>
      <c r="G191">
        <v>4618</v>
      </c>
      <c r="H191" s="3">
        <v>7777.24</v>
      </c>
      <c r="J191" t="s">
        <v>30</v>
      </c>
      <c r="L191" t="s">
        <v>20</v>
      </c>
    </row>
    <row r="192" spans="1:12" x14ac:dyDescent="0.2">
      <c r="A192" t="s">
        <v>418</v>
      </c>
      <c r="B192" t="s">
        <v>419</v>
      </c>
      <c r="C192" s="2">
        <v>45230</v>
      </c>
      <c r="D192" s="2">
        <v>45256</v>
      </c>
      <c r="E192" t="s">
        <v>19</v>
      </c>
      <c r="F192">
        <v>4748</v>
      </c>
      <c r="G192">
        <v>171</v>
      </c>
      <c r="H192">
        <v>192.26</v>
      </c>
      <c r="I192">
        <v>19</v>
      </c>
      <c r="J192">
        <v>1</v>
      </c>
      <c r="L192" t="s">
        <v>68</v>
      </c>
    </row>
    <row r="193" spans="1:12" x14ac:dyDescent="0.2">
      <c r="A193" t="s">
        <v>420</v>
      </c>
      <c r="B193" t="s">
        <v>421</v>
      </c>
      <c r="C193" s="1">
        <v>45256</v>
      </c>
      <c r="D193" s="2">
        <v>45273</v>
      </c>
      <c r="E193" t="s">
        <v>33</v>
      </c>
      <c r="F193">
        <v>98504</v>
      </c>
      <c r="G193">
        <v>2482</v>
      </c>
      <c r="H193" s="3">
        <v>1866.9</v>
      </c>
      <c r="I193">
        <v>138</v>
      </c>
      <c r="J193" t="s">
        <v>30</v>
      </c>
      <c r="L193" t="s">
        <v>34</v>
      </c>
    </row>
    <row r="194" spans="1:12" x14ac:dyDescent="0.2">
      <c r="A194" t="s">
        <v>422</v>
      </c>
      <c r="B194" t="s">
        <v>423</v>
      </c>
      <c r="C194" s="2">
        <v>45020</v>
      </c>
      <c r="D194" s="2">
        <v>45030</v>
      </c>
      <c r="E194" t="s">
        <v>19</v>
      </c>
      <c r="F194">
        <v>99098</v>
      </c>
      <c r="G194">
        <v>1772</v>
      </c>
      <c r="H194">
        <v>2148.42</v>
      </c>
      <c r="I194">
        <v>221</v>
      </c>
      <c r="J194">
        <v>1</v>
      </c>
      <c r="L194" t="s">
        <v>20</v>
      </c>
    </row>
    <row r="195" spans="1:12" x14ac:dyDescent="0.2">
      <c r="A195" t="s">
        <v>424</v>
      </c>
      <c r="B195" t="s">
        <v>425</v>
      </c>
      <c r="C195" s="1">
        <v>45121</v>
      </c>
      <c r="D195" s="2">
        <v>45129</v>
      </c>
      <c r="E195" t="s">
        <v>19</v>
      </c>
      <c r="F195">
        <v>14545</v>
      </c>
      <c r="G195">
        <v>424</v>
      </c>
      <c r="H195">
        <v>247.12</v>
      </c>
      <c r="I195">
        <v>69</v>
      </c>
      <c r="J195" t="b">
        <v>1</v>
      </c>
      <c r="L195" t="s">
        <v>20</v>
      </c>
    </row>
    <row r="196" spans="1:12" x14ac:dyDescent="0.2">
      <c r="A196" t="s">
        <v>426</v>
      </c>
      <c r="B196" t="s">
        <v>427</v>
      </c>
      <c r="C196" s="1">
        <v>45099</v>
      </c>
      <c r="D196" s="2">
        <v>45125</v>
      </c>
      <c r="E196" t="s">
        <v>23</v>
      </c>
      <c r="F196">
        <v>67199</v>
      </c>
      <c r="G196">
        <v>1194</v>
      </c>
      <c r="H196" s="3">
        <v>2284.81</v>
      </c>
      <c r="I196">
        <v>107</v>
      </c>
      <c r="J196" t="b">
        <v>1</v>
      </c>
      <c r="L196" t="s">
        <v>25</v>
      </c>
    </row>
    <row r="197" spans="1:12" x14ac:dyDescent="0.2">
      <c r="A197" t="s">
        <v>428</v>
      </c>
      <c r="B197" t="s">
        <v>429</v>
      </c>
      <c r="C197" s="2">
        <v>45142</v>
      </c>
      <c r="D197" s="2">
        <v>45037</v>
      </c>
      <c r="E197" t="s">
        <v>33</v>
      </c>
      <c r="F197">
        <v>35766</v>
      </c>
      <c r="G197">
        <v>595</v>
      </c>
      <c r="H197">
        <v>364.28</v>
      </c>
      <c r="I197">
        <v>101</v>
      </c>
      <c r="J197" t="s">
        <v>15</v>
      </c>
      <c r="L197" t="s">
        <v>34</v>
      </c>
    </row>
    <row r="198" spans="1:12" x14ac:dyDescent="0.2">
      <c r="A198" t="s">
        <v>430</v>
      </c>
      <c r="B198" t="s">
        <v>431</v>
      </c>
      <c r="C198" s="2">
        <v>44936</v>
      </c>
      <c r="D198" s="2">
        <v>45214</v>
      </c>
      <c r="E198" t="s">
        <v>33</v>
      </c>
      <c r="F198">
        <v>74530</v>
      </c>
      <c r="G198">
        <v>2585</v>
      </c>
      <c r="H198">
        <v>2992.62</v>
      </c>
      <c r="I198">
        <v>226</v>
      </c>
      <c r="J198">
        <v>1</v>
      </c>
      <c r="L198" t="s">
        <v>34</v>
      </c>
    </row>
    <row r="199" spans="1:12" x14ac:dyDescent="0.2">
      <c r="A199" t="s">
        <v>432</v>
      </c>
      <c r="B199" t="s">
        <v>433</v>
      </c>
      <c r="C199" s="2">
        <v>45106</v>
      </c>
      <c r="D199" s="2">
        <v>45129</v>
      </c>
      <c r="E199" t="s">
        <v>14</v>
      </c>
      <c r="F199">
        <v>94557</v>
      </c>
      <c r="G199">
        <v>2924</v>
      </c>
      <c r="H199">
        <v>3786.06</v>
      </c>
      <c r="I199">
        <v>507</v>
      </c>
      <c r="J199">
        <v>1</v>
      </c>
      <c r="L199" t="s">
        <v>16</v>
      </c>
    </row>
    <row r="200" spans="1:12" x14ac:dyDescent="0.2">
      <c r="A200" t="s">
        <v>434</v>
      </c>
      <c r="B200" t="s">
        <v>435</v>
      </c>
      <c r="C200" t="s">
        <v>436</v>
      </c>
      <c r="D200" s="2">
        <v>45287</v>
      </c>
      <c r="E200" t="s">
        <v>23</v>
      </c>
      <c r="F200">
        <v>62087</v>
      </c>
      <c r="G200">
        <v>2285</v>
      </c>
      <c r="H200">
        <v>4519.63</v>
      </c>
      <c r="I200">
        <v>143</v>
      </c>
      <c r="J200" t="b">
        <v>0</v>
      </c>
      <c r="L200" t="s">
        <v>25</v>
      </c>
    </row>
    <row r="201" spans="1:12" x14ac:dyDescent="0.2">
      <c r="A201" t="s">
        <v>437</v>
      </c>
      <c r="B201" t="s">
        <v>438</v>
      </c>
      <c r="C201" s="1">
        <v>44942</v>
      </c>
      <c r="D201" s="2">
        <v>44970</v>
      </c>
      <c r="E201" t="s">
        <v>41</v>
      </c>
      <c r="F201">
        <v>96839</v>
      </c>
      <c r="G201">
        <v>4569</v>
      </c>
      <c r="H201">
        <v>3422.33</v>
      </c>
      <c r="J201" t="b">
        <v>0</v>
      </c>
      <c r="L201" t="s">
        <v>42</v>
      </c>
    </row>
    <row r="202" spans="1:12" x14ac:dyDescent="0.2">
      <c r="A202" t="s">
        <v>439</v>
      </c>
      <c r="B202" t="s">
        <v>440</v>
      </c>
      <c r="C202" s="1">
        <v>44937</v>
      </c>
      <c r="D202" s="2">
        <v>44932</v>
      </c>
      <c r="E202" t="s">
        <v>33</v>
      </c>
      <c r="F202">
        <v>69840</v>
      </c>
      <c r="G202">
        <v>2185</v>
      </c>
      <c r="H202">
        <v>1467.55</v>
      </c>
      <c r="I202">
        <v>272</v>
      </c>
      <c r="J202" t="s">
        <v>15</v>
      </c>
      <c r="K202">
        <v>69935</v>
      </c>
      <c r="L202" t="s">
        <v>34</v>
      </c>
    </row>
    <row r="203" spans="1:12" x14ac:dyDescent="0.2">
      <c r="A203" t="s">
        <v>441</v>
      </c>
      <c r="B203" t="s">
        <v>442</v>
      </c>
      <c r="C203" s="1">
        <v>45169</v>
      </c>
      <c r="D203" s="2">
        <v>45179</v>
      </c>
      <c r="E203" t="s">
        <v>23</v>
      </c>
      <c r="F203">
        <v>55384</v>
      </c>
      <c r="G203">
        <v>1840</v>
      </c>
      <c r="H203">
        <v>944.03</v>
      </c>
      <c r="I203">
        <v>173</v>
      </c>
      <c r="J203" t="b">
        <v>1</v>
      </c>
      <c r="L203" t="s">
        <v>25</v>
      </c>
    </row>
    <row r="204" spans="1:12" x14ac:dyDescent="0.2">
      <c r="A204" t="s">
        <v>443</v>
      </c>
      <c r="B204" t="s">
        <v>444</v>
      </c>
      <c r="C204" s="1">
        <v>45038</v>
      </c>
      <c r="D204" s="2">
        <v>45047</v>
      </c>
      <c r="E204" t="s">
        <v>19</v>
      </c>
      <c r="F204">
        <v>52005</v>
      </c>
      <c r="G204">
        <v>706</v>
      </c>
      <c r="H204" s="3">
        <v>517.75</v>
      </c>
      <c r="I204">
        <v>63</v>
      </c>
      <c r="J204">
        <v>0</v>
      </c>
      <c r="L204" t="s">
        <v>20</v>
      </c>
    </row>
    <row r="205" spans="1:12" x14ac:dyDescent="0.2">
      <c r="A205" t="s">
        <v>445</v>
      </c>
      <c r="B205" t="s">
        <v>446</v>
      </c>
      <c r="C205" s="1">
        <v>45115</v>
      </c>
      <c r="D205" s="2">
        <v>45122</v>
      </c>
      <c r="E205" t="s">
        <v>33</v>
      </c>
      <c r="F205">
        <v>47576</v>
      </c>
      <c r="G205">
        <v>1841</v>
      </c>
      <c r="H205">
        <v>1492.88</v>
      </c>
      <c r="I205">
        <v>211</v>
      </c>
      <c r="J205" t="b">
        <v>0</v>
      </c>
      <c r="L205" t="s">
        <v>34</v>
      </c>
    </row>
    <row r="206" spans="1:12" x14ac:dyDescent="0.2">
      <c r="A206" t="s">
        <v>447</v>
      </c>
      <c r="B206" t="s">
        <v>448</v>
      </c>
      <c r="C206" s="1">
        <v>44985</v>
      </c>
      <c r="D206" s="2">
        <v>44990</v>
      </c>
      <c r="E206" t="s">
        <v>33</v>
      </c>
      <c r="F206">
        <v>40353</v>
      </c>
      <c r="G206">
        <v>1049</v>
      </c>
      <c r="H206">
        <v>1516.72</v>
      </c>
      <c r="I206">
        <v>209</v>
      </c>
      <c r="J206" t="s">
        <v>30</v>
      </c>
      <c r="L206" t="s">
        <v>34</v>
      </c>
    </row>
    <row r="207" spans="1:12" x14ac:dyDescent="0.2">
      <c r="A207" t="s">
        <v>449</v>
      </c>
      <c r="B207" t="s">
        <v>450</v>
      </c>
      <c r="C207" s="2">
        <v>45086</v>
      </c>
      <c r="D207" s="2">
        <v>45185</v>
      </c>
      <c r="E207" t="s">
        <v>23</v>
      </c>
      <c r="F207">
        <v>63003</v>
      </c>
      <c r="G207">
        <v>3091</v>
      </c>
      <c r="H207">
        <v>2564.17</v>
      </c>
      <c r="I207">
        <v>256</v>
      </c>
      <c r="J207" t="b">
        <v>1</v>
      </c>
      <c r="L207" t="s">
        <v>25</v>
      </c>
    </row>
    <row r="208" spans="1:12" x14ac:dyDescent="0.2">
      <c r="A208" t="s">
        <v>451</v>
      </c>
      <c r="B208" t="s">
        <v>452</v>
      </c>
      <c r="C208" s="1">
        <v>45086</v>
      </c>
      <c r="D208" s="2">
        <v>45087</v>
      </c>
      <c r="E208" t="s">
        <v>33</v>
      </c>
      <c r="F208">
        <v>84211</v>
      </c>
      <c r="G208">
        <v>3614</v>
      </c>
      <c r="H208">
        <v>1918.24</v>
      </c>
      <c r="I208">
        <v>236</v>
      </c>
      <c r="J208">
        <v>0</v>
      </c>
      <c r="L208" t="s">
        <v>34</v>
      </c>
    </row>
    <row r="209" spans="1:12" x14ac:dyDescent="0.2">
      <c r="A209" t="s">
        <v>453</v>
      </c>
      <c r="B209" t="s">
        <v>454</v>
      </c>
      <c r="C209" s="1">
        <v>45119</v>
      </c>
      <c r="D209" s="2">
        <v>45120</v>
      </c>
      <c r="E209" t="s">
        <v>19</v>
      </c>
      <c r="F209">
        <v>53733</v>
      </c>
      <c r="G209">
        <v>1660</v>
      </c>
      <c r="H209" s="3">
        <v>2888.28</v>
      </c>
      <c r="I209">
        <v>228</v>
      </c>
      <c r="J209" t="s">
        <v>30</v>
      </c>
      <c r="L209" t="s">
        <v>20</v>
      </c>
    </row>
    <row r="210" spans="1:12" x14ac:dyDescent="0.2">
      <c r="A210" t="s">
        <v>455</v>
      </c>
      <c r="B210" t="s">
        <v>456</v>
      </c>
      <c r="C210" s="1">
        <v>44965</v>
      </c>
      <c r="D210" s="2">
        <v>44986</v>
      </c>
      <c r="E210" t="s">
        <v>138</v>
      </c>
      <c r="F210">
        <v>66318</v>
      </c>
      <c r="G210">
        <v>990</v>
      </c>
      <c r="H210">
        <v>1037.9100000000001</v>
      </c>
      <c r="I210">
        <v>122</v>
      </c>
      <c r="J210" t="s">
        <v>24</v>
      </c>
      <c r="L210" t="s">
        <v>68</v>
      </c>
    </row>
    <row r="211" spans="1:12" x14ac:dyDescent="0.2">
      <c r="A211" t="s">
        <v>457</v>
      </c>
      <c r="B211" t="s">
        <v>458</v>
      </c>
      <c r="C211" s="1">
        <v>45051</v>
      </c>
      <c r="D211" s="2">
        <v>45072</v>
      </c>
      <c r="E211" t="s">
        <v>415</v>
      </c>
      <c r="F211">
        <v>90474</v>
      </c>
      <c r="G211">
        <v>4014</v>
      </c>
      <c r="H211">
        <v>4136.6099999999997</v>
      </c>
      <c r="I211">
        <v>516</v>
      </c>
      <c r="J211">
        <v>1</v>
      </c>
      <c r="L211" t="s">
        <v>34</v>
      </c>
    </row>
    <row r="212" spans="1:12" x14ac:dyDescent="0.2">
      <c r="A212" t="s">
        <v>459</v>
      </c>
      <c r="B212" t="s">
        <v>460</v>
      </c>
      <c r="C212" s="1">
        <v>45277</v>
      </c>
      <c r="D212" s="2">
        <v>45302</v>
      </c>
      <c r="E212" t="s">
        <v>14</v>
      </c>
      <c r="F212">
        <v>24664</v>
      </c>
      <c r="G212">
        <v>1035</v>
      </c>
      <c r="H212" s="3">
        <v>987.1</v>
      </c>
      <c r="I212">
        <v>155</v>
      </c>
      <c r="J212" t="b">
        <v>1</v>
      </c>
      <c r="L212" t="s">
        <v>16</v>
      </c>
    </row>
    <row r="213" spans="1:12" x14ac:dyDescent="0.2">
      <c r="A213" t="s">
        <v>461</v>
      </c>
      <c r="B213" t="s">
        <v>462</v>
      </c>
      <c r="C213" s="1">
        <v>45216</v>
      </c>
      <c r="D213" s="2">
        <v>45230</v>
      </c>
      <c r="E213" t="s">
        <v>19</v>
      </c>
      <c r="F213">
        <v>68172</v>
      </c>
      <c r="G213">
        <v>1185</v>
      </c>
      <c r="H213">
        <v>2326.23</v>
      </c>
      <c r="J213" t="s">
        <v>24</v>
      </c>
      <c r="L213" t="s">
        <v>20</v>
      </c>
    </row>
    <row r="214" spans="1:12" x14ac:dyDescent="0.2">
      <c r="A214" t="s">
        <v>463</v>
      </c>
      <c r="B214" t="s">
        <v>464</v>
      </c>
      <c r="C214" s="2">
        <v>45146</v>
      </c>
      <c r="D214" s="2">
        <v>45149</v>
      </c>
      <c r="E214" t="s">
        <v>19</v>
      </c>
      <c r="F214">
        <v>86616</v>
      </c>
      <c r="G214">
        <v>1889</v>
      </c>
      <c r="H214">
        <v>1426.52</v>
      </c>
      <c r="J214" t="s">
        <v>15</v>
      </c>
      <c r="L214" t="s">
        <v>20</v>
      </c>
    </row>
    <row r="215" spans="1:12" x14ac:dyDescent="0.2">
      <c r="A215" t="s">
        <v>465</v>
      </c>
      <c r="B215" t="s">
        <v>466</v>
      </c>
      <c r="C215" s="1">
        <v>45258</v>
      </c>
      <c r="D215" s="2">
        <v>45270</v>
      </c>
      <c r="E215" t="s">
        <v>23</v>
      </c>
      <c r="F215">
        <v>94264</v>
      </c>
      <c r="G215">
        <v>3934</v>
      </c>
      <c r="H215">
        <v>7267.5</v>
      </c>
      <c r="I215">
        <v>453</v>
      </c>
      <c r="J215">
        <v>1</v>
      </c>
      <c r="L215" t="s">
        <v>25</v>
      </c>
    </row>
    <row r="216" spans="1:12" x14ac:dyDescent="0.2">
      <c r="A216" t="s">
        <v>467</v>
      </c>
      <c r="B216" t="s">
        <v>468</v>
      </c>
      <c r="C216" s="1">
        <v>45177</v>
      </c>
      <c r="D216" s="2">
        <v>45192</v>
      </c>
      <c r="E216" t="s">
        <v>14</v>
      </c>
      <c r="F216">
        <v>27736</v>
      </c>
      <c r="G216">
        <v>482</v>
      </c>
      <c r="H216">
        <v>802.63</v>
      </c>
      <c r="I216">
        <v>33</v>
      </c>
      <c r="J216">
        <v>1</v>
      </c>
      <c r="L216" t="s">
        <v>16</v>
      </c>
    </row>
    <row r="217" spans="1:12" x14ac:dyDescent="0.2">
      <c r="A217" t="s">
        <v>469</v>
      </c>
      <c r="B217" t="s">
        <v>470</v>
      </c>
      <c r="C217" s="1">
        <v>45252</v>
      </c>
      <c r="D217" s="2">
        <v>45277</v>
      </c>
      <c r="E217" t="s">
        <v>14</v>
      </c>
      <c r="F217">
        <v>95209</v>
      </c>
      <c r="G217">
        <v>4447</v>
      </c>
      <c r="H217">
        <v>2733.66</v>
      </c>
      <c r="I217">
        <v>717</v>
      </c>
      <c r="J217" t="s">
        <v>30</v>
      </c>
      <c r="L217" t="s">
        <v>16</v>
      </c>
    </row>
    <row r="218" spans="1:12" x14ac:dyDescent="0.2">
      <c r="A218" t="s">
        <v>471</v>
      </c>
      <c r="B218" t="s">
        <v>472</v>
      </c>
      <c r="C218" s="1">
        <v>45005</v>
      </c>
      <c r="D218" s="2">
        <v>45035</v>
      </c>
      <c r="E218" t="s">
        <v>33</v>
      </c>
      <c r="F218">
        <v>1854</v>
      </c>
      <c r="G218">
        <v>50</v>
      </c>
      <c r="H218">
        <v>99</v>
      </c>
      <c r="I218">
        <v>7</v>
      </c>
      <c r="J218" t="s">
        <v>24</v>
      </c>
      <c r="L218" t="s">
        <v>34</v>
      </c>
    </row>
    <row r="219" spans="1:12" x14ac:dyDescent="0.2">
      <c r="A219" t="s">
        <v>473</v>
      </c>
      <c r="B219" t="s">
        <v>474</v>
      </c>
      <c r="C219" s="1">
        <v>45260</v>
      </c>
      <c r="D219" s="2">
        <v>45265</v>
      </c>
      <c r="E219" t="s">
        <v>41</v>
      </c>
      <c r="F219">
        <v>91084</v>
      </c>
      <c r="G219">
        <v>1227</v>
      </c>
      <c r="H219">
        <v>1112.95</v>
      </c>
      <c r="I219">
        <v>119</v>
      </c>
      <c r="J219">
        <v>1</v>
      </c>
      <c r="L219" t="s">
        <v>68</v>
      </c>
    </row>
    <row r="220" spans="1:12" x14ac:dyDescent="0.2">
      <c r="A220" t="s">
        <v>475</v>
      </c>
      <c r="B220" t="s">
        <v>476</v>
      </c>
      <c r="C220" s="1">
        <v>45202</v>
      </c>
      <c r="D220" s="2">
        <v>45197</v>
      </c>
      <c r="E220" t="s">
        <v>14</v>
      </c>
      <c r="F220">
        <v>39623</v>
      </c>
      <c r="G220">
        <v>1689</v>
      </c>
      <c r="H220">
        <v>1094.26</v>
      </c>
      <c r="I220">
        <v>241</v>
      </c>
      <c r="J220" t="b">
        <v>0</v>
      </c>
      <c r="L220" t="s">
        <v>16</v>
      </c>
    </row>
    <row r="221" spans="1:12" x14ac:dyDescent="0.2">
      <c r="A221" t="s">
        <v>477</v>
      </c>
      <c r="B221" t="s">
        <v>478</v>
      </c>
      <c r="C221" s="1">
        <v>45230</v>
      </c>
      <c r="D221" s="2">
        <v>45251</v>
      </c>
      <c r="E221" t="s">
        <v>33</v>
      </c>
      <c r="F221">
        <v>8392</v>
      </c>
      <c r="G221">
        <v>209</v>
      </c>
      <c r="H221">
        <v>364.49</v>
      </c>
      <c r="I221">
        <v>17</v>
      </c>
      <c r="J221" t="b">
        <v>1</v>
      </c>
      <c r="L221" t="s">
        <v>34</v>
      </c>
    </row>
    <row r="222" spans="1:12" x14ac:dyDescent="0.2">
      <c r="A222" t="s">
        <v>479</v>
      </c>
      <c r="B222" t="s">
        <v>480</v>
      </c>
      <c r="C222" s="1">
        <v>44971</v>
      </c>
      <c r="D222" s="2">
        <v>44984</v>
      </c>
      <c r="E222" t="s">
        <v>19</v>
      </c>
      <c r="F222">
        <v>56680</v>
      </c>
      <c r="G222">
        <v>1760</v>
      </c>
      <c r="H222">
        <v>2745.62</v>
      </c>
      <c r="I222">
        <v>205</v>
      </c>
      <c r="J222" t="b">
        <v>0</v>
      </c>
      <c r="L222" t="s">
        <v>20</v>
      </c>
    </row>
    <row r="223" spans="1:12" x14ac:dyDescent="0.2">
      <c r="A223" t="s">
        <v>481</v>
      </c>
      <c r="B223" t="s">
        <v>482</v>
      </c>
      <c r="C223" s="1">
        <v>45164</v>
      </c>
      <c r="D223" s="2">
        <v>45159</v>
      </c>
      <c r="E223" t="s">
        <v>14</v>
      </c>
      <c r="F223">
        <v>47717</v>
      </c>
      <c r="G223">
        <v>691</v>
      </c>
      <c r="H223">
        <v>985.25</v>
      </c>
      <c r="I223">
        <v>127</v>
      </c>
      <c r="J223" t="s">
        <v>30</v>
      </c>
      <c r="L223" t="s">
        <v>16</v>
      </c>
    </row>
    <row r="224" spans="1:12" x14ac:dyDescent="0.2">
      <c r="A224" t="s">
        <v>483</v>
      </c>
      <c r="B224" t="s">
        <v>484</v>
      </c>
      <c r="C224" t="s">
        <v>485</v>
      </c>
      <c r="D224" s="2">
        <v>45105</v>
      </c>
      <c r="E224" t="s">
        <v>19</v>
      </c>
      <c r="F224">
        <v>88092</v>
      </c>
      <c r="G224">
        <v>890</v>
      </c>
      <c r="H224" s="3">
        <v>653.23</v>
      </c>
      <c r="I224">
        <v>62</v>
      </c>
      <c r="J224">
        <v>0</v>
      </c>
      <c r="L224" t="s">
        <v>20</v>
      </c>
    </row>
    <row r="225" spans="1:12" x14ac:dyDescent="0.2">
      <c r="A225" t="s">
        <v>486</v>
      </c>
      <c r="B225" t="s">
        <v>487</v>
      </c>
      <c r="C225" s="1">
        <v>45093</v>
      </c>
      <c r="D225" s="2">
        <v>45113</v>
      </c>
      <c r="E225" t="s">
        <v>41</v>
      </c>
      <c r="F225">
        <v>51859</v>
      </c>
      <c r="G225">
        <v>1842</v>
      </c>
      <c r="H225">
        <v>2243.08</v>
      </c>
      <c r="J225" t="s">
        <v>30</v>
      </c>
      <c r="L225" t="s">
        <v>42</v>
      </c>
    </row>
    <row r="226" spans="1:12" x14ac:dyDescent="0.2">
      <c r="A226" t="s">
        <v>488</v>
      </c>
      <c r="B226" t="s">
        <v>489</v>
      </c>
      <c r="C226" s="1">
        <v>45059</v>
      </c>
      <c r="D226" s="2">
        <v>45074</v>
      </c>
      <c r="E226" t="s">
        <v>138</v>
      </c>
      <c r="F226">
        <v>27309</v>
      </c>
      <c r="G226">
        <v>835</v>
      </c>
      <c r="H226" s="3">
        <v>1395.15</v>
      </c>
      <c r="I226">
        <v>144</v>
      </c>
      <c r="J226" t="b">
        <v>1</v>
      </c>
      <c r="L226" t="s">
        <v>68</v>
      </c>
    </row>
    <row r="227" spans="1:12" x14ac:dyDescent="0.2">
      <c r="A227" t="s">
        <v>490</v>
      </c>
      <c r="B227" t="s">
        <v>491</v>
      </c>
      <c r="C227" s="1">
        <v>45286</v>
      </c>
      <c r="D227" s="2">
        <v>45311</v>
      </c>
      <c r="E227" t="s">
        <v>33</v>
      </c>
      <c r="F227">
        <v>88455</v>
      </c>
      <c r="G227">
        <v>2984</v>
      </c>
      <c r="H227" s="3">
        <v>2851.02</v>
      </c>
      <c r="I227">
        <v>583</v>
      </c>
      <c r="J227">
        <v>1</v>
      </c>
      <c r="L227" t="s">
        <v>34</v>
      </c>
    </row>
    <row r="228" spans="1:12" x14ac:dyDescent="0.2">
      <c r="A228" t="s">
        <v>492</v>
      </c>
      <c r="B228" t="s">
        <v>493</v>
      </c>
      <c r="C228" s="2">
        <v>45191</v>
      </c>
      <c r="D228" s="2">
        <v>45202</v>
      </c>
      <c r="E228" t="s">
        <v>23</v>
      </c>
      <c r="F228">
        <v>64734</v>
      </c>
      <c r="G228">
        <v>2702</v>
      </c>
      <c r="H228">
        <v>2614.2800000000002</v>
      </c>
      <c r="I228">
        <v>319</v>
      </c>
      <c r="J228" t="s">
        <v>24</v>
      </c>
      <c r="L228" t="s">
        <v>25</v>
      </c>
    </row>
    <row r="229" spans="1:12" x14ac:dyDescent="0.2">
      <c r="A229" t="s">
        <v>494</v>
      </c>
      <c r="B229" t="s">
        <v>495</v>
      </c>
      <c r="C229" s="1">
        <v>45135</v>
      </c>
      <c r="D229" s="2">
        <v>45139</v>
      </c>
      <c r="E229" t="s">
        <v>23</v>
      </c>
      <c r="F229">
        <v>71467</v>
      </c>
      <c r="G229">
        <v>2563</v>
      </c>
      <c r="H229" s="3">
        <v>1293.58</v>
      </c>
      <c r="I229">
        <v>323</v>
      </c>
      <c r="J229" t="s">
        <v>24</v>
      </c>
      <c r="L229" t="s">
        <v>25</v>
      </c>
    </row>
    <row r="230" spans="1:12" x14ac:dyDescent="0.2">
      <c r="A230" t="s">
        <v>496</v>
      </c>
      <c r="B230" t="s">
        <v>497</v>
      </c>
      <c r="C230" s="1">
        <v>45280</v>
      </c>
      <c r="D230" s="2">
        <v>45310</v>
      </c>
      <c r="E230" t="s">
        <v>23</v>
      </c>
      <c r="F230">
        <v>53662</v>
      </c>
      <c r="G230">
        <v>911</v>
      </c>
      <c r="H230">
        <v>693.6</v>
      </c>
      <c r="I230">
        <v>123</v>
      </c>
      <c r="J230" t="s">
        <v>15</v>
      </c>
      <c r="L230" t="s">
        <v>25</v>
      </c>
    </row>
    <row r="231" spans="1:12" x14ac:dyDescent="0.2">
      <c r="A231" t="s">
        <v>498</v>
      </c>
      <c r="B231" t="s">
        <v>499</v>
      </c>
      <c r="C231" s="2">
        <v>45156</v>
      </c>
      <c r="D231" s="2">
        <v>45165</v>
      </c>
      <c r="E231" t="s">
        <v>14</v>
      </c>
      <c r="F231">
        <v>99506</v>
      </c>
      <c r="G231">
        <v>2431</v>
      </c>
      <c r="H231">
        <v>4407.67</v>
      </c>
      <c r="I231">
        <v>461</v>
      </c>
      <c r="J231" t="s">
        <v>30</v>
      </c>
      <c r="L231" t="s">
        <v>16</v>
      </c>
    </row>
    <row r="232" spans="1:12" x14ac:dyDescent="0.2">
      <c r="A232" t="s">
        <v>500</v>
      </c>
      <c r="B232" t="s">
        <v>501</v>
      </c>
      <c r="C232" s="1">
        <v>45040</v>
      </c>
      <c r="D232" s="2">
        <v>45055</v>
      </c>
      <c r="E232" t="s">
        <v>33</v>
      </c>
      <c r="F232">
        <v>13688</v>
      </c>
      <c r="G232">
        <v>632</v>
      </c>
      <c r="H232">
        <v>734.78</v>
      </c>
      <c r="I232">
        <v>112</v>
      </c>
      <c r="J232" t="b">
        <v>1</v>
      </c>
      <c r="L232" t="s">
        <v>68</v>
      </c>
    </row>
    <row r="233" spans="1:12" x14ac:dyDescent="0.2">
      <c r="A233" t="s">
        <v>502</v>
      </c>
      <c r="B233" t="s">
        <v>503</v>
      </c>
      <c r="C233" s="1">
        <v>45266</v>
      </c>
      <c r="D233" s="2">
        <v>45275</v>
      </c>
      <c r="E233" t="s">
        <v>138</v>
      </c>
      <c r="F233">
        <v>26342</v>
      </c>
      <c r="G233">
        <v>1074</v>
      </c>
      <c r="H233">
        <v>2122.6</v>
      </c>
      <c r="I233">
        <v>81</v>
      </c>
      <c r="J233" t="s">
        <v>15</v>
      </c>
      <c r="L233" t="s">
        <v>139</v>
      </c>
    </row>
    <row r="234" spans="1:12" x14ac:dyDescent="0.2">
      <c r="A234" t="s">
        <v>504</v>
      </c>
      <c r="B234" t="s">
        <v>505</v>
      </c>
      <c r="C234" s="1">
        <v>45198</v>
      </c>
      <c r="D234" s="2">
        <v>45205</v>
      </c>
      <c r="E234" t="s">
        <v>33</v>
      </c>
      <c r="F234">
        <v>38157</v>
      </c>
      <c r="G234">
        <v>1231</v>
      </c>
      <c r="H234">
        <v>1346.17</v>
      </c>
      <c r="I234">
        <v>142</v>
      </c>
      <c r="J234">
        <v>1</v>
      </c>
      <c r="L234" t="s">
        <v>34</v>
      </c>
    </row>
    <row r="235" spans="1:12" x14ac:dyDescent="0.2">
      <c r="A235" t="s">
        <v>506</v>
      </c>
      <c r="B235" t="s">
        <v>507</v>
      </c>
      <c r="C235" s="1">
        <v>45208</v>
      </c>
      <c r="D235" s="2">
        <v>45231</v>
      </c>
      <c r="E235" t="s">
        <v>14</v>
      </c>
      <c r="F235">
        <v>68863</v>
      </c>
      <c r="G235">
        <v>1392</v>
      </c>
      <c r="H235">
        <v>2189.31</v>
      </c>
      <c r="I235">
        <v>166</v>
      </c>
      <c r="J235">
        <v>0</v>
      </c>
      <c r="L235" t="s">
        <v>16</v>
      </c>
    </row>
    <row r="236" spans="1:12" x14ac:dyDescent="0.2">
      <c r="A236" t="s">
        <v>508</v>
      </c>
      <c r="B236" t="s">
        <v>509</v>
      </c>
      <c r="C236" s="1">
        <v>45065</v>
      </c>
      <c r="D236" s="2">
        <v>45085</v>
      </c>
      <c r="E236" t="s">
        <v>33</v>
      </c>
      <c r="F236">
        <v>53083</v>
      </c>
      <c r="G236">
        <v>1172</v>
      </c>
      <c r="H236">
        <v>1081.6099999999999</v>
      </c>
      <c r="I236">
        <v>197</v>
      </c>
      <c r="J236" t="s">
        <v>30</v>
      </c>
      <c r="L236" t="s">
        <v>34</v>
      </c>
    </row>
    <row r="237" spans="1:12" x14ac:dyDescent="0.2">
      <c r="A237" t="s">
        <v>510</v>
      </c>
      <c r="B237" t="s">
        <v>511</v>
      </c>
      <c r="C237" s="1">
        <v>45025</v>
      </c>
      <c r="D237" s="2">
        <v>45040</v>
      </c>
      <c r="E237" t="s">
        <v>19</v>
      </c>
      <c r="F237">
        <v>66733</v>
      </c>
      <c r="G237">
        <v>2621</v>
      </c>
      <c r="H237">
        <v>2740.82</v>
      </c>
      <c r="J237">
        <v>0</v>
      </c>
      <c r="L237" t="s">
        <v>20</v>
      </c>
    </row>
    <row r="238" spans="1:12" x14ac:dyDescent="0.2">
      <c r="A238" t="s">
        <v>512</v>
      </c>
      <c r="B238" t="s">
        <v>513</v>
      </c>
      <c r="C238" s="1">
        <v>45280</v>
      </c>
      <c r="D238" s="2">
        <v>45290</v>
      </c>
      <c r="E238" t="s">
        <v>138</v>
      </c>
      <c r="F238">
        <v>90045</v>
      </c>
      <c r="G238">
        <v>3966</v>
      </c>
      <c r="H238">
        <v>3117.63</v>
      </c>
      <c r="I238">
        <v>587</v>
      </c>
      <c r="J238" t="b">
        <v>1</v>
      </c>
      <c r="L238" t="s">
        <v>139</v>
      </c>
    </row>
    <row r="239" spans="1:12" x14ac:dyDescent="0.2">
      <c r="A239" t="s">
        <v>514</v>
      </c>
      <c r="B239" t="s">
        <v>515</v>
      </c>
      <c r="C239" s="1">
        <v>45174</v>
      </c>
      <c r="D239" s="2">
        <v>45180</v>
      </c>
      <c r="E239" t="s">
        <v>138</v>
      </c>
      <c r="F239">
        <v>35698</v>
      </c>
      <c r="G239">
        <v>1315</v>
      </c>
      <c r="H239" s="3">
        <v>1342.08</v>
      </c>
      <c r="I239">
        <v>262</v>
      </c>
      <c r="J239">
        <v>0</v>
      </c>
      <c r="L239" t="s">
        <v>139</v>
      </c>
    </row>
    <row r="240" spans="1:12" x14ac:dyDescent="0.2">
      <c r="A240" t="s">
        <v>516</v>
      </c>
      <c r="B240" t="s">
        <v>517</v>
      </c>
      <c r="C240" s="1">
        <v>45195</v>
      </c>
      <c r="D240" s="2">
        <v>45214</v>
      </c>
      <c r="E240" t="s">
        <v>138</v>
      </c>
      <c r="F240">
        <v>81623</v>
      </c>
      <c r="G240">
        <v>3459</v>
      </c>
      <c r="H240">
        <v>4568.84</v>
      </c>
      <c r="I240">
        <v>211</v>
      </c>
      <c r="J240">
        <v>0</v>
      </c>
      <c r="L240" t="s">
        <v>139</v>
      </c>
    </row>
    <row r="241" spans="1:12" x14ac:dyDescent="0.2">
      <c r="A241" t="s">
        <v>518</v>
      </c>
      <c r="B241" t="s">
        <v>519</v>
      </c>
      <c r="C241" s="1">
        <v>45026</v>
      </c>
      <c r="D241" s="2">
        <v>45031</v>
      </c>
      <c r="E241" t="s">
        <v>234</v>
      </c>
      <c r="F241">
        <v>23671</v>
      </c>
      <c r="G241">
        <v>962</v>
      </c>
      <c r="H241">
        <v>1912.13</v>
      </c>
      <c r="I241">
        <v>80</v>
      </c>
      <c r="J241" t="b">
        <v>1</v>
      </c>
      <c r="L241" t="s">
        <v>16</v>
      </c>
    </row>
    <row r="242" spans="1:12" x14ac:dyDescent="0.2">
      <c r="A242" t="s">
        <v>520</v>
      </c>
      <c r="B242" t="s">
        <v>521</v>
      </c>
      <c r="C242" s="2">
        <v>45022</v>
      </c>
      <c r="D242" s="2">
        <v>45092</v>
      </c>
      <c r="E242" t="s">
        <v>19</v>
      </c>
      <c r="F242">
        <v>26184</v>
      </c>
      <c r="G242">
        <v>418</v>
      </c>
      <c r="H242" s="3">
        <v>625.45000000000005</v>
      </c>
      <c r="I242">
        <v>46</v>
      </c>
      <c r="J242" t="b">
        <v>1</v>
      </c>
      <c r="L242" t="s">
        <v>20</v>
      </c>
    </row>
    <row r="243" spans="1:12" x14ac:dyDescent="0.2">
      <c r="A243" t="s">
        <v>522</v>
      </c>
      <c r="B243" t="s">
        <v>523</v>
      </c>
      <c r="C243" s="2">
        <v>45200</v>
      </c>
      <c r="D243" s="2">
        <v>44937</v>
      </c>
      <c r="E243" t="s">
        <v>33</v>
      </c>
      <c r="F243">
        <v>94384</v>
      </c>
      <c r="G243">
        <v>2544</v>
      </c>
      <c r="H243">
        <v>2032.32</v>
      </c>
      <c r="I243">
        <v>259</v>
      </c>
      <c r="J243" t="s">
        <v>30</v>
      </c>
      <c r="L243" t="s">
        <v>34</v>
      </c>
    </row>
    <row r="244" spans="1:12" x14ac:dyDescent="0.2">
      <c r="A244" t="s">
        <v>524</v>
      </c>
      <c r="B244" t="s">
        <v>525</v>
      </c>
      <c r="C244" s="1">
        <v>44954</v>
      </c>
      <c r="D244" s="2">
        <v>44958</v>
      </c>
      <c r="E244" t="s">
        <v>19</v>
      </c>
      <c r="F244">
        <v>43107</v>
      </c>
      <c r="G244">
        <v>694</v>
      </c>
      <c r="H244">
        <v>393.8</v>
      </c>
      <c r="I244">
        <v>36</v>
      </c>
      <c r="J244">
        <v>0</v>
      </c>
      <c r="L244" t="s">
        <v>20</v>
      </c>
    </row>
    <row r="245" spans="1:12" x14ac:dyDescent="0.2">
      <c r="A245" t="s">
        <v>526</v>
      </c>
      <c r="B245" t="s">
        <v>527</v>
      </c>
      <c r="C245" s="1">
        <v>44991</v>
      </c>
      <c r="D245" s="2">
        <v>44993</v>
      </c>
      <c r="E245" t="s">
        <v>19</v>
      </c>
      <c r="F245">
        <v>87202</v>
      </c>
      <c r="G245">
        <v>1692</v>
      </c>
      <c r="H245" s="3">
        <v>1166.69</v>
      </c>
      <c r="I245">
        <v>107</v>
      </c>
      <c r="J245" t="s">
        <v>15</v>
      </c>
      <c r="L245" t="s">
        <v>20</v>
      </c>
    </row>
    <row r="246" spans="1:12" x14ac:dyDescent="0.2">
      <c r="A246" t="s">
        <v>528</v>
      </c>
      <c r="B246" t="s">
        <v>529</v>
      </c>
      <c r="C246" s="1">
        <v>44979</v>
      </c>
      <c r="D246" s="2">
        <v>45007</v>
      </c>
      <c r="E246" t="s">
        <v>33</v>
      </c>
      <c r="F246">
        <v>52663</v>
      </c>
      <c r="G246">
        <v>2357</v>
      </c>
      <c r="H246">
        <v>3167.41</v>
      </c>
      <c r="I246">
        <v>358</v>
      </c>
      <c r="J246" t="b">
        <v>1</v>
      </c>
      <c r="L246" t="s">
        <v>34</v>
      </c>
    </row>
    <row r="247" spans="1:12" x14ac:dyDescent="0.2">
      <c r="A247" t="s">
        <v>530</v>
      </c>
      <c r="B247" t="s">
        <v>531</v>
      </c>
      <c r="C247" s="1">
        <v>45167</v>
      </c>
      <c r="D247" s="2">
        <v>45178</v>
      </c>
      <c r="E247" t="s">
        <v>23</v>
      </c>
      <c r="F247">
        <v>16708</v>
      </c>
      <c r="G247">
        <v>483</v>
      </c>
      <c r="H247">
        <v>795.86</v>
      </c>
      <c r="I247">
        <v>87</v>
      </c>
      <c r="J247">
        <v>1</v>
      </c>
      <c r="L247" t="s">
        <v>25</v>
      </c>
    </row>
    <row r="248" spans="1:12" x14ac:dyDescent="0.2">
      <c r="A248" t="s">
        <v>532</v>
      </c>
      <c r="B248" t="s">
        <v>533</v>
      </c>
      <c r="C248" s="1">
        <v>44953</v>
      </c>
      <c r="D248" s="2">
        <v>44971</v>
      </c>
      <c r="E248" t="s">
        <v>14</v>
      </c>
      <c r="F248">
        <v>92906</v>
      </c>
      <c r="G248">
        <v>2918</v>
      </c>
      <c r="H248">
        <v>5575.21</v>
      </c>
      <c r="J248">
        <v>0</v>
      </c>
      <c r="L248" t="s">
        <v>16</v>
      </c>
    </row>
    <row r="249" spans="1:12" x14ac:dyDescent="0.2">
      <c r="A249" t="s">
        <v>534</v>
      </c>
      <c r="B249" t="s">
        <v>535</v>
      </c>
      <c r="C249" s="1">
        <v>44985</v>
      </c>
      <c r="D249" s="2">
        <v>45001</v>
      </c>
      <c r="E249" t="s">
        <v>41</v>
      </c>
      <c r="F249">
        <v>50811</v>
      </c>
      <c r="G249">
        <v>870</v>
      </c>
      <c r="H249">
        <v>455.65</v>
      </c>
      <c r="J249" t="b">
        <v>1</v>
      </c>
      <c r="L249" t="s">
        <v>42</v>
      </c>
    </row>
    <row r="250" spans="1:12" x14ac:dyDescent="0.2">
      <c r="A250" t="s">
        <v>536</v>
      </c>
      <c r="B250" t="s">
        <v>537</v>
      </c>
      <c r="C250" s="1">
        <v>44964</v>
      </c>
      <c r="D250" s="2">
        <v>44976</v>
      </c>
      <c r="E250" t="s">
        <v>19</v>
      </c>
      <c r="F250">
        <v>3811</v>
      </c>
      <c r="G250">
        <v>85</v>
      </c>
      <c r="H250">
        <v>109.15</v>
      </c>
      <c r="I250">
        <v>7</v>
      </c>
      <c r="J250" t="s">
        <v>15</v>
      </c>
      <c r="L250" t="s">
        <v>20</v>
      </c>
    </row>
    <row r="251" spans="1:12" x14ac:dyDescent="0.2">
      <c r="A251" t="s">
        <v>538</v>
      </c>
      <c r="B251" t="s">
        <v>539</v>
      </c>
      <c r="C251" s="1">
        <v>45004</v>
      </c>
      <c r="D251" s="2">
        <v>45009</v>
      </c>
      <c r="E251" t="s">
        <v>19</v>
      </c>
      <c r="F251">
        <v>57250</v>
      </c>
      <c r="G251">
        <v>1099</v>
      </c>
      <c r="H251">
        <v>1325.72</v>
      </c>
      <c r="I251">
        <v>181</v>
      </c>
      <c r="J251" t="s">
        <v>24</v>
      </c>
      <c r="L251" t="s">
        <v>20</v>
      </c>
    </row>
    <row r="252" spans="1:12" x14ac:dyDescent="0.2">
      <c r="A252" t="s">
        <v>540</v>
      </c>
      <c r="B252" t="s">
        <v>541</v>
      </c>
      <c r="C252" s="2">
        <v>45052</v>
      </c>
      <c r="D252" s="2">
        <v>45093</v>
      </c>
      <c r="E252" t="s">
        <v>14</v>
      </c>
      <c r="F252">
        <v>73082</v>
      </c>
      <c r="G252">
        <v>1333</v>
      </c>
      <c r="H252" s="3">
        <v>1978.28</v>
      </c>
      <c r="J252" t="s">
        <v>30</v>
      </c>
      <c r="L252" t="s">
        <v>16</v>
      </c>
    </row>
    <row r="253" spans="1:12" x14ac:dyDescent="0.2">
      <c r="A253" t="s">
        <v>542</v>
      </c>
      <c r="B253" t="s">
        <v>543</v>
      </c>
      <c r="C253" s="1">
        <v>45054</v>
      </c>
      <c r="D253" s="2">
        <v>45081</v>
      </c>
      <c r="E253" t="s">
        <v>14</v>
      </c>
      <c r="F253">
        <v>35754</v>
      </c>
      <c r="G253">
        <v>1269</v>
      </c>
      <c r="H253">
        <v>1699.66</v>
      </c>
      <c r="I253">
        <v>175</v>
      </c>
      <c r="J253">
        <v>0</v>
      </c>
      <c r="L253" t="s">
        <v>16</v>
      </c>
    </row>
    <row r="254" spans="1:12" x14ac:dyDescent="0.2">
      <c r="A254" t="s">
        <v>544</v>
      </c>
      <c r="B254" t="s">
        <v>545</v>
      </c>
      <c r="C254" s="1">
        <v>45237</v>
      </c>
      <c r="D254" s="2">
        <v>45261</v>
      </c>
      <c r="E254" t="s">
        <v>19</v>
      </c>
      <c r="F254">
        <v>96742</v>
      </c>
      <c r="G254">
        <v>1961</v>
      </c>
      <c r="H254">
        <v>3001.43</v>
      </c>
      <c r="I254">
        <v>160</v>
      </c>
      <c r="J254" t="s">
        <v>24</v>
      </c>
      <c r="L254" t="s">
        <v>20</v>
      </c>
    </row>
    <row r="255" spans="1:12" x14ac:dyDescent="0.2">
      <c r="A255" t="s">
        <v>546</v>
      </c>
      <c r="B255" t="s">
        <v>547</v>
      </c>
      <c r="C255" s="1">
        <v>45194</v>
      </c>
      <c r="D255" s="2">
        <v>45207</v>
      </c>
      <c r="E255" t="s">
        <v>14</v>
      </c>
      <c r="F255">
        <v>12411</v>
      </c>
      <c r="G255">
        <v>437</v>
      </c>
      <c r="H255">
        <v>649.87</v>
      </c>
      <c r="I255">
        <v>28</v>
      </c>
      <c r="J255" t="b">
        <v>1</v>
      </c>
      <c r="L255" t="s">
        <v>16</v>
      </c>
    </row>
    <row r="256" spans="1:12" x14ac:dyDescent="0.2">
      <c r="A256" t="s">
        <v>548</v>
      </c>
      <c r="B256" t="s">
        <v>549</v>
      </c>
      <c r="C256" s="1">
        <v>45079</v>
      </c>
      <c r="D256" s="2">
        <v>45097</v>
      </c>
      <c r="E256" t="s">
        <v>14</v>
      </c>
      <c r="F256">
        <v>3911</v>
      </c>
      <c r="G256">
        <v>48</v>
      </c>
      <c r="H256">
        <v>32.42</v>
      </c>
      <c r="I256">
        <v>2</v>
      </c>
      <c r="J256" t="b">
        <v>1</v>
      </c>
      <c r="L256" t="s">
        <v>16</v>
      </c>
    </row>
    <row r="257" spans="1:12" x14ac:dyDescent="0.2">
      <c r="A257" t="s">
        <v>550</v>
      </c>
      <c r="B257" t="s">
        <v>551</v>
      </c>
      <c r="C257" s="2">
        <v>45083</v>
      </c>
      <c r="D257" s="2">
        <v>45084</v>
      </c>
      <c r="E257" t="s">
        <v>23</v>
      </c>
      <c r="F257">
        <v>68270</v>
      </c>
      <c r="G257">
        <v>1069</v>
      </c>
      <c r="H257">
        <v>1816.85</v>
      </c>
      <c r="J257">
        <v>1</v>
      </c>
      <c r="L257" t="s">
        <v>25</v>
      </c>
    </row>
    <row r="258" spans="1:12" x14ac:dyDescent="0.2">
      <c r="A258" t="s">
        <v>552</v>
      </c>
      <c r="B258" t="s">
        <v>553</v>
      </c>
      <c r="C258" s="1">
        <v>44977</v>
      </c>
      <c r="D258" s="2">
        <v>44998</v>
      </c>
      <c r="E258" t="s">
        <v>14</v>
      </c>
      <c r="F258">
        <v>84763</v>
      </c>
      <c r="G258">
        <v>1778</v>
      </c>
      <c r="H258">
        <v>1217.6600000000001</v>
      </c>
      <c r="I258">
        <v>308</v>
      </c>
      <c r="J258">
        <v>1</v>
      </c>
      <c r="L258" t="s">
        <v>16</v>
      </c>
    </row>
    <row r="259" spans="1:12" x14ac:dyDescent="0.2">
      <c r="A259" t="s">
        <v>554</v>
      </c>
      <c r="B259" t="s">
        <v>555</v>
      </c>
      <c r="C259" s="2">
        <v>45035</v>
      </c>
      <c r="D259" s="2">
        <v>45049</v>
      </c>
      <c r="E259" t="s">
        <v>14</v>
      </c>
      <c r="F259">
        <v>9680</v>
      </c>
      <c r="G259">
        <v>327</v>
      </c>
      <c r="H259">
        <v>506.13</v>
      </c>
      <c r="I259">
        <v>58</v>
      </c>
      <c r="J259">
        <v>0</v>
      </c>
      <c r="L259" t="s">
        <v>16</v>
      </c>
    </row>
    <row r="260" spans="1:12" x14ac:dyDescent="0.2">
      <c r="A260" t="s">
        <v>556</v>
      </c>
      <c r="B260" t="s">
        <v>557</v>
      </c>
      <c r="C260" s="2">
        <v>45049</v>
      </c>
      <c r="D260" s="2">
        <v>45011</v>
      </c>
      <c r="E260" t="s">
        <v>41</v>
      </c>
      <c r="F260">
        <v>85896</v>
      </c>
      <c r="G260">
        <v>3181</v>
      </c>
      <c r="H260">
        <v>3576.14</v>
      </c>
      <c r="I260">
        <v>380</v>
      </c>
      <c r="J260" t="s">
        <v>24</v>
      </c>
      <c r="L260" t="s">
        <v>42</v>
      </c>
    </row>
    <row r="261" spans="1:12" x14ac:dyDescent="0.2">
      <c r="A261" t="s">
        <v>558</v>
      </c>
      <c r="B261" t="s">
        <v>559</v>
      </c>
      <c r="C261" s="1">
        <v>44928</v>
      </c>
      <c r="D261" s="2">
        <v>44939</v>
      </c>
      <c r="E261" t="s">
        <v>33</v>
      </c>
      <c r="F261">
        <v>84879</v>
      </c>
      <c r="G261">
        <v>2351</v>
      </c>
      <c r="H261" s="3">
        <v>2987.59</v>
      </c>
      <c r="J261" t="s">
        <v>24</v>
      </c>
      <c r="L261" t="s">
        <v>34</v>
      </c>
    </row>
    <row r="262" spans="1:12" x14ac:dyDescent="0.2">
      <c r="A262" t="s">
        <v>560</v>
      </c>
      <c r="B262" t="s">
        <v>561</v>
      </c>
      <c r="C262" s="1">
        <v>45167</v>
      </c>
      <c r="D262" s="2">
        <v>45180</v>
      </c>
      <c r="E262" t="s">
        <v>19</v>
      </c>
      <c r="F262">
        <v>72295</v>
      </c>
      <c r="G262">
        <v>2012</v>
      </c>
      <c r="H262">
        <v>3732.15</v>
      </c>
      <c r="I262">
        <v>386</v>
      </c>
      <c r="J262" t="b">
        <v>1</v>
      </c>
      <c r="L262" t="s">
        <v>20</v>
      </c>
    </row>
    <row r="263" spans="1:12" x14ac:dyDescent="0.2">
      <c r="A263" t="s">
        <v>562</v>
      </c>
      <c r="B263" t="s">
        <v>563</v>
      </c>
      <c r="C263" s="1">
        <v>45288</v>
      </c>
      <c r="D263" s="2">
        <v>45294</v>
      </c>
      <c r="E263" t="s">
        <v>19</v>
      </c>
      <c r="F263">
        <v>89614</v>
      </c>
      <c r="G263">
        <v>3493</v>
      </c>
      <c r="H263">
        <v>6409.05</v>
      </c>
      <c r="I263">
        <v>318</v>
      </c>
      <c r="J263">
        <v>0</v>
      </c>
      <c r="L263" t="s">
        <v>20</v>
      </c>
    </row>
    <row r="264" spans="1:12" x14ac:dyDescent="0.2">
      <c r="A264" t="s">
        <v>564</v>
      </c>
      <c r="B264" t="s">
        <v>565</v>
      </c>
      <c r="C264" s="1">
        <v>44963</v>
      </c>
      <c r="D264" s="2">
        <v>44974</v>
      </c>
      <c r="E264" t="s">
        <v>19</v>
      </c>
      <c r="F264">
        <v>12111</v>
      </c>
      <c r="G264">
        <v>128</v>
      </c>
      <c r="H264">
        <v>221.03</v>
      </c>
      <c r="J264" t="b">
        <v>1</v>
      </c>
      <c r="L264" t="s">
        <v>20</v>
      </c>
    </row>
    <row r="265" spans="1:12" x14ac:dyDescent="0.2">
      <c r="A265" t="s">
        <v>566</v>
      </c>
      <c r="B265" t="s">
        <v>567</v>
      </c>
      <c r="C265" s="1">
        <v>45247</v>
      </c>
      <c r="D265" s="2">
        <v>45267</v>
      </c>
      <c r="E265" t="s">
        <v>14</v>
      </c>
      <c r="F265">
        <v>38504</v>
      </c>
      <c r="G265">
        <v>910</v>
      </c>
      <c r="H265">
        <v>1151.3499999999999</v>
      </c>
      <c r="I265">
        <v>172</v>
      </c>
      <c r="J265">
        <v>1</v>
      </c>
      <c r="L265" t="s">
        <v>16</v>
      </c>
    </row>
    <row r="266" spans="1:12" x14ac:dyDescent="0.2">
      <c r="A266" t="s">
        <v>568</v>
      </c>
      <c r="B266" t="s">
        <v>569</v>
      </c>
      <c r="C266" s="1">
        <v>45028</v>
      </c>
      <c r="D266" s="2">
        <v>45055</v>
      </c>
      <c r="E266" t="s">
        <v>41</v>
      </c>
      <c r="F266">
        <v>2802</v>
      </c>
      <c r="G266">
        <v>119</v>
      </c>
      <c r="H266">
        <v>190.92</v>
      </c>
      <c r="I266">
        <v>11</v>
      </c>
      <c r="J266" t="s">
        <v>15</v>
      </c>
      <c r="L266" t="s">
        <v>42</v>
      </c>
    </row>
    <row r="267" spans="1:12" x14ac:dyDescent="0.2">
      <c r="A267" t="s">
        <v>570</v>
      </c>
      <c r="B267" t="s">
        <v>571</v>
      </c>
      <c r="C267" s="1">
        <v>45258</v>
      </c>
      <c r="D267" s="2">
        <v>45283</v>
      </c>
      <c r="E267" t="s">
        <v>41</v>
      </c>
      <c r="F267">
        <v>9155</v>
      </c>
      <c r="G267">
        <v>312</v>
      </c>
      <c r="H267">
        <v>396.04</v>
      </c>
      <c r="I267">
        <v>58</v>
      </c>
      <c r="J267" t="b">
        <v>0</v>
      </c>
      <c r="L267" t="s">
        <v>42</v>
      </c>
    </row>
    <row r="268" spans="1:12" x14ac:dyDescent="0.2">
      <c r="A268" t="s">
        <v>572</v>
      </c>
      <c r="B268" t="s">
        <v>573</v>
      </c>
      <c r="C268" t="s">
        <v>574</v>
      </c>
      <c r="D268" s="2">
        <v>45001</v>
      </c>
      <c r="E268" t="s">
        <v>23</v>
      </c>
      <c r="F268">
        <v>74656</v>
      </c>
      <c r="G268">
        <v>1753</v>
      </c>
      <c r="H268" s="3">
        <v>3163.13</v>
      </c>
      <c r="I268">
        <v>345</v>
      </c>
      <c r="J268" t="b">
        <v>0</v>
      </c>
      <c r="L268" t="s">
        <v>25</v>
      </c>
    </row>
    <row r="269" spans="1:12" x14ac:dyDescent="0.2">
      <c r="A269" t="s">
        <v>575</v>
      </c>
      <c r="B269" t="s">
        <v>576</v>
      </c>
      <c r="C269" s="1">
        <v>45011</v>
      </c>
      <c r="D269" s="2">
        <v>45032</v>
      </c>
      <c r="E269" t="s">
        <v>23</v>
      </c>
      <c r="F269">
        <v>40384</v>
      </c>
      <c r="G269">
        <v>1866</v>
      </c>
      <c r="H269">
        <v>2060.37</v>
      </c>
      <c r="I269">
        <v>278</v>
      </c>
      <c r="J269" t="b">
        <v>1</v>
      </c>
      <c r="L269" t="s">
        <v>25</v>
      </c>
    </row>
    <row r="270" spans="1:12" x14ac:dyDescent="0.2">
      <c r="A270" t="s">
        <v>577</v>
      </c>
      <c r="B270" t="s">
        <v>578</v>
      </c>
      <c r="C270" s="1">
        <v>45218</v>
      </c>
      <c r="D270" s="2">
        <v>45228</v>
      </c>
      <c r="E270" t="s">
        <v>33</v>
      </c>
      <c r="F270">
        <v>48254</v>
      </c>
      <c r="G270">
        <v>1973</v>
      </c>
      <c r="H270">
        <v>3857.91</v>
      </c>
      <c r="I270">
        <v>340</v>
      </c>
      <c r="J270" t="s">
        <v>24</v>
      </c>
      <c r="L270" t="s">
        <v>34</v>
      </c>
    </row>
    <row r="271" spans="1:12" x14ac:dyDescent="0.2">
      <c r="A271" t="s">
        <v>579</v>
      </c>
      <c r="B271" t="s">
        <v>580</v>
      </c>
      <c r="C271" s="1">
        <v>45166</v>
      </c>
      <c r="D271" s="2">
        <v>45177</v>
      </c>
      <c r="E271" t="s">
        <v>23</v>
      </c>
      <c r="F271">
        <v>22918</v>
      </c>
      <c r="G271">
        <v>472</v>
      </c>
      <c r="H271">
        <v>896.08</v>
      </c>
      <c r="I271">
        <v>76</v>
      </c>
      <c r="J271">
        <v>1</v>
      </c>
      <c r="L271" t="s">
        <v>25</v>
      </c>
    </row>
    <row r="272" spans="1:12" x14ac:dyDescent="0.2">
      <c r="A272" t="s">
        <v>581</v>
      </c>
      <c r="B272" t="s">
        <v>582</v>
      </c>
      <c r="C272" s="1">
        <v>45066</v>
      </c>
      <c r="D272" s="2">
        <v>45085</v>
      </c>
      <c r="E272" t="s">
        <v>33</v>
      </c>
      <c r="F272">
        <v>86981</v>
      </c>
      <c r="G272">
        <v>3114</v>
      </c>
      <c r="H272">
        <v>5021.03</v>
      </c>
      <c r="I272">
        <v>482</v>
      </c>
      <c r="J272" t="s">
        <v>30</v>
      </c>
      <c r="L272" t="s">
        <v>34</v>
      </c>
    </row>
    <row r="273" spans="1:12" x14ac:dyDescent="0.2">
      <c r="A273" t="s">
        <v>583</v>
      </c>
      <c r="B273" t="s">
        <v>584</v>
      </c>
      <c r="C273" s="1">
        <v>44968</v>
      </c>
      <c r="D273" s="2">
        <v>44993</v>
      </c>
      <c r="E273" t="s">
        <v>14</v>
      </c>
      <c r="F273">
        <v>61713</v>
      </c>
      <c r="G273">
        <v>2087</v>
      </c>
      <c r="H273">
        <v>1918.21</v>
      </c>
      <c r="I273">
        <v>200</v>
      </c>
      <c r="J273" t="s">
        <v>30</v>
      </c>
      <c r="L273" t="s">
        <v>16</v>
      </c>
    </row>
    <row r="274" spans="1:12" x14ac:dyDescent="0.2">
      <c r="A274" t="s">
        <v>585</v>
      </c>
      <c r="B274" t="s">
        <v>586</v>
      </c>
      <c r="C274" s="2">
        <v>45092</v>
      </c>
      <c r="D274" s="2">
        <v>45111</v>
      </c>
      <c r="E274" t="s">
        <v>14</v>
      </c>
      <c r="F274">
        <v>31306</v>
      </c>
      <c r="G274">
        <v>815</v>
      </c>
      <c r="H274">
        <v>568.45000000000005</v>
      </c>
      <c r="I274">
        <v>47</v>
      </c>
      <c r="J274" t="b">
        <v>0</v>
      </c>
      <c r="L274" t="s">
        <v>16</v>
      </c>
    </row>
    <row r="275" spans="1:12" x14ac:dyDescent="0.2">
      <c r="A275" t="s">
        <v>587</v>
      </c>
      <c r="B275" t="s">
        <v>588</v>
      </c>
      <c r="C275" s="1">
        <v>45044</v>
      </c>
      <c r="D275" s="2">
        <v>45046</v>
      </c>
      <c r="E275" t="s">
        <v>33</v>
      </c>
      <c r="F275">
        <v>17646</v>
      </c>
      <c r="G275">
        <v>435</v>
      </c>
      <c r="H275">
        <v>775.19</v>
      </c>
      <c r="I275">
        <v>44</v>
      </c>
      <c r="J275" t="s">
        <v>15</v>
      </c>
      <c r="L275" t="s">
        <v>34</v>
      </c>
    </row>
    <row r="276" spans="1:12" x14ac:dyDescent="0.2">
      <c r="A276" t="s">
        <v>589</v>
      </c>
      <c r="B276" t="s">
        <v>590</v>
      </c>
      <c r="C276" s="2">
        <v>45221</v>
      </c>
      <c r="D276" s="2">
        <v>45250</v>
      </c>
      <c r="E276" t="s">
        <v>14</v>
      </c>
      <c r="F276">
        <v>47843</v>
      </c>
      <c r="G276">
        <v>1135</v>
      </c>
      <c r="H276">
        <v>848.93</v>
      </c>
      <c r="J276" t="b">
        <v>0</v>
      </c>
      <c r="L276" t="s">
        <v>16</v>
      </c>
    </row>
    <row r="277" spans="1:12" x14ac:dyDescent="0.2">
      <c r="A277" t="s">
        <v>591</v>
      </c>
      <c r="B277" t="s">
        <v>592</v>
      </c>
      <c r="C277" s="1">
        <v>45271</v>
      </c>
      <c r="D277" s="2">
        <v>45288</v>
      </c>
      <c r="E277" t="s">
        <v>23</v>
      </c>
      <c r="F277">
        <v>97601</v>
      </c>
      <c r="G277">
        <v>3385</v>
      </c>
      <c r="H277">
        <v>6030.01</v>
      </c>
      <c r="I277">
        <v>221</v>
      </c>
      <c r="J277" t="b">
        <v>1</v>
      </c>
      <c r="L277" t="s">
        <v>25</v>
      </c>
    </row>
    <row r="278" spans="1:12" x14ac:dyDescent="0.2">
      <c r="A278" t="s">
        <v>593</v>
      </c>
      <c r="B278" t="s">
        <v>594</v>
      </c>
      <c r="C278" s="1">
        <v>45016</v>
      </c>
      <c r="D278" s="2">
        <v>45018</v>
      </c>
      <c r="E278" t="s">
        <v>23</v>
      </c>
      <c r="F278">
        <v>91735</v>
      </c>
      <c r="G278">
        <v>2540</v>
      </c>
      <c r="H278">
        <v>3139.81</v>
      </c>
      <c r="I278">
        <v>131</v>
      </c>
      <c r="J278" t="s">
        <v>15</v>
      </c>
      <c r="L278" t="s">
        <v>25</v>
      </c>
    </row>
    <row r="279" spans="1:12" x14ac:dyDescent="0.2">
      <c r="A279" t="s">
        <v>595</v>
      </c>
      <c r="B279" t="s">
        <v>596</v>
      </c>
      <c r="C279" s="1">
        <v>45069</v>
      </c>
      <c r="D279" s="2">
        <v>45093</v>
      </c>
      <c r="E279" t="s">
        <v>14</v>
      </c>
      <c r="F279">
        <v>17371</v>
      </c>
      <c r="G279">
        <v>751</v>
      </c>
      <c r="H279">
        <v>833.49</v>
      </c>
      <c r="I279">
        <v>53</v>
      </c>
      <c r="J279" t="s">
        <v>30</v>
      </c>
      <c r="L279" t="s">
        <v>16</v>
      </c>
    </row>
    <row r="280" spans="1:12" x14ac:dyDescent="0.2">
      <c r="A280" t="s">
        <v>597</v>
      </c>
      <c r="B280" t="s">
        <v>598</v>
      </c>
      <c r="C280" s="1">
        <v>45252</v>
      </c>
      <c r="D280" s="2">
        <v>45275</v>
      </c>
      <c r="E280" t="s">
        <v>19</v>
      </c>
      <c r="F280">
        <v>78371</v>
      </c>
      <c r="G280">
        <v>2882</v>
      </c>
      <c r="H280">
        <v>5345.49</v>
      </c>
      <c r="I280">
        <v>453</v>
      </c>
      <c r="J280" t="s">
        <v>24</v>
      </c>
      <c r="L280" t="s">
        <v>20</v>
      </c>
    </row>
    <row r="281" spans="1:12" x14ac:dyDescent="0.2">
      <c r="A281" t="s">
        <v>599</v>
      </c>
      <c r="B281" t="s">
        <v>600</v>
      </c>
      <c r="C281" s="1">
        <v>45167</v>
      </c>
      <c r="D281" s="2">
        <v>45190</v>
      </c>
      <c r="E281" t="s">
        <v>58</v>
      </c>
      <c r="F281">
        <v>3049</v>
      </c>
      <c r="G281">
        <v>39</v>
      </c>
      <c r="H281">
        <v>54.83</v>
      </c>
      <c r="I281">
        <v>7</v>
      </c>
      <c r="J281">
        <v>1</v>
      </c>
      <c r="L281" t="s">
        <v>59</v>
      </c>
    </row>
    <row r="282" spans="1:12" x14ac:dyDescent="0.2">
      <c r="A282" t="s">
        <v>601</v>
      </c>
      <c r="B282" t="s">
        <v>602</v>
      </c>
      <c r="C282" s="1">
        <v>45270</v>
      </c>
      <c r="D282" s="2">
        <v>45265</v>
      </c>
      <c r="E282" t="s">
        <v>23</v>
      </c>
      <c r="F282">
        <v>32616</v>
      </c>
      <c r="G282">
        <v>1161</v>
      </c>
      <c r="H282" s="3">
        <v>1584.67</v>
      </c>
      <c r="I282">
        <v>229</v>
      </c>
      <c r="J282">
        <v>1</v>
      </c>
      <c r="L282" t="s">
        <v>25</v>
      </c>
    </row>
    <row r="283" spans="1:12" x14ac:dyDescent="0.2">
      <c r="A283" t="s">
        <v>603</v>
      </c>
      <c r="B283" t="s">
        <v>604</v>
      </c>
      <c r="C283" s="1">
        <v>45137</v>
      </c>
      <c r="D283" s="2">
        <v>45153</v>
      </c>
      <c r="E283" t="s">
        <v>19</v>
      </c>
      <c r="F283">
        <v>21932</v>
      </c>
      <c r="G283">
        <v>457</v>
      </c>
      <c r="H283">
        <v>611.53</v>
      </c>
      <c r="I283">
        <v>56</v>
      </c>
      <c r="J283" t="b">
        <v>1</v>
      </c>
      <c r="L283" t="s">
        <v>20</v>
      </c>
    </row>
    <row r="284" spans="1:12" x14ac:dyDescent="0.2">
      <c r="A284" t="s">
        <v>605</v>
      </c>
      <c r="B284" t="s">
        <v>606</v>
      </c>
      <c r="C284" s="1">
        <v>45132</v>
      </c>
      <c r="D284" s="2">
        <v>45135</v>
      </c>
      <c r="E284" t="s">
        <v>33</v>
      </c>
      <c r="F284">
        <v>30855</v>
      </c>
      <c r="G284">
        <v>1040</v>
      </c>
      <c r="H284" s="3">
        <v>1099.02</v>
      </c>
      <c r="J284" t="b">
        <v>0</v>
      </c>
      <c r="L284" t="s">
        <v>34</v>
      </c>
    </row>
    <row r="285" spans="1:12" x14ac:dyDescent="0.2">
      <c r="A285" t="s">
        <v>607</v>
      </c>
      <c r="B285" t="s">
        <v>608</v>
      </c>
      <c r="C285" t="s">
        <v>115</v>
      </c>
      <c r="D285" s="2">
        <v>45189</v>
      </c>
      <c r="E285" t="s">
        <v>19</v>
      </c>
      <c r="F285">
        <v>62434</v>
      </c>
      <c r="G285">
        <v>2322</v>
      </c>
      <c r="H285">
        <v>3897.39</v>
      </c>
      <c r="I285">
        <v>372</v>
      </c>
      <c r="J285" t="b">
        <v>1</v>
      </c>
      <c r="L285" t="s">
        <v>68</v>
      </c>
    </row>
    <row r="286" spans="1:12" x14ac:dyDescent="0.2">
      <c r="A286" t="s">
        <v>609</v>
      </c>
      <c r="B286" t="s">
        <v>610</v>
      </c>
      <c r="C286" s="1">
        <v>45056</v>
      </c>
      <c r="D286" s="2">
        <v>45059</v>
      </c>
      <c r="E286" t="s">
        <v>138</v>
      </c>
      <c r="F286">
        <v>73694</v>
      </c>
      <c r="G286">
        <v>1417</v>
      </c>
      <c r="H286">
        <v>1245.82</v>
      </c>
      <c r="I286">
        <v>177</v>
      </c>
      <c r="J286">
        <v>1</v>
      </c>
      <c r="L286" t="s">
        <v>139</v>
      </c>
    </row>
    <row r="287" spans="1:12" x14ac:dyDescent="0.2">
      <c r="A287" t="s">
        <v>611</v>
      </c>
      <c r="B287" t="s">
        <v>612</v>
      </c>
      <c r="C287" s="1">
        <v>45133</v>
      </c>
      <c r="D287" s="2">
        <v>45138</v>
      </c>
      <c r="E287" t="s">
        <v>33</v>
      </c>
      <c r="F287">
        <v>44016</v>
      </c>
      <c r="G287">
        <v>1244</v>
      </c>
      <c r="H287">
        <v>2373.98</v>
      </c>
      <c r="J287" t="s">
        <v>30</v>
      </c>
      <c r="L287" t="s">
        <v>34</v>
      </c>
    </row>
    <row r="288" spans="1:12" x14ac:dyDescent="0.2">
      <c r="A288" t="s">
        <v>613</v>
      </c>
      <c r="B288" t="s">
        <v>614</v>
      </c>
      <c r="C288" s="1">
        <v>44927</v>
      </c>
      <c r="D288" s="2">
        <v>44932</v>
      </c>
      <c r="E288" t="s">
        <v>33</v>
      </c>
      <c r="F288">
        <v>8400</v>
      </c>
      <c r="G288">
        <v>147</v>
      </c>
      <c r="H288" s="3">
        <v>270.62</v>
      </c>
      <c r="I288">
        <v>10</v>
      </c>
      <c r="J288">
        <v>1</v>
      </c>
      <c r="L288" t="s">
        <v>34</v>
      </c>
    </row>
    <row r="289" spans="1:12" x14ac:dyDescent="0.2">
      <c r="A289" t="s">
        <v>615</v>
      </c>
      <c r="B289" t="s">
        <v>616</v>
      </c>
      <c r="C289" t="s">
        <v>617</v>
      </c>
      <c r="D289" s="2">
        <v>45142</v>
      </c>
      <c r="E289" t="s">
        <v>266</v>
      </c>
      <c r="F289">
        <v>43642</v>
      </c>
      <c r="G289">
        <v>527</v>
      </c>
      <c r="H289">
        <v>530.28</v>
      </c>
      <c r="I289">
        <v>100</v>
      </c>
      <c r="J289" t="s">
        <v>15</v>
      </c>
      <c r="L289" t="s">
        <v>68</v>
      </c>
    </row>
    <row r="290" spans="1:12" x14ac:dyDescent="0.2">
      <c r="A290" t="s">
        <v>618</v>
      </c>
      <c r="B290" t="s">
        <v>619</v>
      </c>
      <c r="C290" s="1">
        <v>45192</v>
      </c>
      <c r="D290" s="2">
        <v>45209</v>
      </c>
      <c r="E290" t="s">
        <v>41</v>
      </c>
      <c r="F290">
        <v>16151</v>
      </c>
      <c r="G290">
        <v>406</v>
      </c>
      <c r="H290">
        <v>647.24</v>
      </c>
      <c r="I290">
        <v>41</v>
      </c>
      <c r="J290" t="s">
        <v>24</v>
      </c>
      <c r="K290">
        <v>16169</v>
      </c>
      <c r="L290" t="s">
        <v>68</v>
      </c>
    </row>
    <row r="291" spans="1:12" x14ac:dyDescent="0.2">
      <c r="A291" t="s">
        <v>620</v>
      </c>
      <c r="B291" t="s">
        <v>621</v>
      </c>
      <c r="C291" s="2">
        <v>45247</v>
      </c>
      <c r="D291" s="2">
        <v>45253</v>
      </c>
      <c r="E291" t="s">
        <v>14</v>
      </c>
      <c r="F291">
        <v>52407</v>
      </c>
      <c r="G291">
        <v>1284</v>
      </c>
      <c r="H291">
        <v>1746.03</v>
      </c>
      <c r="I291">
        <v>150</v>
      </c>
      <c r="J291" t="s">
        <v>24</v>
      </c>
      <c r="L291" t="s">
        <v>68</v>
      </c>
    </row>
    <row r="292" spans="1:12" x14ac:dyDescent="0.2">
      <c r="A292" t="s">
        <v>622</v>
      </c>
      <c r="B292" t="s">
        <v>623</v>
      </c>
      <c r="C292" s="1">
        <v>45063</v>
      </c>
      <c r="D292" s="2">
        <v>45086</v>
      </c>
      <c r="E292" t="s">
        <v>58</v>
      </c>
      <c r="F292">
        <v>67690</v>
      </c>
      <c r="G292">
        <v>3372</v>
      </c>
      <c r="H292">
        <v>3393.83</v>
      </c>
      <c r="J292">
        <v>0</v>
      </c>
      <c r="L292" t="s">
        <v>59</v>
      </c>
    </row>
    <row r="293" spans="1:12" x14ac:dyDescent="0.2">
      <c r="A293" t="s">
        <v>624</v>
      </c>
      <c r="B293" t="s">
        <v>625</v>
      </c>
      <c r="C293" s="1">
        <v>45151</v>
      </c>
      <c r="D293" s="2">
        <v>45159</v>
      </c>
      <c r="E293" t="s">
        <v>14</v>
      </c>
      <c r="F293">
        <v>5499</v>
      </c>
      <c r="G293">
        <v>153</v>
      </c>
      <c r="H293" s="3">
        <v>303.37</v>
      </c>
      <c r="I293">
        <v>15</v>
      </c>
      <c r="J293">
        <v>1</v>
      </c>
      <c r="L293" t="s">
        <v>16</v>
      </c>
    </row>
    <row r="294" spans="1:12" x14ac:dyDescent="0.2">
      <c r="A294" t="s">
        <v>626</v>
      </c>
      <c r="B294" t="s">
        <v>627</v>
      </c>
      <c r="C294" s="1">
        <v>44941</v>
      </c>
      <c r="D294" s="2">
        <v>44944</v>
      </c>
      <c r="E294" t="s">
        <v>33</v>
      </c>
      <c r="F294">
        <v>7295</v>
      </c>
      <c r="G294">
        <v>170</v>
      </c>
      <c r="H294">
        <v>91.44</v>
      </c>
      <c r="I294">
        <v>14</v>
      </c>
      <c r="J294">
        <v>1</v>
      </c>
      <c r="L294" t="s">
        <v>34</v>
      </c>
    </row>
    <row r="295" spans="1:12" x14ac:dyDescent="0.2">
      <c r="A295" t="s">
        <v>628</v>
      </c>
      <c r="B295" t="s">
        <v>629</v>
      </c>
      <c r="C295" s="1">
        <v>45049</v>
      </c>
      <c r="D295" s="2">
        <v>45074</v>
      </c>
      <c r="E295" t="s">
        <v>14</v>
      </c>
      <c r="F295">
        <v>60040</v>
      </c>
      <c r="G295">
        <v>1994</v>
      </c>
      <c r="H295">
        <v>1752.66</v>
      </c>
      <c r="I295">
        <v>288</v>
      </c>
      <c r="J295" t="s">
        <v>24</v>
      </c>
      <c r="L295" t="s">
        <v>16</v>
      </c>
    </row>
    <row r="296" spans="1:12" x14ac:dyDescent="0.2">
      <c r="A296" t="s">
        <v>630</v>
      </c>
      <c r="B296" t="s">
        <v>631</v>
      </c>
      <c r="C296" s="2">
        <v>44934</v>
      </c>
      <c r="D296" s="2">
        <v>45151</v>
      </c>
      <c r="E296" t="s">
        <v>41</v>
      </c>
      <c r="F296">
        <v>13183</v>
      </c>
      <c r="G296">
        <v>178</v>
      </c>
      <c r="H296">
        <v>227.86</v>
      </c>
      <c r="I296">
        <v>9</v>
      </c>
      <c r="J296">
        <v>0</v>
      </c>
      <c r="L296" t="s">
        <v>42</v>
      </c>
    </row>
    <row r="297" spans="1:12" x14ac:dyDescent="0.2">
      <c r="A297" t="s">
        <v>632</v>
      </c>
      <c r="B297" t="s">
        <v>633</v>
      </c>
      <c r="C297" s="1">
        <v>44985</v>
      </c>
      <c r="D297" s="2">
        <v>44997</v>
      </c>
      <c r="E297" t="s">
        <v>19</v>
      </c>
      <c r="F297">
        <v>30299</v>
      </c>
      <c r="G297">
        <v>1468</v>
      </c>
      <c r="H297">
        <v>1883.34</v>
      </c>
      <c r="I297">
        <v>232</v>
      </c>
      <c r="J297" t="s">
        <v>15</v>
      </c>
      <c r="L297" t="s">
        <v>20</v>
      </c>
    </row>
    <row r="298" spans="1:12" x14ac:dyDescent="0.2">
      <c r="A298" t="s">
        <v>634</v>
      </c>
      <c r="B298" t="s">
        <v>635</v>
      </c>
      <c r="C298" s="1">
        <v>45005</v>
      </c>
      <c r="D298" s="2">
        <v>45016</v>
      </c>
      <c r="E298" t="s">
        <v>19</v>
      </c>
      <c r="F298">
        <v>13874</v>
      </c>
      <c r="G298">
        <v>491</v>
      </c>
      <c r="H298">
        <v>679.25</v>
      </c>
      <c r="I298">
        <v>62</v>
      </c>
      <c r="J298" t="b">
        <v>0</v>
      </c>
      <c r="L298" t="s">
        <v>20</v>
      </c>
    </row>
    <row r="299" spans="1:12" x14ac:dyDescent="0.2">
      <c r="A299" t="s">
        <v>636</v>
      </c>
      <c r="B299" t="s">
        <v>637</v>
      </c>
      <c r="C299" s="1">
        <v>45187</v>
      </c>
      <c r="D299" s="2">
        <v>45190</v>
      </c>
      <c r="E299" t="s">
        <v>41</v>
      </c>
      <c r="F299">
        <v>33711</v>
      </c>
      <c r="G299">
        <v>1354</v>
      </c>
      <c r="H299">
        <v>2203.65</v>
      </c>
      <c r="I299">
        <v>190</v>
      </c>
      <c r="J299">
        <v>1</v>
      </c>
      <c r="L299" t="s">
        <v>42</v>
      </c>
    </row>
    <row r="300" spans="1:12" x14ac:dyDescent="0.2">
      <c r="A300" t="s">
        <v>638</v>
      </c>
      <c r="B300" t="s">
        <v>639</v>
      </c>
      <c r="C300" s="1">
        <v>45174</v>
      </c>
      <c r="D300" s="2">
        <v>45188</v>
      </c>
      <c r="E300" t="s">
        <v>138</v>
      </c>
      <c r="F300">
        <v>6539</v>
      </c>
      <c r="G300">
        <v>109</v>
      </c>
      <c r="H300" s="3">
        <v>156.44</v>
      </c>
      <c r="I300">
        <v>15</v>
      </c>
      <c r="J300" t="s">
        <v>24</v>
      </c>
      <c r="L300" t="s">
        <v>139</v>
      </c>
    </row>
    <row r="301" spans="1:12" x14ac:dyDescent="0.2">
      <c r="A301" t="s">
        <v>640</v>
      </c>
      <c r="B301" t="s">
        <v>641</v>
      </c>
      <c r="C301" s="1">
        <v>45209</v>
      </c>
      <c r="D301" s="2">
        <v>45220</v>
      </c>
      <c r="E301" t="s">
        <v>41</v>
      </c>
      <c r="F301">
        <v>54351</v>
      </c>
      <c r="G301">
        <v>1433</v>
      </c>
      <c r="H301">
        <v>2006.8</v>
      </c>
      <c r="I301">
        <v>184</v>
      </c>
      <c r="J301" t="b">
        <v>1</v>
      </c>
      <c r="L301" t="s">
        <v>42</v>
      </c>
    </row>
    <row r="302" spans="1:12" x14ac:dyDescent="0.2">
      <c r="A302" t="s">
        <v>642</v>
      </c>
      <c r="B302" t="s">
        <v>643</v>
      </c>
      <c r="C302" s="1">
        <v>45233</v>
      </c>
      <c r="D302" s="2">
        <v>45258</v>
      </c>
      <c r="E302" t="s">
        <v>23</v>
      </c>
      <c r="F302">
        <v>62267</v>
      </c>
      <c r="G302">
        <v>1675</v>
      </c>
      <c r="H302">
        <v>971.96</v>
      </c>
      <c r="I302">
        <v>230</v>
      </c>
      <c r="J302">
        <v>1</v>
      </c>
      <c r="L302" t="s">
        <v>25</v>
      </c>
    </row>
    <row r="303" spans="1:12" x14ac:dyDescent="0.2">
      <c r="A303" t="s">
        <v>644</v>
      </c>
      <c r="B303" t="s">
        <v>645</v>
      </c>
      <c r="C303" s="1">
        <v>44962</v>
      </c>
      <c r="D303" s="2">
        <v>44965</v>
      </c>
      <c r="E303" t="s">
        <v>33</v>
      </c>
      <c r="F303">
        <v>49354</v>
      </c>
      <c r="G303">
        <v>2115</v>
      </c>
      <c r="H303">
        <v>2252.04</v>
      </c>
      <c r="I303">
        <v>322</v>
      </c>
      <c r="J303" t="b">
        <v>1</v>
      </c>
      <c r="L303" t="s">
        <v>34</v>
      </c>
    </row>
    <row r="304" spans="1:12" x14ac:dyDescent="0.2">
      <c r="A304" t="s">
        <v>646</v>
      </c>
      <c r="B304" t="s">
        <v>647</v>
      </c>
      <c r="C304" s="1">
        <v>45139</v>
      </c>
      <c r="D304" s="2">
        <v>45155</v>
      </c>
      <c r="E304" t="s">
        <v>19</v>
      </c>
      <c r="F304">
        <v>3557</v>
      </c>
      <c r="G304">
        <v>35</v>
      </c>
      <c r="H304">
        <v>29.68</v>
      </c>
      <c r="I304">
        <v>5</v>
      </c>
      <c r="J304" t="s">
        <v>15</v>
      </c>
      <c r="L304" t="s">
        <v>20</v>
      </c>
    </row>
    <row r="305" spans="1:12" x14ac:dyDescent="0.2">
      <c r="A305" t="s">
        <v>648</v>
      </c>
      <c r="B305" t="s">
        <v>649</v>
      </c>
      <c r="C305" s="1">
        <v>45063</v>
      </c>
      <c r="D305" s="2">
        <v>45058</v>
      </c>
      <c r="E305" t="s">
        <v>41</v>
      </c>
      <c r="F305">
        <v>39360</v>
      </c>
      <c r="G305">
        <v>867</v>
      </c>
      <c r="H305">
        <v>778.61</v>
      </c>
      <c r="I305">
        <v>137</v>
      </c>
      <c r="J305">
        <v>1</v>
      </c>
      <c r="L305" t="s">
        <v>42</v>
      </c>
    </row>
    <row r="306" spans="1:12" x14ac:dyDescent="0.2">
      <c r="A306" t="s">
        <v>650</v>
      </c>
      <c r="B306" t="s">
        <v>651</v>
      </c>
      <c r="C306" s="1">
        <v>45079</v>
      </c>
      <c r="D306" s="2">
        <v>45097</v>
      </c>
      <c r="E306" t="s">
        <v>19</v>
      </c>
      <c r="F306">
        <v>83018</v>
      </c>
      <c r="G306">
        <v>4088</v>
      </c>
      <c r="H306">
        <v>5443.2</v>
      </c>
      <c r="I306">
        <v>737</v>
      </c>
      <c r="J306" t="s">
        <v>24</v>
      </c>
      <c r="L306" t="s">
        <v>20</v>
      </c>
    </row>
    <row r="307" spans="1:12" x14ac:dyDescent="0.2">
      <c r="A307" t="s">
        <v>652</v>
      </c>
      <c r="B307" t="s">
        <v>653</v>
      </c>
      <c r="C307" s="1">
        <v>45264</v>
      </c>
      <c r="D307" s="2">
        <v>45266</v>
      </c>
      <c r="E307" t="s">
        <v>41</v>
      </c>
      <c r="F307">
        <v>3200</v>
      </c>
      <c r="G307">
        <v>92</v>
      </c>
      <c r="H307">
        <v>73.53</v>
      </c>
      <c r="I307">
        <v>7</v>
      </c>
      <c r="J307" t="s">
        <v>15</v>
      </c>
      <c r="K307">
        <v>3228</v>
      </c>
      <c r="L307" t="s">
        <v>42</v>
      </c>
    </row>
    <row r="308" spans="1:12" x14ac:dyDescent="0.2">
      <c r="A308" t="s">
        <v>654</v>
      </c>
      <c r="B308" t="s">
        <v>655</v>
      </c>
      <c r="C308" s="1">
        <v>45202</v>
      </c>
      <c r="D308" s="2">
        <v>45219</v>
      </c>
      <c r="E308" t="s">
        <v>19</v>
      </c>
      <c r="F308">
        <v>69497</v>
      </c>
      <c r="G308">
        <v>1758</v>
      </c>
      <c r="H308">
        <v>1654.14</v>
      </c>
      <c r="I308">
        <v>193</v>
      </c>
      <c r="J308" t="s">
        <v>15</v>
      </c>
      <c r="L308" t="s">
        <v>20</v>
      </c>
    </row>
    <row r="309" spans="1:12" x14ac:dyDescent="0.2">
      <c r="A309" t="s">
        <v>656</v>
      </c>
      <c r="B309" t="s">
        <v>657</v>
      </c>
      <c r="C309" s="1">
        <v>45205</v>
      </c>
      <c r="D309" s="2">
        <v>45219</v>
      </c>
      <c r="E309" t="s">
        <v>14</v>
      </c>
      <c r="F309">
        <v>47975</v>
      </c>
      <c r="G309">
        <v>709</v>
      </c>
      <c r="H309">
        <v>606.64</v>
      </c>
      <c r="I309">
        <v>136</v>
      </c>
      <c r="J309" t="b">
        <v>0</v>
      </c>
      <c r="L309" t="s">
        <v>16</v>
      </c>
    </row>
    <row r="310" spans="1:12" x14ac:dyDescent="0.2">
      <c r="A310" t="s">
        <v>658</v>
      </c>
      <c r="B310" t="s">
        <v>659</v>
      </c>
      <c r="C310" s="1">
        <v>45023</v>
      </c>
      <c r="D310" s="2">
        <v>45044</v>
      </c>
      <c r="E310" t="s">
        <v>41</v>
      </c>
      <c r="F310">
        <v>22357</v>
      </c>
      <c r="G310">
        <v>1094</v>
      </c>
      <c r="H310">
        <v>2103.4899999999998</v>
      </c>
      <c r="I310">
        <v>119</v>
      </c>
      <c r="J310">
        <v>1</v>
      </c>
      <c r="L310" t="s">
        <v>42</v>
      </c>
    </row>
    <row r="311" spans="1:12" x14ac:dyDescent="0.2">
      <c r="A311" t="s">
        <v>660</v>
      </c>
      <c r="B311" t="s">
        <v>661</v>
      </c>
      <c r="C311" s="1">
        <v>45123</v>
      </c>
      <c r="D311" s="2">
        <v>45149</v>
      </c>
      <c r="E311" t="s">
        <v>23</v>
      </c>
      <c r="F311">
        <v>78505</v>
      </c>
      <c r="G311">
        <v>847</v>
      </c>
      <c r="H311">
        <v>1623.7</v>
      </c>
      <c r="I311">
        <v>58</v>
      </c>
      <c r="J311" t="b">
        <v>1</v>
      </c>
      <c r="L311" t="s">
        <v>25</v>
      </c>
    </row>
    <row r="312" spans="1:12" x14ac:dyDescent="0.2">
      <c r="A312" t="s">
        <v>662</v>
      </c>
      <c r="B312" t="s">
        <v>663</v>
      </c>
      <c r="C312" s="1">
        <v>44949</v>
      </c>
      <c r="D312" s="2">
        <v>44962</v>
      </c>
      <c r="E312" t="s">
        <v>23</v>
      </c>
      <c r="F312">
        <v>3869</v>
      </c>
      <c r="G312">
        <v>152</v>
      </c>
      <c r="H312" s="3">
        <v>215.07</v>
      </c>
      <c r="I312">
        <v>19</v>
      </c>
      <c r="J312" t="b">
        <v>1</v>
      </c>
      <c r="L312" t="s">
        <v>25</v>
      </c>
    </row>
    <row r="313" spans="1:12" x14ac:dyDescent="0.2">
      <c r="A313" t="s">
        <v>664</v>
      </c>
      <c r="B313" t="s">
        <v>665</v>
      </c>
      <c r="C313" s="1">
        <v>45122</v>
      </c>
      <c r="D313" s="2">
        <v>45145</v>
      </c>
      <c r="E313" t="s">
        <v>33</v>
      </c>
      <c r="F313">
        <v>62135</v>
      </c>
      <c r="G313">
        <v>2531</v>
      </c>
      <c r="H313">
        <v>4775.45</v>
      </c>
      <c r="I313">
        <v>168</v>
      </c>
      <c r="J313">
        <v>1</v>
      </c>
      <c r="L313" t="s">
        <v>34</v>
      </c>
    </row>
    <row r="314" spans="1:12" x14ac:dyDescent="0.2">
      <c r="A314" t="s">
        <v>666</v>
      </c>
      <c r="B314" t="s">
        <v>667</v>
      </c>
      <c r="C314" s="1">
        <v>45260</v>
      </c>
      <c r="D314" s="2">
        <v>45265</v>
      </c>
      <c r="E314" t="s">
        <v>41</v>
      </c>
      <c r="F314">
        <v>51108</v>
      </c>
      <c r="G314">
        <v>1009</v>
      </c>
      <c r="H314">
        <v>1693.83</v>
      </c>
      <c r="I314">
        <v>81</v>
      </c>
      <c r="J314">
        <v>0</v>
      </c>
      <c r="L314" t="s">
        <v>42</v>
      </c>
    </row>
    <row r="315" spans="1:12" x14ac:dyDescent="0.2">
      <c r="A315" t="s">
        <v>668</v>
      </c>
      <c r="B315" t="s">
        <v>669</v>
      </c>
      <c r="C315" s="1">
        <v>44945</v>
      </c>
      <c r="D315" s="2">
        <v>44963</v>
      </c>
      <c r="E315" t="s">
        <v>19</v>
      </c>
      <c r="F315">
        <v>95179</v>
      </c>
      <c r="G315">
        <v>3508</v>
      </c>
      <c r="H315">
        <v>4858.3100000000004</v>
      </c>
      <c r="I315">
        <v>700</v>
      </c>
      <c r="J315" t="b">
        <v>0</v>
      </c>
      <c r="L315" t="s">
        <v>20</v>
      </c>
    </row>
    <row r="316" spans="1:12" x14ac:dyDescent="0.2">
      <c r="A316" t="s">
        <v>670</v>
      </c>
      <c r="B316" t="s">
        <v>671</v>
      </c>
      <c r="C316" s="1">
        <v>45096</v>
      </c>
      <c r="D316" s="2">
        <v>45123</v>
      </c>
      <c r="E316" t="s">
        <v>23</v>
      </c>
      <c r="F316">
        <v>91272</v>
      </c>
      <c r="G316">
        <v>1251</v>
      </c>
      <c r="H316" s="3">
        <v>637.58000000000004</v>
      </c>
      <c r="I316">
        <v>164</v>
      </c>
      <c r="J316" t="b">
        <v>0</v>
      </c>
      <c r="L316" t="s">
        <v>25</v>
      </c>
    </row>
    <row r="317" spans="1:12" x14ac:dyDescent="0.2">
      <c r="A317" t="s">
        <v>672</v>
      </c>
      <c r="B317" t="s">
        <v>673</v>
      </c>
      <c r="C317" t="s">
        <v>674</v>
      </c>
      <c r="D317" s="2">
        <v>45155</v>
      </c>
      <c r="E317" t="s">
        <v>33</v>
      </c>
      <c r="F317">
        <v>39467</v>
      </c>
      <c r="G317">
        <v>800</v>
      </c>
      <c r="H317">
        <v>1327.02</v>
      </c>
      <c r="J317" t="b">
        <v>0</v>
      </c>
      <c r="L317" t="s">
        <v>34</v>
      </c>
    </row>
    <row r="318" spans="1:12" x14ac:dyDescent="0.2">
      <c r="A318" t="s">
        <v>675</v>
      </c>
      <c r="B318" t="s">
        <v>676</v>
      </c>
      <c r="C318" t="s">
        <v>677</v>
      </c>
      <c r="D318" s="2">
        <v>45187</v>
      </c>
      <c r="E318" t="s">
        <v>33</v>
      </c>
      <c r="F318">
        <v>24328</v>
      </c>
      <c r="G318">
        <v>1010</v>
      </c>
      <c r="H318">
        <v>1569.27</v>
      </c>
      <c r="I318">
        <v>201</v>
      </c>
      <c r="J318" t="b">
        <v>1</v>
      </c>
      <c r="L318" t="s">
        <v>34</v>
      </c>
    </row>
    <row r="319" spans="1:12" x14ac:dyDescent="0.2">
      <c r="A319" t="s">
        <v>678</v>
      </c>
      <c r="B319" t="s">
        <v>679</v>
      </c>
      <c r="C319" s="1">
        <v>45000</v>
      </c>
      <c r="D319" s="2">
        <v>45007</v>
      </c>
      <c r="E319" t="s">
        <v>41</v>
      </c>
      <c r="F319">
        <v>92412</v>
      </c>
      <c r="G319">
        <v>4120</v>
      </c>
      <c r="H319">
        <v>5862.27</v>
      </c>
      <c r="I319">
        <v>803</v>
      </c>
      <c r="J319" t="s">
        <v>15</v>
      </c>
      <c r="L319" t="s">
        <v>42</v>
      </c>
    </row>
    <row r="320" spans="1:12" x14ac:dyDescent="0.2">
      <c r="A320" t="s">
        <v>680</v>
      </c>
      <c r="B320" t="s">
        <v>681</v>
      </c>
      <c r="C320" t="s">
        <v>682</v>
      </c>
      <c r="D320" s="2">
        <v>45021</v>
      </c>
      <c r="E320" t="s">
        <v>14</v>
      </c>
      <c r="F320">
        <v>87831</v>
      </c>
      <c r="G320">
        <v>3016</v>
      </c>
      <c r="H320">
        <v>4948.16</v>
      </c>
      <c r="I320">
        <v>350</v>
      </c>
      <c r="J320" t="s">
        <v>24</v>
      </c>
      <c r="L320" t="s">
        <v>16</v>
      </c>
    </row>
    <row r="321" spans="1:12" x14ac:dyDescent="0.2">
      <c r="A321" t="s">
        <v>683</v>
      </c>
      <c r="B321" t="s">
        <v>684</v>
      </c>
      <c r="C321" s="1">
        <v>45062</v>
      </c>
      <c r="D321" s="2">
        <v>45068</v>
      </c>
      <c r="E321" t="s">
        <v>19</v>
      </c>
      <c r="F321">
        <v>4987</v>
      </c>
      <c r="G321">
        <v>150</v>
      </c>
      <c r="H321">
        <v>190.41</v>
      </c>
      <c r="I321">
        <v>13</v>
      </c>
      <c r="J321">
        <v>0</v>
      </c>
      <c r="L321" t="s">
        <v>20</v>
      </c>
    </row>
    <row r="322" spans="1:12" x14ac:dyDescent="0.2">
      <c r="A322" t="s">
        <v>685</v>
      </c>
      <c r="B322" t="s">
        <v>686</v>
      </c>
      <c r="C322" t="s">
        <v>687</v>
      </c>
      <c r="D322" s="2">
        <v>45263</v>
      </c>
      <c r="E322" t="s">
        <v>14</v>
      </c>
      <c r="F322">
        <v>59871</v>
      </c>
      <c r="G322">
        <v>980</v>
      </c>
      <c r="H322">
        <v>1525</v>
      </c>
      <c r="I322">
        <v>172</v>
      </c>
      <c r="J322" t="b">
        <v>0</v>
      </c>
      <c r="L322" t="s">
        <v>16</v>
      </c>
    </row>
    <row r="323" spans="1:12" x14ac:dyDescent="0.2">
      <c r="A323" t="s">
        <v>688</v>
      </c>
      <c r="B323" t="s">
        <v>689</v>
      </c>
      <c r="C323" s="1">
        <v>45095</v>
      </c>
      <c r="D323" s="2">
        <v>45120</v>
      </c>
      <c r="E323" t="s">
        <v>23</v>
      </c>
      <c r="F323">
        <v>23399</v>
      </c>
      <c r="G323">
        <v>293</v>
      </c>
      <c r="H323">
        <v>557.51</v>
      </c>
      <c r="I323">
        <v>46</v>
      </c>
      <c r="J323" t="b">
        <v>1</v>
      </c>
      <c r="L323" t="s">
        <v>25</v>
      </c>
    </row>
    <row r="324" spans="1:12" x14ac:dyDescent="0.2">
      <c r="A324" t="s">
        <v>690</v>
      </c>
      <c r="B324" t="s">
        <v>691</v>
      </c>
      <c r="C324" s="1">
        <v>45121</v>
      </c>
      <c r="D324" s="2">
        <v>45151</v>
      </c>
      <c r="E324" t="s">
        <v>138</v>
      </c>
      <c r="F324">
        <v>47214</v>
      </c>
      <c r="G324">
        <v>694</v>
      </c>
      <c r="H324">
        <v>738.21</v>
      </c>
      <c r="I324">
        <v>106</v>
      </c>
      <c r="J324" t="b">
        <v>1</v>
      </c>
      <c r="L324" t="s">
        <v>139</v>
      </c>
    </row>
    <row r="325" spans="1:12" x14ac:dyDescent="0.2">
      <c r="A325" t="s">
        <v>692</v>
      </c>
      <c r="B325" t="s">
        <v>693</v>
      </c>
      <c r="C325" s="2">
        <v>45176</v>
      </c>
      <c r="D325" s="2">
        <v>45144</v>
      </c>
      <c r="E325" t="s">
        <v>23</v>
      </c>
      <c r="F325">
        <v>87416</v>
      </c>
      <c r="G325">
        <v>1669</v>
      </c>
      <c r="H325">
        <v>2607.2800000000002</v>
      </c>
      <c r="I325">
        <v>307</v>
      </c>
      <c r="J325" t="s">
        <v>15</v>
      </c>
      <c r="L325" t="s">
        <v>25</v>
      </c>
    </row>
    <row r="326" spans="1:12" x14ac:dyDescent="0.2">
      <c r="A326" t="s">
        <v>694</v>
      </c>
      <c r="B326" t="s">
        <v>695</v>
      </c>
      <c r="C326" s="1">
        <v>44962</v>
      </c>
      <c r="D326" s="2">
        <v>44971</v>
      </c>
      <c r="E326" t="s">
        <v>14</v>
      </c>
      <c r="F326">
        <v>71271</v>
      </c>
      <c r="G326">
        <v>1686</v>
      </c>
      <c r="H326">
        <v>2046.01</v>
      </c>
      <c r="I326">
        <v>258</v>
      </c>
      <c r="J326">
        <v>1</v>
      </c>
      <c r="L326" t="s">
        <v>16</v>
      </c>
    </row>
    <row r="327" spans="1:12" x14ac:dyDescent="0.2">
      <c r="A327" t="s">
        <v>696</v>
      </c>
      <c r="B327" t="s">
        <v>697</v>
      </c>
      <c r="C327" s="1">
        <v>45074</v>
      </c>
      <c r="D327" s="2">
        <v>45082</v>
      </c>
      <c r="E327" t="s">
        <v>19</v>
      </c>
      <c r="F327">
        <v>45064</v>
      </c>
      <c r="G327">
        <v>1137</v>
      </c>
      <c r="H327">
        <v>1718.69</v>
      </c>
      <c r="I327">
        <v>105</v>
      </c>
      <c r="J327">
        <v>1</v>
      </c>
      <c r="L327" t="s">
        <v>20</v>
      </c>
    </row>
    <row r="328" spans="1:12" x14ac:dyDescent="0.2">
      <c r="A328" t="s">
        <v>698</v>
      </c>
      <c r="B328" t="s">
        <v>699</v>
      </c>
      <c r="C328" s="1">
        <v>45149</v>
      </c>
      <c r="D328" s="2">
        <v>45157</v>
      </c>
      <c r="E328" t="s">
        <v>138</v>
      </c>
      <c r="F328">
        <v>71091</v>
      </c>
      <c r="G328">
        <v>1695</v>
      </c>
      <c r="H328">
        <v>2787.16</v>
      </c>
      <c r="I328">
        <v>261</v>
      </c>
      <c r="J328" t="s">
        <v>24</v>
      </c>
      <c r="L328" t="s">
        <v>139</v>
      </c>
    </row>
    <row r="329" spans="1:12" x14ac:dyDescent="0.2">
      <c r="A329" t="s">
        <v>700</v>
      </c>
      <c r="B329" t="s">
        <v>701</v>
      </c>
      <c r="C329" s="1">
        <v>45287</v>
      </c>
      <c r="D329" s="2">
        <v>45289</v>
      </c>
      <c r="E329" t="s">
        <v>14</v>
      </c>
      <c r="F329">
        <v>41818</v>
      </c>
      <c r="G329">
        <v>818</v>
      </c>
      <c r="H329">
        <v>464.77</v>
      </c>
      <c r="I329">
        <v>78</v>
      </c>
      <c r="J329" t="s">
        <v>24</v>
      </c>
      <c r="L329" t="s">
        <v>16</v>
      </c>
    </row>
    <row r="330" spans="1:12" x14ac:dyDescent="0.2">
      <c r="A330" t="s">
        <v>702</v>
      </c>
      <c r="B330" t="s">
        <v>703</v>
      </c>
      <c r="C330" s="2">
        <v>45282</v>
      </c>
      <c r="D330" s="2">
        <v>45303</v>
      </c>
      <c r="E330" t="s">
        <v>41</v>
      </c>
      <c r="F330">
        <v>46525</v>
      </c>
      <c r="G330">
        <v>1413</v>
      </c>
      <c r="H330">
        <v>2076.9699999999998</v>
      </c>
      <c r="I330">
        <v>231</v>
      </c>
      <c r="J330" t="b">
        <v>0</v>
      </c>
      <c r="L330" t="s">
        <v>42</v>
      </c>
    </row>
    <row r="331" spans="1:12" x14ac:dyDescent="0.2">
      <c r="A331" t="s">
        <v>704</v>
      </c>
      <c r="B331" t="s">
        <v>705</v>
      </c>
      <c r="C331" s="1">
        <v>45093</v>
      </c>
      <c r="D331" s="2">
        <v>45115</v>
      </c>
      <c r="E331" t="s">
        <v>19</v>
      </c>
      <c r="F331">
        <v>20830</v>
      </c>
      <c r="G331">
        <v>895</v>
      </c>
      <c r="H331">
        <v>751.9</v>
      </c>
      <c r="I331">
        <v>127</v>
      </c>
      <c r="J331" t="s">
        <v>24</v>
      </c>
      <c r="L331" t="s">
        <v>20</v>
      </c>
    </row>
    <row r="332" spans="1:12" x14ac:dyDescent="0.2">
      <c r="A332" t="s">
        <v>706</v>
      </c>
      <c r="B332" t="s">
        <v>707</v>
      </c>
      <c r="C332" s="1">
        <v>45118</v>
      </c>
      <c r="D332" s="2">
        <v>45136</v>
      </c>
      <c r="E332" t="s">
        <v>41</v>
      </c>
      <c r="F332">
        <v>18429</v>
      </c>
      <c r="G332">
        <v>390</v>
      </c>
      <c r="H332">
        <v>586.97</v>
      </c>
      <c r="I332">
        <v>24</v>
      </c>
      <c r="J332" t="b">
        <v>0</v>
      </c>
      <c r="L332" t="s">
        <v>42</v>
      </c>
    </row>
    <row r="333" spans="1:12" x14ac:dyDescent="0.2">
      <c r="A333" t="s">
        <v>708</v>
      </c>
      <c r="B333" t="s">
        <v>709</v>
      </c>
      <c r="C333" s="1">
        <v>45137</v>
      </c>
      <c r="D333" s="2">
        <v>45138</v>
      </c>
      <c r="E333" t="s">
        <v>33</v>
      </c>
      <c r="F333">
        <v>7893</v>
      </c>
      <c r="G333">
        <v>376</v>
      </c>
      <c r="H333">
        <v>452.14</v>
      </c>
      <c r="I333">
        <v>47</v>
      </c>
      <c r="J333">
        <v>0</v>
      </c>
      <c r="L333" t="s">
        <v>34</v>
      </c>
    </row>
    <row r="334" spans="1:12" x14ac:dyDescent="0.2">
      <c r="A334" t="s">
        <v>710</v>
      </c>
      <c r="B334" t="s">
        <v>711</v>
      </c>
      <c r="C334" s="1">
        <v>45014</v>
      </c>
      <c r="D334" s="2">
        <v>45016</v>
      </c>
      <c r="E334" t="s">
        <v>33</v>
      </c>
      <c r="F334">
        <v>80909</v>
      </c>
      <c r="G334">
        <v>3635</v>
      </c>
      <c r="H334">
        <v>6035.3</v>
      </c>
      <c r="I334">
        <v>368</v>
      </c>
      <c r="J334" t="s">
        <v>24</v>
      </c>
      <c r="L334" t="s">
        <v>34</v>
      </c>
    </row>
    <row r="335" spans="1:12" x14ac:dyDescent="0.2">
      <c r="A335" t="s">
        <v>712</v>
      </c>
      <c r="B335" t="s">
        <v>713</v>
      </c>
      <c r="C335" s="1">
        <v>45122</v>
      </c>
      <c r="D335" s="2">
        <v>45143</v>
      </c>
      <c r="E335" t="s">
        <v>19</v>
      </c>
      <c r="F335">
        <v>48333</v>
      </c>
      <c r="G335">
        <v>796</v>
      </c>
      <c r="H335">
        <v>545.34</v>
      </c>
      <c r="I335">
        <v>79</v>
      </c>
      <c r="J335" t="s">
        <v>15</v>
      </c>
      <c r="L335" t="s">
        <v>20</v>
      </c>
    </row>
    <row r="336" spans="1:12" x14ac:dyDescent="0.2">
      <c r="A336" t="s">
        <v>714</v>
      </c>
      <c r="B336" t="s">
        <v>715</v>
      </c>
      <c r="C336" s="1">
        <v>45225</v>
      </c>
      <c r="D336" s="2">
        <v>45252</v>
      </c>
      <c r="E336" t="s">
        <v>23</v>
      </c>
      <c r="F336">
        <v>4436</v>
      </c>
      <c r="G336">
        <v>183</v>
      </c>
      <c r="H336">
        <v>263.43</v>
      </c>
      <c r="I336">
        <v>25</v>
      </c>
      <c r="J336" t="b">
        <v>0</v>
      </c>
      <c r="L336" t="s">
        <v>25</v>
      </c>
    </row>
    <row r="337" spans="1:12" x14ac:dyDescent="0.2">
      <c r="A337" t="s">
        <v>716</v>
      </c>
      <c r="B337" t="s">
        <v>717</v>
      </c>
      <c r="C337" s="1">
        <v>45057</v>
      </c>
      <c r="D337" s="2">
        <v>45080</v>
      </c>
      <c r="E337" t="s">
        <v>14</v>
      </c>
      <c r="F337">
        <v>75290</v>
      </c>
      <c r="G337">
        <v>2483</v>
      </c>
      <c r="H337">
        <v>2278.66</v>
      </c>
      <c r="I337">
        <v>244</v>
      </c>
      <c r="J337" t="s">
        <v>15</v>
      </c>
      <c r="L337" t="s">
        <v>16</v>
      </c>
    </row>
    <row r="338" spans="1:12" x14ac:dyDescent="0.2">
      <c r="A338" t="s">
        <v>718</v>
      </c>
      <c r="B338" t="s">
        <v>719</v>
      </c>
      <c r="C338" s="1">
        <v>45165</v>
      </c>
      <c r="D338" s="2">
        <v>45173</v>
      </c>
      <c r="E338" t="s">
        <v>14</v>
      </c>
      <c r="F338">
        <v>77213</v>
      </c>
      <c r="G338">
        <v>2522</v>
      </c>
      <c r="H338">
        <v>4487.83</v>
      </c>
      <c r="I338">
        <v>419</v>
      </c>
      <c r="J338" t="b">
        <v>1</v>
      </c>
      <c r="L338" t="s">
        <v>16</v>
      </c>
    </row>
    <row r="339" spans="1:12" x14ac:dyDescent="0.2">
      <c r="A339" t="s">
        <v>720</v>
      </c>
      <c r="B339" t="s">
        <v>721</v>
      </c>
      <c r="C339" t="s">
        <v>722</v>
      </c>
      <c r="D339" s="2">
        <v>45023</v>
      </c>
      <c r="E339" t="s">
        <v>19</v>
      </c>
      <c r="F339">
        <v>6895</v>
      </c>
      <c r="G339">
        <v>176</v>
      </c>
      <c r="H339">
        <v>333.09</v>
      </c>
      <c r="I339">
        <v>10</v>
      </c>
      <c r="J339" t="b">
        <v>0</v>
      </c>
      <c r="L339" t="s">
        <v>20</v>
      </c>
    </row>
    <row r="340" spans="1:12" x14ac:dyDescent="0.2">
      <c r="A340" t="s">
        <v>723</v>
      </c>
      <c r="B340" t="s">
        <v>724</v>
      </c>
      <c r="C340" s="1">
        <v>45103</v>
      </c>
      <c r="D340" s="2">
        <v>45105</v>
      </c>
      <c r="E340" t="s">
        <v>266</v>
      </c>
      <c r="F340">
        <v>20738</v>
      </c>
      <c r="G340">
        <v>623</v>
      </c>
      <c r="H340" s="3">
        <v>1242.6300000000001</v>
      </c>
      <c r="I340">
        <v>92</v>
      </c>
      <c r="J340" t="b">
        <v>1</v>
      </c>
      <c r="L340" t="s">
        <v>20</v>
      </c>
    </row>
    <row r="341" spans="1:12" x14ac:dyDescent="0.2">
      <c r="A341" t="s">
        <v>725</v>
      </c>
      <c r="B341" t="s">
        <v>726</v>
      </c>
      <c r="C341" s="1">
        <v>45144</v>
      </c>
      <c r="D341" s="2">
        <v>45146</v>
      </c>
      <c r="E341" t="s">
        <v>33</v>
      </c>
      <c r="F341">
        <v>31746</v>
      </c>
      <c r="G341">
        <v>821</v>
      </c>
      <c r="H341">
        <v>1390.78</v>
      </c>
      <c r="I341">
        <v>140</v>
      </c>
      <c r="J341" t="s">
        <v>30</v>
      </c>
      <c r="L341" t="s">
        <v>34</v>
      </c>
    </row>
    <row r="342" spans="1:12" x14ac:dyDescent="0.2">
      <c r="A342" t="s">
        <v>727</v>
      </c>
      <c r="B342" t="s">
        <v>728</v>
      </c>
      <c r="C342" s="1">
        <v>45081</v>
      </c>
      <c r="D342" s="2">
        <v>45089</v>
      </c>
      <c r="E342" t="s">
        <v>23</v>
      </c>
      <c r="F342">
        <v>50377</v>
      </c>
      <c r="G342">
        <v>1591</v>
      </c>
      <c r="H342">
        <v>2594.29</v>
      </c>
      <c r="I342">
        <v>240</v>
      </c>
      <c r="J342" t="s">
        <v>15</v>
      </c>
      <c r="L342" t="s">
        <v>25</v>
      </c>
    </row>
    <row r="343" spans="1:12" x14ac:dyDescent="0.2">
      <c r="A343" t="s">
        <v>729</v>
      </c>
      <c r="B343" t="s">
        <v>730</v>
      </c>
      <c r="C343" s="1">
        <v>45174</v>
      </c>
      <c r="D343" s="2">
        <v>45199</v>
      </c>
      <c r="E343" t="s">
        <v>14</v>
      </c>
      <c r="F343">
        <v>49404</v>
      </c>
      <c r="G343">
        <v>1734</v>
      </c>
      <c r="H343">
        <v>1427.52</v>
      </c>
      <c r="I343">
        <v>216</v>
      </c>
      <c r="J343" t="s">
        <v>30</v>
      </c>
      <c r="L343" t="s">
        <v>16</v>
      </c>
    </row>
    <row r="344" spans="1:12" x14ac:dyDescent="0.2">
      <c r="A344" t="s">
        <v>731</v>
      </c>
      <c r="B344" t="s">
        <v>732</v>
      </c>
      <c r="C344" s="1">
        <v>45110</v>
      </c>
      <c r="D344" s="2">
        <v>45118</v>
      </c>
      <c r="E344" t="s">
        <v>41</v>
      </c>
      <c r="F344">
        <v>55045</v>
      </c>
      <c r="G344">
        <v>2035</v>
      </c>
      <c r="H344">
        <v>2043.16</v>
      </c>
      <c r="I344">
        <v>391</v>
      </c>
      <c r="J344" t="b">
        <v>0</v>
      </c>
      <c r="L344" t="s">
        <v>42</v>
      </c>
    </row>
    <row r="345" spans="1:12" x14ac:dyDescent="0.2">
      <c r="A345" t="s">
        <v>733</v>
      </c>
      <c r="B345" t="s">
        <v>734</v>
      </c>
      <c r="C345" s="2">
        <v>44932</v>
      </c>
      <c r="D345" s="2">
        <v>45083</v>
      </c>
      <c r="E345" t="s">
        <v>23</v>
      </c>
      <c r="F345">
        <v>98888</v>
      </c>
      <c r="G345">
        <v>3095</v>
      </c>
      <c r="H345">
        <v>3709.43</v>
      </c>
      <c r="I345">
        <v>293</v>
      </c>
      <c r="J345" t="b">
        <v>1</v>
      </c>
      <c r="K345">
        <v>98941</v>
      </c>
      <c r="L345" t="s">
        <v>25</v>
      </c>
    </row>
    <row r="346" spans="1:12" x14ac:dyDescent="0.2">
      <c r="A346" t="s">
        <v>735</v>
      </c>
      <c r="B346" t="s">
        <v>736</v>
      </c>
      <c r="C346" s="2">
        <v>45264</v>
      </c>
      <c r="D346" s="2">
        <v>45056</v>
      </c>
      <c r="E346" t="s">
        <v>14</v>
      </c>
      <c r="F346">
        <v>40790</v>
      </c>
      <c r="G346">
        <v>1584</v>
      </c>
      <c r="H346">
        <v>2629.55</v>
      </c>
      <c r="I346">
        <v>83</v>
      </c>
      <c r="J346" t="b">
        <v>0</v>
      </c>
      <c r="L346" t="s">
        <v>16</v>
      </c>
    </row>
    <row r="347" spans="1:12" x14ac:dyDescent="0.2">
      <c r="A347" t="s">
        <v>737</v>
      </c>
      <c r="B347" t="s">
        <v>738</v>
      </c>
      <c r="C347" s="1">
        <v>45278</v>
      </c>
      <c r="D347" s="2">
        <v>45283</v>
      </c>
      <c r="E347" t="s">
        <v>23</v>
      </c>
      <c r="F347">
        <v>6600</v>
      </c>
      <c r="G347">
        <v>103</v>
      </c>
      <c r="H347" s="3">
        <v>192.86</v>
      </c>
      <c r="I347">
        <v>11</v>
      </c>
      <c r="J347" t="s">
        <v>30</v>
      </c>
      <c r="L347" t="s">
        <v>25</v>
      </c>
    </row>
    <row r="348" spans="1:12" x14ac:dyDescent="0.2">
      <c r="A348" t="s">
        <v>739</v>
      </c>
      <c r="B348" t="s">
        <v>740</v>
      </c>
      <c r="C348" s="1">
        <v>45237</v>
      </c>
      <c r="D348" s="2">
        <v>45232</v>
      </c>
      <c r="E348" t="s">
        <v>41</v>
      </c>
      <c r="F348">
        <v>95660</v>
      </c>
      <c r="G348">
        <v>1767</v>
      </c>
      <c r="H348">
        <v>1384.81</v>
      </c>
      <c r="J348" t="b">
        <v>0</v>
      </c>
      <c r="L348" t="s">
        <v>42</v>
      </c>
    </row>
    <row r="349" spans="1:12" x14ac:dyDescent="0.2">
      <c r="A349" t="s">
        <v>741</v>
      </c>
      <c r="B349" t="s">
        <v>742</v>
      </c>
      <c r="C349" s="1">
        <v>45073</v>
      </c>
      <c r="D349" s="2">
        <v>45084</v>
      </c>
      <c r="E349" t="s">
        <v>41</v>
      </c>
      <c r="F349">
        <v>94179</v>
      </c>
      <c r="G349">
        <v>4026</v>
      </c>
      <c r="H349">
        <v>7583.18</v>
      </c>
      <c r="I349">
        <v>777</v>
      </c>
      <c r="J349">
        <v>0</v>
      </c>
      <c r="L349" t="s">
        <v>42</v>
      </c>
    </row>
    <row r="350" spans="1:12" x14ac:dyDescent="0.2">
      <c r="A350" t="s">
        <v>743</v>
      </c>
      <c r="B350" t="s">
        <v>744</v>
      </c>
      <c r="C350" s="1">
        <v>45107</v>
      </c>
      <c r="D350" s="2">
        <v>45118</v>
      </c>
      <c r="E350" t="s">
        <v>41</v>
      </c>
      <c r="F350">
        <v>41764</v>
      </c>
      <c r="G350">
        <v>956</v>
      </c>
      <c r="H350">
        <v>1475.53</v>
      </c>
      <c r="I350">
        <v>77</v>
      </c>
      <c r="J350">
        <v>1</v>
      </c>
      <c r="L350" t="s">
        <v>42</v>
      </c>
    </row>
    <row r="351" spans="1:12" x14ac:dyDescent="0.2">
      <c r="A351" t="s">
        <v>745</v>
      </c>
      <c r="B351" t="s">
        <v>746</v>
      </c>
      <c r="C351" s="1">
        <v>45055</v>
      </c>
      <c r="D351" s="2">
        <v>45068</v>
      </c>
      <c r="E351" t="s">
        <v>19</v>
      </c>
      <c r="F351">
        <v>75543</v>
      </c>
      <c r="G351">
        <v>824</v>
      </c>
      <c r="H351">
        <v>1166.9100000000001</v>
      </c>
      <c r="I351">
        <v>138</v>
      </c>
      <c r="J351" t="s">
        <v>30</v>
      </c>
      <c r="L351" t="s">
        <v>20</v>
      </c>
    </row>
    <row r="352" spans="1:12" x14ac:dyDescent="0.2">
      <c r="A352" t="s">
        <v>747</v>
      </c>
      <c r="B352" t="s">
        <v>748</v>
      </c>
      <c r="C352" s="1">
        <v>45264</v>
      </c>
      <c r="D352" s="2">
        <v>45289</v>
      </c>
      <c r="E352" t="s">
        <v>41</v>
      </c>
      <c r="F352">
        <v>46714</v>
      </c>
      <c r="G352">
        <v>754</v>
      </c>
      <c r="H352">
        <v>603.02</v>
      </c>
      <c r="I352">
        <v>125</v>
      </c>
      <c r="J352" t="b">
        <v>0</v>
      </c>
      <c r="L352" t="s">
        <v>42</v>
      </c>
    </row>
    <row r="353" spans="1:12" x14ac:dyDescent="0.2">
      <c r="A353" t="s">
        <v>749</v>
      </c>
      <c r="B353" t="s">
        <v>750</v>
      </c>
      <c r="C353" s="1">
        <v>44976</v>
      </c>
      <c r="D353" s="2">
        <v>44997</v>
      </c>
      <c r="E353" t="s">
        <v>33</v>
      </c>
      <c r="F353">
        <v>57835</v>
      </c>
      <c r="G353">
        <v>1095</v>
      </c>
      <c r="H353" s="3">
        <v>638.70000000000005</v>
      </c>
      <c r="I353">
        <v>90</v>
      </c>
      <c r="J353" t="b">
        <v>1</v>
      </c>
      <c r="L353" t="s">
        <v>34</v>
      </c>
    </row>
    <row r="354" spans="1:12" x14ac:dyDescent="0.2">
      <c r="A354" t="s">
        <v>751</v>
      </c>
      <c r="B354" t="s">
        <v>752</v>
      </c>
      <c r="C354" s="2">
        <v>45085</v>
      </c>
      <c r="D354" s="2">
        <v>45166</v>
      </c>
      <c r="E354" t="s">
        <v>138</v>
      </c>
      <c r="F354">
        <v>74744</v>
      </c>
      <c r="G354">
        <v>3609</v>
      </c>
      <c r="H354">
        <v>4881.88</v>
      </c>
      <c r="I354">
        <v>516</v>
      </c>
      <c r="J354" t="b">
        <v>0</v>
      </c>
      <c r="L354" t="s">
        <v>139</v>
      </c>
    </row>
    <row r="355" spans="1:12" x14ac:dyDescent="0.2">
      <c r="A355" t="s">
        <v>753</v>
      </c>
      <c r="B355" t="s">
        <v>754</v>
      </c>
      <c r="C355" s="2">
        <v>45113</v>
      </c>
      <c r="D355" s="2">
        <v>45097</v>
      </c>
      <c r="E355" t="s">
        <v>41</v>
      </c>
      <c r="F355">
        <v>57491</v>
      </c>
      <c r="G355">
        <v>1892</v>
      </c>
      <c r="H355" s="3">
        <v>2795</v>
      </c>
      <c r="I355">
        <v>108</v>
      </c>
      <c r="J355" t="b">
        <v>1</v>
      </c>
      <c r="L355" t="s">
        <v>42</v>
      </c>
    </row>
    <row r="356" spans="1:12" x14ac:dyDescent="0.2">
      <c r="A356" t="s">
        <v>755</v>
      </c>
      <c r="B356" t="s">
        <v>756</v>
      </c>
      <c r="C356" s="1">
        <v>45078</v>
      </c>
      <c r="D356" s="2">
        <v>45079</v>
      </c>
      <c r="E356" t="s">
        <v>33</v>
      </c>
      <c r="F356">
        <v>19589</v>
      </c>
      <c r="G356">
        <v>926</v>
      </c>
      <c r="H356">
        <v>755.78</v>
      </c>
      <c r="I356">
        <v>113</v>
      </c>
      <c r="J356">
        <v>1</v>
      </c>
      <c r="L356" t="s">
        <v>34</v>
      </c>
    </row>
    <row r="357" spans="1:12" x14ac:dyDescent="0.2">
      <c r="A357" t="s">
        <v>757</v>
      </c>
      <c r="B357" t="s">
        <v>758</v>
      </c>
      <c r="C357" s="1">
        <v>45029</v>
      </c>
      <c r="D357" s="2">
        <v>45046</v>
      </c>
      <c r="E357" t="s">
        <v>33</v>
      </c>
      <c r="F357">
        <v>44484</v>
      </c>
      <c r="G357">
        <v>1468</v>
      </c>
      <c r="H357">
        <v>1959.32</v>
      </c>
      <c r="I357">
        <v>76</v>
      </c>
      <c r="J357" t="b">
        <v>0</v>
      </c>
      <c r="L357" t="s">
        <v>34</v>
      </c>
    </row>
    <row r="358" spans="1:12" x14ac:dyDescent="0.2">
      <c r="A358" t="s">
        <v>759</v>
      </c>
      <c r="B358" t="s">
        <v>760</v>
      </c>
      <c r="C358" s="1">
        <v>45114</v>
      </c>
      <c r="D358" s="2">
        <v>45139</v>
      </c>
      <c r="E358" t="s">
        <v>266</v>
      </c>
      <c r="F358">
        <v>83989</v>
      </c>
      <c r="G358">
        <v>2450</v>
      </c>
      <c r="H358">
        <v>4372.6099999999997</v>
      </c>
      <c r="I358">
        <v>461</v>
      </c>
      <c r="J358" t="s">
        <v>24</v>
      </c>
      <c r="L358" t="s">
        <v>20</v>
      </c>
    </row>
    <row r="359" spans="1:12" x14ac:dyDescent="0.2">
      <c r="A359" t="s">
        <v>761</v>
      </c>
      <c r="B359" t="s">
        <v>762</v>
      </c>
      <c r="C359" s="1">
        <v>45011</v>
      </c>
      <c r="D359" s="2">
        <v>45021</v>
      </c>
      <c r="E359" t="s">
        <v>41</v>
      </c>
      <c r="F359">
        <v>37212</v>
      </c>
      <c r="G359">
        <v>839</v>
      </c>
      <c r="H359">
        <v>1470.43</v>
      </c>
      <c r="I359">
        <v>164</v>
      </c>
      <c r="J359" t="s">
        <v>24</v>
      </c>
      <c r="L359" t="s">
        <v>42</v>
      </c>
    </row>
    <row r="360" spans="1:12" x14ac:dyDescent="0.2">
      <c r="A360" t="s">
        <v>763</v>
      </c>
      <c r="B360" t="s">
        <v>764</v>
      </c>
      <c r="C360" s="1">
        <v>45173</v>
      </c>
      <c r="D360" s="2">
        <v>45189</v>
      </c>
      <c r="E360" t="s">
        <v>14</v>
      </c>
      <c r="F360">
        <v>44525</v>
      </c>
      <c r="G360">
        <v>1525</v>
      </c>
      <c r="H360">
        <v>2883.82</v>
      </c>
      <c r="I360">
        <v>127</v>
      </c>
      <c r="J360">
        <v>1</v>
      </c>
      <c r="L360" t="s">
        <v>16</v>
      </c>
    </row>
    <row r="361" spans="1:12" x14ac:dyDescent="0.2">
      <c r="A361" t="s">
        <v>765</v>
      </c>
      <c r="B361" t="s">
        <v>766</v>
      </c>
      <c r="C361" s="1">
        <v>45100</v>
      </c>
      <c r="D361" s="2">
        <v>45101</v>
      </c>
      <c r="E361" t="s">
        <v>33</v>
      </c>
      <c r="F361">
        <v>48202</v>
      </c>
      <c r="G361">
        <v>750</v>
      </c>
      <c r="H361">
        <v>786.62</v>
      </c>
      <c r="I361">
        <v>60</v>
      </c>
      <c r="J361" t="s">
        <v>30</v>
      </c>
      <c r="L361" t="s">
        <v>34</v>
      </c>
    </row>
    <row r="362" spans="1:12" x14ac:dyDescent="0.2">
      <c r="A362" t="s">
        <v>767</v>
      </c>
      <c r="B362" t="s">
        <v>768</v>
      </c>
      <c r="C362" s="1">
        <v>44965</v>
      </c>
      <c r="D362" s="2">
        <v>44987</v>
      </c>
      <c r="E362" t="s">
        <v>19</v>
      </c>
      <c r="F362">
        <v>33635</v>
      </c>
      <c r="G362">
        <v>1544</v>
      </c>
      <c r="H362" s="3">
        <v>1508.6</v>
      </c>
      <c r="J362" t="b">
        <v>1</v>
      </c>
      <c r="L362" t="s">
        <v>68</v>
      </c>
    </row>
    <row r="363" spans="1:12" x14ac:dyDescent="0.2">
      <c r="A363" t="s">
        <v>769</v>
      </c>
      <c r="B363" t="s">
        <v>770</v>
      </c>
      <c r="C363" s="1">
        <v>45273</v>
      </c>
      <c r="D363" s="2">
        <v>45296</v>
      </c>
      <c r="E363" t="s">
        <v>41</v>
      </c>
      <c r="F363">
        <v>64208</v>
      </c>
      <c r="G363">
        <v>2772</v>
      </c>
      <c r="H363">
        <v>4502.1099999999997</v>
      </c>
      <c r="J363" t="s">
        <v>24</v>
      </c>
      <c r="L363" t="s">
        <v>42</v>
      </c>
    </row>
    <row r="364" spans="1:12" x14ac:dyDescent="0.2">
      <c r="A364" t="s">
        <v>771</v>
      </c>
      <c r="B364" t="s">
        <v>772</v>
      </c>
      <c r="C364" s="1">
        <v>45212</v>
      </c>
      <c r="D364" s="2">
        <v>45235</v>
      </c>
      <c r="E364" t="s">
        <v>14</v>
      </c>
      <c r="F364">
        <v>34828</v>
      </c>
      <c r="G364">
        <v>790</v>
      </c>
      <c r="H364">
        <v>905.87</v>
      </c>
      <c r="J364">
        <v>0</v>
      </c>
      <c r="L364" t="s">
        <v>16</v>
      </c>
    </row>
    <row r="365" spans="1:12" x14ac:dyDescent="0.2">
      <c r="A365" t="s">
        <v>773</v>
      </c>
      <c r="B365" t="s">
        <v>774</v>
      </c>
      <c r="C365" s="1">
        <v>44934</v>
      </c>
      <c r="D365" s="2">
        <v>44948</v>
      </c>
      <c r="E365" t="s">
        <v>33</v>
      </c>
      <c r="F365">
        <v>19711</v>
      </c>
      <c r="G365">
        <v>948</v>
      </c>
      <c r="H365">
        <v>598.49</v>
      </c>
      <c r="I365">
        <v>129</v>
      </c>
      <c r="J365" t="s">
        <v>30</v>
      </c>
      <c r="L365" t="s">
        <v>34</v>
      </c>
    </row>
    <row r="366" spans="1:12" x14ac:dyDescent="0.2">
      <c r="A366" t="s">
        <v>775</v>
      </c>
      <c r="B366" t="s">
        <v>776</v>
      </c>
      <c r="C366" s="1">
        <v>45115</v>
      </c>
      <c r="D366" s="2">
        <v>45133</v>
      </c>
      <c r="E366" t="s">
        <v>19</v>
      </c>
      <c r="F366">
        <v>4420</v>
      </c>
      <c r="G366">
        <v>190</v>
      </c>
      <c r="H366">
        <v>175.6</v>
      </c>
      <c r="I366">
        <v>19</v>
      </c>
      <c r="J366" t="b">
        <v>1</v>
      </c>
      <c r="L366" t="s">
        <v>20</v>
      </c>
    </row>
    <row r="367" spans="1:12" x14ac:dyDescent="0.2">
      <c r="A367" t="s">
        <v>777</v>
      </c>
      <c r="B367" t="s">
        <v>778</v>
      </c>
      <c r="C367" s="1">
        <v>45226</v>
      </c>
      <c r="D367" s="2">
        <v>45229</v>
      </c>
      <c r="E367" t="s">
        <v>14</v>
      </c>
      <c r="F367">
        <v>97752</v>
      </c>
      <c r="G367">
        <v>3582</v>
      </c>
      <c r="H367">
        <v>4040.04</v>
      </c>
      <c r="I367">
        <v>626</v>
      </c>
      <c r="J367">
        <v>1</v>
      </c>
      <c r="L367" t="s">
        <v>16</v>
      </c>
    </row>
    <row r="368" spans="1:12" x14ac:dyDescent="0.2">
      <c r="A368" t="s">
        <v>779</v>
      </c>
      <c r="B368" t="s">
        <v>780</v>
      </c>
      <c r="C368" s="1">
        <v>45117</v>
      </c>
      <c r="D368" s="2">
        <v>45119</v>
      </c>
      <c r="E368" t="s">
        <v>33</v>
      </c>
      <c r="F368">
        <v>1301</v>
      </c>
      <c r="G368">
        <v>19</v>
      </c>
      <c r="H368">
        <v>17.84</v>
      </c>
      <c r="I368">
        <v>2</v>
      </c>
      <c r="J368" t="s">
        <v>24</v>
      </c>
      <c r="L368" t="s">
        <v>34</v>
      </c>
    </row>
    <row r="369" spans="1:12" x14ac:dyDescent="0.2">
      <c r="A369" t="s">
        <v>781</v>
      </c>
      <c r="B369" t="s">
        <v>782</v>
      </c>
      <c r="C369" s="1">
        <v>44939</v>
      </c>
      <c r="D369" s="2">
        <v>44946</v>
      </c>
      <c r="E369" t="s">
        <v>41</v>
      </c>
      <c r="F369">
        <v>46236</v>
      </c>
      <c r="G369">
        <v>1346</v>
      </c>
      <c r="H369">
        <v>1343.72</v>
      </c>
      <c r="I369">
        <v>251</v>
      </c>
      <c r="J369" t="s">
        <v>15</v>
      </c>
      <c r="L369" t="s">
        <v>42</v>
      </c>
    </row>
    <row r="370" spans="1:12" x14ac:dyDescent="0.2">
      <c r="A370" t="s">
        <v>783</v>
      </c>
      <c r="B370" t="s">
        <v>784</v>
      </c>
      <c r="C370" s="1">
        <v>45094</v>
      </c>
      <c r="D370" s="2">
        <v>45113</v>
      </c>
      <c r="E370" t="s">
        <v>23</v>
      </c>
      <c r="F370">
        <v>67235</v>
      </c>
      <c r="G370">
        <v>2033</v>
      </c>
      <c r="H370">
        <v>1912.37</v>
      </c>
      <c r="I370">
        <v>384</v>
      </c>
      <c r="J370" t="b">
        <v>0</v>
      </c>
      <c r="L370" t="s">
        <v>25</v>
      </c>
    </row>
    <row r="371" spans="1:12" x14ac:dyDescent="0.2">
      <c r="A371" t="s">
        <v>785</v>
      </c>
      <c r="B371" t="s">
        <v>786</v>
      </c>
      <c r="C371" s="1">
        <v>44959</v>
      </c>
      <c r="D371" s="2">
        <v>44961</v>
      </c>
      <c r="E371" t="s">
        <v>41</v>
      </c>
      <c r="F371">
        <v>55240</v>
      </c>
      <c r="G371">
        <v>1066</v>
      </c>
      <c r="H371">
        <v>599.36</v>
      </c>
      <c r="I371">
        <v>79</v>
      </c>
      <c r="J371">
        <v>1</v>
      </c>
      <c r="L371" t="s">
        <v>42</v>
      </c>
    </row>
    <row r="372" spans="1:12" x14ac:dyDescent="0.2">
      <c r="A372" t="s">
        <v>787</v>
      </c>
      <c r="B372" t="s">
        <v>788</v>
      </c>
      <c r="C372" s="1">
        <v>45285</v>
      </c>
      <c r="D372" s="2">
        <v>45292</v>
      </c>
      <c r="E372" t="s">
        <v>41</v>
      </c>
      <c r="F372">
        <v>66726</v>
      </c>
      <c r="G372">
        <v>880</v>
      </c>
      <c r="H372">
        <v>1280.97</v>
      </c>
      <c r="I372">
        <v>44</v>
      </c>
      <c r="J372" t="b">
        <v>1</v>
      </c>
      <c r="L372" t="s">
        <v>42</v>
      </c>
    </row>
    <row r="373" spans="1:12" x14ac:dyDescent="0.2">
      <c r="A373" t="s">
        <v>789</v>
      </c>
      <c r="B373" t="s">
        <v>790</v>
      </c>
      <c r="C373" t="s">
        <v>791</v>
      </c>
      <c r="D373" s="2">
        <v>45006</v>
      </c>
      <c r="E373" t="s">
        <v>41</v>
      </c>
      <c r="F373">
        <v>11492</v>
      </c>
      <c r="G373">
        <v>471</v>
      </c>
      <c r="H373">
        <v>657.49</v>
      </c>
      <c r="I373">
        <v>93</v>
      </c>
      <c r="J373" t="b">
        <v>1</v>
      </c>
      <c r="L373" t="s">
        <v>42</v>
      </c>
    </row>
    <row r="374" spans="1:12" x14ac:dyDescent="0.2">
      <c r="A374" t="s">
        <v>792</v>
      </c>
      <c r="B374" t="s">
        <v>793</v>
      </c>
      <c r="C374" s="1">
        <v>44946</v>
      </c>
      <c r="D374" s="2">
        <v>44965</v>
      </c>
      <c r="E374" t="s">
        <v>23</v>
      </c>
      <c r="F374">
        <v>7102</v>
      </c>
      <c r="G374">
        <v>105</v>
      </c>
      <c r="H374">
        <v>155.41</v>
      </c>
      <c r="I374">
        <v>19</v>
      </c>
      <c r="J374" t="b">
        <v>1</v>
      </c>
      <c r="L374" t="s">
        <v>68</v>
      </c>
    </row>
    <row r="375" spans="1:12" x14ac:dyDescent="0.2">
      <c r="A375" t="s">
        <v>794</v>
      </c>
      <c r="B375" t="s">
        <v>795</v>
      </c>
      <c r="C375" s="1">
        <v>44976</v>
      </c>
      <c r="D375" s="2">
        <v>44992</v>
      </c>
      <c r="E375" t="s">
        <v>23</v>
      </c>
      <c r="F375">
        <v>51336</v>
      </c>
      <c r="G375">
        <v>1733</v>
      </c>
      <c r="H375">
        <v>1366.41</v>
      </c>
      <c r="I375">
        <v>101</v>
      </c>
      <c r="J375" t="b">
        <v>1</v>
      </c>
      <c r="L375" t="s">
        <v>25</v>
      </c>
    </row>
    <row r="376" spans="1:12" x14ac:dyDescent="0.2">
      <c r="A376" t="s">
        <v>796</v>
      </c>
      <c r="B376" t="s">
        <v>797</v>
      </c>
      <c r="C376" s="1">
        <v>45125</v>
      </c>
      <c r="D376" s="2">
        <v>45126</v>
      </c>
      <c r="E376" t="s">
        <v>138</v>
      </c>
      <c r="F376">
        <v>86314</v>
      </c>
      <c r="G376">
        <v>4096</v>
      </c>
      <c r="H376">
        <v>3864.5</v>
      </c>
      <c r="I376">
        <v>716</v>
      </c>
      <c r="J376" t="b">
        <v>0</v>
      </c>
      <c r="L376" t="s">
        <v>139</v>
      </c>
    </row>
    <row r="377" spans="1:12" x14ac:dyDescent="0.2">
      <c r="A377" t="s">
        <v>798</v>
      </c>
      <c r="B377" t="s">
        <v>799</v>
      </c>
      <c r="C377" s="1">
        <v>45283</v>
      </c>
      <c r="D377" s="2">
        <v>45295</v>
      </c>
      <c r="E377" t="s">
        <v>19</v>
      </c>
      <c r="F377">
        <v>27641</v>
      </c>
      <c r="G377">
        <v>1245</v>
      </c>
      <c r="H377">
        <v>1779.63</v>
      </c>
      <c r="I377">
        <v>147</v>
      </c>
      <c r="J377" t="s">
        <v>30</v>
      </c>
      <c r="L377" t="s">
        <v>20</v>
      </c>
    </row>
    <row r="378" spans="1:12" x14ac:dyDescent="0.2">
      <c r="A378" t="s">
        <v>800</v>
      </c>
      <c r="B378" t="s">
        <v>801</v>
      </c>
      <c r="C378" s="1">
        <v>45006</v>
      </c>
      <c r="D378" s="2">
        <v>45029</v>
      </c>
      <c r="E378" t="s">
        <v>19</v>
      </c>
      <c r="F378">
        <v>35584</v>
      </c>
      <c r="G378">
        <v>751</v>
      </c>
      <c r="H378">
        <v>1050.98</v>
      </c>
      <c r="I378">
        <v>66</v>
      </c>
      <c r="J378">
        <v>0</v>
      </c>
      <c r="L378" t="s">
        <v>20</v>
      </c>
    </row>
    <row r="379" spans="1:12" x14ac:dyDescent="0.2">
      <c r="A379" t="s">
        <v>802</v>
      </c>
      <c r="B379" t="s">
        <v>803</v>
      </c>
      <c r="C379" s="1">
        <v>45177</v>
      </c>
      <c r="D379" s="2">
        <v>45180</v>
      </c>
      <c r="E379" t="s">
        <v>23</v>
      </c>
      <c r="F379">
        <v>33745</v>
      </c>
      <c r="G379">
        <v>1486</v>
      </c>
      <c r="H379">
        <v>1871.61</v>
      </c>
      <c r="I379">
        <v>270</v>
      </c>
      <c r="J379" t="s">
        <v>15</v>
      </c>
      <c r="L379" t="s">
        <v>25</v>
      </c>
    </row>
    <row r="380" spans="1:12" x14ac:dyDescent="0.2">
      <c r="A380" t="s">
        <v>804</v>
      </c>
      <c r="B380" t="s">
        <v>805</v>
      </c>
      <c r="C380" t="s">
        <v>806</v>
      </c>
      <c r="D380" s="2">
        <v>45089</v>
      </c>
      <c r="E380" t="s">
        <v>19</v>
      </c>
      <c r="F380">
        <v>24093</v>
      </c>
      <c r="G380">
        <v>241</v>
      </c>
      <c r="H380">
        <v>247.17</v>
      </c>
      <c r="I380">
        <v>19</v>
      </c>
      <c r="J380" t="b">
        <v>0</v>
      </c>
      <c r="L380" t="s">
        <v>20</v>
      </c>
    </row>
    <row r="381" spans="1:12" x14ac:dyDescent="0.2">
      <c r="A381" t="s">
        <v>807</v>
      </c>
      <c r="B381" t="s">
        <v>808</v>
      </c>
      <c r="C381" s="1">
        <v>45116</v>
      </c>
      <c r="D381" s="2">
        <v>45145</v>
      </c>
      <c r="E381" t="s">
        <v>33</v>
      </c>
      <c r="F381">
        <v>67105</v>
      </c>
      <c r="G381">
        <v>718</v>
      </c>
      <c r="H381">
        <v>1342.23</v>
      </c>
      <c r="I381">
        <v>137</v>
      </c>
      <c r="J381" t="b">
        <v>1</v>
      </c>
      <c r="L381" t="s">
        <v>68</v>
      </c>
    </row>
    <row r="382" spans="1:12" x14ac:dyDescent="0.2">
      <c r="A382" t="s">
        <v>809</v>
      </c>
      <c r="B382" t="s">
        <v>810</v>
      </c>
      <c r="C382" s="2">
        <v>45047</v>
      </c>
      <c r="D382" s="2">
        <v>44943</v>
      </c>
      <c r="E382" t="s">
        <v>19</v>
      </c>
      <c r="F382">
        <v>52885</v>
      </c>
      <c r="G382">
        <v>1803</v>
      </c>
      <c r="H382">
        <v>1820.41</v>
      </c>
      <c r="I382">
        <v>145</v>
      </c>
      <c r="J382" t="b">
        <v>0</v>
      </c>
      <c r="L382" t="s">
        <v>20</v>
      </c>
    </row>
    <row r="383" spans="1:12" x14ac:dyDescent="0.2">
      <c r="A383" t="s">
        <v>811</v>
      </c>
      <c r="B383" t="s">
        <v>812</v>
      </c>
      <c r="C383" s="1">
        <v>45278</v>
      </c>
      <c r="D383" s="2">
        <v>45295</v>
      </c>
      <c r="E383" t="s">
        <v>138</v>
      </c>
      <c r="F383">
        <v>37631</v>
      </c>
      <c r="G383">
        <v>925</v>
      </c>
      <c r="H383">
        <v>1094.67</v>
      </c>
      <c r="J383">
        <v>1</v>
      </c>
      <c r="L383" t="s">
        <v>139</v>
      </c>
    </row>
    <row r="384" spans="1:12" x14ac:dyDescent="0.2">
      <c r="A384" t="s">
        <v>813</v>
      </c>
      <c r="B384" t="s">
        <v>814</v>
      </c>
      <c r="C384" s="1">
        <v>45257</v>
      </c>
      <c r="D384" s="2">
        <v>45286</v>
      </c>
      <c r="E384" t="s">
        <v>23</v>
      </c>
      <c r="F384">
        <v>73991</v>
      </c>
      <c r="G384">
        <v>1883</v>
      </c>
      <c r="H384">
        <v>2856.83</v>
      </c>
      <c r="I384">
        <v>157</v>
      </c>
      <c r="J384">
        <v>0</v>
      </c>
      <c r="L384" t="s">
        <v>25</v>
      </c>
    </row>
    <row r="385" spans="1:12" x14ac:dyDescent="0.2">
      <c r="A385" t="s">
        <v>815</v>
      </c>
      <c r="B385" t="s">
        <v>816</v>
      </c>
      <c r="C385" s="1">
        <v>45024</v>
      </c>
      <c r="D385" s="2">
        <v>45051</v>
      </c>
      <c r="E385" t="s">
        <v>138</v>
      </c>
      <c r="F385">
        <v>5014</v>
      </c>
      <c r="G385">
        <v>163</v>
      </c>
      <c r="H385">
        <v>214.27</v>
      </c>
      <c r="I385">
        <v>21</v>
      </c>
      <c r="J385" t="b">
        <v>1</v>
      </c>
      <c r="L385" t="s">
        <v>139</v>
      </c>
    </row>
    <row r="386" spans="1:12" x14ac:dyDescent="0.2">
      <c r="A386" t="s">
        <v>817</v>
      </c>
      <c r="B386" t="s">
        <v>818</v>
      </c>
      <c r="C386" t="s">
        <v>115</v>
      </c>
      <c r="D386" s="2">
        <v>45165</v>
      </c>
      <c r="E386" t="s">
        <v>19</v>
      </c>
      <c r="F386">
        <v>12093</v>
      </c>
      <c r="G386">
        <v>213</v>
      </c>
      <c r="H386">
        <v>217.33</v>
      </c>
      <c r="J386" t="s">
        <v>15</v>
      </c>
      <c r="L386" t="s">
        <v>20</v>
      </c>
    </row>
    <row r="387" spans="1:12" x14ac:dyDescent="0.2">
      <c r="A387" t="s">
        <v>819</v>
      </c>
      <c r="B387" t="s">
        <v>820</v>
      </c>
      <c r="C387" s="1">
        <v>45035</v>
      </c>
      <c r="D387" s="2">
        <v>45048</v>
      </c>
      <c r="E387" t="s">
        <v>14</v>
      </c>
      <c r="F387">
        <v>19070</v>
      </c>
      <c r="G387">
        <v>352</v>
      </c>
      <c r="H387">
        <v>406.02</v>
      </c>
      <c r="I387">
        <v>27</v>
      </c>
      <c r="J387" t="b">
        <v>1</v>
      </c>
      <c r="L387" t="s">
        <v>16</v>
      </c>
    </row>
    <row r="388" spans="1:12" x14ac:dyDescent="0.2">
      <c r="A388" t="s">
        <v>821</v>
      </c>
      <c r="B388" t="s">
        <v>822</v>
      </c>
      <c r="C388" s="2">
        <v>45231</v>
      </c>
      <c r="D388" s="2">
        <v>44944</v>
      </c>
      <c r="E388" t="s">
        <v>19</v>
      </c>
      <c r="F388">
        <v>36777</v>
      </c>
      <c r="G388">
        <v>1080</v>
      </c>
      <c r="H388">
        <v>1827.06</v>
      </c>
      <c r="I388">
        <v>138</v>
      </c>
      <c r="J388">
        <v>0</v>
      </c>
      <c r="L388" t="s">
        <v>20</v>
      </c>
    </row>
    <row r="389" spans="1:12" x14ac:dyDescent="0.2">
      <c r="A389" t="s">
        <v>823</v>
      </c>
      <c r="B389" t="s">
        <v>824</v>
      </c>
      <c r="C389" s="1">
        <v>45097</v>
      </c>
      <c r="D389" s="2">
        <v>45102</v>
      </c>
      <c r="E389" t="s">
        <v>14</v>
      </c>
      <c r="F389">
        <v>57958</v>
      </c>
      <c r="G389">
        <v>2328</v>
      </c>
      <c r="H389" s="3">
        <v>2135.23</v>
      </c>
      <c r="I389">
        <v>280</v>
      </c>
      <c r="J389" t="s">
        <v>15</v>
      </c>
      <c r="L389" t="s">
        <v>16</v>
      </c>
    </row>
    <row r="390" spans="1:12" x14ac:dyDescent="0.2">
      <c r="A390" t="s">
        <v>825</v>
      </c>
      <c r="B390" t="s">
        <v>826</v>
      </c>
      <c r="C390" s="1">
        <v>45216</v>
      </c>
      <c r="D390" s="2">
        <v>45234</v>
      </c>
      <c r="E390" t="s">
        <v>41</v>
      </c>
      <c r="F390">
        <v>83074</v>
      </c>
      <c r="G390">
        <v>2889</v>
      </c>
      <c r="H390">
        <v>2060.96</v>
      </c>
      <c r="I390">
        <v>175</v>
      </c>
      <c r="J390">
        <v>0</v>
      </c>
      <c r="L390" t="s">
        <v>42</v>
      </c>
    </row>
    <row r="391" spans="1:12" x14ac:dyDescent="0.2">
      <c r="A391" t="s">
        <v>827</v>
      </c>
      <c r="B391" t="s">
        <v>828</v>
      </c>
      <c r="C391" s="1">
        <v>45210</v>
      </c>
      <c r="D391" s="2">
        <v>45211</v>
      </c>
      <c r="E391" t="s">
        <v>23</v>
      </c>
      <c r="F391">
        <v>11729</v>
      </c>
      <c r="G391">
        <v>256</v>
      </c>
      <c r="H391">
        <v>248.25</v>
      </c>
      <c r="I391">
        <v>44</v>
      </c>
      <c r="J391" t="s">
        <v>15</v>
      </c>
      <c r="L391" t="s">
        <v>68</v>
      </c>
    </row>
    <row r="392" spans="1:12" x14ac:dyDescent="0.2">
      <c r="A392" t="s">
        <v>829</v>
      </c>
      <c r="B392" t="s">
        <v>830</v>
      </c>
      <c r="C392" s="1">
        <v>45046</v>
      </c>
      <c r="D392" s="2">
        <v>45076</v>
      </c>
      <c r="E392" t="s">
        <v>41</v>
      </c>
      <c r="F392">
        <v>46017</v>
      </c>
      <c r="G392">
        <v>1252</v>
      </c>
      <c r="H392">
        <v>2221.4299999999998</v>
      </c>
      <c r="I392">
        <v>125</v>
      </c>
      <c r="J392" t="s">
        <v>30</v>
      </c>
      <c r="L392" t="s">
        <v>42</v>
      </c>
    </row>
    <row r="393" spans="1:12" x14ac:dyDescent="0.2">
      <c r="A393" t="s">
        <v>831</v>
      </c>
      <c r="B393" t="s">
        <v>832</v>
      </c>
      <c r="C393" s="2">
        <v>44968</v>
      </c>
      <c r="D393" s="2">
        <v>45253</v>
      </c>
      <c r="E393" t="s">
        <v>14</v>
      </c>
      <c r="F393">
        <v>67320</v>
      </c>
      <c r="G393">
        <v>1132</v>
      </c>
      <c r="H393" s="3">
        <v>717.1</v>
      </c>
      <c r="I393">
        <v>154</v>
      </c>
      <c r="J393" t="s">
        <v>24</v>
      </c>
      <c r="L393" t="s">
        <v>16</v>
      </c>
    </row>
    <row r="394" spans="1:12" x14ac:dyDescent="0.2">
      <c r="A394" t="s">
        <v>833</v>
      </c>
      <c r="B394" t="s">
        <v>834</v>
      </c>
      <c r="C394" s="1">
        <v>45001</v>
      </c>
      <c r="D394" s="2">
        <v>45025</v>
      </c>
      <c r="E394" t="s">
        <v>191</v>
      </c>
      <c r="F394">
        <v>28751</v>
      </c>
      <c r="G394">
        <v>373</v>
      </c>
      <c r="H394" s="3">
        <v>741.35</v>
      </c>
      <c r="I394">
        <v>47</v>
      </c>
      <c r="J394" t="s">
        <v>30</v>
      </c>
      <c r="L394" t="s">
        <v>42</v>
      </c>
    </row>
    <row r="395" spans="1:12" x14ac:dyDescent="0.2">
      <c r="A395" t="s">
        <v>835</v>
      </c>
      <c r="B395" t="s">
        <v>836</v>
      </c>
      <c r="C395" s="1">
        <v>45016</v>
      </c>
      <c r="D395" s="2">
        <v>45036</v>
      </c>
      <c r="E395" t="s">
        <v>41</v>
      </c>
      <c r="F395">
        <v>79069</v>
      </c>
      <c r="G395">
        <v>3266</v>
      </c>
      <c r="H395" s="3">
        <v>4283.37</v>
      </c>
      <c r="I395">
        <v>414</v>
      </c>
      <c r="J395" t="b">
        <v>0</v>
      </c>
      <c r="L395" t="s">
        <v>42</v>
      </c>
    </row>
    <row r="396" spans="1:12" x14ac:dyDescent="0.2">
      <c r="A396" t="s">
        <v>837</v>
      </c>
      <c r="B396" t="s">
        <v>838</v>
      </c>
      <c r="C396" s="2">
        <v>45172</v>
      </c>
      <c r="D396" s="2">
        <v>45004</v>
      </c>
      <c r="E396" t="s">
        <v>14</v>
      </c>
      <c r="F396">
        <v>55748</v>
      </c>
      <c r="G396">
        <v>1149</v>
      </c>
      <c r="H396">
        <v>2271.88</v>
      </c>
      <c r="I396">
        <v>75</v>
      </c>
      <c r="J396" t="b">
        <v>0</v>
      </c>
      <c r="L396" t="s">
        <v>16</v>
      </c>
    </row>
    <row r="397" spans="1:12" x14ac:dyDescent="0.2">
      <c r="A397" t="s">
        <v>839</v>
      </c>
      <c r="B397" t="s">
        <v>840</v>
      </c>
      <c r="C397" s="2">
        <v>45048</v>
      </c>
      <c r="D397" s="2">
        <v>44971</v>
      </c>
      <c r="E397" t="s">
        <v>19</v>
      </c>
      <c r="F397">
        <v>6801</v>
      </c>
      <c r="G397">
        <v>116</v>
      </c>
      <c r="H397">
        <v>221.39</v>
      </c>
      <c r="I397">
        <v>13</v>
      </c>
      <c r="J397" t="s">
        <v>15</v>
      </c>
      <c r="L397" t="s">
        <v>68</v>
      </c>
    </row>
    <row r="398" spans="1:12" x14ac:dyDescent="0.2">
      <c r="A398" t="s">
        <v>841</v>
      </c>
      <c r="B398" t="s">
        <v>842</v>
      </c>
      <c r="C398" t="s">
        <v>843</v>
      </c>
      <c r="D398" s="2">
        <v>45080</v>
      </c>
      <c r="E398" t="s">
        <v>14</v>
      </c>
      <c r="F398">
        <v>20190</v>
      </c>
      <c r="G398">
        <v>760</v>
      </c>
      <c r="H398">
        <v>896.21</v>
      </c>
      <c r="I398">
        <v>89</v>
      </c>
      <c r="J398" t="b">
        <v>1</v>
      </c>
      <c r="L398" t="s">
        <v>16</v>
      </c>
    </row>
    <row r="399" spans="1:12" x14ac:dyDescent="0.2">
      <c r="A399" t="s">
        <v>844</v>
      </c>
      <c r="B399" t="s">
        <v>845</v>
      </c>
      <c r="C399" s="1">
        <v>45142</v>
      </c>
      <c r="D399" s="2">
        <v>45154</v>
      </c>
      <c r="E399" t="s">
        <v>14</v>
      </c>
      <c r="F399">
        <v>50689</v>
      </c>
      <c r="G399">
        <v>1760</v>
      </c>
      <c r="H399">
        <v>1404.02</v>
      </c>
      <c r="J399" t="s">
        <v>24</v>
      </c>
      <c r="L399" t="s">
        <v>16</v>
      </c>
    </row>
    <row r="400" spans="1:12" x14ac:dyDescent="0.2">
      <c r="A400" t="s">
        <v>846</v>
      </c>
      <c r="B400" t="s">
        <v>847</v>
      </c>
      <c r="C400" s="1">
        <v>45170</v>
      </c>
      <c r="D400" s="2">
        <v>45187</v>
      </c>
      <c r="E400" t="s">
        <v>41</v>
      </c>
      <c r="F400">
        <v>51993</v>
      </c>
      <c r="G400">
        <v>1836</v>
      </c>
      <c r="H400">
        <v>1372.09</v>
      </c>
      <c r="I400">
        <v>323</v>
      </c>
      <c r="J400">
        <v>1</v>
      </c>
      <c r="L400" t="s">
        <v>42</v>
      </c>
    </row>
    <row r="401" spans="1:12" x14ac:dyDescent="0.2">
      <c r="A401" t="s">
        <v>848</v>
      </c>
      <c r="B401" t="s">
        <v>849</v>
      </c>
      <c r="C401" s="1">
        <v>45230</v>
      </c>
      <c r="D401" s="2">
        <v>45243</v>
      </c>
      <c r="E401" t="s">
        <v>14</v>
      </c>
      <c r="F401">
        <v>30592</v>
      </c>
      <c r="G401">
        <v>586</v>
      </c>
      <c r="H401" s="3">
        <v>503.95</v>
      </c>
      <c r="I401">
        <v>77</v>
      </c>
      <c r="J401">
        <v>1</v>
      </c>
      <c r="L401" t="s">
        <v>16</v>
      </c>
    </row>
    <row r="402" spans="1:12" x14ac:dyDescent="0.2">
      <c r="A402" t="s">
        <v>850</v>
      </c>
      <c r="B402" t="s">
        <v>851</v>
      </c>
      <c r="C402" s="2">
        <v>45241</v>
      </c>
      <c r="D402" s="2">
        <v>45247</v>
      </c>
      <c r="E402" t="s">
        <v>14</v>
      </c>
      <c r="F402">
        <v>11647</v>
      </c>
      <c r="G402">
        <v>224</v>
      </c>
      <c r="H402">
        <v>350.6</v>
      </c>
      <c r="I402">
        <v>14</v>
      </c>
      <c r="J402" t="b">
        <v>1</v>
      </c>
      <c r="L402" t="s">
        <v>16</v>
      </c>
    </row>
    <row r="403" spans="1:12" x14ac:dyDescent="0.2">
      <c r="A403" t="s">
        <v>852</v>
      </c>
      <c r="B403" t="s">
        <v>853</v>
      </c>
      <c r="C403" s="1">
        <v>45264</v>
      </c>
      <c r="D403" s="2">
        <v>45291</v>
      </c>
      <c r="E403" t="s">
        <v>23</v>
      </c>
      <c r="F403">
        <v>9716</v>
      </c>
      <c r="G403">
        <v>182</v>
      </c>
      <c r="H403">
        <v>165.52</v>
      </c>
      <c r="J403" t="b">
        <v>1</v>
      </c>
      <c r="L403" t="s">
        <v>25</v>
      </c>
    </row>
    <row r="404" spans="1:12" x14ac:dyDescent="0.2">
      <c r="A404" t="s">
        <v>854</v>
      </c>
      <c r="B404" t="s">
        <v>855</v>
      </c>
      <c r="C404" t="s">
        <v>856</v>
      </c>
      <c r="D404" s="2">
        <v>44949</v>
      </c>
      <c r="E404" t="s">
        <v>33</v>
      </c>
      <c r="F404">
        <v>89891</v>
      </c>
      <c r="G404">
        <v>1523</v>
      </c>
      <c r="H404">
        <v>1541.49</v>
      </c>
      <c r="I404">
        <v>113</v>
      </c>
      <c r="J404" t="s">
        <v>30</v>
      </c>
      <c r="L404" t="s">
        <v>34</v>
      </c>
    </row>
    <row r="405" spans="1:12" x14ac:dyDescent="0.2">
      <c r="A405" t="s">
        <v>857</v>
      </c>
      <c r="B405" t="s">
        <v>858</v>
      </c>
      <c r="C405" s="1">
        <v>45172</v>
      </c>
      <c r="D405" s="2">
        <v>45197</v>
      </c>
      <c r="E405" t="s">
        <v>138</v>
      </c>
      <c r="F405">
        <v>88545</v>
      </c>
      <c r="G405">
        <v>3207</v>
      </c>
      <c r="H405" s="3">
        <v>3762.35</v>
      </c>
      <c r="J405">
        <v>1</v>
      </c>
      <c r="L405" t="s">
        <v>68</v>
      </c>
    </row>
    <row r="406" spans="1:12" x14ac:dyDescent="0.2">
      <c r="A406" t="s">
        <v>859</v>
      </c>
      <c r="B406" t="s">
        <v>860</v>
      </c>
      <c r="C406" s="1">
        <v>44982</v>
      </c>
      <c r="D406" s="2">
        <v>45002</v>
      </c>
      <c r="E406" t="s">
        <v>23</v>
      </c>
      <c r="F406">
        <v>90912</v>
      </c>
      <c r="G406">
        <v>3992</v>
      </c>
      <c r="H406">
        <v>7464.44</v>
      </c>
      <c r="I406">
        <v>418</v>
      </c>
      <c r="J406" t="s">
        <v>15</v>
      </c>
      <c r="L406" t="s">
        <v>25</v>
      </c>
    </row>
    <row r="407" spans="1:12" x14ac:dyDescent="0.2">
      <c r="A407" t="s">
        <v>861</v>
      </c>
      <c r="B407" t="s">
        <v>862</v>
      </c>
      <c r="C407" s="1">
        <v>44964</v>
      </c>
      <c r="D407" s="2">
        <v>44973</v>
      </c>
      <c r="E407" t="s">
        <v>19</v>
      </c>
      <c r="F407">
        <v>71316</v>
      </c>
      <c r="G407">
        <v>2779</v>
      </c>
      <c r="H407" s="3">
        <v>2178.9899999999998</v>
      </c>
      <c r="I407">
        <v>234</v>
      </c>
      <c r="J407">
        <v>0</v>
      </c>
      <c r="L407" t="s">
        <v>20</v>
      </c>
    </row>
    <row r="408" spans="1:12" x14ac:dyDescent="0.2">
      <c r="A408" t="s">
        <v>863</v>
      </c>
      <c r="B408" t="s">
        <v>864</v>
      </c>
      <c r="C408" t="s">
        <v>865</v>
      </c>
      <c r="D408" s="2">
        <v>45013</v>
      </c>
      <c r="E408" t="s">
        <v>23</v>
      </c>
      <c r="F408">
        <v>3368</v>
      </c>
      <c r="G408">
        <v>140</v>
      </c>
      <c r="H408">
        <v>71.06</v>
      </c>
      <c r="I408">
        <v>11</v>
      </c>
      <c r="J408" t="b">
        <v>0</v>
      </c>
      <c r="L408" t="s">
        <v>25</v>
      </c>
    </row>
    <row r="409" spans="1:12" x14ac:dyDescent="0.2">
      <c r="A409" t="s">
        <v>866</v>
      </c>
      <c r="B409" t="s">
        <v>867</v>
      </c>
      <c r="C409" s="1">
        <v>45067</v>
      </c>
      <c r="D409" s="2">
        <v>45074</v>
      </c>
      <c r="E409" t="s">
        <v>266</v>
      </c>
      <c r="F409">
        <v>78575</v>
      </c>
      <c r="G409">
        <v>2058</v>
      </c>
      <c r="H409">
        <v>-1214.52</v>
      </c>
      <c r="I409">
        <v>119</v>
      </c>
      <c r="J409">
        <v>0</v>
      </c>
      <c r="L409" t="s">
        <v>20</v>
      </c>
    </row>
    <row r="410" spans="1:12" x14ac:dyDescent="0.2">
      <c r="A410" t="s">
        <v>868</v>
      </c>
      <c r="B410" t="s">
        <v>869</v>
      </c>
      <c r="C410" s="1">
        <v>45291</v>
      </c>
      <c r="D410" s="2">
        <v>45302</v>
      </c>
      <c r="E410" t="s">
        <v>41</v>
      </c>
      <c r="F410">
        <v>7655</v>
      </c>
      <c r="G410">
        <v>276</v>
      </c>
      <c r="H410">
        <v>512.57000000000005</v>
      </c>
      <c r="I410">
        <v>14</v>
      </c>
      <c r="J410" t="s">
        <v>30</v>
      </c>
      <c r="L410" t="s">
        <v>42</v>
      </c>
    </row>
    <row r="411" spans="1:12" x14ac:dyDescent="0.2">
      <c r="A411" t="s">
        <v>870</v>
      </c>
      <c r="B411" t="s">
        <v>871</v>
      </c>
      <c r="C411" s="1">
        <v>45198</v>
      </c>
      <c r="D411" s="2">
        <v>45227</v>
      </c>
      <c r="E411" t="s">
        <v>23</v>
      </c>
      <c r="F411">
        <v>71031</v>
      </c>
      <c r="G411">
        <v>1716</v>
      </c>
      <c r="H411">
        <v>2524.71</v>
      </c>
      <c r="I411">
        <v>112</v>
      </c>
      <c r="J411">
        <v>1</v>
      </c>
      <c r="L411" t="s">
        <v>25</v>
      </c>
    </row>
    <row r="412" spans="1:12" x14ac:dyDescent="0.2">
      <c r="A412" t="s">
        <v>872</v>
      </c>
      <c r="B412" t="s">
        <v>873</v>
      </c>
      <c r="C412" s="2">
        <v>45177</v>
      </c>
      <c r="D412" s="2">
        <v>45156</v>
      </c>
      <c r="E412" t="s">
        <v>23</v>
      </c>
      <c r="F412">
        <v>77429</v>
      </c>
      <c r="G412">
        <v>2401</v>
      </c>
      <c r="H412" s="3">
        <v>2183.86</v>
      </c>
      <c r="I412">
        <v>182</v>
      </c>
      <c r="J412" t="s">
        <v>24</v>
      </c>
      <c r="L412" t="s">
        <v>68</v>
      </c>
    </row>
    <row r="413" spans="1:12" x14ac:dyDescent="0.2">
      <c r="A413" t="s">
        <v>874</v>
      </c>
      <c r="B413" t="s">
        <v>875</v>
      </c>
      <c r="C413" s="1">
        <v>45286</v>
      </c>
      <c r="D413" s="2">
        <v>45299</v>
      </c>
      <c r="E413" t="s">
        <v>33</v>
      </c>
      <c r="F413">
        <v>92083</v>
      </c>
      <c r="G413">
        <v>2694</v>
      </c>
      <c r="H413">
        <v>2063.0300000000002</v>
      </c>
      <c r="I413">
        <v>308</v>
      </c>
      <c r="J413" t="b">
        <v>1</v>
      </c>
      <c r="L413" t="s">
        <v>34</v>
      </c>
    </row>
    <row r="414" spans="1:12" x14ac:dyDescent="0.2">
      <c r="A414" t="s">
        <v>876</v>
      </c>
      <c r="B414" t="s">
        <v>877</v>
      </c>
      <c r="C414" s="1">
        <v>45209</v>
      </c>
      <c r="D414" s="2">
        <v>45213</v>
      </c>
      <c r="E414" t="s">
        <v>14</v>
      </c>
      <c r="F414">
        <v>88922</v>
      </c>
      <c r="G414">
        <v>1518</v>
      </c>
      <c r="H414">
        <v>1429.05</v>
      </c>
      <c r="J414" t="s">
        <v>24</v>
      </c>
      <c r="L414" t="s">
        <v>16</v>
      </c>
    </row>
    <row r="415" spans="1:12" x14ac:dyDescent="0.2">
      <c r="A415" t="s">
        <v>878</v>
      </c>
      <c r="B415" t="s">
        <v>879</v>
      </c>
      <c r="C415" s="1">
        <v>45158</v>
      </c>
      <c r="D415" s="2">
        <v>45179</v>
      </c>
      <c r="E415" t="s">
        <v>234</v>
      </c>
      <c r="F415">
        <v>56766</v>
      </c>
      <c r="G415">
        <v>1446</v>
      </c>
      <c r="H415">
        <v>971.99</v>
      </c>
      <c r="I415">
        <v>102</v>
      </c>
      <c r="J415" t="s">
        <v>24</v>
      </c>
      <c r="L415" t="s">
        <v>16</v>
      </c>
    </row>
    <row r="416" spans="1:12" x14ac:dyDescent="0.2">
      <c r="A416" t="s">
        <v>880</v>
      </c>
      <c r="B416" t="s">
        <v>881</v>
      </c>
      <c r="C416" s="1">
        <v>45159</v>
      </c>
      <c r="D416" s="2">
        <v>45169</v>
      </c>
      <c r="E416" t="s">
        <v>41</v>
      </c>
      <c r="F416">
        <v>14403</v>
      </c>
      <c r="G416">
        <v>699</v>
      </c>
      <c r="H416">
        <v>1336.7</v>
      </c>
      <c r="I416">
        <v>79</v>
      </c>
      <c r="J416">
        <v>1</v>
      </c>
      <c r="L416" t="s">
        <v>42</v>
      </c>
    </row>
    <row r="417" spans="1:12" x14ac:dyDescent="0.2">
      <c r="A417" t="s">
        <v>882</v>
      </c>
      <c r="B417" t="s">
        <v>883</v>
      </c>
      <c r="C417" s="1">
        <v>45087</v>
      </c>
      <c r="D417" s="2">
        <v>45102</v>
      </c>
      <c r="E417" t="s">
        <v>41</v>
      </c>
      <c r="F417">
        <v>33097</v>
      </c>
      <c r="G417">
        <v>660</v>
      </c>
      <c r="H417" s="3">
        <v>1106.3599999999999</v>
      </c>
      <c r="I417">
        <v>66</v>
      </c>
      <c r="J417" t="s">
        <v>15</v>
      </c>
      <c r="L417" t="s">
        <v>42</v>
      </c>
    </row>
    <row r="418" spans="1:12" x14ac:dyDescent="0.2">
      <c r="A418" t="s">
        <v>884</v>
      </c>
      <c r="B418" t="s">
        <v>885</v>
      </c>
      <c r="C418" s="1">
        <v>45118</v>
      </c>
      <c r="D418" s="2">
        <v>45119</v>
      </c>
      <c r="E418" t="s">
        <v>14</v>
      </c>
      <c r="F418">
        <v>79657</v>
      </c>
      <c r="G418">
        <v>1222</v>
      </c>
      <c r="H418">
        <v>1458.56</v>
      </c>
      <c r="I418">
        <v>94</v>
      </c>
      <c r="J418" t="s">
        <v>30</v>
      </c>
      <c r="L418" t="s">
        <v>16</v>
      </c>
    </row>
    <row r="419" spans="1:12" x14ac:dyDescent="0.2">
      <c r="A419" t="s">
        <v>886</v>
      </c>
      <c r="B419" t="s">
        <v>887</v>
      </c>
      <c r="C419" t="s">
        <v>888</v>
      </c>
      <c r="D419" s="2">
        <v>45184</v>
      </c>
      <c r="E419" t="s">
        <v>19</v>
      </c>
      <c r="F419">
        <v>11966</v>
      </c>
      <c r="G419">
        <v>320</v>
      </c>
      <c r="H419">
        <v>575.17999999999995</v>
      </c>
      <c r="I419">
        <v>16</v>
      </c>
      <c r="J419" t="b">
        <v>1</v>
      </c>
      <c r="L419" t="s">
        <v>20</v>
      </c>
    </row>
    <row r="420" spans="1:12" x14ac:dyDescent="0.2">
      <c r="A420" t="s">
        <v>889</v>
      </c>
      <c r="B420" t="s">
        <v>890</v>
      </c>
      <c r="C420" t="s">
        <v>891</v>
      </c>
      <c r="D420" s="2">
        <v>44990</v>
      </c>
      <c r="E420" t="s">
        <v>41</v>
      </c>
      <c r="F420">
        <v>94848</v>
      </c>
      <c r="G420">
        <v>3946</v>
      </c>
      <c r="H420">
        <v>3449.54</v>
      </c>
      <c r="I420">
        <v>473</v>
      </c>
      <c r="J420">
        <v>0</v>
      </c>
      <c r="L420" t="s">
        <v>42</v>
      </c>
    </row>
    <row r="421" spans="1:12" x14ac:dyDescent="0.2">
      <c r="A421" t="s">
        <v>892</v>
      </c>
      <c r="B421" t="s">
        <v>893</v>
      </c>
      <c r="C421" s="1">
        <v>44976</v>
      </c>
      <c r="D421" s="2">
        <v>44997</v>
      </c>
      <c r="E421" t="s">
        <v>14</v>
      </c>
      <c r="F421">
        <v>53921</v>
      </c>
      <c r="G421">
        <v>1794</v>
      </c>
      <c r="H421" s="3">
        <v>2826.77</v>
      </c>
      <c r="I421">
        <v>274</v>
      </c>
      <c r="J421" t="s">
        <v>15</v>
      </c>
      <c r="L421" t="s">
        <v>16</v>
      </c>
    </row>
    <row r="422" spans="1:12" x14ac:dyDescent="0.2">
      <c r="A422" t="s">
        <v>894</v>
      </c>
      <c r="B422" t="s">
        <v>895</v>
      </c>
      <c r="C422" s="1">
        <v>44993</v>
      </c>
      <c r="D422" s="2">
        <v>45015</v>
      </c>
      <c r="E422" t="s">
        <v>41</v>
      </c>
      <c r="F422">
        <v>50726</v>
      </c>
      <c r="G422">
        <v>1888</v>
      </c>
      <c r="H422">
        <v>3368.57</v>
      </c>
      <c r="I422">
        <v>158</v>
      </c>
      <c r="J422">
        <v>0</v>
      </c>
      <c r="L422" t="s">
        <v>42</v>
      </c>
    </row>
    <row r="423" spans="1:12" x14ac:dyDescent="0.2">
      <c r="A423" t="s">
        <v>896</v>
      </c>
      <c r="B423" t="s">
        <v>897</v>
      </c>
      <c r="C423" s="1">
        <v>45214</v>
      </c>
      <c r="D423" s="2">
        <v>45231</v>
      </c>
      <c r="E423" t="s">
        <v>14</v>
      </c>
      <c r="F423">
        <v>51300</v>
      </c>
      <c r="G423">
        <v>902</v>
      </c>
      <c r="H423">
        <v>933.71</v>
      </c>
      <c r="I423">
        <v>62</v>
      </c>
      <c r="J423" t="b">
        <v>0</v>
      </c>
      <c r="L423" t="s">
        <v>16</v>
      </c>
    </row>
    <row r="424" spans="1:12" x14ac:dyDescent="0.2">
      <c r="A424" t="s">
        <v>898</v>
      </c>
      <c r="B424" t="s">
        <v>899</v>
      </c>
      <c r="C424" s="1">
        <v>45137</v>
      </c>
      <c r="D424" s="2">
        <v>45162</v>
      </c>
      <c r="E424" t="s">
        <v>415</v>
      </c>
      <c r="F424">
        <v>23677</v>
      </c>
      <c r="G424">
        <v>822</v>
      </c>
      <c r="H424" s="3">
        <v>1344.95</v>
      </c>
      <c r="J424" t="s">
        <v>30</v>
      </c>
      <c r="L424" t="s">
        <v>34</v>
      </c>
    </row>
    <row r="425" spans="1:12" x14ac:dyDescent="0.2">
      <c r="A425" t="s">
        <v>900</v>
      </c>
      <c r="B425" t="s">
        <v>901</v>
      </c>
      <c r="C425" s="1">
        <v>45143</v>
      </c>
      <c r="D425" s="2">
        <v>45156</v>
      </c>
      <c r="E425" t="s">
        <v>41</v>
      </c>
      <c r="F425">
        <v>56609</v>
      </c>
      <c r="G425">
        <v>1298</v>
      </c>
      <c r="H425">
        <v>1223.51</v>
      </c>
      <c r="I425">
        <v>118</v>
      </c>
      <c r="J425" t="s">
        <v>15</v>
      </c>
      <c r="L425" t="s">
        <v>42</v>
      </c>
    </row>
    <row r="426" spans="1:12" x14ac:dyDescent="0.2">
      <c r="A426" t="s">
        <v>902</v>
      </c>
      <c r="B426" t="s">
        <v>903</v>
      </c>
      <c r="C426" s="1">
        <v>45074</v>
      </c>
      <c r="D426" s="2">
        <v>45081</v>
      </c>
      <c r="E426" t="s">
        <v>19</v>
      </c>
      <c r="F426">
        <v>97825</v>
      </c>
      <c r="G426">
        <v>4242</v>
      </c>
      <c r="H426">
        <v>4022.63</v>
      </c>
      <c r="I426">
        <v>354</v>
      </c>
      <c r="J426" t="s">
        <v>15</v>
      </c>
      <c r="L426" t="s">
        <v>20</v>
      </c>
    </row>
    <row r="427" spans="1:12" x14ac:dyDescent="0.2">
      <c r="A427" t="s">
        <v>904</v>
      </c>
      <c r="B427" t="s">
        <v>905</v>
      </c>
      <c r="C427" s="1">
        <v>45222</v>
      </c>
      <c r="D427" s="2">
        <v>45228</v>
      </c>
      <c r="E427" t="s">
        <v>41</v>
      </c>
      <c r="F427">
        <v>57661</v>
      </c>
      <c r="G427">
        <v>2028</v>
      </c>
      <c r="H427">
        <v>1339.67</v>
      </c>
      <c r="I427">
        <v>362</v>
      </c>
      <c r="J427">
        <v>0</v>
      </c>
      <c r="L427" t="s">
        <v>42</v>
      </c>
    </row>
    <row r="428" spans="1:12" x14ac:dyDescent="0.2">
      <c r="A428" t="s">
        <v>906</v>
      </c>
      <c r="B428" t="s">
        <v>907</v>
      </c>
      <c r="C428" s="1">
        <v>45173</v>
      </c>
      <c r="D428" s="2">
        <v>45177</v>
      </c>
      <c r="E428" t="s">
        <v>23</v>
      </c>
      <c r="F428">
        <v>32024</v>
      </c>
      <c r="G428">
        <v>574</v>
      </c>
      <c r="H428">
        <v>665.89</v>
      </c>
      <c r="I428">
        <v>99</v>
      </c>
      <c r="J428" t="b">
        <v>1</v>
      </c>
      <c r="L428" t="s">
        <v>68</v>
      </c>
    </row>
    <row r="429" spans="1:12" x14ac:dyDescent="0.2">
      <c r="A429" t="s">
        <v>908</v>
      </c>
      <c r="B429" t="s">
        <v>909</v>
      </c>
      <c r="C429" s="1">
        <v>45211</v>
      </c>
      <c r="D429" s="2">
        <v>45213</v>
      </c>
      <c r="E429" t="s">
        <v>41</v>
      </c>
      <c r="F429">
        <v>71313</v>
      </c>
      <c r="G429">
        <v>897</v>
      </c>
      <c r="H429">
        <v>1430.33</v>
      </c>
      <c r="I429">
        <v>105</v>
      </c>
      <c r="J429" t="b">
        <v>0</v>
      </c>
      <c r="L429" t="s">
        <v>42</v>
      </c>
    </row>
    <row r="430" spans="1:12" x14ac:dyDescent="0.2">
      <c r="A430" t="s">
        <v>910</v>
      </c>
      <c r="B430" t="s">
        <v>911</v>
      </c>
      <c r="C430" s="1">
        <v>45220</v>
      </c>
      <c r="D430" s="2">
        <v>45233</v>
      </c>
      <c r="E430" t="s">
        <v>14</v>
      </c>
      <c r="F430">
        <v>54006</v>
      </c>
      <c r="G430">
        <v>632</v>
      </c>
      <c r="H430">
        <v>1207.33</v>
      </c>
      <c r="I430">
        <v>77</v>
      </c>
      <c r="J430">
        <v>0</v>
      </c>
      <c r="L430" t="s">
        <v>68</v>
      </c>
    </row>
    <row r="431" spans="1:12" x14ac:dyDescent="0.2">
      <c r="A431" t="s">
        <v>912</v>
      </c>
      <c r="B431" t="s">
        <v>913</v>
      </c>
      <c r="C431" s="1">
        <v>45214</v>
      </c>
      <c r="D431" s="2">
        <v>45240</v>
      </c>
      <c r="E431" t="s">
        <v>19</v>
      </c>
      <c r="F431">
        <v>96285</v>
      </c>
      <c r="G431">
        <v>2393</v>
      </c>
      <c r="H431">
        <v>3363.83</v>
      </c>
      <c r="I431">
        <v>197</v>
      </c>
      <c r="J431" t="s">
        <v>15</v>
      </c>
      <c r="K431">
        <v>96312</v>
      </c>
      <c r="L431" t="s">
        <v>20</v>
      </c>
    </row>
    <row r="432" spans="1:12" x14ac:dyDescent="0.2">
      <c r="A432" t="s">
        <v>914</v>
      </c>
      <c r="B432" t="s">
        <v>915</v>
      </c>
      <c r="C432" s="1">
        <v>45241</v>
      </c>
      <c r="D432" s="2">
        <v>45245</v>
      </c>
      <c r="E432" t="s">
        <v>58</v>
      </c>
      <c r="F432">
        <v>16338</v>
      </c>
      <c r="G432">
        <v>337</v>
      </c>
      <c r="H432">
        <v>604.82000000000005</v>
      </c>
      <c r="I432">
        <v>20</v>
      </c>
      <c r="J432" t="s">
        <v>30</v>
      </c>
      <c r="L432" t="s">
        <v>59</v>
      </c>
    </row>
    <row r="433" spans="1:12" x14ac:dyDescent="0.2">
      <c r="A433" t="s">
        <v>916</v>
      </c>
      <c r="B433" t="s">
        <v>917</v>
      </c>
      <c r="C433" s="1">
        <v>45238</v>
      </c>
      <c r="D433" s="2">
        <v>45262</v>
      </c>
      <c r="E433" t="s">
        <v>41</v>
      </c>
      <c r="F433">
        <v>69027</v>
      </c>
      <c r="G433">
        <v>2474</v>
      </c>
      <c r="H433">
        <v>4289.28</v>
      </c>
      <c r="I433">
        <v>336</v>
      </c>
      <c r="J433" t="s">
        <v>15</v>
      </c>
      <c r="L433" t="s">
        <v>42</v>
      </c>
    </row>
    <row r="434" spans="1:12" x14ac:dyDescent="0.2">
      <c r="A434" t="s">
        <v>918</v>
      </c>
      <c r="B434" t="s">
        <v>919</v>
      </c>
      <c r="C434" t="s">
        <v>920</v>
      </c>
      <c r="D434" s="2">
        <v>45093</v>
      </c>
      <c r="E434" t="s">
        <v>19</v>
      </c>
      <c r="F434">
        <v>93772</v>
      </c>
      <c r="G434">
        <v>2810</v>
      </c>
      <c r="H434">
        <v>2135.64</v>
      </c>
      <c r="I434">
        <v>181</v>
      </c>
      <c r="J434">
        <v>1</v>
      </c>
      <c r="L434" t="s">
        <v>20</v>
      </c>
    </row>
    <row r="435" spans="1:12" x14ac:dyDescent="0.2">
      <c r="A435" t="s">
        <v>921</v>
      </c>
      <c r="B435" t="s">
        <v>922</v>
      </c>
      <c r="C435" s="1">
        <v>45066</v>
      </c>
      <c r="D435" s="2">
        <v>45094</v>
      </c>
      <c r="E435" t="s">
        <v>14</v>
      </c>
      <c r="F435">
        <v>81135</v>
      </c>
      <c r="G435">
        <v>1674</v>
      </c>
      <c r="H435">
        <v>2056.89</v>
      </c>
      <c r="I435">
        <v>196</v>
      </c>
      <c r="J435" t="s">
        <v>30</v>
      </c>
      <c r="L435" t="s">
        <v>16</v>
      </c>
    </row>
    <row r="436" spans="1:12" x14ac:dyDescent="0.2">
      <c r="A436" t="s">
        <v>923</v>
      </c>
      <c r="B436" t="s">
        <v>924</v>
      </c>
      <c r="C436" s="1">
        <v>45100</v>
      </c>
      <c r="D436" s="2">
        <v>45107</v>
      </c>
      <c r="E436" t="s">
        <v>33</v>
      </c>
      <c r="F436">
        <v>20508</v>
      </c>
      <c r="G436">
        <v>327</v>
      </c>
      <c r="H436">
        <v>220.85</v>
      </c>
      <c r="I436">
        <v>62</v>
      </c>
      <c r="J436" t="s">
        <v>30</v>
      </c>
      <c r="L436" t="s">
        <v>34</v>
      </c>
    </row>
    <row r="437" spans="1:12" x14ac:dyDescent="0.2">
      <c r="A437" t="s">
        <v>925</v>
      </c>
      <c r="B437" t="s">
        <v>926</v>
      </c>
      <c r="C437" s="1">
        <v>45000</v>
      </c>
      <c r="D437" s="2">
        <v>45007</v>
      </c>
      <c r="E437" t="s">
        <v>19</v>
      </c>
      <c r="F437">
        <v>4051</v>
      </c>
      <c r="G437">
        <v>61</v>
      </c>
      <c r="H437">
        <v>92.92</v>
      </c>
      <c r="I437">
        <v>11</v>
      </c>
      <c r="J437" t="s">
        <v>15</v>
      </c>
      <c r="L437" t="s">
        <v>20</v>
      </c>
    </row>
    <row r="438" spans="1:12" x14ac:dyDescent="0.2">
      <c r="A438" t="s">
        <v>927</v>
      </c>
      <c r="B438" t="s">
        <v>928</v>
      </c>
      <c r="C438" s="1">
        <v>44999</v>
      </c>
      <c r="D438" s="2">
        <v>45024</v>
      </c>
      <c r="E438" t="s">
        <v>14</v>
      </c>
      <c r="F438">
        <v>49747</v>
      </c>
      <c r="G438">
        <v>2218</v>
      </c>
      <c r="H438">
        <v>4269.32</v>
      </c>
      <c r="I438">
        <v>190</v>
      </c>
      <c r="J438" t="b">
        <v>1</v>
      </c>
      <c r="L438" t="s">
        <v>16</v>
      </c>
    </row>
    <row r="439" spans="1:12" x14ac:dyDescent="0.2">
      <c r="A439" t="s">
        <v>929</v>
      </c>
      <c r="B439" t="s">
        <v>930</v>
      </c>
      <c r="C439" s="1">
        <v>44973</v>
      </c>
      <c r="D439" s="2">
        <v>44992</v>
      </c>
      <c r="E439" t="s">
        <v>138</v>
      </c>
      <c r="F439">
        <v>88142</v>
      </c>
      <c r="G439">
        <v>1739</v>
      </c>
      <c r="H439">
        <v>1227.0999999999999</v>
      </c>
      <c r="I439">
        <v>249</v>
      </c>
      <c r="J439" t="s">
        <v>30</v>
      </c>
      <c r="L439" t="s">
        <v>139</v>
      </c>
    </row>
    <row r="440" spans="1:12" x14ac:dyDescent="0.2">
      <c r="A440" t="s">
        <v>931</v>
      </c>
      <c r="B440" t="s">
        <v>932</v>
      </c>
      <c r="C440" s="1">
        <v>45141</v>
      </c>
      <c r="D440" s="2">
        <v>45165</v>
      </c>
      <c r="E440" t="s">
        <v>41</v>
      </c>
      <c r="F440">
        <v>88235</v>
      </c>
      <c r="G440">
        <v>3182</v>
      </c>
      <c r="H440">
        <v>5093.82</v>
      </c>
      <c r="I440">
        <v>385</v>
      </c>
      <c r="J440">
        <v>1</v>
      </c>
      <c r="L440" t="s">
        <v>42</v>
      </c>
    </row>
    <row r="441" spans="1:12" x14ac:dyDescent="0.2">
      <c r="A441" t="s">
        <v>933</v>
      </c>
      <c r="B441" t="s">
        <v>934</v>
      </c>
      <c r="C441" s="1">
        <v>45086</v>
      </c>
      <c r="D441" s="2">
        <v>45110</v>
      </c>
      <c r="E441" t="s">
        <v>19</v>
      </c>
      <c r="F441">
        <v>55021</v>
      </c>
      <c r="G441">
        <v>2334</v>
      </c>
      <c r="H441">
        <v>3380.47</v>
      </c>
      <c r="I441">
        <v>423</v>
      </c>
      <c r="J441">
        <v>0</v>
      </c>
      <c r="L441" t="s">
        <v>20</v>
      </c>
    </row>
    <row r="442" spans="1:12" x14ac:dyDescent="0.2">
      <c r="A442" t="s">
        <v>935</v>
      </c>
      <c r="B442" t="s">
        <v>936</v>
      </c>
      <c r="C442" s="1">
        <v>45217</v>
      </c>
      <c r="D442" s="2">
        <v>45227</v>
      </c>
      <c r="E442" t="s">
        <v>33</v>
      </c>
      <c r="F442">
        <v>67412</v>
      </c>
      <c r="G442">
        <v>2329</v>
      </c>
      <c r="H442">
        <v>3203.32</v>
      </c>
      <c r="I442">
        <v>211</v>
      </c>
      <c r="J442" t="b">
        <v>1</v>
      </c>
      <c r="L442" t="s">
        <v>34</v>
      </c>
    </row>
    <row r="443" spans="1:12" x14ac:dyDescent="0.2">
      <c r="A443" t="s">
        <v>937</v>
      </c>
      <c r="B443" t="s">
        <v>938</v>
      </c>
      <c r="C443" s="1">
        <v>45006</v>
      </c>
      <c r="D443" s="2">
        <v>45033</v>
      </c>
      <c r="E443" t="s">
        <v>23</v>
      </c>
      <c r="F443">
        <v>59335</v>
      </c>
      <c r="G443">
        <v>2633</v>
      </c>
      <c r="H443">
        <v>2857.28</v>
      </c>
      <c r="I443">
        <v>133</v>
      </c>
      <c r="J443" t="b">
        <v>1</v>
      </c>
      <c r="L443" t="s">
        <v>25</v>
      </c>
    </row>
    <row r="444" spans="1:12" x14ac:dyDescent="0.2">
      <c r="A444" t="s">
        <v>939</v>
      </c>
      <c r="B444" t="s">
        <v>940</v>
      </c>
      <c r="C444" s="2">
        <v>45272</v>
      </c>
      <c r="D444" s="2">
        <v>45295</v>
      </c>
      <c r="E444" t="s">
        <v>23</v>
      </c>
      <c r="F444">
        <v>57179</v>
      </c>
      <c r="G444">
        <v>1469</v>
      </c>
      <c r="H444">
        <v>1517.03</v>
      </c>
      <c r="I444">
        <v>109</v>
      </c>
      <c r="J444" t="b">
        <v>1</v>
      </c>
      <c r="L444" t="s">
        <v>25</v>
      </c>
    </row>
    <row r="445" spans="1:12" x14ac:dyDescent="0.2">
      <c r="A445" t="s">
        <v>941</v>
      </c>
      <c r="B445" t="s">
        <v>942</v>
      </c>
      <c r="C445" s="1">
        <v>45153</v>
      </c>
      <c r="D445" s="2">
        <v>45175</v>
      </c>
      <c r="E445" t="s">
        <v>41</v>
      </c>
      <c r="F445">
        <v>33093</v>
      </c>
      <c r="G445">
        <v>1596</v>
      </c>
      <c r="H445">
        <v>906.33</v>
      </c>
      <c r="I445">
        <v>163</v>
      </c>
      <c r="J445" t="s">
        <v>30</v>
      </c>
      <c r="L445" t="s">
        <v>42</v>
      </c>
    </row>
    <row r="446" spans="1:12" x14ac:dyDescent="0.2">
      <c r="A446" t="s">
        <v>943</v>
      </c>
      <c r="B446" t="s">
        <v>944</v>
      </c>
      <c r="C446" s="1">
        <v>45153</v>
      </c>
      <c r="D446" s="2">
        <v>45160</v>
      </c>
      <c r="E446" t="s">
        <v>41</v>
      </c>
      <c r="F446">
        <v>70678</v>
      </c>
      <c r="G446">
        <v>1083</v>
      </c>
      <c r="H446">
        <v>895.49</v>
      </c>
      <c r="I446">
        <v>105</v>
      </c>
      <c r="J446" t="b">
        <v>1</v>
      </c>
      <c r="L446" t="s">
        <v>42</v>
      </c>
    </row>
    <row r="447" spans="1:12" x14ac:dyDescent="0.2">
      <c r="A447" t="s">
        <v>945</v>
      </c>
      <c r="B447" t="s">
        <v>946</v>
      </c>
      <c r="C447" s="1">
        <v>45189</v>
      </c>
      <c r="D447" s="2">
        <v>45218</v>
      </c>
      <c r="E447" t="s">
        <v>41</v>
      </c>
      <c r="F447">
        <v>81738</v>
      </c>
      <c r="G447">
        <v>1151</v>
      </c>
      <c r="H447">
        <v>601.70000000000005</v>
      </c>
      <c r="I447">
        <v>194</v>
      </c>
      <c r="J447" t="s">
        <v>15</v>
      </c>
      <c r="L447" t="s">
        <v>68</v>
      </c>
    </row>
    <row r="448" spans="1:12" x14ac:dyDescent="0.2">
      <c r="A448" t="s">
        <v>947</v>
      </c>
      <c r="B448" t="s">
        <v>948</v>
      </c>
      <c r="C448" s="1">
        <v>45072</v>
      </c>
      <c r="D448" s="2">
        <v>45091</v>
      </c>
      <c r="E448" t="s">
        <v>23</v>
      </c>
      <c r="F448">
        <v>40734</v>
      </c>
      <c r="G448">
        <v>1480</v>
      </c>
      <c r="H448">
        <v>2030.75</v>
      </c>
      <c r="I448">
        <v>225</v>
      </c>
      <c r="J448" t="b">
        <v>1</v>
      </c>
      <c r="L448" t="s">
        <v>25</v>
      </c>
    </row>
    <row r="449" spans="1:12" x14ac:dyDescent="0.2">
      <c r="A449" t="s">
        <v>949</v>
      </c>
      <c r="B449" t="s">
        <v>950</v>
      </c>
      <c r="C449" s="2">
        <v>45196</v>
      </c>
      <c r="D449" s="2">
        <v>45223</v>
      </c>
      <c r="E449" t="s">
        <v>138</v>
      </c>
      <c r="F449">
        <v>73615</v>
      </c>
      <c r="G449">
        <v>3512</v>
      </c>
      <c r="H449">
        <v>2313.63</v>
      </c>
      <c r="J449">
        <v>1</v>
      </c>
      <c r="L449" t="s">
        <v>139</v>
      </c>
    </row>
    <row r="450" spans="1:12" x14ac:dyDescent="0.2">
      <c r="A450" t="s">
        <v>951</v>
      </c>
      <c r="B450" t="s">
        <v>952</v>
      </c>
      <c r="C450" s="2">
        <v>45129</v>
      </c>
      <c r="D450" s="2">
        <v>45139</v>
      </c>
      <c r="E450" t="s">
        <v>23</v>
      </c>
      <c r="F450">
        <v>74523</v>
      </c>
      <c r="G450">
        <v>3156</v>
      </c>
      <c r="H450" s="3">
        <v>5710.87</v>
      </c>
      <c r="I450">
        <v>374</v>
      </c>
      <c r="J450" t="b">
        <v>0</v>
      </c>
      <c r="L450" t="s">
        <v>25</v>
      </c>
    </row>
    <row r="451" spans="1:12" x14ac:dyDescent="0.2">
      <c r="A451" t="s">
        <v>953</v>
      </c>
      <c r="B451" t="s">
        <v>954</v>
      </c>
      <c r="C451" s="1">
        <v>45031</v>
      </c>
      <c r="D451" s="2">
        <v>45043</v>
      </c>
      <c r="E451" t="s">
        <v>14</v>
      </c>
      <c r="F451">
        <v>95476</v>
      </c>
      <c r="G451">
        <v>1246</v>
      </c>
      <c r="H451">
        <v>1600.75</v>
      </c>
      <c r="I451">
        <v>80</v>
      </c>
      <c r="J451">
        <v>1</v>
      </c>
      <c r="L451" t="s">
        <v>16</v>
      </c>
    </row>
    <row r="452" spans="1:12" x14ac:dyDescent="0.2">
      <c r="A452" t="s">
        <v>955</v>
      </c>
      <c r="B452" t="s">
        <v>956</v>
      </c>
      <c r="C452" s="1">
        <v>44997</v>
      </c>
      <c r="D452" s="2">
        <v>45012</v>
      </c>
      <c r="E452" t="s">
        <v>138</v>
      </c>
      <c r="F452">
        <v>18019</v>
      </c>
      <c r="G452">
        <v>381</v>
      </c>
      <c r="H452" s="3">
        <v>590.37</v>
      </c>
      <c r="I452">
        <v>70</v>
      </c>
      <c r="J452" t="s">
        <v>30</v>
      </c>
      <c r="L452" t="s">
        <v>139</v>
      </c>
    </row>
    <row r="453" spans="1:12" x14ac:dyDescent="0.2">
      <c r="A453" t="s">
        <v>957</v>
      </c>
      <c r="B453" t="s">
        <v>958</v>
      </c>
      <c r="C453" s="2">
        <v>44988</v>
      </c>
      <c r="D453" s="2">
        <v>44990</v>
      </c>
      <c r="E453" t="s">
        <v>33</v>
      </c>
      <c r="F453">
        <v>84613</v>
      </c>
      <c r="G453">
        <v>3994</v>
      </c>
      <c r="H453">
        <v>4458.4399999999996</v>
      </c>
      <c r="I453">
        <v>760</v>
      </c>
      <c r="J453" t="b">
        <v>1</v>
      </c>
      <c r="L453" t="s">
        <v>34</v>
      </c>
    </row>
    <row r="454" spans="1:12" x14ac:dyDescent="0.2">
      <c r="A454" t="s">
        <v>959</v>
      </c>
      <c r="B454" t="s">
        <v>960</v>
      </c>
      <c r="C454" s="1">
        <v>45147</v>
      </c>
      <c r="D454" s="2">
        <v>45168</v>
      </c>
      <c r="E454" t="s">
        <v>33</v>
      </c>
      <c r="F454">
        <v>92794</v>
      </c>
      <c r="G454">
        <v>1867</v>
      </c>
      <c r="H454">
        <v>2503.4</v>
      </c>
      <c r="I454">
        <v>367</v>
      </c>
      <c r="J454" t="b">
        <v>1</v>
      </c>
      <c r="L454" t="s">
        <v>34</v>
      </c>
    </row>
    <row r="455" spans="1:12" x14ac:dyDescent="0.2">
      <c r="A455" t="s">
        <v>961</v>
      </c>
      <c r="B455" t="s">
        <v>962</v>
      </c>
      <c r="C455" s="1">
        <v>45287</v>
      </c>
      <c r="D455" s="2">
        <v>45308</v>
      </c>
      <c r="E455" t="s">
        <v>23</v>
      </c>
      <c r="F455">
        <v>87672</v>
      </c>
      <c r="G455">
        <v>3616</v>
      </c>
      <c r="H455">
        <v>6920.98</v>
      </c>
      <c r="I455">
        <v>651</v>
      </c>
      <c r="J455" t="s">
        <v>15</v>
      </c>
      <c r="L455" t="s">
        <v>25</v>
      </c>
    </row>
    <row r="456" spans="1:12" x14ac:dyDescent="0.2">
      <c r="A456" t="s">
        <v>963</v>
      </c>
      <c r="B456" t="s">
        <v>964</v>
      </c>
      <c r="C456" s="2">
        <v>45269</v>
      </c>
      <c r="D456" s="2">
        <v>45189</v>
      </c>
      <c r="E456" t="s">
        <v>23</v>
      </c>
      <c r="F456">
        <v>74847</v>
      </c>
      <c r="G456">
        <v>3218</v>
      </c>
      <c r="H456">
        <v>2008.36</v>
      </c>
      <c r="I456">
        <v>244</v>
      </c>
      <c r="J456">
        <v>0</v>
      </c>
      <c r="L456" t="s">
        <v>25</v>
      </c>
    </row>
    <row r="457" spans="1:12" x14ac:dyDescent="0.2">
      <c r="A457" t="s">
        <v>965</v>
      </c>
      <c r="B457" t="s">
        <v>966</v>
      </c>
      <c r="C457" s="1">
        <v>44948</v>
      </c>
      <c r="D457" s="2">
        <v>44967</v>
      </c>
      <c r="E457" t="s">
        <v>23</v>
      </c>
      <c r="F457">
        <v>83750</v>
      </c>
      <c r="G457">
        <v>2497</v>
      </c>
      <c r="H457">
        <v>2199.62</v>
      </c>
      <c r="I457">
        <v>142</v>
      </c>
      <c r="J457" t="b">
        <v>1</v>
      </c>
      <c r="L457" t="s">
        <v>25</v>
      </c>
    </row>
    <row r="458" spans="1:12" x14ac:dyDescent="0.2">
      <c r="A458" t="s">
        <v>967</v>
      </c>
      <c r="B458" t="s">
        <v>968</v>
      </c>
      <c r="C458" s="1">
        <v>44966</v>
      </c>
      <c r="D458" s="2">
        <v>44995</v>
      </c>
      <c r="E458" t="s">
        <v>19</v>
      </c>
      <c r="F458">
        <v>80634</v>
      </c>
      <c r="G458">
        <v>2052</v>
      </c>
      <c r="H458">
        <v>3426.8</v>
      </c>
      <c r="I458">
        <v>280</v>
      </c>
      <c r="J458" t="s">
        <v>24</v>
      </c>
      <c r="L458" t="s">
        <v>20</v>
      </c>
    </row>
    <row r="459" spans="1:12" x14ac:dyDescent="0.2">
      <c r="A459" t="s">
        <v>969</v>
      </c>
      <c r="B459" t="s">
        <v>970</v>
      </c>
      <c r="C459" s="1">
        <v>45220</v>
      </c>
      <c r="D459" s="2">
        <v>45249</v>
      </c>
      <c r="E459" t="s">
        <v>19</v>
      </c>
      <c r="F459">
        <v>29251</v>
      </c>
      <c r="G459">
        <v>819</v>
      </c>
      <c r="H459">
        <v>530.79999999999995</v>
      </c>
      <c r="I459">
        <v>153</v>
      </c>
      <c r="J459">
        <v>1</v>
      </c>
      <c r="L459" t="s">
        <v>20</v>
      </c>
    </row>
    <row r="460" spans="1:12" x14ac:dyDescent="0.2">
      <c r="A460" t="s">
        <v>971</v>
      </c>
      <c r="B460" t="s">
        <v>972</v>
      </c>
      <c r="C460" s="2">
        <v>45075</v>
      </c>
      <c r="D460" s="2">
        <v>45102</v>
      </c>
      <c r="E460" t="s">
        <v>33</v>
      </c>
      <c r="F460">
        <v>26945</v>
      </c>
      <c r="G460">
        <v>514</v>
      </c>
      <c r="H460">
        <v>315.33</v>
      </c>
      <c r="I460">
        <v>39</v>
      </c>
      <c r="J460" t="s">
        <v>30</v>
      </c>
      <c r="L460" t="s">
        <v>34</v>
      </c>
    </row>
    <row r="461" spans="1:12" x14ac:dyDescent="0.2">
      <c r="A461" t="s">
        <v>973</v>
      </c>
      <c r="B461" t="s">
        <v>974</v>
      </c>
      <c r="C461" s="1">
        <v>45093</v>
      </c>
      <c r="D461" s="2">
        <v>45102</v>
      </c>
      <c r="E461" t="s">
        <v>14</v>
      </c>
      <c r="F461">
        <v>91852</v>
      </c>
      <c r="G461">
        <v>4186</v>
      </c>
      <c r="H461">
        <v>4363.12</v>
      </c>
      <c r="J461" t="b">
        <v>0</v>
      </c>
      <c r="L461" t="s">
        <v>16</v>
      </c>
    </row>
    <row r="462" spans="1:12" x14ac:dyDescent="0.2">
      <c r="A462" t="s">
        <v>975</v>
      </c>
      <c r="B462" t="s">
        <v>976</v>
      </c>
      <c r="C462" s="1">
        <v>45162</v>
      </c>
      <c r="D462" s="2">
        <v>45169</v>
      </c>
      <c r="E462" t="s">
        <v>138</v>
      </c>
      <c r="F462">
        <v>33217</v>
      </c>
      <c r="G462">
        <v>930</v>
      </c>
      <c r="H462">
        <v>593.57000000000005</v>
      </c>
      <c r="I462">
        <v>158</v>
      </c>
      <c r="J462" t="b">
        <v>1</v>
      </c>
      <c r="K462">
        <v>33288</v>
      </c>
      <c r="L462" t="s">
        <v>139</v>
      </c>
    </row>
    <row r="463" spans="1:12" x14ac:dyDescent="0.2">
      <c r="A463" t="s">
        <v>977</v>
      </c>
      <c r="B463" t="s">
        <v>978</v>
      </c>
      <c r="C463" s="1">
        <v>44972</v>
      </c>
      <c r="D463" s="2">
        <v>44989</v>
      </c>
      <c r="E463" t="s">
        <v>14</v>
      </c>
      <c r="F463">
        <v>9308</v>
      </c>
      <c r="G463">
        <v>421</v>
      </c>
      <c r="H463">
        <v>579.98</v>
      </c>
      <c r="I463">
        <v>25</v>
      </c>
      <c r="J463" t="b">
        <v>0</v>
      </c>
      <c r="L463" t="s">
        <v>16</v>
      </c>
    </row>
    <row r="464" spans="1:12" x14ac:dyDescent="0.2">
      <c r="A464" t="s">
        <v>979</v>
      </c>
      <c r="B464" t="s">
        <v>980</v>
      </c>
      <c r="C464" s="1">
        <v>45150</v>
      </c>
      <c r="D464" s="2">
        <v>45151</v>
      </c>
      <c r="E464" t="s">
        <v>23</v>
      </c>
      <c r="F464">
        <v>6949</v>
      </c>
      <c r="G464">
        <v>98</v>
      </c>
      <c r="H464">
        <v>82.26</v>
      </c>
      <c r="I464">
        <v>10</v>
      </c>
      <c r="J464" t="b">
        <v>1</v>
      </c>
      <c r="L464" t="s">
        <v>25</v>
      </c>
    </row>
    <row r="465" spans="1:12" x14ac:dyDescent="0.2">
      <c r="A465" t="s">
        <v>981</v>
      </c>
      <c r="B465" t="s">
        <v>982</v>
      </c>
      <c r="C465" s="1">
        <v>45129</v>
      </c>
      <c r="D465" s="2">
        <v>45139</v>
      </c>
      <c r="E465" t="s">
        <v>41</v>
      </c>
      <c r="F465">
        <v>52990</v>
      </c>
      <c r="G465">
        <v>2624</v>
      </c>
      <c r="H465">
        <v>4837.47</v>
      </c>
      <c r="I465">
        <v>398</v>
      </c>
      <c r="J465" t="s">
        <v>30</v>
      </c>
      <c r="L465" t="s">
        <v>42</v>
      </c>
    </row>
    <row r="466" spans="1:12" x14ac:dyDescent="0.2">
      <c r="A466" t="s">
        <v>983</v>
      </c>
      <c r="B466" t="s">
        <v>984</v>
      </c>
      <c r="C466" s="1">
        <v>45040</v>
      </c>
      <c r="D466" s="2">
        <v>45041</v>
      </c>
      <c r="E466" t="s">
        <v>191</v>
      </c>
      <c r="F466">
        <v>2150</v>
      </c>
      <c r="G466">
        <v>59</v>
      </c>
      <c r="H466">
        <v>98.84</v>
      </c>
      <c r="I466">
        <v>5</v>
      </c>
      <c r="J466">
        <v>0</v>
      </c>
      <c r="L466" t="s">
        <v>42</v>
      </c>
    </row>
    <row r="467" spans="1:12" x14ac:dyDescent="0.2">
      <c r="A467" t="s">
        <v>985</v>
      </c>
      <c r="B467" t="s">
        <v>986</v>
      </c>
      <c r="C467" s="1">
        <v>45188</v>
      </c>
      <c r="D467" s="2">
        <v>45195</v>
      </c>
      <c r="E467" t="s">
        <v>19</v>
      </c>
      <c r="F467">
        <v>90480</v>
      </c>
      <c r="G467">
        <v>1077</v>
      </c>
      <c r="H467">
        <v>1668.87</v>
      </c>
      <c r="I467">
        <v>67</v>
      </c>
      <c r="J467">
        <v>1</v>
      </c>
      <c r="L467" t="s">
        <v>20</v>
      </c>
    </row>
    <row r="468" spans="1:12" x14ac:dyDescent="0.2">
      <c r="A468" t="s">
        <v>987</v>
      </c>
      <c r="B468" t="s">
        <v>988</v>
      </c>
      <c r="C468" s="1">
        <v>45026</v>
      </c>
      <c r="D468" s="2">
        <v>45021</v>
      </c>
      <c r="E468" t="s">
        <v>138</v>
      </c>
      <c r="F468">
        <v>75740</v>
      </c>
      <c r="G468">
        <v>872</v>
      </c>
      <c r="H468">
        <v>1242.96</v>
      </c>
      <c r="I468">
        <v>144</v>
      </c>
      <c r="J468" t="s">
        <v>30</v>
      </c>
      <c r="L468" t="s">
        <v>139</v>
      </c>
    </row>
    <row r="469" spans="1:12" x14ac:dyDescent="0.2">
      <c r="A469" t="s">
        <v>989</v>
      </c>
      <c r="B469" t="s">
        <v>990</v>
      </c>
      <c r="C469" s="1">
        <v>45257</v>
      </c>
      <c r="D469" s="2">
        <v>45263</v>
      </c>
      <c r="E469" t="s">
        <v>41</v>
      </c>
      <c r="F469">
        <v>67617</v>
      </c>
      <c r="G469">
        <v>2694</v>
      </c>
      <c r="H469" s="3">
        <v>4836.2700000000004</v>
      </c>
      <c r="I469">
        <v>389</v>
      </c>
      <c r="J469" t="b">
        <v>0</v>
      </c>
      <c r="L469" t="s">
        <v>42</v>
      </c>
    </row>
    <row r="470" spans="1:12" x14ac:dyDescent="0.2">
      <c r="A470" t="s">
        <v>991</v>
      </c>
      <c r="B470" t="s">
        <v>992</v>
      </c>
      <c r="C470" s="1">
        <v>45001</v>
      </c>
      <c r="D470" s="2">
        <v>45029</v>
      </c>
      <c r="E470" t="s">
        <v>33</v>
      </c>
      <c r="F470">
        <v>95841</v>
      </c>
      <c r="G470">
        <v>3484</v>
      </c>
      <c r="H470" s="3">
        <v>2907.72</v>
      </c>
      <c r="I470">
        <v>690</v>
      </c>
      <c r="J470" t="b">
        <v>1</v>
      </c>
      <c r="L470" t="s">
        <v>34</v>
      </c>
    </row>
    <row r="471" spans="1:12" x14ac:dyDescent="0.2">
      <c r="A471" t="s">
        <v>993</v>
      </c>
      <c r="B471" t="s">
        <v>994</v>
      </c>
      <c r="C471" s="1">
        <v>45005</v>
      </c>
      <c r="D471" s="2">
        <v>45016</v>
      </c>
      <c r="E471" t="s">
        <v>14</v>
      </c>
      <c r="F471">
        <v>17896</v>
      </c>
      <c r="G471">
        <v>753</v>
      </c>
      <c r="H471">
        <v>1362.68</v>
      </c>
      <c r="I471">
        <v>76</v>
      </c>
      <c r="J471" t="b">
        <v>0</v>
      </c>
      <c r="L471" t="s">
        <v>16</v>
      </c>
    </row>
    <row r="472" spans="1:12" x14ac:dyDescent="0.2">
      <c r="A472" t="s">
        <v>995</v>
      </c>
      <c r="B472" t="s">
        <v>996</v>
      </c>
      <c r="C472" s="1">
        <v>45017</v>
      </c>
      <c r="D472" s="2">
        <v>45024</v>
      </c>
      <c r="E472" t="s">
        <v>19</v>
      </c>
      <c r="F472">
        <v>47175</v>
      </c>
      <c r="G472">
        <v>670</v>
      </c>
      <c r="H472">
        <v>1128.44</v>
      </c>
      <c r="I472">
        <v>39</v>
      </c>
      <c r="J472">
        <v>1</v>
      </c>
      <c r="L472" t="s">
        <v>20</v>
      </c>
    </row>
    <row r="473" spans="1:12" x14ac:dyDescent="0.2">
      <c r="A473" t="s">
        <v>997</v>
      </c>
      <c r="B473" t="s">
        <v>998</v>
      </c>
      <c r="C473" s="1">
        <v>45164</v>
      </c>
      <c r="D473" s="2">
        <v>45180</v>
      </c>
      <c r="E473" t="s">
        <v>14</v>
      </c>
      <c r="F473">
        <v>8805</v>
      </c>
      <c r="G473">
        <v>100</v>
      </c>
      <c r="H473">
        <v>162.22</v>
      </c>
      <c r="I473">
        <v>16</v>
      </c>
      <c r="J473" t="s">
        <v>24</v>
      </c>
      <c r="L473" t="s">
        <v>16</v>
      </c>
    </row>
    <row r="474" spans="1:12" x14ac:dyDescent="0.2">
      <c r="A474" t="s">
        <v>999</v>
      </c>
      <c r="B474" t="s">
        <v>1000</v>
      </c>
      <c r="C474" s="1">
        <v>45156</v>
      </c>
      <c r="D474" s="2">
        <v>45180</v>
      </c>
      <c r="E474" t="s">
        <v>19</v>
      </c>
      <c r="F474">
        <v>6237</v>
      </c>
      <c r="G474">
        <v>189</v>
      </c>
      <c r="H474">
        <v>253.62</v>
      </c>
      <c r="I474">
        <v>24</v>
      </c>
      <c r="J474" t="s">
        <v>30</v>
      </c>
      <c r="L474" t="s">
        <v>20</v>
      </c>
    </row>
    <row r="475" spans="1:12" x14ac:dyDescent="0.2">
      <c r="A475" t="s">
        <v>1001</v>
      </c>
      <c r="B475" t="s">
        <v>1002</v>
      </c>
      <c r="C475" s="1">
        <v>45256</v>
      </c>
      <c r="D475" s="2">
        <v>45269</v>
      </c>
      <c r="E475" t="s">
        <v>19</v>
      </c>
      <c r="F475">
        <v>21056</v>
      </c>
      <c r="G475">
        <v>537</v>
      </c>
      <c r="H475">
        <v>466.85</v>
      </c>
      <c r="I475">
        <v>44</v>
      </c>
      <c r="J475" t="b">
        <v>0</v>
      </c>
      <c r="L475" t="s">
        <v>20</v>
      </c>
    </row>
    <row r="476" spans="1:12" x14ac:dyDescent="0.2">
      <c r="A476" t="s">
        <v>1003</v>
      </c>
      <c r="B476" t="s">
        <v>1004</v>
      </c>
      <c r="C476" s="1">
        <v>45248</v>
      </c>
      <c r="D476" s="2">
        <v>45272</v>
      </c>
      <c r="E476" t="s">
        <v>23</v>
      </c>
      <c r="F476">
        <v>46543</v>
      </c>
      <c r="G476">
        <v>1325</v>
      </c>
      <c r="H476">
        <v>1504.3</v>
      </c>
      <c r="I476">
        <v>221</v>
      </c>
      <c r="J476" t="b">
        <v>0</v>
      </c>
      <c r="L476" t="s">
        <v>25</v>
      </c>
    </row>
    <row r="477" spans="1:12" x14ac:dyDescent="0.2">
      <c r="A477" t="s">
        <v>1005</v>
      </c>
      <c r="B477" t="s">
        <v>1006</v>
      </c>
      <c r="C477" s="1">
        <v>45167</v>
      </c>
      <c r="D477" s="2">
        <v>45178</v>
      </c>
      <c r="E477" t="s">
        <v>14</v>
      </c>
      <c r="F477">
        <v>57556</v>
      </c>
      <c r="G477">
        <v>2858</v>
      </c>
      <c r="H477">
        <v>4831.04</v>
      </c>
      <c r="I477">
        <v>230</v>
      </c>
      <c r="J477">
        <v>1</v>
      </c>
      <c r="L477" t="s">
        <v>16</v>
      </c>
    </row>
    <row r="478" spans="1:12" x14ac:dyDescent="0.2">
      <c r="A478" t="s">
        <v>1007</v>
      </c>
      <c r="B478" t="s">
        <v>1008</v>
      </c>
      <c r="C478" s="1">
        <v>45067</v>
      </c>
      <c r="D478" s="2">
        <v>45082</v>
      </c>
      <c r="E478" t="s">
        <v>191</v>
      </c>
      <c r="F478">
        <v>4343</v>
      </c>
      <c r="G478">
        <v>212</v>
      </c>
      <c r="H478">
        <v>116.11</v>
      </c>
      <c r="J478" t="s">
        <v>24</v>
      </c>
      <c r="L478" t="s">
        <v>42</v>
      </c>
    </row>
    <row r="479" spans="1:12" x14ac:dyDescent="0.2">
      <c r="A479" t="s">
        <v>1009</v>
      </c>
      <c r="B479" t="s">
        <v>1010</v>
      </c>
      <c r="C479" s="1">
        <v>44964</v>
      </c>
      <c r="D479" s="2">
        <v>44977</v>
      </c>
      <c r="E479" t="s">
        <v>41</v>
      </c>
      <c r="F479">
        <v>14500</v>
      </c>
      <c r="G479">
        <v>691</v>
      </c>
      <c r="H479">
        <v>1156.0999999999999</v>
      </c>
      <c r="I479">
        <v>44</v>
      </c>
      <c r="J479" t="b">
        <v>1</v>
      </c>
      <c r="L479" t="s">
        <v>42</v>
      </c>
    </row>
    <row r="480" spans="1:12" x14ac:dyDescent="0.2">
      <c r="A480" t="s">
        <v>1011</v>
      </c>
      <c r="B480" t="s">
        <v>1012</v>
      </c>
      <c r="C480" s="1">
        <v>44956</v>
      </c>
      <c r="D480" s="2">
        <v>44976</v>
      </c>
      <c r="E480" t="s">
        <v>138</v>
      </c>
      <c r="F480">
        <v>54222</v>
      </c>
      <c r="G480">
        <v>2242</v>
      </c>
      <c r="H480">
        <v>1928.36</v>
      </c>
      <c r="I480">
        <v>246</v>
      </c>
      <c r="J480" t="s">
        <v>24</v>
      </c>
      <c r="L480" t="s">
        <v>139</v>
      </c>
    </row>
    <row r="481" spans="1:12" x14ac:dyDescent="0.2">
      <c r="A481" t="s">
        <v>1013</v>
      </c>
      <c r="B481" t="s">
        <v>1014</v>
      </c>
      <c r="C481" s="1">
        <v>45257</v>
      </c>
      <c r="D481" s="2">
        <v>45282</v>
      </c>
      <c r="E481" t="s">
        <v>23</v>
      </c>
      <c r="F481">
        <v>30375</v>
      </c>
      <c r="G481">
        <v>734</v>
      </c>
      <c r="H481">
        <v>525.88</v>
      </c>
      <c r="I481">
        <v>82</v>
      </c>
      <c r="J481" t="b">
        <v>0</v>
      </c>
      <c r="L481" t="s">
        <v>25</v>
      </c>
    </row>
    <row r="482" spans="1:12" x14ac:dyDescent="0.2">
      <c r="A482" t="s">
        <v>1015</v>
      </c>
      <c r="B482" t="s">
        <v>1016</v>
      </c>
      <c r="C482" s="1">
        <v>45241</v>
      </c>
      <c r="D482" s="2">
        <v>45247</v>
      </c>
      <c r="E482" t="s">
        <v>33</v>
      </c>
      <c r="F482">
        <v>10662</v>
      </c>
      <c r="G482">
        <v>282</v>
      </c>
      <c r="H482">
        <v>189.94</v>
      </c>
      <c r="I482">
        <v>35</v>
      </c>
      <c r="J482">
        <v>1</v>
      </c>
      <c r="L482" t="s">
        <v>34</v>
      </c>
    </row>
    <row r="483" spans="1:12" x14ac:dyDescent="0.2">
      <c r="A483" t="s">
        <v>1017</v>
      </c>
      <c r="B483" t="s">
        <v>1018</v>
      </c>
      <c r="C483" s="1">
        <v>45224</v>
      </c>
      <c r="D483" s="2">
        <v>45254</v>
      </c>
      <c r="E483" t="s">
        <v>191</v>
      </c>
      <c r="F483">
        <v>17964</v>
      </c>
      <c r="G483">
        <v>574</v>
      </c>
      <c r="H483">
        <v>310.45999999999998</v>
      </c>
      <c r="I483">
        <v>89</v>
      </c>
      <c r="J483" t="b">
        <v>1</v>
      </c>
      <c r="L483" t="s">
        <v>42</v>
      </c>
    </row>
    <row r="484" spans="1:12" x14ac:dyDescent="0.2">
      <c r="A484" t="s">
        <v>1019</v>
      </c>
      <c r="B484" t="s">
        <v>1020</v>
      </c>
      <c r="C484" s="1">
        <v>44948</v>
      </c>
      <c r="D484" s="2">
        <v>44964</v>
      </c>
      <c r="E484" t="s">
        <v>33</v>
      </c>
      <c r="F484">
        <v>60638</v>
      </c>
      <c r="G484">
        <v>2620</v>
      </c>
      <c r="H484">
        <v>3367.69</v>
      </c>
      <c r="I484">
        <v>487</v>
      </c>
      <c r="J484" t="s">
        <v>24</v>
      </c>
      <c r="L484" t="s">
        <v>34</v>
      </c>
    </row>
    <row r="485" spans="1:12" x14ac:dyDescent="0.2">
      <c r="A485" t="s">
        <v>1021</v>
      </c>
      <c r="B485" t="s">
        <v>1022</v>
      </c>
      <c r="C485" s="1">
        <v>45260</v>
      </c>
      <c r="D485" s="2">
        <v>45276</v>
      </c>
      <c r="E485" t="s">
        <v>41</v>
      </c>
      <c r="F485">
        <v>74666</v>
      </c>
      <c r="G485">
        <v>951</v>
      </c>
      <c r="H485">
        <v>786.85</v>
      </c>
      <c r="I485">
        <v>67</v>
      </c>
      <c r="J485" t="s">
        <v>24</v>
      </c>
      <c r="L485" t="s">
        <v>42</v>
      </c>
    </row>
    <row r="486" spans="1:12" x14ac:dyDescent="0.2">
      <c r="A486" t="s">
        <v>1023</v>
      </c>
      <c r="B486" t="s">
        <v>1024</v>
      </c>
      <c r="C486" s="2">
        <v>45183</v>
      </c>
      <c r="D486" s="2">
        <v>45201</v>
      </c>
      <c r="E486" t="s">
        <v>41</v>
      </c>
      <c r="F486">
        <v>86067</v>
      </c>
      <c r="G486">
        <v>2321</v>
      </c>
      <c r="H486" s="3">
        <v>4605.21</v>
      </c>
      <c r="I486">
        <v>134</v>
      </c>
      <c r="J486" t="s">
        <v>24</v>
      </c>
      <c r="L486" t="s">
        <v>42</v>
      </c>
    </row>
    <row r="487" spans="1:12" x14ac:dyDescent="0.2">
      <c r="A487" t="s">
        <v>1025</v>
      </c>
      <c r="B487" t="s">
        <v>1026</v>
      </c>
      <c r="C487" s="1">
        <v>44979</v>
      </c>
      <c r="D487" s="2">
        <v>44999</v>
      </c>
      <c r="E487" t="s">
        <v>23</v>
      </c>
      <c r="F487">
        <v>68215</v>
      </c>
      <c r="G487">
        <v>907</v>
      </c>
      <c r="H487">
        <v>1235.02</v>
      </c>
      <c r="J487">
        <v>0</v>
      </c>
      <c r="L487" t="s">
        <v>25</v>
      </c>
    </row>
    <row r="488" spans="1:12" x14ac:dyDescent="0.2">
      <c r="A488" t="s">
        <v>1027</v>
      </c>
      <c r="B488" t="s">
        <v>1028</v>
      </c>
      <c r="C488" s="2">
        <v>45292</v>
      </c>
      <c r="D488" s="2">
        <v>45302</v>
      </c>
      <c r="E488" t="s">
        <v>138</v>
      </c>
      <c r="F488">
        <v>70042</v>
      </c>
      <c r="G488">
        <v>2142</v>
      </c>
      <c r="H488">
        <v>1514.03</v>
      </c>
      <c r="I488">
        <v>153</v>
      </c>
      <c r="J488" t="b">
        <v>1</v>
      </c>
      <c r="L488" t="s">
        <v>139</v>
      </c>
    </row>
    <row r="489" spans="1:12" x14ac:dyDescent="0.2">
      <c r="A489" t="s">
        <v>1029</v>
      </c>
      <c r="B489" t="s">
        <v>1030</v>
      </c>
      <c r="C489" s="1">
        <v>45257</v>
      </c>
      <c r="D489" s="2">
        <v>45283</v>
      </c>
      <c r="E489" t="s">
        <v>23</v>
      </c>
      <c r="F489">
        <v>14284</v>
      </c>
      <c r="G489">
        <v>656</v>
      </c>
      <c r="H489">
        <v>1005.74</v>
      </c>
      <c r="I489">
        <v>97</v>
      </c>
      <c r="J489" t="s">
        <v>24</v>
      </c>
      <c r="L489" t="s">
        <v>25</v>
      </c>
    </row>
    <row r="490" spans="1:12" x14ac:dyDescent="0.2">
      <c r="A490" t="s">
        <v>1031</v>
      </c>
      <c r="B490" t="s">
        <v>1032</v>
      </c>
      <c r="C490" s="1">
        <v>45151</v>
      </c>
      <c r="D490" s="2">
        <v>45173</v>
      </c>
      <c r="E490" t="s">
        <v>23</v>
      </c>
      <c r="F490">
        <v>73789</v>
      </c>
      <c r="G490">
        <v>3047</v>
      </c>
      <c r="H490">
        <v>5626.64</v>
      </c>
      <c r="I490">
        <v>484</v>
      </c>
      <c r="J490">
        <v>0</v>
      </c>
      <c r="L490" t="s">
        <v>25</v>
      </c>
    </row>
    <row r="491" spans="1:12" x14ac:dyDescent="0.2">
      <c r="A491" t="s">
        <v>1033</v>
      </c>
      <c r="B491" t="s">
        <v>1034</v>
      </c>
      <c r="C491" s="1">
        <v>45239</v>
      </c>
      <c r="D491" s="2">
        <v>45267</v>
      </c>
      <c r="E491" t="s">
        <v>23</v>
      </c>
      <c r="F491">
        <v>85664</v>
      </c>
      <c r="G491">
        <v>1637</v>
      </c>
      <c r="H491">
        <v>2648.29</v>
      </c>
      <c r="I491">
        <v>274</v>
      </c>
      <c r="J491" t="s">
        <v>30</v>
      </c>
      <c r="L491" t="s">
        <v>25</v>
      </c>
    </row>
    <row r="492" spans="1:12" x14ac:dyDescent="0.2">
      <c r="A492" t="s">
        <v>1035</v>
      </c>
      <c r="B492" t="s">
        <v>1036</v>
      </c>
      <c r="C492" s="1">
        <v>45071</v>
      </c>
      <c r="D492" s="2">
        <v>45079</v>
      </c>
      <c r="E492" t="s">
        <v>138</v>
      </c>
      <c r="F492">
        <v>94468</v>
      </c>
      <c r="G492">
        <v>4632</v>
      </c>
      <c r="H492">
        <v>2847.1</v>
      </c>
      <c r="I492">
        <v>400</v>
      </c>
      <c r="J492">
        <v>1</v>
      </c>
      <c r="L492" t="s">
        <v>139</v>
      </c>
    </row>
    <row r="493" spans="1:12" x14ac:dyDescent="0.2">
      <c r="A493" t="s">
        <v>1037</v>
      </c>
      <c r="B493" t="s">
        <v>1038</v>
      </c>
      <c r="C493" s="1">
        <v>45274</v>
      </c>
      <c r="D493" s="2">
        <v>45277</v>
      </c>
      <c r="E493" t="s">
        <v>33</v>
      </c>
      <c r="F493">
        <v>62389</v>
      </c>
      <c r="G493">
        <v>2289</v>
      </c>
      <c r="H493">
        <v>4220.5200000000004</v>
      </c>
      <c r="I493">
        <v>219</v>
      </c>
      <c r="J493" t="s">
        <v>24</v>
      </c>
      <c r="L493" t="s">
        <v>34</v>
      </c>
    </row>
    <row r="494" spans="1:12" x14ac:dyDescent="0.2">
      <c r="A494" t="s">
        <v>1039</v>
      </c>
      <c r="B494" t="s">
        <v>1040</v>
      </c>
      <c r="C494" s="1">
        <v>45258</v>
      </c>
      <c r="D494" s="2">
        <v>45278</v>
      </c>
      <c r="E494" t="s">
        <v>58</v>
      </c>
      <c r="F494">
        <v>10435</v>
      </c>
      <c r="G494">
        <v>108</v>
      </c>
      <c r="H494">
        <v>182.62</v>
      </c>
      <c r="I494">
        <v>13</v>
      </c>
      <c r="J494" t="b">
        <v>1</v>
      </c>
      <c r="L494" t="s">
        <v>59</v>
      </c>
    </row>
    <row r="495" spans="1:12" x14ac:dyDescent="0.2">
      <c r="A495" t="s">
        <v>1041</v>
      </c>
      <c r="B495" t="s">
        <v>1042</v>
      </c>
      <c r="C495" s="1">
        <v>45212</v>
      </c>
      <c r="D495" s="2">
        <v>45216</v>
      </c>
      <c r="E495" t="s">
        <v>19</v>
      </c>
      <c r="F495">
        <v>55340</v>
      </c>
      <c r="G495">
        <v>1118</v>
      </c>
      <c r="H495">
        <v>824.48</v>
      </c>
      <c r="I495">
        <v>66</v>
      </c>
      <c r="J495">
        <v>0</v>
      </c>
      <c r="L495" t="s">
        <v>20</v>
      </c>
    </row>
    <row r="496" spans="1:12" x14ac:dyDescent="0.2">
      <c r="A496" t="s">
        <v>1043</v>
      </c>
      <c r="B496" t="s">
        <v>1044</v>
      </c>
      <c r="C496" s="1">
        <v>45263</v>
      </c>
      <c r="D496" s="2">
        <v>45292</v>
      </c>
      <c r="E496" t="s">
        <v>23</v>
      </c>
      <c r="F496">
        <v>45078</v>
      </c>
      <c r="G496">
        <v>920</v>
      </c>
      <c r="H496">
        <v>531.46</v>
      </c>
      <c r="I496">
        <v>130</v>
      </c>
      <c r="J496">
        <v>0</v>
      </c>
      <c r="L496" t="s">
        <v>25</v>
      </c>
    </row>
    <row r="497" spans="1:12" x14ac:dyDescent="0.2">
      <c r="A497" t="s">
        <v>1045</v>
      </c>
      <c r="B497" t="s">
        <v>1046</v>
      </c>
      <c r="C497" s="1">
        <v>45003</v>
      </c>
      <c r="D497" s="2">
        <v>45004</v>
      </c>
      <c r="E497" t="s">
        <v>14</v>
      </c>
      <c r="F497">
        <v>79832</v>
      </c>
      <c r="G497">
        <v>1019</v>
      </c>
      <c r="H497">
        <v>1361.35</v>
      </c>
      <c r="I497">
        <v>201</v>
      </c>
      <c r="J497" t="s">
        <v>30</v>
      </c>
      <c r="L497" t="s">
        <v>16</v>
      </c>
    </row>
    <row r="498" spans="1:12" x14ac:dyDescent="0.2">
      <c r="A498" t="s">
        <v>1047</v>
      </c>
      <c r="B498" t="s">
        <v>1048</v>
      </c>
      <c r="C498" s="1">
        <v>44999</v>
      </c>
      <c r="D498" s="2">
        <v>45027</v>
      </c>
      <c r="E498" t="s">
        <v>138</v>
      </c>
      <c r="F498">
        <v>52293</v>
      </c>
      <c r="G498">
        <v>2530</v>
      </c>
      <c r="H498">
        <v>1857.16</v>
      </c>
      <c r="I498">
        <v>263</v>
      </c>
      <c r="J498" t="s">
        <v>15</v>
      </c>
      <c r="L498" t="s">
        <v>139</v>
      </c>
    </row>
    <row r="499" spans="1:12" x14ac:dyDescent="0.2">
      <c r="A499" t="s">
        <v>1049</v>
      </c>
      <c r="B499" t="s">
        <v>1050</v>
      </c>
      <c r="C499" s="1">
        <v>45262</v>
      </c>
      <c r="D499" s="2">
        <v>45263</v>
      </c>
      <c r="E499" t="s">
        <v>19</v>
      </c>
      <c r="F499">
        <v>96981</v>
      </c>
      <c r="G499">
        <v>2825</v>
      </c>
      <c r="H499">
        <v>4949.08</v>
      </c>
      <c r="I499">
        <v>460</v>
      </c>
      <c r="J499">
        <v>1</v>
      </c>
      <c r="L499" t="s">
        <v>20</v>
      </c>
    </row>
    <row r="500" spans="1:12" x14ac:dyDescent="0.2">
      <c r="A500" t="s">
        <v>1051</v>
      </c>
      <c r="B500" t="s">
        <v>1052</v>
      </c>
      <c r="C500" s="2">
        <v>45231</v>
      </c>
      <c r="D500" s="2">
        <v>44957</v>
      </c>
      <c r="E500" t="s">
        <v>41</v>
      </c>
      <c r="F500">
        <v>79781</v>
      </c>
      <c r="G500">
        <v>3656</v>
      </c>
      <c r="H500" s="3">
        <v>3793.11</v>
      </c>
      <c r="J500" t="s">
        <v>15</v>
      </c>
      <c r="L500" t="s">
        <v>42</v>
      </c>
    </row>
    <row r="501" spans="1:12" x14ac:dyDescent="0.2">
      <c r="A501" t="s">
        <v>1053</v>
      </c>
      <c r="B501" t="s">
        <v>1054</v>
      </c>
      <c r="C501" s="1">
        <v>45213</v>
      </c>
      <c r="D501" s="2">
        <v>45215</v>
      </c>
      <c r="E501" t="s">
        <v>14</v>
      </c>
      <c r="F501">
        <v>61403</v>
      </c>
      <c r="G501">
        <v>1405</v>
      </c>
      <c r="H501">
        <v>2626.42</v>
      </c>
      <c r="I501">
        <v>97</v>
      </c>
      <c r="J501" t="b">
        <v>1</v>
      </c>
      <c r="L501" t="s">
        <v>16</v>
      </c>
    </row>
    <row r="502" spans="1:12" x14ac:dyDescent="0.2">
      <c r="A502" t="s">
        <v>1055</v>
      </c>
      <c r="B502" t="s">
        <v>1056</v>
      </c>
      <c r="C502" s="1">
        <v>44992</v>
      </c>
      <c r="D502" s="2">
        <v>45020</v>
      </c>
      <c r="E502" t="s">
        <v>33</v>
      </c>
      <c r="F502">
        <v>30124</v>
      </c>
      <c r="G502">
        <v>452</v>
      </c>
      <c r="H502">
        <v>609.54</v>
      </c>
      <c r="I502">
        <v>62</v>
      </c>
      <c r="J502">
        <v>1</v>
      </c>
      <c r="L502" t="s">
        <v>34</v>
      </c>
    </row>
    <row r="503" spans="1:12" x14ac:dyDescent="0.2">
      <c r="A503" t="s">
        <v>1057</v>
      </c>
      <c r="B503" t="s">
        <v>1058</v>
      </c>
      <c r="C503" s="2">
        <v>45277</v>
      </c>
      <c r="D503" s="2">
        <v>45278</v>
      </c>
      <c r="E503" t="s">
        <v>41</v>
      </c>
      <c r="F503">
        <v>96435</v>
      </c>
      <c r="G503">
        <v>2794</v>
      </c>
      <c r="H503">
        <v>2162.58</v>
      </c>
      <c r="I503">
        <v>265</v>
      </c>
      <c r="J503" t="s">
        <v>30</v>
      </c>
      <c r="L503" t="s">
        <v>42</v>
      </c>
    </row>
    <row r="504" spans="1:12" x14ac:dyDescent="0.2">
      <c r="A504" t="s">
        <v>1059</v>
      </c>
      <c r="B504" t="s">
        <v>1060</v>
      </c>
      <c r="C504" s="1">
        <v>45270</v>
      </c>
      <c r="D504" s="2">
        <v>45279</v>
      </c>
      <c r="E504" t="s">
        <v>19</v>
      </c>
      <c r="F504">
        <v>44919</v>
      </c>
      <c r="G504">
        <v>653</v>
      </c>
      <c r="H504">
        <v>463.24</v>
      </c>
      <c r="J504" t="b">
        <v>1</v>
      </c>
      <c r="L504" t="s">
        <v>20</v>
      </c>
    </row>
    <row r="505" spans="1:12" x14ac:dyDescent="0.2">
      <c r="A505" t="s">
        <v>1061</v>
      </c>
      <c r="B505" t="s">
        <v>1062</v>
      </c>
      <c r="C505" s="1">
        <v>45112</v>
      </c>
      <c r="D505" s="2">
        <v>45142</v>
      </c>
      <c r="E505" t="s">
        <v>14</v>
      </c>
      <c r="F505">
        <v>36247</v>
      </c>
      <c r="G505">
        <v>1067</v>
      </c>
      <c r="H505">
        <v>1456.14</v>
      </c>
      <c r="I505">
        <v>154</v>
      </c>
      <c r="J505">
        <v>1</v>
      </c>
      <c r="L505" t="s">
        <v>16</v>
      </c>
    </row>
    <row r="506" spans="1:12" x14ac:dyDescent="0.2">
      <c r="A506" t="s">
        <v>1063</v>
      </c>
      <c r="B506" t="s">
        <v>1064</v>
      </c>
      <c r="C506" s="1">
        <v>45101</v>
      </c>
      <c r="D506" s="2">
        <v>45102</v>
      </c>
      <c r="E506" t="s">
        <v>41</v>
      </c>
      <c r="F506">
        <v>95758</v>
      </c>
      <c r="G506">
        <v>4482</v>
      </c>
      <c r="H506">
        <v>7363.14</v>
      </c>
      <c r="I506">
        <v>801</v>
      </c>
      <c r="J506">
        <v>1</v>
      </c>
      <c r="L506" t="s">
        <v>42</v>
      </c>
    </row>
    <row r="507" spans="1:12" x14ac:dyDescent="0.2">
      <c r="A507" t="s">
        <v>1065</v>
      </c>
      <c r="B507" t="s">
        <v>1066</v>
      </c>
      <c r="C507" s="1">
        <v>45042</v>
      </c>
      <c r="D507" s="2">
        <v>45052</v>
      </c>
      <c r="E507" t="s">
        <v>19</v>
      </c>
      <c r="F507">
        <v>92747</v>
      </c>
      <c r="G507">
        <v>2859</v>
      </c>
      <c r="H507">
        <v>4780.99</v>
      </c>
      <c r="J507" t="s">
        <v>15</v>
      </c>
      <c r="L507" t="s">
        <v>20</v>
      </c>
    </row>
    <row r="508" spans="1:12" x14ac:dyDescent="0.2">
      <c r="A508" t="s">
        <v>1067</v>
      </c>
      <c r="B508" t="s">
        <v>1068</v>
      </c>
      <c r="C508" s="1">
        <v>45078</v>
      </c>
      <c r="D508" s="2">
        <v>45093</v>
      </c>
      <c r="E508" t="s">
        <v>14</v>
      </c>
      <c r="F508">
        <v>63752</v>
      </c>
      <c r="G508">
        <v>2209</v>
      </c>
      <c r="H508">
        <v>2018.22</v>
      </c>
      <c r="I508">
        <v>239</v>
      </c>
      <c r="J508" t="b">
        <v>1</v>
      </c>
      <c r="L508" t="s">
        <v>16</v>
      </c>
    </row>
    <row r="509" spans="1:12" x14ac:dyDescent="0.2">
      <c r="A509" t="s">
        <v>1069</v>
      </c>
      <c r="B509" t="s">
        <v>1070</v>
      </c>
      <c r="C509" s="1">
        <v>45203</v>
      </c>
      <c r="D509" s="2">
        <v>45216</v>
      </c>
      <c r="E509" t="s">
        <v>41</v>
      </c>
      <c r="F509">
        <v>57573</v>
      </c>
      <c r="G509">
        <v>936</v>
      </c>
      <c r="H509">
        <v>754.76</v>
      </c>
      <c r="J509" t="s">
        <v>30</v>
      </c>
      <c r="L509" t="s">
        <v>42</v>
      </c>
    </row>
    <row r="510" spans="1:12" x14ac:dyDescent="0.2">
      <c r="A510" t="s">
        <v>1071</v>
      </c>
      <c r="B510" t="s">
        <v>1072</v>
      </c>
      <c r="C510" s="1">
        <v>44946</v>
      </c>
      <c r="D510" s="2">
        <v>44970</v>
      </c>
      <c r="E510" t="s">
        <v>41</v>
      </c>
      <c r="F510">
        <v>60101</v>
      </c>
      <c r="G510">
        <v>706</v>
      </c>
      <c r="H510">
        <v>370.74</v>
      </c>
      <c r="I510">
        <v>121</v>
      </c>
      <c r="J510" t="s">
        <v>30</v>
      </c>
      <c r="L510" t="s">
        <v>42</v>
      </c>
    </row>
    <row r="511" spans="1:12" x14ac:dyDescent="0.2">
      <c r="A511" t="s">
        <v>1073</v>
      </c>
      <c r="B511" t="s">
        <v>1074</v>
      </c>
      <c r="C511" s="1">
        <v>45243</v>
      </c>
      <c r="D511" s="2">
        <v>45262</v>
      </c>
      <c r="E511" t="s">
        <v>14</v>
      </c>
      <c r="F511">
        <v>27646</v>
      </c>
      <c r="G511">
        <v>398</v>
      </c>
      <c r="H511" s="3">
        <v>604.48</v>
      </c>
      <c r="I511">
        <v>62</v>
      </c>
      <c r="J511" t="b">
        <v>1</v>
      </c>
      <c r="L511" t="s">
        <v>16</v>
      </c>
    </row>
    <row r="512" spans="1:12" x14ac:dyDescent="0.2">
      <c r="A512" t="s">
        <v>1075</v>
      </c>
      <c r="B512" t="s">
        <v>1076</v>
      </c>
      <c r="C512" s="1">
        <v>45010</v>
      </c>
      <c r="D512" s="2">
        <v>45016</v>
      </c>
      <c r="E512" t="s">
        <v>14</v>
      </c>
      <c r="F512">
        <v>24049</v>
      </c>
      <c r="G512">
        <v>816</v>
      </c>
      <c r="H512">
        <v>501.72</v>
      </c>
      <c r="I512">
        <v>71</v>
      </c>
      <c r="J512" t="b">
        <v>1</v>
      </c>
      <c r="L512" t="s">
        <v>16</v>
      </c>
    </row>
    <row r="513" spans="1:12" x14ac:dyDescent="0.2">
      <c r="A513" t="s">
        <v>1077</v>
      </c>
      <c r="B513" t="s">
        <v>1078</v>
      </c>
      <c r="C513" s="1">
        <v>45246</v>
      </c>
      <c r="D513" s="2">
        <v>45250</v>
      </c>
      <c r="E513" t="s">
        <v>14</v>
      </c>
      <c r="F513">
        <v>80605</v>
      </c>
      <c r="G513">
        <v>1112</v>
      </c>
      <c r="H513">
        <v>1257.83</v>
      </c>
      <c r="I513">
        <v>207</v>
      </c>
      <c r="J513">
        <v>0</v>
      </c>
      <c r="L513" t="s">
        <v>16</v>
      </c>
    </row>
    <row r="514" spans="1:12" x14ac:dyDescent="0.2">
      <c r="A514" t="s">
        <v>1079</v>
      </c>
      <c r="B514" t="s">
        <v>1080</v>
      </c>
      <c r="C514" t="s">
        <v>1081</v>
      </c>
      <c r="D514" s="2">
        <v>45153</v>
      </c>
      <c r="E514" t="s">
        <v>19</v>
      </c>
      <c r="F514">
        <v>99116</v>
      </c>
      <c r="G514">
        <v>2481</v>
      </c>
      <c r="H514">
        <v>3479.66</v>
      </c>
      <c r="I514">
        <v>181</v>
      </c>
      <c r="J514" t="b">
        <v>0</v>
      </c>
      <c r="L514" t="s">
        <v>20</v>
      </c>
    </row>
    <row r="515" spans="1:12" x14ac:dyDescent="0.2">
      <c r="A515" t="s">
        <v>1082</v>
      </c>
      <c r="B515" t="s">
        <v>1083</v>
      </c>
      <c r="C515" s="1">
        <v>45113</v>
      </c>
      <c r="D515" s="2">
        <v>45125</v>
      </c>
      <c r="E515" t="s">
        <v>14</v>
      </c>
      <c r="F515">
        <v>98379</v>
      </c>
      <c r="G515">
        <v>3148</v>
      </c>
      <c r="H515">
        <v>5999.03</v>
      </c>
      <c r="J515" t="s">
        <v>15</v>
      </c>
      <c r="L515" t="s">
        <v>16</v>
      </c>
    </row>
    <row r="516" spans="1:12" x14ac:dyDescent="0.2">
      <c r="A516" t="s">
        <v>1084</v>
      </c>
      <c r="B516" t="s">
        <v>1085</v>
      </c>
      <c r="C516" s="1">
        <v>45154</v>
      </c>
      <c r="D516" s="2">
        <v>45161</v>
      </c>
      <c r="E516" t="s">
        <v>41</v>
      </c>
      <c r="F516">
        <v>69385</v>
      </c>
      <c r="G516">
        <v>1772</v>
      </c>
      <c r="H516">
        <v>1714.77</v>
      </c>
      <c r="I516">
        <v>96</v>
      </c>
      <c r="J516" t="b">
        <v>1</v>
      </c>
      <c r="L516" t="s">
        <v>42</v>
      </c>
    </row>
    <row r="517" spans="1:12" x14ac:dyDescent="0.2">
      <c r="A517" t="s">
        <v>1086</v>
      </c>
      <c r="B517" t="s">
        <v>1087</v>
      </c>
      <c r="C517" s="1">
        <v>45156</v>
      </c>
      <c r="D517" s="2">
        <v>45177</v>
      </c>
      <c r="E517" t="s">
        <v>14</v>
      </c>
      <c r="F517">
        <v>41158</v>
      </c>
      <c r="G517">
        <v>681</v>
      </c>
      <c r="H517">
        <v>595.64</v>
      </c>
      <c r="J517" t="b">
        <v>1</v>
      </c>
      <c r="L517" t="s">
        <v>16</v>
      </c>
    </row>
    <row r="518" spans="1:12" x14ac:dyDescent="0.2">
      <c r="A518" t="s">
        <v>1088</v>
      </c>
      <c r="B518" t="s">
        <v>1089</v>
      </c>
      <c r="C518" s="1">
        <v>45167</v>
      </c>
      <c r="D518" s="2">
        <v>45174</v>
      </c>
      <c r="E518" t="s">
        <v>14</v>
      </c>
      <c r="F518">
        <v>66417</v>
      </c>
      <c r="G518">
        <v>1391</v>
      </c>
      <c r="H518" s="3">
        <v>2060.41</v>
      </c>
      <c r="I518">
        <v>127</v>
      </c>
      <c r="J518" t="b">
        <v>0</v>
      </c>
      <c r="L518" t="s">
        <v>16</v>
      </c>
    </row>
    <row r="519" spans="1:12" x14ac:dyDescent="0.2">
      <c r="A519" t="s">
        <v>1090</v>
      </c>
      <c r="B519" t="s">
        <v>1091</v>
      </c>
      <c r="C519" s="1">
        <v>45274</v>
      </c>
      <c r="D519" s="2">
        <v>45288</v>
      </c>
      <c r="E519" t="s">
        <v>19</v>
      </c>
      <c r="F519">
        <v>24289</v>
      </c>
      <c r="G519">
        <v>1144</v>
      </c>
      <c r="H519" s="3">
        <v>1634.61</v>
      </c>
      <c r="I519">
        <v>134</v>
      </c>
      <c r="J519" t="b">
        <v>0</v>
      </c>
      <c r="L519" t="s">
        <v>20</v>
      </c>
    </row>
    <row r="520" spans="1:12" x14ac:dyDescent="0.2">
      <c r="A520" t="s">
        <v>1092</v>
      </c>
      <c r="B520" t="s">
        <v>1093</v>
      </c>
      <c r="C520" s="1">
        <v>45163</v>
      </c>
      <c r="D520" s="2">
        <v>45187</v>
      </c>
      <c r="E520" t="s">
        <v>14</v>
      </c>
      <c r="F520">
        <v>10823</v>
      </c>
      <c r="G520">
        <v>400</v>
      </c>
      <c r="H520">
        <v>399.27</v>
      </c>
      <c r="I520">
        <v>40</v>
      </c>
      <c r="J520">
        <v>1</v>
      </c>
      <c r="L520" t="s">
        <v>16</v>
      </c>
    </row>
    <row r="521" spans="1:12" x14ac:dyDescent="0.2">
      <c r="A521" t="s">
        <v>1094</v>
      </c>
      <c r="B521" t="s">
        <v>1095</v>
      </c>
      <c r="C521" s="1">
        <v>45184</v>
      </c>
      <c r="D521" s="2">
        <v>45213</v>
      </c>
      <c r="E521" t="s">
        <v>23</v>
      </c>
      <c r="F521">
        <v>61160</v>
      </c>
      <c r="G521">
        <v>1825</v>
      </c>
      <c r="H521">
        <v>3453.18</v>
      </c>
      <c r="J521" t="s">
        <v>24</v>
      </c>
      <c r="L521" t="s">
        <v>25</v>
      </c>
    </row>
    <row r="522" spans="1:12" x14ac:dyDescent="0.2">
      <c r="A522" t="s">
        <v>1096</v>
      </c>
      <c r="B522" t="s">
        <v>1097</v>
      </c>
      <c r="C522" s="1">
        <v>45029</v>
      </c>
      <c r="D522" s="2">
        <v>45041</v>
      </c>
      <c r="E522" t="s">
        <v>33</v>
      </c>
      <c r="F522">
        <v>42975</v>
      </c>
      <c r="G522">
        <v>451</v>
      </c>
      <c r="H522">
        <v>797.05</v>
      </c>
      <c r="J522" t="s">
        <v>30</v>
      </c>
      <c r="L522" t="s">
        <v>34</v>
      </c>
    </row>
    <row r="523" spans="1:12" x14ac:dyDescent="0.2">
      <c r="A523" t="s">
        <v>1098</v>
      </c>
      <c r="B523" t="s">
        <v>1099</v>
      </c>
      <c r="C523" s="2">
        <v>45174</v>
      </c>
      <c r="D523" s="2">
        <v>45058</v>
      </c>
      <c r="E523" t="s">
        <v>33</v>
      </c>
      <c r="F523">
        <v>10540</v>
      </c>
      <c r="G523">
        <v>523</v>
      </c>
      <c r="H523">
        <v>437.21</v>
      </c>
      <c r="I523">
        <v>95</v>
      </c>
      <c r="J523" t="s">
        <v>15</v>
      </c>
      <c r="L523" t="s">
        <v>34</v>
      </c>
    </row>
    <row r="524" spans="1:12" x14ac:dyDescent="0.2">
      <c r="A524" t="s">
        <v>1100</v>
      </c>
      <c r="B524" t="s">
        <v>1101</v>
      </c>
      <c r="C524" s="1">
        <v>45173</v>
      </c>
      <c r="D524" s="2">
        <v>45182</v>
      </c>
      <c r="E524" t="s">
        <v>23</v>
      </c>
      <c r="F524">
        <v>17364</v>
      </c>
      <c r="G524">
        <v>640</v>
      </c>
      <c r="H524">
        <v>549.58000000000004</v>
      </c>
      <c r="I524">
        <v>124</v>
      </c>
      <c r="J524">
        <v>1</v>
      </c>
      <c r="L524" t="s">
        <v>25</v>
      </c>
    </row>
    <row r="525" spans="1:12" x14ac:dyDescent="0.2">
      <c r="A525" t="s">
        <v>1102</v>
      </c>
      <c r="B525" t="s">
        <v>1103</v>
      </c>
      <c r="C525" s="1">
        <v>44979</v>
      </c>
      <c r="D525" s="2">
        <v>44993</v>
      </c>
      <c r="E525" t="s">
        <v>14</v>
      </c>
      <c r="F525">
        <v>5611</v>
      </c>
      <c r="G525">
        <v>127</v>
      </c>
      <c r="H525">
        <v>161.09</v>
      </c>
      <c r="I525">
        <v>10</v>
      </c>
      <c r="J525" t="b">
        <v>1</v>
      </c>
      <c r="K525">
        <v>5636</v>
      </c>
      <c r="L525" t="s">
        <v>16</v>
      </c>
    </row>
    <row r="526" spans="1:12" x14ac:dyDescent="0.2">
      <c r="A526" t="s">
        <v>1104</v>
      </c>
      <c r="B526" t="s">
        <v>1105</v>
      </c>
      <c r="C526" s="1">
        <v>44990</v>
      </c>
      <c r="D526" s="2">
        <v>45011</v>
      </c>
      <c r="E526" t="s">
        <v>14</v>
      </c>
      <c r="F526">
        <v>28663</v>
      </c>
      <c r="G526">
        <v>1294</v>
      </c>
      <c r="H526">
        <v>2148.5</v>
      </c>
      <c r="I526">
        <v>203</v>
      </c>
      <c r="J526" t="b">
        <v>0</v>
      </c>
      <c r="L526" t="s">
        <v>16</v>
      </c>
    </row>
    <row r="527" spans="1:12" x14ac:dyDescent="0.2">
      <c r="A527" t="s">
        <v>1106</v>
      </c>
      <c r="B527" t="s">
        <v>1107</v>
      </c>
      <c r="C527" s="1">
        <v>45066</v>
      </c>
      <c r="D527" s="2">
        <v>45067</v>
      </c>
      <c r="E527" t="s">
        <v>41</v>
      </c>
      <c r="F527">
        <v>52991</v>
      </c>
      <c r="G527">
        <v>1077</v>
      </c>
      <c r="H527">
        <v>609.65</v>
      </c>
      <c r="I527">
        <v>161</v>
      </c>
      <c r="J527">
        <v>0</v>
      </c>
      <c r="L527" t="s">
        <v>42</v>
      </c>
    </row>
    <row r="528" spans="1:12" x14ac:dyDescent="0.2">
      <c r="A528" t="s">
        <v>1108</v>
      </c>
      <c r="B528" t="s">
        <v>1109</v>
      </c>
      <c r="C528" s="2">
        <v>45268</v>
      </c>
      <c r="D528" s="2">
        <v>45160</v>
      </c>
      <c r="E528" t="s">
        <v>23</v>
      </c>
      <c r="F528">
        <v>58679</v>
      </c>
      <c r="G528">
        <v>1863</v>
      </c>
      <c r="H528">
        <v>2869.03</v>
      </c>
      <c r="I528">
        <v>189</v>
      </c>
      <c r="J528" t="s">
        <v>30</v>
      </c>
      <c r="L528" t="s">
        <v>25</v>
      </c>
    </row>
    <row r="529" spans="1:12" x14ac:dyDescent="0.2">
      <c r="A529" t="s">
        <v>1110</v>
      </c>
      <c r="B529" t="s">
        <v>1111</v>
      </c>
      <c r="C529" s="1">
        <v>45040</v>
      </c>
      <c r="D529" s="2">
        <v>45065</v>
      </c>
      <c r="E529" t="s">
        <v>14</v>
      </c>
      <c r="F529">
        <v>31977</v>
      </c>
      <c r="G529">
        <v>1133</v>
      </c>
      <c r="H529" s="3">
        <v>1668.18</v>
      </c>
      <c r="I529">
        <v>59</v>
      </c>
      <c r="J529">
        <v>1</v>
      </c>
      <c r="L529" t="s">
        <v>16</v>
      </c>
    </row>
    <row r="530" spans="1:12" x14ac:dyDescent="0.2">
      <c r="A530" t="s">
        <v>1112</v>
      </c>
      <c r="B530" t="s">
        <v>1113</v>
      </c>
      <c r="C530" s="1">
        <v>44940</v>
      </c>
      <c r="D530" s="2">
        <v>44942</v>
      </c>
      <c r="E530" t="s">
        <v>23</v>
      </c>
      <c r="F530">
        <v>95704</v>
      </c>
      <c r="G530">
        <v>1803</v>
      </c>
      <c r="H530">
        <v>1527.54</v>
      </c>
      <c r="I530">
        <v>276</v>
      </c>
      <c r="J530">
        <v>0</v>
      </c>
      <c r="L530" t="s">
        <v>25</v>
      </c>
    </row>
    <row r="531" spans="1:12" x14ac:dyDescent="0.2">
      <c r="A531" t="s">
        <v>1114</v>
      </c>
      <c r="B531" t="s">
        <v>1115</v>
      </c>
      <c r="C531" s="1">
        <v>45118</v>
      </c>
      <c r="D531" s="2">
        <v>45147</v>
      </c>
      <c r="E531" t="s">
        <v>14</v>
      </c>
      <c r="F531">
        <v>50115</v>
      </c>
      <c r="G531">
        <v>2462</v>
      </c>
      <c r="H531" s="3">
        <v>3747.24</v>
      </c>
      <c r="I531">
        <v>472</v>
      </c>
      <c r="J531" t="s">
        <v>30</v>
      </c>
      <c r="L531" t="s">
        <v>16</v>
      </c>
    </row>
    <row r="532" spans="1:12" x14ac:dyDescent="0.2">
      <c r="A532" t="s">
        <v>1116</v>
      </c>
      <c r="B532" t="s">
        <v>1117</v>
      </c>
      <c r="C532" s="1">
        <v>45118</v>
      </c>
      <c r="D532" s="2">
        <v>45122</v>
      </c>
      <c r="E532" t="s">
        <v>33</v>
      </c>
      <c r="F532">
        <v>92007</v>
      </c>
      <c r="G532">
        <v>3673</v>
      </c>
      <c r="H532">
        <v>7016.44</v>
      </c>
      <c r="I532">
        <v>531</v>
      </c>
      <c r="J532" t="s">
        <v>24</v>
      </c>
      <c r="L532" t="s">
        <v>34</v>
      </c>
    </row>
    <row r="533" spans="1:12" x14ac:dyDescent="0.2">
      <c r="A533" t="s">
        <v>1118</v>
      </c>
      <c r="B533" t="s">
        <v>1119</v>
      </c>
      <c r="C533" s="1">
        <v>44977</v>
      </c>
      <c r="D533" s="2">
        <v>44987</v>
      </c>
      <c r="E533" t="s">
        <v>19</v>
      </c>
      <c r="F533">
        <v>89223</v>
      </c>
      <c r="G533">
        <v>2883</v>
      </c>
      <c r="H533">
        <v>1643.83</v>
      </c>
      <c r="I533">
        <v>332</v>
      </c>
      <c r="J533" t="s">
        <v>24</v>
      </c>
      <c r="L533" t="s">
        <v>20</v>
      </c>
    </row>
    <row r="534" spans="1:12" x14ac:dyDescent="0.2">
      <c r="A534" t="s">
        <v>1120</v>
      </c>
      <c r="B534" t="s">
        <v>1121</v>
      </c>
      <c r="C534" s="1">
        <v>45001</v>
      </c>
      <c r="D534" s="2">
        <v>45006</v>
      </c>
      <c r="E534" t="s">
        <v>14</v>
      </c>
      <c r="F534">
        <v>61890</v>
      </c>
      <c r="G534">
        <v>1065</v>
      </c>
      <c r="H534">
        <v>1043.1400000000001</v>
      </c>
      <c r="I534">
        <v>137</v>
      </c>
      <c r="J534">
        <v>0</v>
      </c>
      <c r="L534" t="s">
        <v>16</v>
      </c>
    </row>
    <row r="535" spans="1:12" x14ac:dyDescent="0.2">
      <c r="A535" t="s">
        <v>1122</v>
      </c>
      <c r="B535" t="s">
        <v>1123</v>
      </c>
      <c r="C535" s="1">
        <v>45168</v>
      </c>
      <c r="D535" s="2">
        <v>45177</v>
      </c>
      <c r="E535" t="s">
        <v>415</v>
      </c>
      <c r="F535">
        <v>67387</v>
      </c>
      <c r="G535">
        <v>819</v>
      </c>
      <c r="H535">
        <v>947.8</v>
      </c>
      <c r="I535">
        <v>65</v>
      </c>
      <c r="J535" t="b">
        <v>0</v>
      </c>
      <c r="L535" t="s">
        <v>34</v>
      </c>
    </row>
    <row r="536" spans="1:12" x14ac:dyDescent="0.2">
      <c r="A536" t="s">
        <v>1124</v>
      </c>
      <c r="B536" t="s">
        <v>1125</v>
      </c>
      <c r="C536" s="1">
        <v>45288</v>
      </c>
      <c r="D536" s="2">
        <v>45303</v>
      </c>
      <c r="E536" t="s">
        <v>19</v>
      </c>
      <c r="F536">
        <v>19071</v>
      </c>
      <c r="G536">
        <v>434</v>
      </c>
      <c r="H536">
        <v>802.42</v>
      </c>
      <c r="I536">
        <v>70</v>
      </c>
      <c r="J536">
        <v>1</v>
      </c>
      <c r="L536" t="s">
        <v>20</v>
      </c>
    </row>
    <row r="537" spans="1:12" x14ac:dyDescent="0.2">
      <c r="A537" t="s">
        <v>1126</v>
      </c>
      <c r="B537" t="s">
        <v>1127</v>
      </c>
      <c r="C537" s="2">
        <v>45201</v>
      </c>
      <c r="D537" s="2">
        <v>44997</v>
      </c>
      <c r="E537" t="s">
        <v>14</v>
      </c>
      <c r="F537">
        <v>60275</v>
      </c>
      <c r="G537">
        <v>2418</v>
      </c>
      <c r="H537">
        <v>4699.12</v>
      </c>
      <c r="I537">
        <v>391</v>
      </c>
      <c r="J537">
        <v>1</v>
      </c>
      <c r="L537" t="s">
        <v>16</v>
      </c>
    </row>
    <row r="538" spans="1:12" x14ac:dyDescent="0.2">
      <c r="A538" t="s">
        <v>1128</v>
      </c>
      <c r="B538" t="s">
        <v>1129</v>
      </c>
      <c r="C538" s="1">
        <v>45037</v>
      </c>
      <c r="D538" s="2">
        <v>45067</v>
      </c>
      <c r="E538" t="s">
        <v>33</v>
      </c>
      <c r="F538">
        <v>73369</v>
      </c>
      <c r="G538">
        <v>1524</v>
      </c>
      <c r="H538">
        <v>1777.25</v>
      </c>
      <c r="J538" t="s">
        <v>24</v>
      </c>
      <c r="L538" t="s">
        <v>34</v>
      </c>
    </row>
    <row r="539" spans="1:12" x14ac:dyDescent="0.2">
      <c r="A539" t="s">
        <v>1130</v>
      </c>
      <c r="B539" t="s">
        <v>1131</v>
      </c>
      <c r="C539" s="1">
        <v>45238</v>
      </c>
      <c r="D539" s="2">
        <v>45267</v>
      </c>
      <c r="E539" t="s">
        <v>41</v>
      </c>
      <c r="F539">
        <v>12938</v>
      </c>
      <c r="G539">
        <v>408</v>
      </c>
      <c r="H539">
        <v>663.02</v>
      </c>
      <c r="I539">
        <v>74</v>
      </c>
      <c r="J539" t="s">
        <v>30</v>
      </c>
      <c r="L539" t="s">
        <v>42</v>
      </c>
    </row>
    <row r="540" spans="1:12" x14ac:dyDescent="0.2">
      <c r="A540" t="s">
        <v>1132</v>
      </c>
      <c r="B540" t="s">
        <v>1133</v>
      </c>
      <c r="C540" s="1">
        <v>45074</v>
      </c>
      <c r="D540" s="2">
        <v>45100</v>
      </c>
      <c r="E540" t="s">
        <v>23</v>
      </c>
      <c r="F540">
        <v>36195</v>
      </c>
      <c r="G540">
        <v>1415</v>
      </c>
      <c r="H540">
        <v>1835.95</v>
      </c>
      <c r="I540">
        <v>127</v>
      </c>
      <c r="J540">
        <v>0</v>
      </c>
      <c r="L540" t="s">
        <v>25</v>
      </c>
    </row>
    <row r="541" spans="1:12" x14ac:dyDescent="0.2">
      <c r="A541" t="s">
        <v>1134</v>
      </c>
      <c r="B541" t="s">
        <v>1135</v>
      </c>
      <c r="C541" s="1">
        <v>45049</v>
      </c>
      <c r="D541" s="2">
        <v>45079</v>
      </c>
      <c r="E541" t="s">
        <v>19</v>
      </c>
      <c r="F541">
        <v>92680</v>
      </c>
      <c r="G541">
        <v>1326</v>
      </c>
      <c r="H541">
        <v>1732.65</v>
      </c>
      <c r="I541">
        <v>261</v>
      </c>
      <c r="J541" t="b">
        <v>0</v>
      </c>
      <c r="L541" t="s">
        <v>20</v>
      </c>
    </row>
    <row r="542" spans="1:12" x14ac:dyDescent="0.2">
      <c r="A542" t="s">
        <v>1136</v>
      </c>
      <c r="B542" t="s">
        <v>1137</v>
      </c>
      <c r="C542" t="s">
        <v>1138</v>
      </c>
      <c r="D542" s="2">
        <v>45168</v>
      </c>
      <c r="E542" t="s">
        <v>23</v>
      </c>
      <c r="F542">
        <v>5000</v>
      </c>
      <c r="G542">
        <v>187</v>
      </c>
      <c r="H542">
        <v>171.51</v>
      </c>
      <c r="I542">
        <v>20</v>
      </c>
      <c r="J542" t="b">
        <v>1</v>
      </c>
      <c r="L542" t="s">
        <v>25</v>
      </c>
    </row>
    <row r="543" spans="1:12" x14ac:dyDescent="0.2">
      <c r="A543" t="s">
        <v>1139</v>
      </c>
      <c r="B543" t="s">
        <v>1140</v>
      </c>
      <c r="C543" s="2">
        <v>45182</v>
      </c>
      <c r="D543" s="2">
        <v>45186</v>
      </c>
      <c r="E543" t="s">
        <v>14</v>
      </c>
      <c r="F543">
        <v>71588</v>
      </c>
      <c r="G543">
        <v>978</v>
      </c>
      <c r="H543">
        <v>807.27</v>
      </c>
      <c r="I543">
        <v>74</v>
      </c>
      <c r="J543">
        <v>1</v>
      </c>
      <c r="L543" t="s">
        <v>16</v>
      </c>
    </row>
    <row r="544" spans="1:12" x14ac:dyDescent="0.2">
      <c r="A544" t="s">
        <v>1141</v>
      </c>
      <c r="B544" t="s">
        <v>1142</v>
      </c>
      <c r="C544" s="1">
        <v>45190</v>
      </c>
      <c r="D544" s="2">
        <v>45220</v>
      </c>
      <c r="E544" t="s">
        <v>14</v>
      </c>
      <c r="F544">
        <v>94610</v>
      </c>
      <c r="G544">
        <v>4598</v>
      </c>
      <c r="H544">
        <v>4285.37</v>
      </c>
      <c r="I544">
        <v>472</v>
      </c>
      <c r="J544" t="b">
        <v>1</v>
      </c>
      <c r="L544" t="s">
        <v>16</v>
      </c>
    </row>
    <row r="545" spans="1:12" x14ac:dyDescent="0.2">
      <c r="A545" t="s">
        <v>1143</v>
      </c>
      <c r="B545" t="s">
        <v>1144</v>
      </c>
      <c r="C545" s="1">
        <v>45076</v>
      </c>
      <c r="D545" s="2">
        <v>45097</v>
      </c>
      <c r="E545" t="s">
        <v>41</v>
      </c>
      <c r="F545">
        <v>98856</v>
      </c>
      <c r="G545">
        <v>2919</v>
      </c>
      <c r="H545">
        <v>3895.38</v>
      </c>
      <c r="I545">
        <v>338</v>
      </c>
      <c r="J545" t="b">
        <v>0</v>
      </c>
      <c r="L545" t="s">
        <v>42</v>
      </c>
    </row>
    <row r="546" spans="1:12" x14ac:dyDescent="0.2">
      <c r="A546" t="s">
        <v>1145</v>
      </c>
      <c r="B546" t="s">
        <v>1146</v>
      </c>
      <c r="C546" s="1">
        <v>45050</v>
      </c>
      <c r="D546" s="2">
        <v>45074</v>
      </c>
      <c r="E546" t="s">
        <v>23</v>
      </c>
      <c r="F546">
        <v>39304</v>
      </c>
      <c r="G546">
        <v>629</v>
      </c>
      <c r="H546">
        <v>342.01</v>
      </c>
      <c r="I546">
        <v>37</v>
      </c>
      <c r="J546" t="s">
        <v>24</v>
      </c>
      <c r="L546" t="s">
        <v>25</v>
      </c>
    </row>
    <row r="547" spans="1:12" x14ac:dyDescent="0.2">
      <c r="A547" t="s">
        <v>1147</v>
      </c>
      <c r="B547" t="s">
        <v>1148</v>
      </c>
      <c r="C547" s="2">
        <v>45181</v>
      </c>
      <c r="D547" s="2">
        <v>45291</v>
      </c>
      <c r="E547" t="s">
        <v>19</v>
      </c>
      <c r="F547">
        <v>70449</v>
      </c>
      <c r="G547">
        <v>1669</v>
      </c>
      <c r="H547">
        <v>3105.8</v>
      </c>
      <c r="I547">
        <v>228</v>
      </c>
      <c r="J547">
        <v>1</v>
      </c>
      <c r="L547" t="s">
        <v>20</v>
      </c>
    </row>
    <row r="548" spans="1:12" x14ac:dyDescent="0.2">
      <c r="A548" t="s">
        <v>1149</v>
      </c>
      <c r="B548" t="s">
        <v>1150</v>
      </c>
      <c r="C548" s="2">
        <v>45023</v>
      </c>
      <c r="D548" s="2">
        <v>45137</v>
      </c>
      <c r="E548" t="s">
        <v>19</v>
      </c>
      <c r="F548">
        <v>83986</v>
      </c>
      <c r="G548">
        <v>2228</v>
      </c>
      <c r="H548">
        <v>1636.3</v>
      </c>
      <c r="I548">
        <v>311</v>
      </c>
      <c r="J548">
        <v>1</v>
      </c>
      <c r="L548" t="s">
        <v>20</v>
      </c>
    </row>
    <row r="549" spans="1:12" x14ac:dyDescent="0.2">
      <c r="A549" t="s">
        <v>1151</v>
      </c>
      <c r="B549" t="s">
        <v>1152</v>
      </c>
      <c r="C549" s="1">
        <v>45196</v>
      </c>
      <c r="D549" s="2">
        <v>45197</v>
      </c>
      <c r="E549" t="s">
        <v>41</v>
      </c>
      <c r="F549">
        <v>90643</v>
      </c>
      <c r="G549">
        <v>3655</v>
      </c>
      <c r="H549">
        <v>3034.14</v>
      </c>
      <c r="I549">
        <v>587</v>
      </c>
      <c r="J549">
        <v>0</v>
      </c>
      <c r="L549" t="s">
        <v>42</v>
      </c>
    </row>
    <row r="550" spans="1:12" x14ac:dyDescent="0.2">
      <c r="A550" t="s">
        <v>1153</v>
      </c>
      <c r="B550" t="s">
        <v>1154</v>
      </c>
      <c r="C550" s="1">
        <v>45186</v>
      </c>
      <c r="D550" s="2">
        <v>45215</v>
      </c>
      <c r="E550" t="s">
        <v>14</v>
      </c>
      <c r="F550">
        <v>21764</v>
      </c>
      <c r="G550">
        <v>864</v>
      </c>
      <c r="H550">
        <v>1103.69</v>
      </c>
      <c r="I550">
        <v>46</v>
      </c>
      <c r="J550" t="b">
        <v>1</v>
      </c>
      <c r="L550" t="s">
        <v>16</v>
      </c>
    </row>
    <row r="551" spans="1:12" x14ac:dyDescent="0.2">
      <c r="A551" t="s">
        <v>1155</v>
      </c>
      <c r="B551" t="s">
        <v>1156</v>
      </c>
      <c r="C551" t="s">
        <v>1157</v>
      </c>
      <c r="D551" s="2">
        <v>45197</v>
      </c>
      <c r="E551" t="s">
        <v>19</v>
      </c>
      <c r="F551">
        <v>87027</v>
      </c>
      <c r="G551">
        <v>3000</v>
      </c>
      <c r="H551">
        <v>4695.5200000000004</v>
      </c>
      <c r="I551">
        <v>393</v>
      </c>
      <c r="J551" t="s">
        <v>24</v>
      </c>
      <c r="L551" t="s">
        <v>20</v>
      </c>
    </row>
    <row r="552" spans="1:12" x14ac:dyDescent="0.2">
      <c r="A552" t="s">
        <v>1158</v>
      </c>
      <c r="B552" t="s">
        <v>1159</v>
      </c>
      <c r="C552" s="1">
        <v>45125</v>
      </c>
      <c r="D552" s="2">
        <v>45155</v>
      </c>
      <c r="E552" t="s">
        <v>41</v>
      </c>
      <c r="F552">
        <v>39494</v>
      </c>
      <c r="G552">
        <v>562</v>
      </c>
      <c r="H552">
        <v>361.7</v>
      </c>
      <c r="I552">
        <v>32</v>
      </c>
      <c r="J552">
        <v>0</v>
      </c>
      <c r="L552" t="s">
        <v>42</v>
      </c>
    </row>
    <row r="553" spans="1:12" x14ac:dyDescent="0.2">
      <c r="A553" t="s">
        <v>1160</v>
      </c>
      <c r="B553" t="s">
        <v>1161</v>
      </c>
      <c r="C553" s="2">
        <v>44935</v>
      </c>
      <c r="D553" s="2">
        <v>45186</v>
      </c>
      <c r="E553" t="s">
        <v>33</v>
      </c>
      <c r="F553">
        <v>4373</v>
      </c>
      <c r="G553">
        <v>70</v>
      </c>
      <c r="H553">
        <v>68.36</v>
      </c>
      <c r="I553">
        <v>10</v>
      </c>
      <c r="J553" t="s">
        <v>15</v>
      </c>
      <c r="L553" t="s">
        <v>34</v>
      </c>
    </row>
    <row r="554" spans="1:12" x14ac:dyDescent="0.2">
      <c r="A554" t="s">
        <v>1162</v>
      </c>
      <c r="B554" t="s">
        <v>1163</v>
      </c>
      <c r="C554" s="1">
        <v>45050</v>
      </c>
      <c r="D554" s="2">
        <v>45056</v>
      </c>
      <c r="E554" t="s">
        <v>33</v>
      </c>
      <c r="F554">
        <v>13161</v>
      </c>
      <c r="G554">
        <v>180</v>
      </c>
      <c r="H554">
        <v>351.54</v>
      </c>
      <c r="I554">
        <v>10</v>
      </c>
      <c r="J554" t="b">
        <v>1</v>
      </c>
      <c r="L554" t="s">
        <v>34</v>
      </c>
    </row>
    <row r="555" spans="1:12" x14ac:dyDescent="0.2">
      <c r="A555" t="s">
        <v>1164</v>
      </c>
      <c r="B555" t="s">
        <v>1165</v>
      </c>
      <c r="C555" s="1">
        <v>45224</v>
      </c>
      <c r="D555" s="2">
        <v>45225</v>
      </c>
      <c r="E555" t="s">
        <v>14</v>
      </c>
      <c r="F555">
        <v>98532</v>
      </c>
      <c r="G555">
        <v>3260</v>
      </c>
      <c r="H555">
        <v>2912.86</v>
      </c>
      <c r="I555">
        <v>608</v>
      </c>
      <c r="J555" t="b">
        <v>1</v>
      </c>
      <c r="L555" t="s">
        <v>16</v>
      </c>
    </row>
    <row r="556" spans="1:12" x14ac:dyDescent="0.2">
      <c r="A556" t="s">
        <v>1166</v>
      </c>
      <c r="B556" t="s">
        <v>1167</v>
      </c>
      <c r="C556" s="1">
        <v>44949</v>
      </c>
      <c r="D556" s="2">
        <v>44953</v>
      </c>
      <c r="E556" t="s">
        <v>19</v>
      </c>
      <c r="F556">
        <v>93658</v>
      </c>
      <c r="G556">
        <v>4222</v>
      </c>
      <c r="H556">
        <v>4093.55</v>
      </c>
      <c r="I556">
        <v>655</v>
      </c>
      <c r="J556" t="s">
        <v>15</v>
      </c>
      <c r="L556" t="s">
        <v>20</v>
      </c>
    </row>
    <row r="557" spans="1:12" x14ac:dyDescent="0.2">
      <c r="A557" t="s">
        <v>1168</v>
      </c>
      <c r="B557" t="s">
        <v>1169</v>
      </c>
      <c r="C557" s="1">
        <v>45256</v>
      </c>
      <c r="D557" s="2">
        <v>45259</v>
      </c>
      <c r="E557" t="s">
        <v>138</v>
      </c>
      <c r="F557">
        <v>28350</v>
      </c>
      <c r="G557">
        <v>775</v>
      </c>
      <c r="H557">
        <v>1359.93</v>
      </c>
      <c r="J557" t="b">
        <v>0</v>
      </c>
      <c r="L557" t="s">
        <v>139</v>
      </c>
    </row>
    <row r="558" spans="1:12" x14ac:dyDescent="0.2">
      <c r="A558" t="s">
        <v>1170</v>
      </c>
      <c r="B558" t="s">
        <v>1171</v>
      </c>
      <c r="C558" s="1">
        <v>45164</v>
      </c>
      <c r="D558" s="2">
        <v>45188</v>
      </c>
      <c r="E558" t="s">
        <v>23</v>
      </c>
      <c r="F558">
        <v>94008</v>
      </c>
      <c r="G558">
        <v>1544</v>
      </c>
      <c r="H558" s="3">
        <v>888.3</v>
      </c>
      <c r="I558">
        <v>179</v>
      </c>
      <c r="J558" t="b">
        <v>0</v>
      </c>
      <c r="L558" t="s">
        <v>25</v>
      </c>
    </row>
    <row r="559" spans="1:12" x14ac:dyDescent="0.2">
      <c r="A559" t="s">
        <v>1172</v>
      </c>
      <c r="B559" t="s">
        <v>1173</v>
      </c>
      <c r="C559" s="2">
        <v>45020</v>
      </c>
      <c r="D559" s="2">
        <v>45028</v>
      </c>
      <c r="E559" t="s">
        <v>14</v>
      </c>
      <c r="F559">
        <v>95297</v>
      </c>
      <c r="G559">
        <v>3080</v>
      </c>
      <c r="H559">
        <v>3686.51</v>
      </c>
      <c r="I559">
        <v>214</v>
      </c>
      <c r="J559">
        <v>1</v>
      </c>
      <c r="L559" t="s">
        <v>16</v>
      </c>
    </row>
    <row r="560" spans="1:12" x14ac:dyDescent="0.2">
      <c r="A560" t="s">
        <v>1174</v>
      </c>
      <c r="B560" t="s">
        <v>1175</v>
      </c>
      <c r="C560" t="s">
        <v>1138</v>
      </c>
      <c r="D560" s="2">
        <v>45176</v>
      </c>
      <c r="E560" t="s">
        <v>33</v>
      </c>
      <c r="F560">
        <v>26351</v>
      </c>
      <c r="G560">
        <v>1119</v>
      </c>
      <c r="H560">
        <v>1196.69</v>
      </c>
      <c r="J560" t="s">
        <v>30</v>
      </c>
      <c r="L560" t="s">
        <v>34</v>
      </c>
    </row>
    <row r="561" spans="1:12" x14ac:dyDescent="0.2">
      <c r="A561" t="s">
        <v>1176</v>
      </c>
      <c r="B561" t="s">
        <v>1177</v>
      </c>
      <c r="C561" t="s">
        <v>1178</v>
      </c>
      <c r="D561" s="2">
        <v>45058</v>
      </c>
      <c r="E561" t="s">
        <v>14</v>
      </c>
      <c r="F561">
        <v>89668</v>
      </c>
      <c r="G561">
        <v>3556</v>
      </c>
      <c r="H561">
        <v>3466.67</v>
      </c>
      <c r="I561">
        <v>641</v>
      </c>
      <c r="J561">
        <v>0</v>
      </c>
      <c r="L561" t="s">
        <v>16</v>
      </c>
    </row>
    <row r="562" spans="1:12" x14ac:dyDescent="0.2">
      <c r="A562" t="s">
        <v>1179</v>
      </c>
      <c r="B562" t="s">
        <v>1180</v>
      </c>
      <c r="C562" s="1">
        <v>45029</v>
      </c>
      <c r="D562" s="2">
        <v>45058</v>
      </c>
      <c r="E562" t="s">
        <v>23</v>
      </c>
      <c r="F562">
        <v>16305</v>
      </c>
      <c r="G562">
        <v>737</v>
      </c>
      <c r="H562">
        <v>684.34</v>
      </c>
      <c r="I562">
        <v>136</v>
      </c>
      <c r="J562" t="s">
        <v>30</v>
      </c>
      <c r="L562" t="s">
        <v>25</v>
      </c>
    </row>
    <row r="563" spans="1:12" x14ac:dyDescent="0.2">
      <c r="A563" t="s">
        <v>1181</v>
      </c>
      <c r="B563" t="s">
        <v>1182</v>
      </c>
      <c r="C563" s="1">
        <v>45085</v>
      </c>
      <c r="D563" s="2">
        <v>45104</v>
      </c>
      <c r="E563" t="s">
        <v>23</v>
      </c>
      <c r="F563">
        <v>76353</v>
      </c>
      <c r="G563">
        <v>1612</v>
      </c>
      <c r="H563">
        <v>1026.94</v>
      </c>
      <c r="I563">
        <v>80</v>
      </c>
      <c r="J563">
        <v>1</v>
      </c>
      <c r="L563" t="s">
        <v>25</v>
      </c>
    </row>
    <row r="564" spans="1:12" x14ac:dyDescent="0.2">
      <c r="A564" t="s">
        <v>1183</v>
      </c>
      <c r="B564" t="s">
        <v>1184</v>
      </c>
      <c r="C564" s="2">
        <v>45205</v>
      </c>
      <c r="D564" s="2">
        <v>45110</v>
      </c>
      <c r="E564" t="s">
        <v>138</v>
      </c>
      <c r="F564">
        <v>77797</v>
      </c>
      <c r="G564">
        <v>1381</v>
      </c>
      <c r="H564">
        <v>1342.66</v>
      </c>
      <c r="I564">
        <v>192</v>
      </c>
      <c r="J564" t="s">
        <v>30</v>
      </c>
      <c r="L564" t="s">
        <v>139</v>
      </c>
    </row>
    <row r="565" spans="1:12" x14ac:dyDescent="0.2">
      <c r="A565" t="s">
        <v>1185</v>
      </c>
      <c r="B565" t="s">
        <v>1186</v>
      </c>
      <c r="C565" s="1">
        <v>45258</v>
      </c>
      <c r="D565" s="2">
        <v>45276</v>
      </c>
      <c r="E565" t="s">
        <v>19</v>
      </c>
      <c r="F565">
        <v>66953</v>
      </c>
      <c r="G565">
        <v>3025</v>
      </c>
      <c r="H565">
        <v>1707.85</v>
      </c>
      <c r="I565">
        <v>477</v>
      </c>
      <c r="J565" t="b">
        <v>1</v>
      </c>
      <c r="L565" t="s">
        <v>20</v>
      </c>
    </row>
    <row r="566" spans="1:12" x14ac:dyDescent="0.2">
      <c r="A566" t="s">
        <v>1187</v>
      </c>
      <c r="B566" t="s">
        <v>1188</v>
      </c>
      <c r="C566" s="1">
        <v>44951</v>
      </c>
      <c r="D566" s="2">
        <v>44960</v>
      </c>
      <c r="E566" t="s">
        <v>33</v>
      </c>
      <c r="F566">
        <v>58458</v>
      </c>
      <c r="G566">
        <v>2122</v>
      </c>
      <c r="H566">
        <v>3546.81</v>
      </c>
      <c r="I566">
        <v>303</v>
      </c>
      <c r="J566" t="b">
        <v>1</v>
      </c>
      <c r="L566" t="s">
        <v>34</v>
      </c>
    </row>
    <row r="567" spans="1:12" x14ac:dyDescent="0.2">
      <c r="A567" t="s">
        <v>1189</v>
      </c>
      <c r="B567" t="s">
        <v>1190</v>
      </c>
      <c r="C567" s="1">
        <v>44990</v>
      </c>
      <c r="D567" s="2">
        <v>44999</v>
      </c>
      <c r="E567" t="s">
        <v>41</v>
      </c>
      <c r="F567">
        <v>21358</v>
      </c>
      <c r="G567">
        <v>479</v>
      </c>
      <c r="H567">
        <v>525.63</v>
      </c>
      <c r="I567">
        <v>29</v>
      </c>
      <c r="J567" t="s">
        <v>15</v>
      </c>
      <c r="L567" t="s">
        <v>42</v>
      </c>
    </row>
    <row r="568" spans="1:12" x14ac:dyDescent="0.2">
      <c r="A568" t="s">
        <v>1191</v>
      </c>
      <c r="B568" t="s">
        <v>1192</v>
      </c>
      <c r="C568" s="1">
        <v>45131</v>
      </c>
      <c r="D568" s="2">
        <v>45132</v>
      </c>
      <c r="E568" t="s">
        <v>138</v>
      </c>
      <c r="F568">
        <v>4267</v>
      </c>
      <c r="G568">
        <v>169</v>
      </c>
      <c r="H568">
        <v>197.03</v>
      </c>
      <c r="I568">
        <v>13</v>
      </c>
      <c r="J568" t="s">
        <v>15</v>
      </c>
      <c r="L568" t="s">
        <v>139</v>
      </c>
    </row>
    <row r="569" spans="1:12" x14ac:dyDescent="0.2">
      <c r="A569" t="s">
        <v>1193</v>
      </c>
      <c r="B569" t="s">
        <v>1194</v>
      </c>
      <c r="C569" s="1">
        <v>45124</v>
      </c>
      <c r="D569" s="2">
        <v>45147</v>
      </c>
      <c r="E569" t="s">
        <v>41</v>
      </c>
      <c r="F569">
        <v>83745</v>
      </c>
      <c r="G569">
        <v>3567</v>
      </c>
      <c r="H569">
        <v>6564.68</v>
      </c>
      <c r="I569">
        <v>312</v>
      </c>
      <c r="J569">
        <v>1</v>
      </c>
      <c r="L569" t="s">
        <v>68</v>
      </c>
    </row>
    <row r="570" spans="1:12" x14ac:dyDescent="0.2">
      <c r="A570" t="s">
        <v>1195</v>
      </c>
      <c r="B570" t="s">
        <v>1196</v>
      </c>
      <c r="C570" s="1">
        <v>45281</v>
      </c>
      <c r="D570" s="2">
        <v>45300</v>
      </c>
      <c r="E570" t="s">
        <v>14</v>
      </c>
      <c r="F570">
        <v>90588</v>
      </c>
      <c r="G570">
        <v>3134</v>
      </c>
      <c r="H570">
        <v>4660.5200000000004</v>
      </c>
      <c r="I570">
        <v>547</v>
      </c>
      <c r="J570">
        <v>1</v>
      </c>
      <c r="L570" t="s">
        <v>16</v>
      </c>
    </row>
    <row r="571" spans="1:12" x14ac:dyDescent="0.2">
      <c r="A571" t="s">
        <v>1197</v>
      </c>
      <c r="B571" t="s">
        <v>1198</v>
      </c>
      <c r="C571" s="2">
        <v>45192</v>
      </c>
      <c r="D571" s="2">
        <v>45208</v>
      </c>
      <c r="E571" t="s">
        <v>41</v>
      </c>
      <c r="F571">
        <v>39513</v>
      </c>
      <c r="G571">
        <v>1482</v>
      </c>
      <c r="H571" s="3">
        <v>758.92</v>
      </c>
      <c r="I571">
        <v>177</v>
      </c>
      <c r="J571" t="s">
        <v>24</v>
      </c>
      <c r="L571" t="s">
        <v>42</v>
      </c>
    </row>
    <row r="572" spans="1:12" x14ac:dyDescent="0.2">
      <c r="A572" t="s">
        <v>1199</v>
      </c>
      <c r="B572" t="s">
        <v>1200</v>
      </c>
      <c r="C572" s="2">
        <v>45085</v>
      </c>
      <c r="D572" s="2">
        <v>45147</v>
      </c>
      <c r="E572" t="s">
        <v>19</v>
      </c>
      <c r="F572">
        <v>27092</v>
      </c>
      <c r="G572">
        <v>677</v>
      </c>
      <c r="H572">
        <v>1296.29</v>
      </c>
      <c r="I572">
        <v>83</v>
      </c>
      <c r="J572">
        <v>1</v>
      </c>
      <c r="L572" t="s">
        <v>20</v>
      </c>
    </row>
    <row r="573" spans="1:12" x14ac:dyDescent="0.2">
      <c r="A573" t="s">
        <v>1201</v>
      </c>
      <c r="B573" t="s">
        <v>1202</v>
      </c>
      <c r="C573" s="1">
        <v>45235</v>
      </c>
      <c r="D573" s="2">
        <v>45259</v>
      </c>
      <c r="E573" t="s">
        <v>33</v>
      </c>
      <c r="F573">
        <v>12338</v>
      </c>
      <c r="G573">
        <v>389</v>
      </c>
      <c r="H573">
        <v>332.87</v>
      </c>
      <c r="I573">
        <v>74</v>
      </c>
      <c r="J573" t="b">
        <v>1</v>
      </c>
      <c r="L573" t="s">
        <v>34</v>
      </c>
    </row>
    <row r="574" spans="1:12" x14ac:dyDescent="0.2">
      <c r="A574" t="s">
        <v>1203</v>
      </c>
      <c r="B574" t="s">
        <v>1204</v>
      </c>
      <c r="C574" s="2">
        <v>45077</v>
      </c>
      <c r="D574" s="2">
        <v>45100</v>
      </c>
      <c r="E574" t="s">
        <v>41</v>
      </c>
      <c r="F574">
        <v>1412</v>
      </c>
      <c r="G574">
        <v>43</v>
      </c>
      <c r="H574" s="3">
        <v>28.44</v>
      </c>
      <c r="I574">
        <v>6</v>
      </c>
      <c r="J574" t="s">
        <v>30</v>
      </c>
      <c r="L574" t="s">
        <v>68</v>
      </c>
    </row>
    <row r="575" spans="1:12" x14ac:dyDescent="0.2">
      <c r="A575" t="s">
        <v>1205</v>
      </c>
      <c r="B575" t="s">
        <v>1206</v>
      </c>
      <c r="C575" s="1">
        <v>45265</v>
      </c>
      <c r="D575" s="2">
        <v>45270</v>
      </c>
      <c r="E575" t="s">
        <v>138</v>
      </c>
      <c r="F575">
        <v>8543</v>
      </c>
      <c r="G575">
        <v>375</v>
      </c>
      <c r="H575">
        <v>619.57000000000005</v>
      </c>
      <c r="I575">
        <v>69</v>
      </c>
      <c r="J575">
        <v>0</v>
      </c>
      <c r="L575" t="s">
        <v>139</v>
      </c>
    </row>
    <row r="576" spans="1:12" x14ac:dyDescent="0.2">
      <c r="A576" t="s">
        <v>1207</v>
      </c>
      <c r="B576" t="s">
        <v>1208</v>
      </c>
      <c r="C576" s="1">
        <v>45145</v>
      </c>
      <c r="D576" s="2">
        <v>45152</v>
      </c>
      <c r="E576" t="s">
        <v>19</v>
      </c>
      <c r="F576">
        <v>34496</v>
      </c>
      <c r="G576">
        <v>1503</v>
      </c>
      <c r="H576">
        <v>1879.83</v>
      </c>
      <c r="I576">
        <v>178</v>
      </c>
      <c r="J576" t="s">
        <v>24</v>
      </c>
      <c r="L576" t="s">
        <v>20</v>
      </c>
    </row>
    <row r="577" spans="1:12" x14ac:dyDescent="0.2">
      <c r="A577" t="s">
        <v>1209</v>
      </c>
      <c r="B577" t="s">
        <v>1210</v>
      </c>
      <c r="C577" t="s">
        <v>1211</v>
      </c>
      <c r="D577" s="2">
        <v>45158</v>
      </c>
      <c r="E577" t="s">
        <v>19</v>
      </c>
      <c r="F577">
        <v>61692</v>
      </c>
      <c r="G577">
        <v>2671</v>
      </c>
      <c r="H577" s="3">
        <v>3073.4</v>
      </c>
      <c r="I577">
        <v>193</v>
      </c>
      <c r="J577" t="s">
        <v>24</v>
      </c>
      <c r="L577" t="s">
        <v>20</v>
      </c>
    </row>
    <row r="578" spans="1:12" x14ac:dyDescent="0.2">
      <c r="A578" t="s">
        <v>1212</v>
      </c>
      <c r="B578" t="s">
        <v>1213</v>
      </c>
      <c r="C578" s="1">
        <v>45107</v>
      </c>
      <c r="D578" s="2">
        <v>45120</v>
      </c>
      <c r="E578" t="s">
        <v>19</v>
      </c>
      <c r="F578">
        <v>90084</v>
      </c>
      <c r="G578">
        <v>940</v>
      </c>
      <c r="H578">
        <v>-821.8</v>
      </c>
      <c r="I578">
        <v>178</v>
      </c>
      <c r="J578" t="s">
        <v>24</v>
      </c>
      <c r="L578" t="s">
        <v>20</v>
      </c>
    </row>
    <row r="579" spans="1:12" x14ac:dyDescent="0.2">
      <c r="A579" t="s">
        <v>1214</v>
      </c>
      <c r="B579" t="s">
        <v>1215</v>
      </c>
      <c r="C579" s="1">
        <v>45254</v>
      </c>
      <c r="D579" s="2">
        <v>45276</v>
      </c>
      <c r="E579" t="s">
        <v>14</v>
      </c>
      <c r="F579">
        <v>93920</v>
      </c>
      <c r="G579">
        <v>3755</v>
      </c>
      <c r="H579" s="3">
        <v>4961.13</v>
      </c>
      <c r="I579">
        <v>446</v>
      </c>
      <c r="J579">
        <v>1</v>
      </c>
      <c r="L579" t="s">
        <v>16</v>
      </c>
    </row>
    <row r="580" spans="1:12" x14ac:dyDescent="0.2">
      <c r="A580" t="s">
        <v>1216</v>
      </c>
      <c r="B580" t="s">
        <v>1217</v>
      </c>
      <c r="C580" s="1">
        <v>44965</v>
      </c>
      <c r="D580" s="2">
        <v>44978</v>
      </c>
      <c r="E580" t="s">
        <v>14</v>
      </c>
      <c r="F580">
        <v>45425</v>
      </c>
      <c r="G580">
        <v>1832</v>
      </c>
      <c r="H580">
        <v>1670.01</v>
      </c>
      <c r="I580">
        <v>141</v>
      </c>
      <c r="J580">
        <v>1</v>
      </c>
      <c r="L580" t="s">
        <v>16</v>
      </c>
    </row>
    <row r="581" spans="1:12" x14ac:dyDescent="0.2">
      <c r="A581" t="s">
        <v>1218</v>
      </c>
      <c r="B581" t="s">
        <v>1219</v>
      </c>
      <c r="C581" s="1">
        <v>45189</v>
      </c>
      <c r="D581" s="2">
        <v>45190</v>
      </c>
      <c r="E581" t="s">
        <v>14</v>
      </c>
      <c r="F581">
        <v>39756</v>
      </c>
      <c r="G581">
        <v>1476</v>
      </c>
      <c r="H581">
        <v>2734.1</v>
      </c>
      <c r="I581">
        <v>140</v>
      </c>
      <c r="J581" t="b">
        <v>1</v>
      </c>
      <c r="L581" t="s">
        <v>16</v>
      </c>
    </row>
    <row r="582" spans="1:12" x14ac:dyDescent="0.2">
      <c r="A582" t="s">
        <v>1220</v>
      </c>
      <c r="B582" t="s">
        <v>1221</v>
      </c>
      <c r="C582" s="1">
        <v>44942</v>
      </c>
      <c r="D582" s="2">
        <v>44944</v>
      </c>
      <c r="E582" t="s">
        <v>41</v>
      </c>
      <c r="F582">
        <v>19888</v>
      </c>
      <c r="G582">
        <v>800</v>
      </c>
      <c r="H582">
        <v>658.25</v>
      </c>
      <c r="I582">
        <v>46</v>
      </c>
      <c r="J582">
        <v>0</v>
      </c>
      <c r="L582" t="s">
        <v>42</v>
      </c>
    </row>
    <row r="583" spans="1:12" x14ac:dyDescent="0.2">
      <c r="A583" t="s">
        <v>1222</v>
      </c>
      <c r="B583" t="s">
        <v>1223</v>
      </c>
      <c r="C583" t="s">
        <v>1081</v>
      </c>
      <c r="D583" s="2">
        <v>45167</v>
      </c>
      <c r="E583" t="s">
        <v>14</v>
      </c>
      <c r="F583">
        <v>36735</v>
      </c>
      <c r="G583">
        <v>1604</v>
      </c>
      <c r="H583">
        <v>2929.76</v>
      </c>
      <c r="I583">
        <v>192</v>
      </c>
      <c r="J583" t="b">
        <v>1</v>
      </c>
      <c r="L583" t="s">
        <v>16</v>
      </c>
    </row>
    <row r="584" spans="1:12" x14ac:dyDescent="0.2">
      <c r="A584" t="s">
        <v>1224</v>
      </c>
      <c r="B584" t="s">
        <v>1225</v>
      </c>
      <c r="C584" s="1">
        <v>44961</v>
      </c>
      <c r="D584" s="2">
        <v>44975</v>
      </c>
      <c r="E584" t="s">
        <v>19</v>
      </c>
      <c r="F584">
        <v>48295</v>
      </c>
      <c r="G584">
        <v>1391</v>
      </c>
      <c r="H584">
        <v>1862.7</v>
      </c>
      <c r="I584">
        <v>247</v>
      </c>
      <c r="J584">
        <v>0</v>
      </c>
      <c r="L584" t="s">
        <v>20</v>
      </c>
    </row>
    <row r="585" spans="1:12" x14ac:dyDescent="0.2">
      <c r="A585" t="s">
        <v>1226</v>
      </c>
      <c r="B585" t="s">
        <v>1227</v>
      </c>
      <c r="C585" s="1">
        <v>45112</v>
      </c>
      <c r="D585" s="2">
        <v>45139</v>
      </c>
      <c r="E585" t="s">
        <v>19</v>
      </c>
      <c r="F585">
        <v>84042</v>
      </c>
      <c r="G585">
        <v>2528</v>
      </c>
      <c r="H585">
        <v>4405.63</v>
      </c>
      <c r="J585" t="b">
        <v>1</v>
      </c>
      <c r="L585" t="s">
        <v>20</v>
      </c>
    </row>
    <row r="586" spans="1:12" x14ac:dyDescent="0.2">
      <c r="A586" t="s">
        <v>1228</v>
      </c>
      <c r="B586" t="s">
        <v>1229</v>
      </c>
      <c r="C586" s="1">
        <v>45236</v>
      </c>
      <c r="D586" s="2">
        <v>45251</v>
      </c>
      <c r="E586" t="s">
        <v>33</v>
      </c>
      <c r="F586">
        <v>86999</v>
      </c>
      <c r="G586">
        <v>1303</v>
      </c>
      <c r="H586">
        <v>2044.76</v>
      </c>
      <c r="I586">
        <v>247</v>
      </c>
      <c r="J586" t="s">
        <v>30</v>
      </c>
      <c r="L586" t="s">
        <v>34</v>
      </c>
    </row>
    <row r="587" spans="1:12" x14ac:dyDescent="0.2">
      <c r="A587" t="s">
        <v>1230</v>
      </c>
      <c r="B587" t="s">
        <v>1231</v>
      </c>
      <c r="C587" s="1">
        <v>45116</v>
      </c>
      <c r="D587" s="2">
        <v>45130</v>
      </c>
      <c r="E587" t="s">
        <v>23</v>
      </c>
      <c r="F587">
        <v>18955</v>
      </c>
      <c r="G587">
        <v>481</v>
      </c>
      <c r="H587">
        <v>743.17</v>
      </c>
      <c r="I587">
        <v>33</v>
      </c>
      <c r="J587">
        <v>1</v>
      </c>
      <c r="L587" t="s">
        <v>25</v>
      </c>
    </row>
    <row r="588" spans="1:12" x14ac:dyDescent="0.2">
      <c r="A588" t="s">
        <v>1232</v>
      </c>
      <c r="B588" t="s">
        <v>1233</v>
      </c>
      <c r="C588" s="1">
        <v>45220</v>
      </c>
      <c r="D588" s="2">
        <v>45226</v>
      </c>
      <c r="E588" t="s">
        <v>41</v>
      </c>
      <c r="F588">
        <v>38841</v>
      </c>
      <c r="G588">
        <v>1387</v>
      </c>
      <c r="H588">
        <v>1368.3</v>
      </c>
      <c r="I588">
        <v>148</v>
      </c>
      <c r="J588" t="b">
        <v>0</v>
      </c>
      <c r="L588" t="s">
        <v>42</v>
      </c>
    </row>
    <row r="589" spans="1:12" x14ac:dyDescent="0.2">
      <c r="A589" t="s">
        <v>1234</v>
      </c>
      <c r="B589" t="s">
        <v>1235</v>
      </c>
      <c r="C589" s="1">
        <v>45087</v>
      </c>
      <c r="D589" s="2">
        <v>45088</v>
      </c>
      <c r="E589" t="s">
        <v>41</v>
      </c>
      <c r="F589">
        <v>71640</v>
      </c>
      <c r="G589">
        <v>2952</v>
      </c>
      <c r="H589">
        <v>2511.6999999999998</v>
      </c>
      <c r="J589" t="b">
        <v>0</v>
      </c>
      <c r="L589" t="s">
        <v>42</v>
      </c>
    </row>
    <row r="590" spans="1:12" x14ac:dyDescent="0.2">
      <c r="A590" t="s">
        <v>1236</v>
      </c>
      <c r="B590" t="s">
        <v>1237</v>
      </c>
      <c r="C590" t="s">
        <v>1238</v>
      </c>
      <c r="D590" s="2">
        <v>45004</v>
      </c>
      <c r="E590" t="s">
        <v>14</v>
      </c>
      <c r="F590">
        <v>66510</v>
      </c>
      <c r="G590">
        <v>1242</v>
      </c>
      <c r="H590">
        <v>1013.88</v>
      </c>
      <c r="I590">
        <v>221</v>
      </c>
      <c r="J590">
        <v>1</v>
      </c>
      <c r="L590" t="s">
        <v>16</v>
      </c>
    </row>
    <row r="591" spans="1:12" x14ac:dyDescent="0.2">
      <c r="A591" t="s">
        <v>1239</v>
      </c>
      <c r="B591" t="s">
        <v>1240</v>
      </c>
      <c r="C591" s="1">
        <v>45022</v>
      </c>
      <c r="D591" s="2">
        <v>45051</v>
      </c>
      <c r="E591" t="s">
        <v>19</v>
      </c>
      <c r="F591">
        <v>35911</v>
      </c>
      <c r="G591">
        <v>557</v>
      </c>
      <c r="H591">
        <v>994.68</v>
      </c>
      <c r="I591">
        <v>57</v>
      </c>
      <c r="J591" t="s">
        <v>24</v>
      </c>
      <c r="L591" t="s">
        <v>20</v>
      </c>
    </row>
    <row r="592" spans="1:12" x14ac:dyDescent="0.2">
      <c r="A592" t="s">
        <v>1241</v>
      </c>
      <c r="B592" t="s">
        <v>1242</v>
      </c>
      <c r="C592" s="1">
        <v>45214</v>
      </c>
      <c r="D592" s="2">
        <v>45216</v>
      </c>
      <c r="E592" t="s">
        <v>138</v>
      </c>
      <c r="F592">
        <v>60031</v>
      </c>
      <c r="G592">
        <v>2192</v>
      </c>
      <c r="H592" s="3">
        <v>3793.56</v>
      </c>
      <c r="I592">
        <v>317</v>
      </c>
      <c r="J592">
        <v>1</v>
      </c>
      <c r="L592" t="s">
        <v>68</v>
      </c>
    </row>
    <row r="593" spans="1:12" x14ac:dyDescent="0.2">
      <c r="A593" t="s">
        <v>1243</v>
      </c>
      <c r="B593" t="s">
        <v>1244</v>
      </c>
      <c r="C593" s="1">
        <v>45287</v>
      </c>
      <c r="D593" s="2">
        <v>45309</v>
      </c>
      <c r="E593" t="s">
        <v>191</v>
      </c>
      <c r="F593">
        <v>89726</v>
      </c>
      <c r="G593">
        <v>904</v>
      </c>
      <c r="H593">
        <v>1049.42</v>
      </c>
      <c r="I593">
        <v>142</v>
      </c>
      <c r="J593">
        <v>1</v>
      </c>
      <c r="L593" t="s">
        <v>42</v>
      </c>
    </row>
    <row r="594" spans="1:12" x14ac:dyDescent="0.2">
      <c r="A594" t="s">
        <v>1245</v>
      </c>
      <c r="B594" t="s">
        <v>1246</v>
      </c>
      <c r="C594" s="1">
        <v>45073</v>
      </c>
      <c r="D594" s="2">
        <v>45076</v>
      </c>
      <c r="E594" t="s">
        <v>23</v>
      </c>
      <c r="F594">
        <v>8357</v>
      </c>
      <c r="G594">
        <v>143</v>
      </c>
      <c r="H594">
        <v>99.9</v>
      </c>
      <c r="I594">
        <v>16</v>
      </c>
      <c r="J594">
        <v>1</v>
      </c>
      <c r="L594" t="s">
        <v>25</v>
      </c>
    </row>
    <row r="595" spans="1:12" x14ac:dyDescent="0.2">
      <c r="A595" t="s">
        <v>1247</v>
      </c>
      <c r="B595" t="s">
        <v>1248</v>
      </c>
      <c r="C595" s="1">
        <v>45029</v>
      </c>
      <c r="D595" s="2">
        <v>45054</v>
      </c>
      <c r="E595" t="s">
        <v>33</v>
      </c>
      <c r="F595">
        <v>33479</v>
      </c>
      <c r="G595">
        <v>373</v>
      </c>
      <c r="H595">
        <v>400.37</v>
      </c>
      <c r="I595">
        <v>35</v>
      </c>
      <c r="J595" t="s">
        <v>24</v>
      </c>
      <c r="L595" t="s">
        <v>34</v>
      </c>
    </row>
    <row r="596" spans="1:12" x14ac:dyDescent="0.2">
      <c r="A596" t="s">
        <v>1249</v>
      </c>
      <c r="B596" t="s">
        <v>1250</v>
      </c>
      <c r="C596" s="1">
        <v>45158</v>
      </c>
      <c r="D596" s="2">
        <v>45187</v>
      </c>
      <c r="E596" t="s">
        <v>19</v>
      </c>
      <c r="F596">
        <v>62476</v>
      </c>
      <c r="G596">
        <v>1041</v>
      </c>
      <c r="H596">
        <v>1487.6</v>
      </c>
      <c r="I596">
        <v>202</v>
      </c>
      <c r="J596">
        <v>0</v>
      </c>
      <c r="L596" t="s">
        <v>20</v>
      </c>
    </row>
    <row r="597" spans="1:12" x14ac:dyDescent="0.2">
      <c r="A597" t="s">
        <v>1251</v>
      </c>
      <c r="B597" t="s">
        <v>1252</v>
      </c>
      <c r="C597" s="1">
        <v>44971</v>
      </c>
      <c r="D597" s="2">
        <v>44980</v>
      </c>
      <c r="E597" t="s">
        <v>23</v>
      </c>
      <c r="F597">
        <v>45811</v>
      </c>
      <c r="G597">
        <v>790</v>
      </c>
      <c r="H597">
        <v>933.47</v>
      </c>
      <c r="I597">
        <v>153</v>
      </c>
      <c r="J597" t="s">
        <v>30</v>
      </c>
      <c r="L597" t="s">
        <v>25</v>
      </c>
    </row>
    <row r="598" spans="1:12" x14ac:dyDescent="0.2">
      <c r="A598" t="s">
        <v>1253</v>
      </c>
      <c r="B598" t="s">
        <v>1254</v>
      </c>
      <c r="C598" s="1">
        <v>45090</v>
      </c>
      <c r="D598" s="2">
        <v>45113</v>
      </c>
      <c r="E598" t="s">
        <v>41</v>
      </c>
      <c r="F598">
        <v>37208</v>
      </c>
      <c r="G598">
        <v>949</v>
      </c>
      <c r="H598">
        <v>1585.1</v>
      </c>
      <c r="I598">
        <v>88</v>
      </c>
      <c r="J598" t="b">
        <v>0</v>
      </c>
      <c r="L598" t="s">
        <v>42</v>
      </c>
    </row>
    <row r="599" spans="1:12" x14ac:dyDescent="0.2">
      <c r="A599" t="s">
        <v>1255</v>
      </c>
      <c r="B599" t="s">
        <v>1256</v>
      </c>
      <c r="C599" s="1">
        <v>45208</v>
      </c>
      <c r="D599" s="2">
        <v>45218</v>
      </c>
      <c r="E599" t="s">
        <v>23</v>
      </c>
      <c r="F599">
        <v>21150</v>
      </c>
      <c r="G599">
        <v>551</v>
      </c>
      <c r="H599">
        <v>1100.04</v>
      </c>
      <c r="I599">
        <v>67</v>
      </c>
      <c r="J599" t="s">
        <v>15</v>
      </c>
      <c r="L599" t="s">
        <v>25</v>
      </c>
    </row>
    <row r="600" spans="1:12" x14ac:dyDescent="0.2">
      <c r="A600" t="s">
        <v>1257</v>
      </c>
      <c r="B600" t="s">
        <v>1258</v>
      </c>
      <c r="C600" s="1">
        <v>45007</v>
      </c>
      <c r="D600" s="2">
        <v>45031</v>
      </c>
      <c r="E600" t="s">
        <v>14</v>
      </c>
      <c r="F600">
        <v>72180</v>
      </c>
      <c r="G600">
        <v>3245</v>
      </c>
      <c r="H600">
        <v>2552.84</v>
      </c>
      <c r="I600">
        <v>635</v>
      </c>
      <c r="J600" t="b">
        <v>0</v>
      </c>
      <c r="L600" t="s">
        <v>16</v>
      </c>
    </row>
    <row r="601" spans="1:12" x14ac:dyDescent="0.2">
      <c r="A601" t="s">
        <v>1259</v>
      </c>
      <c r="B601" t="s">
        <v>1260</v>
      </c>
      <c r="C601" s="1">
        <v>45253</v>
      </c>
      <c r="D601" s="2">
        <v>45269</v>
      </c>
      <c r="E601" t="s">
        <v>41</v>
      </c>
      <c r="F601">
        <v>44286</v>
      </c>
      <c r="G601">
        <v>1346</v>
      </c>
      <c r="H601" s="3">
        <v>1601.04</v>
      </c>
      <c r="I601">
        <v>68</v>
      </c>
      <c r="J601" t="b">
        <v>0</v>
      </c>
      <c r="L601" t="s">
        <v>42</v>
      </c>
    </row>
    <row r="602" spans="1:12" x14ac:dyDescent="0.2">
      <c r="A602" t="s">
        <v>1261</v>
      </c>
      <c r="B602" t="s">
        <v>1262</v>
      </c>
      <c r="C602" s="1">
        <v>45041</v>
      </c>
      <c r="D602" s="2">
        <v>45048</v>
      </c>
      <c r="E602" t="s">
        <v>41</v>
      </c>
      <c r="F602">
        <v>69450</v>
      </c>
      <c r="G602">
        <v>2704</v>
      </c>
      <c r="H602">
        <v>3100.07</v>
      </c>
      <c r="I602">
        <v>302</v>
      </c>
      <c r="J602" t="s">
        <v>24</v>
      </c>
      <c r="L602" t="s">
        <v>42</v>
      </c>
    </row>
    <row r="603" spans="1:12" x14ac:dyDescent="0.2">
      <c r="A603" t="s">
        <v>1263</v>
      </c>
      <c r="B603" t="s">
        <v>1264</v>
      </c>
      <c r="C603" s="1">
        <v>44998</v>
      </c>
      <c r="D603" s="2">
        <v>45024</v>
      </c>
      <c r="E603" t="s">
        <v>41</v>
      </c>
      <c r="F603">
        <v>22352</v>
      </c>
      <c r="G603">
        <v>316</v>
      </c>
      <c r="H603">
        <v>302.33</v>
      </c>
      <c r="I603">
        <v>20</v>
      </c>
      <c r="J603" t="b">
        <v>1</v>
      </c>
      <c r="L603" t="s">
        <v>42</v>
      </c>
    </row>
    <row r="604" spans="1:12" x14ac:dyDescent="0.2">
      <c r="A604" t="s">
        <v>1265</v>
      </c>
      <c r="B604" t="s">
        <v>1266</v>
      </c>
      <c r="C604" s="1">
        <v>45111</v>
      </c>
      <c r="D604" s="2">
        <v>45120</v>
      </c>
      <c r="E604" t="s">
        <v>138</v>
      </c>
      <c r="F604">
        <v>56069</v>
      </c>
      <c r="G604">
        <v>1066</v>
      </c>
      <c r="H604">
        <v>849.75</v>
      </c>
      <c r="I604">
        <v>134</v>
      </c>
      <c r="J604">
        <v>1</v>
      </c>
      <c r="L604" t="s">
        <v>139</v>
      </c>
    </row>
    <row r="605" spans="1:12" x14ac:dyDescent="0.2">
      <c r="A605" t="s">
        <v>1267</v>
      </c>
      <c r="B605" t="s">
        <v>1268</v>
      </c>
      <c r="C605" s="1">
        <v>45209</v>
      </c>
      <c r="D605" s="2">
        <v>45210</v>
      </c>
      <c r="E605" t="s">
        <v>14</v>
      </c>
      <c r="F605">
        <v>15397</v>
      </c>
      <c r="G605">
        <v>586</v>
      </c>
      <c r="H605">
        <v>350.74</v>
      </c>
      <c r="I605">
        <v>31</v>
      </c>
      <c r="J605">
        <v>1</v>
      </c>
      <c r="L605" t="s">
        <v>16</v>
      </c>
    </row>
    <row r="606" spans="1:12" x14ac:dyDescent="0.2">
      <c r="A606" t="s">
        <v>1269</v>
      </c>
      <c r="B606" t="s">
        <v>1270</v>
      </c>
      <c r="C606" s="1">
        <v>44960</v>
      </c>
      <c r="D606" s="2">
        <v>44982</v>
      </c>
      <c r="E606" t="s">
        <v>23</v>
      </c>
      <c r="F606">
        <v>42555</v>
      </c>
      <c r="G606">
        <v>515</v>
      </c>
      <c r="H606">
        <v>-942.8</v>
      </c>
      <c r="I606">
        <v>57</v>
      </c>
      <c r="J606">
        <v>1</v>
      </c>
      <c r="L606" t="s">
        <v>25</v>
      </c>
    </row>
    <row r="607" spans="1:12" x14ac:dyDescent="0.2">
      <c r="A607" t="s">
        <v>1271</v>
      </c>
      <c r="B607" t="s">
        <v>1272</v>
      </c>
      <c r="C607" s="1">
        <v>45172</v>
      </c>
      <c r="D607" s="2">
        <v>45181</v>
      </c>
      <c r="E607" t="s">
        <v>23</v>
      </c>
      <c r="F607">
        <v>47959</v>
      </c>
      <c r="G607">
        <v>1413</v>
      </c>
      <c r="H607">
        <v>1596.37</v>
      </c>
      <c r="I607">
        <v>117</v>
      </c>
      <c r="J607" t="b">
        <v>1</v>
      </c>
      <c r="L607" t="s">
        <v>25</v>
      </c>
    </row>
    <row r="608" spans="1:12" x14ac:dyDescent="0.2">
      <c r="A608" t="s">
        <v>1273</v>
      </c>
      <c r="B608" t="s">
        <v>1274</v>
      </c>
      <c r="C608" t="s">
        <v>1275</v>
      </c>
      <c r="D608" s="2">
        <v>45249</v>
      </c>
      <c r="E608" t="s">
        <v>138</v>
      </c>
      <c r="F608">
        <v>1728</v>
      </c>
      <c r="G608">
        <v>58</v>
      </c>
      <c r="H608">
        <v>72.23</v>
      </c>
      <c r="I608">
        <v>7</v>
      </c>
      <c r="J608" t="s">
        <v>24</v>
      </c>
      <c r="L608" t="s">
        <v>139</v>
      </c>
    </row>
    <row r="609" spans="1:12" x14ac:dyDescent="0.2">
      <c r="A609" t="s">
        <v>1276</v>
      </c>
      <c r="B609" t="s">
        <v>1277</v>
      </c>
      <c r="C609" s="1">
        <v>45089</v>
      </c>
      <c r="D609" s="2">
        <v>45096</v>
      </c>
      <c r="E609" t="s">
        <v>23</v>
      </c>
      <c r="F609">
        <v>51517</v>
      </c>
      <c r="G609">
        <v>1755</v>
      </c>
      <c r="H609">
        <v>3291.35</v>
      </c>
      <c r="I609">
        <v>349</v>
      </c>
      <c r="J609" t="s">
        <v>30</v>
      </c>
      <c r="L609" t="s">
        <v>25</v>
      </c>
    </row>
    <row r="610" spans="1:12" x14ac:dyDescent="0.2">
      <c r="A610" t="s">
        <v>1278</v>
      </c>
      <c r="B610" t="s">
        <v>1279</v>
      </c>
      <c r="C610" s="1">
        <v>45275</v>
      </c>
      <c r="D610" s="2">
        <v>45283</v>
      </c>
      <c r="E610" t="s">
        <v>23</v>
      </c>
      <c r="F610">
        <v>67234</v>
      </c>
      <c r="G610">
        <v>734</v>
      </c>
      <c r="H610">
        <v>1221.7</v>
      </c>
      <c r="I610">
        <v>124</v>
      </c>
      <c r="J610" t="s">
        <v>30</v>
      </c>
      <c r="L610" t="s">
        <v>25</v>
      </c>
    </row>
    <row r="611" spans="1:12" x14ac:dyDescent="0.2">
      <c r="A611" t="s">
        <v>1280</v>
      </c>
      <c r="B611" t="s">
        <v>1281</v>
      </c>
      <c r="C611" s="1">
        <v>45209</v>
      </c>
      <c r="D611" s="2">
        <v>45232</v>
      </c>
      <c r="E611" t="s">
        <v>14</v>
      </c>
      <c r="F611">
        <v>40954</v>
      </c>
      <c r="G611">
        <v>937</v>
      </c>
      <c r="H611" s="3">
        <v>651.91999999999996</v>
      </c>
      <c r="I611">
        <v>165</v>
      </c>
      <c r="J611" t="s">
        <v>24</v>
      </c>
      <c r="L611" t="s">
        <v>16</v>
      </c>
    </row>
    <row r="612" spans="1:12" x14ac:dyDescent="0.2">
      <c r="A612" t="s">
        <v>1282</v>
      </c>
      <c r="B612" t="s">
        <v>1283</v>
      </c>
      <c r="C612" s="1">
        <v>44993</v>
      </c>
      <c r="D612" s="2">
        <v>45008</v>
      </c>
      <c r="E612" t="s">
        <v>23</v>
      </c>
      <c r="F612">
        <v>48280</v>
      </c>
      <c r="G612">
        <v>1711</v>
      </c>
      <c r="H612">
        <v>2306.65</v>
      </c>
      <c r="J612" t="s">
        <v>15</v>
      </c>
      <c r="L612" t="s">
        <v>68</v>
      </c>
    </row>
    <row r="613" spans="1:12" x14ac:dyDescent="0.2">
      <c r="A613" t="s">
        <v>1284</v>
      </c>
      <c r="B613" t="s">
        <v>1285</v>
      </c>
      <c r="C613" s="1">
        <v>44955</v>
      </c>
      <c r="D613" s="2">
        <v>44981</v>
      </c>
      <c r="E613" t="s">
        <v>14</v>
      </c>
      <c r="F613">
        <v>80459</v>
      </c>
      <c r="G613">
        <v>1284</v>
      </c>
      <c r="H613">
        <v>1493.78</v>
      </c>
      <c r="I613">
        <v>72</v>
      </c>
      <c r="J613" t="s">
        <v>30</v>
      </c>
      <c r="L613" t="s">
        <v>16</v>
      </c>
    </row>
    <row r="614" spans="1:12" x14ac:dyDescent="0.2">
      <c r="A614" t="s">
        <v>1286</v>
      </c>
      <c r="B614" t="s">
        <v>1287</v>
      </c>
      <c r="C614" s="1">
        <v>45082</v>
      </c>
      <c r="D614" s="2">
        <v>45083</v>
      </c>
      <c r="E614" t="s">
        <v>19</v>
      </c>
      <c r="F614">
        <v>17779</v>
      </c>
      <c r="G614">
        <v>672</v>
      </c>
      <c r="H614">
        <v>1139.5899999999999</v>
      </c>
      <c r="I614">
        <v>54</v>
      </c>
      <c r="J614" t="s">
        <v>24</v>
      </c>
      <c r="L614" t="s">
        <v>20</v>
      </c>
    </row>
    <row r="615" spans="1:12" x14ac:dyDescent="0.2">
      <c r="A615" t="s">
        <v>1288</v>
      </c>
      <c r="B615" t="s">
        <v>1289</v>
      </c>
      <c r="C615" s="1">
        <v>45290</v>
      </c>
      <c r="D615" s="2">
        <v>45311</v>
      </c>
      <c r="E615" t="s">
        <v>41</v>
      </c>
      <c r="F615">
        <v>64932</v>
      </c>
      <c r="G615">
        <v>2586</v>
      </c>
      <c r="H615">
        <v>4102.3</v>
      </c>
      <c r="J615" t="s">
        <v>30</v>
      </c>
      <c r="L615" t="s">
        <v>42</v>
      </c>
    </row>
    <row r="616" spans="1:12" x14ac:dyDescent="0.2">
      <c r="A616" t="s">
        <v>1290</v>
      </c>
      <c r="B616" t="s">
        <v>1291</v>
      </c>
      <c r="C616" s="1">
        <v>45192</v>
      </c>
      <c r="D616" s="2">
        <v>45194</v>
      </c>
      <c r="E616" t="s">
        <v>33</v>
      </c>
      <c r="F616">
        <v>73936</v>
      </c>
      <c r="G616">
        <v>3643</v>
      </c>
      <c r="H616">
        <v>5594.22</v>
      </c>
      <c r="I616">
        <v>382</v>
      </c>
      <c r="J616">
        <v>1</v>
      </c>
      <c r="L616" t="s">
        <v>34</v>
      </c>
    </row>
    <row r="617" spans="1:12" x14ac:dyDescent="0.2">
      <c r="A617" t="s">
        <v>1292</v>
      </c>
      <c r="B617" t="s">
        <v>1293</v>
      </c>
      <c r="C617" s="1">
        <v>45055</v>
      </c>
      <c r="D617" s="2">
        <v>45083</v>
      </c>
      <c r="E617" t="s">
        <v>41</v>
      </c>
      <c r="F617">
        <v>25466</v>
      </c>
      <c r="G617">
        <v>468</v>
      </c>
      <c r="H617">
        <v>473.06</v>
      </c>
      <c r="I617">
        <v>30</v>
      </c>
      <c r="J617">
        <v>0</v>
      </c>
      <c r="L617" t="s">
        <v>42</v>
      </c>
    </row>
    <row r="618" spans="1:12" x14ac:dyDescent="0.2">
      <c r="A618" t="s">
        <v>1294</v>
      </c>
      <c r="B618" t="s">
        <v>1295</v>
      </c>
      <c r="C618" s="1">
        <v>45067</v>
      </c>
      <c r="D618" s="2">
        <v>45086</v>
      </c>
      <c r="E618" t="s">
        <v>14</v>
      </c>
      <c r="F618">
        <v>37939</v>
      </c>
      <c r="G618">
        <v>1631</v>
      </c>
      <c r="H618">
        <v>2784.84</v>
      </c>
      <c r="I618">
        <v>253</v>
      </c>
      <c r="J618" t="s">
        <v>24</v>
      </c>
      <c r="L618" t="s">
        <v>16</v>
      </c>
    </row>
    <row r="619" spans="1:12" x14ac:dyDescent="0.2">
      <c r="A619" t="s">
        <v>1296</v>
      </c>
      <c r="B619" t="s">
        <v>1297</v>
      </c>
      <c r="C619" s="2">
        <v>44936</v>
      </c>
      <c r="D619" s="2">
        <v>45227</v>
      </c>
      <c r="E619" t="s">
        <v>19</v>
      </c>
      <c r="F619">
        <v>70896</v>
      </c>
      <c r="G619">
        <v>2184</v>
      </c>
      <c r="H619">
        <v>1263.6300000000001</v>
      </c>
      <c r="I619">
        <v>207</v>
      </c>
      <c r="J619" t="b">
        <v>0</v>
      </c>
      <c r="L619" t="s">
        <v>20</v>
      </c>
    </row>
    <row r="620" spans="1:12" x14ac:dyDescent="0.2">
      <c r="A620" t="s">
        <v>1298</v>
      </c>
      <c r="B620" t="s">
        <v>1299</v>
      </c>
      <c r="C620" s="1">
        <v>45255</v>
      </c>
      <c r="D620" s="2">
        <v>45283</v>
      </c>
      <c r="E620" t="s">
        <v>14</v>
      </c>
      <c r="F620">
        <v>36270</v>
      </c>
      <c r="G620">
        <v>904</v>
      </c>
      <c r="H620">
        <v>668.45</v>
      </c>
      <c r="I620">
        <v>81</v>
      </c>
      <c r="J620" t="s">
        <v>30</v>
      </c>
      <c r="L620" t="s">
        <v>16</v>
      </c>
    </row>
    <row r="621" spans="1:12" x14ac:dyDescent="0.2">
      <c r="A621" t="s">
        <v>1300</v>
      </c>
      <c r="B621" t="s">
        <v>1301</v>
      </c>
      <c r="C621" s="1">
        <v>45005</v>
      </c>
      <c r="D621" s="2">
        <v>45019</v>
      </c>
      <c r="E621" t="s">
        <v>41</v>
      </c>
      <c r="F621">
        <v>60163</v>
      </c>
      <c r="G621">
        <v>896</v>
      </c>
      <c r="H621">
        <v>899.08</v>
      </c>
      <c r="J621" t="s">
        <v>30</v>
      </c>
      <c r="L621" t="s">
        <v>42</v>
      </c>
    </row>
    <row r="622" spans="1:12" x14ac:dyDescent="0.2">
      <c r="A622" t="s">
        <v>1302</v>
      </c>
      <c r="B622" t="s">
        <v>1303</v>
      </c>
      <c r="C622" s="1">
        <v>45236</v>
      </c>
      <c r="D622" s="2">
        <v>45254</v>
      </c>
      <c r="E622" t="s">
        <v>41</v>
      </c>
      <c r="F622">
        <v>83637</v>
      </c>
      <c r="G622">
        <v>3296</v>
      </c>
      <c r="H622">
        <v>2027.74</v>
      </c>
      <c r="I622">
        <v>589</v>
      </c>
      <c r="J622" t="b">
        <v>1</v>
      </c>
      <c r="L622" t="s">
        <v>42</v>
      </c>
    </row>
    <row r="623" spans="1:12" x14ac:dyDescent="0.2">
      <c r="A623" t="s">
        <v>1304</v>
      </c>
      <c r="B623" t="s">
        <v>1305</v>
      </c>
      <c r="C623" s="2">
        <v>44948</v>
      </c>
      <c r="D623" s="2">
        <v>44971</v>
      </c>
      <c r="E623" t="s">
        <v>33</v>
      </c>
      <c r="F623">
        <v>52934</v>
      </c>
      <c r="G623">
        <v>1028</v>
      </c>
      <c r="H623">
        <v>876.36</v>
      </c>
      <c r="I623">
        <v>114</v>
      </c>
      <c r="J623" t="s">
        <v>15</v>
      </c>
      <c r="L623" t="s">
        <v>68</v>
      </c>
    </row>
    <row r="624" spans="1:12" x14ac:dyDescent="0.2">
      <c r="A624" t="s">
        <v>1306</v>
      </c>
      <c r="B624" t="s">
        <v>1307</v>
      </c>
      <c r="C624" s="1">
        <v>44950</v>
      </c>
      <c r="D624" s="2">
        <v>44966</v>
      </c>
      <c r="E624" t="s">
        <v>19</v>
      </c>
      <c r="F624">
        <v>65895</v>
      </c>
      <c r="G624">
        <v>1637</v>
      </c>
      <c r="H624">
        <v>2856.94</v>
      </c>
      <c r="I624">
        <v>322</v>
      </c>
      <c r="J624">
        <v>0</v>
      </c>
      <c r="L624" t="s">
        <v>20</v>
      </c>
    </row>
    <row r="625" spans="1:12" x14ac:dyDescent="0.2">
      <c r="A625" t="s">
        <v>1308</v>
      </c>
      <c r="B625" t="s">
        <v>1309</v>
      </c>
      <c r="C625" s="1">
        <v>45062</v>
      </c>
      <c r="D625" s="2">
        <v>45088</v>
      </c>
      <c r="E625" t="s">
        <v>19</v>
      </c>
      <c r="F625">
        <v>33307</v>
      </c>
      <c r="G625">
        <v>416</v>
      </c>
      <c r="H625">
        <v>799.71</v>
      </c>
      <c r="I625">
        <v>61</v>
      </c>
      <c r="J625" t="b">
        <v>1</v>
      </c>
      <c r="L625" t="s">
        <v>20</v>
      </c>
    </row>
    <row r="626" spans="1:12" x14ac:dyDescent="0.2">
      <c r="A626" t="s">
        <v>1310</v>
      </c>
      <c r="B626" t="s">
        <v>1311</v>
      </c>
      <c r="C626" s="2">
        <v>45140</v>
      </c>
      <c r="D626" s="2">
        <v>44973</v>
      </c>
      <c r="E626" t="s">
        <v>41</v>
      </c>
      <c r="F626">
        <v>55098</v>
      </c>
      <c r="G626">
        <v>2317</v>
      </c>
      <c r="H626">
        <v>2217.15</v>
      </c>
      <c r="J626">
        <v>1</v>
      </c>
      <c r="L626" t="s">
        <v>42</v>
      </c>
    </row>
    <row r="627" spans="1:12" x14ac:dyDescent="0.2">
      <c r="A627" t="s">
        <v>1312</v>
      </c>
      <c r="B627" t="s">
        <v>1313</v>
      </c>
      <c r="C627" s="1">
        <v>45248</v>
      </c>
      <c r="D627" s="2">
        <v>45271</v>
      </c>
      <c r="E627" t="s">
        <v>23</v>
      </c>
      <c r="F627">
        <v>61921</v>
      </c>
      <c r="G627">
        <v>2517</v>
      </c>
      <c r="H627" s="3">
        <v>2257.1799999999998</v>
      </c>
      <c r="I627">
        <v>137</v>
      </c>
      <c r="J627" t="b">
        <v>0</v>
      </c>
      <c r="L627" t="s">
        <v>25</v>
      </c>
    </row>
    <row r="628" spans="1:12" x14ac:dyDescent="0.2">
      <c r="A628" t="s">
        <v>1314</v>
      </c>
      <c r="B628" t="s">
        <v>1315</v>
      </c>
      <c r="C628" s="1">
        <v>45081</v>
      </c>
      <c r="D628" s="2">
        <v>45109</v>
      </c>
      <c r="E628" t="s">
        <v>14</v>
      </c>
      <c r="F628">
        <v>6486</v>
      </c>
      <c r="G628">
        <v>255</v>
      </c>
      <c r="H628">
        <v>234.56</v>
      </c>
      <c r="I628">
        <v>17</v>
      </c>
      <c r="J628" t="s">
        <v>15</v>
      </c>
      <c r="L628" t="s">
        <v>16</v>
      </c>
    </row>
    <row r="629" spans="1:12" x14ac:dyDescent="0.2">
      <c r="A629" t="s">
        <v>1316</v>
      </c>
      <c r="B629" t="s">
        <v>1317</v>
      </c>
      <c r="C629" s="1">
        <v>45277</v>
      </c>
      <c r="D629" s="2">
        <v>45301</v>
      </c>
      <c r="E629" t="s">
        <v>19</v>
      </c>
      <c r="F629">
        <v>9335</v>
      </c>
      <c r="G629">
        <v>205</v>
      </c>
      <c r="H629">
        <v>187.9</v>
      </c>
      <c r="I629">
        <v>29</v>
      </c>
      <c r="J629" t="b">
        <v>1</v>
      </c>
      <c r="L629" t="s">
        <v>20</v>
      </c>
    </row>
    <row r="630" spans="1:12" x14ac:dyDescent="0.2">
      <c r="A630" t="s">
        <v>1318</v>
      </c>
      <c r="B630" t="s">
        <v>1319</v>
      </c>
      <c r="C630" t="s">
        <v>1320</v>
      </c>
      <c r="D630" s="2">
        <v>45281</v>
      </c>
      <c r="E630" t="s">
        <v>41</v>
      </c>
      <c r="F630">
        <v>87900</v>
      </c>
      <c r="G630">
        <v>1488</v>
      </c>
      <c r="H630">
        <v>824.2</v>
      </c>
      <c r="I630">
        <v>275</v>
      </c>
      <c r="J630" t="s">
        <v>24</v>
      </c>
      <c r="L630" t="s">
        <v>42</v>
      </c>
    </row>
    <row r="631" spans="1:12" x14ac:dyDescent="0.2">
      <c r="A631" t="s">
        <v>1321</v>
      </c>
      <c r="B631" t="s">
        <v>1322</v>
      </c>
      <c r="C631" s="1">
        <v>45152</v>
      </c>
      <c r="D631" s="2">
        <v>45162</v>
      </c>
      <c r="E631" t="s">
        <v>41</v>
      </c>
      <c r="F631">
        <v>90112</v>
      </c>
      <c r="G631">
        <v>3199</v>
      </c>
      <c r="H631" s="3">
        <v>6047.31</v>
      </c>
      <c r="I631">
        <v>459</v>
      </c>
      <c r="J631" t="s">
        <v>30</v>
      </c>
      <c r="L631" t="s">
        <v>42</v>
      </c>
    </row>
    <row r="632" spans="1:12" x14ac:dyDescent="0.2">
      <c r="A632" t="s">
        <v>1323</v>
      </c>
      <c r="B632" t="s">
        <v>1324</v>
      </c>
      <c r="C632" s="1">
        <v>45101</v>
      </c>
      <c r="D632" s="2">
        <v>45113</v>
      </c>
      <c r="E632" t="s">
        <v>41</v>
      </c>
      <c r="F632">
        <v>98203</v>
      </c>
      <c r="G632">
        <v>2931</v>
      </c>
      <c r="H632" s="3">
        <v>2405.02</v>
      </c>
      <c r="I632">
        <v>205</v>
      </c>
      <c r="J632" t="s">
        <v>30</v>
      </c>
      <c r="L632" t="s">
        <v>42</v>
      </c>
    </row>
    <row r="633" spans="1:12" x14ac:dyDescent="0.2">
      <c r="A633" t="s">
        <v>1325</v>
      </c>
      <c r="B633" t="s">
        <v>1326</v>
      </c>
      <c r="C633" s="1">
        <v>45090</v>
      </c>
      <c r="D633" s="2">
        <v>45093</v>
      </c>
      <c r="E633" t="s">
        <v>33</v>
      </c>
      <c r="F633">
        <v>12130</v>
      </c>
      <c r="G633">
        <v>207</v>
      </c>
      <c r="H633">
        <v>233.91</v>
      </c>
      <c r="I633">
        <v>13</v>
      </c>
      <c r="J633" t="s">
        <v>15</v>
      </c>
      <c r="L633" t="s">
        <v>34</v>
      </c>
    </row>
    <row r="634" spans="1:12" x14ac:dyDescent="0.2">
      <c r="A634" t="s">
        <v>1327</v>
      </c>
      <c r="B634" t="s">
        <v>1328</v>
      </c>
      <c r="C634" s="1">
        <v>45131</v>
      </c>
      <c r="D634" s="2">
        <v>45151</v>
      </c>
      <c r="E634" t="s">
        <v>19</v>
      </c>
      <c r="F634">
        <v>88508</v>
      </c>
      <c r="G634">
        <v>3313</v>
      </c>
      <c r="H634">
        <v>1704.64</v>
      </c>
      <c r="I634">
        <v>585</v>
      </c>
      <c r="J634" t="s">
        <v>30</v>
      </c>
      <c r="L634" t="s">
        <v>20</v>
      </c>
    </row>
    <row r="635" spans="1:12" x14ac:dyDescent="0.2">
      <c r="A635" t="s">
        <v>1329</v>
      </c>
      <c r="B635" t="s">
        <v>1330</v>
      </c>
      <c r="C635" s="1">
        <v>45214</v>
      </c>
      <c r="D635" s="2">
        <v>45226</v>
      </c>
      <c r="E635" t="s">
        <v>14</v>
      </c>
      <c r="F635">
        <v>61566</v>
      </c>
      <c r="G635">
        <v>3056</v>
      </c>
      <c r="H635">
        <v>5460.87</v>
      </c>
      <c r="I635">
        <v>216</v>
      </c>
      <c r="J635" t="s">
        <v>24</v>
      </c>
      <c r="L635" t="s">
        <v>16</v>
      </c>
    </row>
    <row r="636" spans="1:12" x14ac:dyDescent="0.2">
      <c r="A636" t="s">
        <v>1331</v>
      </c>
      <c r="B636" t="s">
        <v>1332</v>
      </c>
      <c r="C636" s="1">
        <v>44989</v>
      </c>
      <c r="D636" s="2">
        <v>45004</v>
      </c>
      <c r="E636" t="s">
        <v>19</v>
      </c>
      <c r="F636">
        <v>67703</v>
      </c>
      <c r="G636">
        <v>2700</v>
      </c>
      <c r="H636" s="3">
        <v>4311.1899999999996</v>
      </c>
      <c r="I636">
        <v>345</v>
      </c>
      <c r="J636" t="b">
        <v>1</v>
      </c>
      <c r="L636" t="s">
        <v>20</v>
      </c>
    </row>
    <row r="637" spans="1:12" x14ac:dyDescent="0.2">
      <c r="A637" t="s">
        <v>1333</v>
      </c>
      <c r="B637" t="s">
        <v>1334</v>
      </c>
      <c r="C637" t="s">
        <v>1335</v>
      </c>
      <c r="D637" s="2">
        <v>45003</v>
      </c>
      <c r="E637" t="s">
        <v>138</v>
      </c>
      <c r="F637">
        <v>28192</v>
      </c>
      <c r="G637">
        <v>1116</v>
      </c>
      <c r="H637">
        <v>2142.87</v>
      </c>
      <c r="I637">
        <v>62</v>
      </c>
      <c r="J637" t="b">
        <v>1</v>
      </c>
      <c r="L637" t="s">
        <v>139</v>
      </c>
    </row>
    <row r="638" spans="1:12" x14ac:dyDescent="0.2">
      <c r="A638" t="s">
        <v>1336</v>
      </c>
      <c r="B638" t="s">
        <v>1337</v>
      </c>
      <c r="C638" s="1">
        <v>45123</v>
      </c>
      <c r="D638" s="2">
        <v>45139</v>
      </c>
      <c r="E638" t="s">
        <v>41</v>
      </c>
      <c r="F638">
        <v>2062</v>
      </c>
      <c r="G638">
        <v>99</v>
      </c>
      <c r="H638">
        <v>165.57</v>
      </c>
      <c r="I638">
        <v>6</v>
      </c>
      <c r="J638" t="s">
        <v>30</v>
      </c>
      <c r="L638" t="s">
        <v>42</v>
      </c>
    </row>
    <row r="639" spans="1:12" x14ac:dyDescent="0.2">
      <c r="A639" t="s">
        <v>1338</v>
      </c>
      <c r="B639" t="s">
        <v>1339</v>
      </c>
      <c r="C639" s="1">
        <v>45008</v>
      </c>
      <c r="D639" s="2">
        <v>45026</v>
      </c>
      <c r="E639" t="s">
        <v>14</v>
      </c>
      <c r="F639">
        <v>85076</v>
      </c>
      <c r="G639">
        <v>1541</v>
      </c>
      <c r="H639">
        <v>1495.63</v>
      </c>
      <c r="I639">
        <v>232</v>
      </c>
      <c r="J639" t="s">
        <v>30</v>
      </c>
      <c r="L639" t="s">
        <v>16</v>
      </c>
    </row>
    <row r="640" spans="1:12" x14ac:dyDescent="0.2">
      <c r="A640" t="s">
        <v>1340</v>
      </c>
      <c r="B640" t="s">
        <v>1341</v>
      </c>
      <c r="C640" s="1">
        <v>45087</v>
      </c>
      <c r="D640" s="2">
        <v>45093</v>
      </c>
      <c r="E640" t="s">
        <v>19</v>
      </c>
      <c r="F640">
        <v>90780</v>
      </c>
      <c r="G640">
        <v>2961</v>
      </c>
      <c r="H640">
        <v>2581.4299999999998</v>
      </c>
      <c r="I640">
        <v>454</v>
      </c>
      <c r="J640">
        <v>1</v>
      </c>
      <c r="L640" t="s">
        <v>20</v>
      </c>
    </row>
    <row r="641" spans="1:12" x14ac:dyDescent="0.2">
      <c r="A641" t="s">
        <v>1342</v>
      </c>
      <c r="B641" t="s">
        <v>1343</v>
      </c>
      <c r="C641" s="1">
        <v>45190</v>
      </c>
      <c r="D641" s="2">
        <v>45202</v>
      </c>
      <c r="E641" t="s">
        <v>33</v>
      </c>
      <c r="F641">
        <v>22545</v>
      </c>
      <c r="G641">
        <v>1108</v>
      </c>
      <c r="H641">
        <v>1713.6</v>
      </c>
      <c r="I641">
        <v>112</v>
      </c>
      <c r="J641" t="b">
        <v>0</v>
      </c>
      <c r="L641" t="s">
        <v>34</v>
      </c>
    </row>
    <row r="642" spans="1:12" x14ac:dyDescent="0.2">
      <c r="A642" t="s">
        <v>1344</v>
      </c>
      <c r="B642" t="s">
        <v>1345</v>
      </c>
      <c r="C642" s="2">
        <v>45269</v>
      </c>
      <c r="D642" s="2">
        <v>45203</v>
      </c>
      <c r="E642" t="s">
        <v>23</v>
      </c>
      <c r="F642">
        <v>22689</v>
      </c>
      <c r="G642">
        <v>376</v>
      </c>
      <c r="H642">
        <v>393.36</v>
      </c>
      <c r="I642">
        <v>30</v>
      </c>
      <c r="J642" t="s">
        <v>15</v>
      </c>
      <c r="L642" t="s">
        <v>25</v>
      </c>
    </row>
    <row r="643" spans="1:12" x14ac:dyDescent="0.2">
      <c r="A643" t="s">
        <v>1346</v>
      </c>
      <c r="B643" t="s">
        <v>1347</v>
      </c>
      <c r="C643" s="1">
        <v>45128</v>
      </c>
      <c r="D643" s="2">
        <v>45123</v>
      </c>
      <c r="E643" t="s">
        <v>19</v>
      </c>
      <c r="F643">
        <v>12174</v>
      </c>
      <c r="G643">
        <v>462</v>
      </c>
      <c r="H643" s="3">
        <v>623.39</v>
      </c>
      <c r="I643">
        <v>79</v>
      </c>
      <c r="J643" t="b">
        <v>1</v>
      </c>
      <c r="L643" t="s">
        <v>20</v>
      </c>
    </row>
    <row r="644" spans="1:12" x14ac:dyDescent="0.2">
      <c r="A644" t="s">
        <v>1348</v>
      </c>
      <c r="B644" t="s">
        <v>1349</v>
      </c>
      <c r="C644" s="2">
        <v>45037</v>
      </c>
      <c r="D644" s="2">
        <v>45049</v>
      </c>
      <c r="E644" t="s">
        <v>23</v>
      </c>
      <c r="F644">
        <v>89461</v>
      </c>
      <c r="G644">
        <v>2990</v>
      </c>
      <c r="H644">
        <v>1523.06</v>
      </c>
      <c r="I644">
        <v>246</v>
      </c>
      <c r="J644" t="s">
        <v>15</v>
      </c>
      <c r="L644" t="s">
        <v>25</v>
      </c>
    </row>
    <row r="645" spans="1:12" x14ac:dyDescent="0.2">
      <c r="A645" t="s">
        <v>1350</v>
      </c>
      <c r="B645" t="s">
        <v>1351</v>
      </c>
      <c r="C645" s="1">
        <v>45071</v>
      </c>
      <c r="D645" s="2">
        <v>45095</v>
      </c>
      <c r="E645" t="s">
        <v>23</v>
      </c>
      <c r="F645">
        <v>10348</v>
      </c>
      <c r="G645">
        <v>346</v>
      </c>
      <c r="H645">
        <v>205.12</v>
      </c>
      <c r="I645">
        <v>45</v>
      </c>
      <c r="J645">
        <v>1</v>
      </c>
      <c r="L645" t="s">
        <v>25</v>
      </c>
    </row>
    <row r="646" spans="1:12" x14ac:dyDescent="0.2">
      <c r="A646" t="s">
        <v>1352</v>
      </c>
      <c r="B646" t="s">
        <v>1353</v>
      </c>
      <c r="C646" s="1">
        <v>45261</v>
      </c>
      <c r="D646" s="2">
        <v>45279</v>
      </c>
      <c r="E646" t="s">
        <v>19</v>
      </c>
      <c r="F646">
        <v>24714</v>
      </c>
      <c r="G646">
        <v>936</v>
      </c>
      <c r="H646">
        <v>1219.6600000000001</v>
      </c>
      <c r="I646">
        <v>182</v>
      </c>
      <c r="J646" t="b">
        <v>1</v>
      </c>
      <c r="L646" t="s">
        <v>20</v>
      </c>
    </row>
    <row r="647" spans="1:12" x14ac:dyDescent="0.2">
      <c r="A647" t="s">
        <v>1354</v>
      </c>
      <c r="B647" t="s">
        <v>1355</v>
      </c>
      <c r="C647" s="1">
        <v>44931</v>
      </c>
      <c r="D647" s="2">
        <v>44949</v>
      </c>
      <c r="E647" t="s">
        <v>19</v>
      </c>
      <c r="F647">
        <v>39102</v>
      </c>
      <c r="G647">
        <v>1845</v>
      </c>
      <c r="H647">
        <v>2489.1</v>
      </c>
      <c r="I647">
        <v>133</v>
      </c>
      <c r="J647">
        <v>1</v>
      </c>
      <c r="L647" t="s">
        <v>20</v>
      </c>
    </row>
    <row r="648" spans="1:12" x14ac:dyDescent="0.2">
      <c r="A648" t="s">
        <v>1356</v>
      </c>
      <c r="B648" t="s">
        <v>1357</v>
      </c>
      <c r="C648" s="1">
        <v>45062</v>
      </c>
      <c r="D648" s="2">
        <v>45067</v>
      </c>
      <c r="E648" t="s">
        <v>41</v>
      </c>
      <c r="F648">
        <v>75460</v>
      </c>
      <c r="G648">
        <v>3116</v>
      </c>
      <c r="H648">
        <v>5070.29</v>
      </c>
      <c r="J648">
        <v>1</v>
      </c>
      <c r="L648" t="s">
        <v>42</v>
      </c>
    </row>
    <row r="649" spans="1:12" x14ac:dyDescent="0.2">
      <c r="A649" t="s">
        <v>1358</v>
      </c>
      <c r="B649" t="s">
        <v>1359</v>
      </c>
      <c r="C649" s="2">
        <v>45114</v>
      </c>
      <c r="D649" s="2">
        <v>45125</v>
      </c>
      <c r="E649" t="s">
        <v>23</v>
      </c>
      <c r="F649">
        <v>90930</v>
      </c>
      <c r="G649">
        <v>1113</v>
      </c>
      <c r="H649">
        <v>776.82</v>
      </c>
      <c r="I649">
        <v>86</v>
      </c>
      <c r="J649">
        <v>0</v>
      </c>
      <c r="L649" t="s">
        <v>25</v>
      </c>
    </row>
    <row r="650" spans="1:12" x14ac:dyDescent="0.2">
      <c r="A650" t="s">
        <v>1360</v>
      </c>
      <c r="B650" t="s">
        <v>1361</v>
      </c>
      <c r="C650" s="1">
        <v>44953</v>
      </c>
      <c r="D650" s="2">
        <v>44977</v>
      </c>
      <c r="E650" t="s">
        <v>33</v>
      </c>
      <c r="F650">
        <v>7801</v>
      </c>
      <c r="G650">
        <v>344</v>
      </c>
      <c r="H650">
        <v>436.8</v>
      </c>
      <c r="I650">
        <v>46</v>
      </c>
      <c r="J650" t="s">
        <v>30</v>
      </c>
      <c r="L650" t="s">
        <v>34</v>
      </c>
    </row>
    <row r="651" spans="1:12" x14ac:dyDescent="0.2">
      <c r="A651" t="s">
        <v>1362</v>
      </c>
      <c r="B651" t="s">
        <v>1363</v>
      </c>
      <c r="C651" s="1">
        <v>45210</v>
      </c>
      <c r="D651" s="2">
        <v>45231</v>
      </c>
      <c r="E651" t="s">
        <v>33</v>
      </c>
      <c r="F651">
        <v>73267</v>
      </c>
      <c r="G651">
        <v>1393</v>
      </c>
      <c r="H651">
        <v>1102.8</v>
      </c>
      <c r="I651">
        <v>148</v>
      </c>
      <c r="J651" t="s">
        <v>24</v>
      </c>
      <c r="L651" t="s">
        <v>34</v>
      </c>
    </row>
    <row r="652" spans="1:12" x14ac:dyDescent="0.2">
      <c r="A652" t="s">
        <v>1364</v>
      </c>
      <c r="B652" t="s">
        <v>1365</v>
      </c>
      <c r="C652" s="1">
        <v>45157</v>
      </c>
      <c r="D652" s="2">
        <v>45169</v>
      </c>
      <c r="E652" t="s">
        <v>33</v>
      </c>
      <c r="F652">
        <v>49136</v>
      </c>
      <c r="G652">
        <v>1232</v>
      </c>
      <c r="H652">
        <v>788.23</v>
      </c>
      <c r="I652">
        <v>239</v>
      </c>
      <c r="J652">
        <v>0</v>
      </c>
      <c r="L652" t="s">
        <v>34</v>
      </c>
    </row>
    <row r="653" spans="1:12" x14ac:dyDescent="0.2">
      <c r="A653" t="s">
        <v>1366</v>
      </c>
      <c r="B653" t="s">
        <v>1367</v>
      </c>
      <c r="C653" s="1">
        <v>45246</v>
      </c>
      <c r="D653" s="2">
        <v>45260</v>
      </c>
      <c r="E653" t="s">
        <v>41</v>
      </c>
      <c r="F653">
        <v>24625</v>
      </c>
      <c r="G653">
        <v>701</v>
      </c>
      <c r="H653">
        <v>782.14</v>
      </c>
      <c r="I653">
        <v>63</v>
      </c>
      <c r="J653" t="s">
        <v>15</v>
      </c>
      <c r="L653" t="s">
        <v>42</v>
      </c>
    </row>
    <row r="654" spans="1:12" x14ac:dyDescent="0.2">
      <c r="A654" t="s">
        <v>1368</v>
      </c>
      <c r="B654" t="s">
        <v>1369</v>
      </c>
      <c r="C654" s="1">
        <v>44976</v>
      </c>
      <c r="D654" s="2">
        <v>44982</v>
      </c>
      <c r="E654" t="s">
        <v>41</v>
      </c>
      <c r="F654">
        <v>83873</v>
      </c>
      <c r="G654">
        <v>2452</v>
      </c>
      <c r="H654">
        <v>1826.75</v>
      </c>
      <c r="I654">
        <v>269</v>
      </c>
      <c r="J654" t="s">
        <v>24</v>
      </c>
      <c r="L654" t="s">
        <v>42</v>
      </c>
    </row>
    <row r="655" spans="1:12" x14ac:dyDescent="0.2">
      <c r="A655" t="s">
        <v>1370</v>
      </c>
      <c r="B655" t="s">
        <v>1371</v>
      </c>
      <c r="C655" s="1">
        <v>45100</v>
      </c>
      <c r="D655" s="2">
        <v>45119</v>
      </c>
      <c r="E655" t="s">
        <v>19</v>
      </c>
      <c r="F655">
        <v>73592</v>
      </c>
      <c r="G655">
        <v>2016</v>
      </c>
      <c r="H655">
        <v>1678.67</v>
      </c>
      <c r="I655">
        <v>398</v>
      </c>
      <c r="J655" t="s">
        <v>15</v>
      </c>
      <c r="L655" t="s">
        <v>20</v>
      </c>
    </row>
    <row r="656" spans="1:12" x14ac:dyDescent="0.2">
      <c r="A656" t="s">
        <v>1372</v>
      </c>
      <c r="B656" t="s">
        <v>1373</v>
      </c>
      <c r="C656" s="1">
        <v>45000</v>
      </c>
      <c r="D656" s="2">
        <v>45013</v>
      </c>
      <c r="E656" t="s">
        <v>41</v>
      </c>
      <c r="F656">
        <v>78052</v>
      </c>
      <c r="G656">
        <v>3707</v>
      </c>
      <c r="H656">
        <v>3619.26</v>
      </c>
      <c r="I656">
        <v>483</v>
      </c>
      <c r="J656" t="s">
        <v>30</v>
      </c>
      <c r="L656" t="s">
        <v>42</v>
      </c>
    </row>
    <row r="657" spans="1:12" x14ac:dyDescent="0.2">
      <c r="A657" t="s">
        <v>1374</v>
      </c>
      <c r="B657" t="s">
        <v>1375</v>
      </c>
      <c r="C657" t="s">
        <v>1376</v>
      </c>
      <c r="D657" s="2">
        <v>45195</v>
      </c>
      <c r="E657" t="s">
        <v>138</v>
      </c>
      <c r="F657">
        <v>45261</v>
      </c>
      <c r="G657">
        <v>1730</v>
      </c>
      <c r="H657">
        <v>1538.11</v>
      </c>
      <c r="I657">
        <v>216</v>
      </c>
      <c r="J657" t="s">
        <v>24</v>
      </c>
      <c r="L657" t="s">
        <v>139</v>
      </c>
    </row>
    <row r="658" spans="1:12" x14ac:dyDescent="0.2">
      <c r="A658" t="s">
        <v>1377</v>
      </c>
      <c r="B658" t="s">
        <v>1378</v>
      </c>
      <c r="C658" s="1">
        <v>44946</v>
      </c>
      <c r="D658" s="2">
        <v>44961</v>
      </c>
      <c r="E658" t="s">
        <v>14</v>
      </c>
      <c r="F658">
        <v>2542</v>
      </c>
      <c r="G658">
        <v>89</v>
      </c>
      <c r="H658">
        <v>56.19</v>
      </c>
      <c r="I658">
        <v>7</v>
      </c>
      <c r="J658">
        <v>0</v>
      </c>
      <c r="L658" t="s">
        <v>16</v>
      </c>
    </row>
    <row r="659" spans="1:12" x14ac:dyDescent="0.2">
      <c r="A659" t="s">
        <v>1379</v>
      </c>
      <c r="B659" t="s">
        <v>1380</v>
      </c>
      <c r="C659" s="1">
        <v>45169</v>
      </c>
      <c r="D659" s="2">
        <v>45181</v>
      </c>
      <c r="E659" t="s">
        <v>33</v>
      </c>
      <c r="F659">
        <v>22677</v>
      </c>
      <c r="G659">
        <v>271</v>
      </c>
      <c r="H659">
        <v>172.05</v>
      </c>
      <c r="I659">
        <v>42</v>
      </c>
      <c r="J659" t="s">
        <v>15</v>
      </c>
      <c r="L659" t="s">
        <v>34</v>
      </c>
    </row>
    <row r="660" spans="1:12" x14ac:dyDescent="0.2">
      <c r="A660" t="s">
        <v>1381</v>
      </c>
      <c r="B660" t="s">
        <v>1382</v>
      </c>
      <c r="C660" s="1">
        <v>45190</v>
      </c>
      <c r="D660" s="2">
        <v>45215</v>
      </c>
      <c r="E660" t="s">
        <v>33</v>
      </c>
      <c r="F660">
        <v>47732</v>
      </c>
      <c r="G660">
        <v>2203</v>
      </c>
      <c r="H660">
        <v>1740.09</v>
      </c>
      <c r="I660">
        <v>114</v>
      </c>
      <c r="J660">
        <v>0</v>
      </c>
      <c r="L660" t="s">
        <v>34</v>
      </c>
    </row>
    <row r="661" spans="1:12" x14ac:dyDescent="0.2">
      <c r="A661" t="s">
        <v>1383</v>
      </c>
      <c r="B661" t="s">
        <v>1384</v>
      </c>
      <c r="C661" s="1">
        <v>45090</v>
      </c>
      <c r="D661" s="2">
        <v>45100</v>
      </c>
      <c r="E661" t="s">
        <v>41</v>
      </c>
      <c r="F661">
        <v>51343</v>
      </c>
      <c r="G661">
        <v>2381</v>
      </c>
      <c r="H661">
        <v>1371.07</v>
      </c>
      <c r="I661">
        <v>136</v>
      </c>
      <c r="J661" t="s">
        <v>30</v>
      </c>
      <c r="L661" t="s">
        <v>42</v>
      </c>
    </row>
    <row r="662" spans="1:12" x14ac:dyDescent="0.2">
      <c r="A662" t="s">
        <v>1385</v>
      </c>
      <c r="B662" t="s">
        <v>1386</v>
      </c>
      <c r="C662" s="1">
        <v>45080</v>
      </c>
      <c r="D662" s="2">
        <v>45085</v>
      </c>
      <c r="E662" t="s">
        <v>19</v>
      </c>
      <c r="F662">
        <v>40081</v>
      </c>
      <c r="G662">
        <v>1651</v>
      </c>
      <c r="H662">
        <v>2376.92</v>
      </c>
      <c r="I662">
        <v>230</v>
      </c>
      <c r="J662" t="s">
        <v>24</v>
      </c>
      <c r="L662" t="s">
        <v>20</v>
      </c>
    </row>
    <row r="663" spans="1:12" x14ac:dyDescent="0.2">
      <c r="A663" t="s">
        <v>1387</v>
      </c>
      <c r="B663" t="s">
        <v>1388</v>
      </c>
      <c r="C663" s="1">
        <v>45187</v>
      </c>
      <c r="D663" s="2">
        <v>45214</v>
      </c>
      <c r="E663" t="s">
        <v>58</v>
      </c>
      <c r="F663">
        <v>63856</v>
      </c>
      <c r="G663">
        <v>656</v>
      </c>
      <c r="H663">
        <v>610.73</v>
      </c>
      <c r="J663" t="s">
        <v>24</v>
      </c>
      <c r="L663" t="s">
        <v>59</v>
      </c>
    </row>
    <row r="664" spans="1:12" x14ac:dyDescent="0.2">
      <c r="A664" t="s">
        <v>1389</v>
      </c>
      <c r="B664" t="s">
        <v>1390</v>
      </c>
      <c r="C664" s="2">
        <v>45080</v>
      </c>
      <c r="D664" s="2">
        <v>45013</v>
      </c>
      <c r="E664" t="s">
        <v>19</v>
      </c>
      <c r="F664">
        <v>94105</v>
      </c>
      <c r="G664">
        <v>1156</v>
      </c>
      <c r="H664">
        <v>1063.08</v>
      </c>
      <c r="I664">
        <v>223</v>
      </c>
      <c r="J664" t="b">
        <v>1</v>
      </c>
      <c r="L664" t="s">
        <v>20</v>
      </c>
    </row>
    <row r="665" spans="1:12" x14ac:dyDescent="0.2">
      <c r="A665" t="s">
        <v>1391</v>
      </c>
      <c r="B665" t="s">
        <v>1392</v>
      </c>
      <c r="C665" s="1">
        <v>45096</v>
      </c>
      <c r="D665" s="2">
        <v>45121</v>
      </c>
      <c r="E665" t="s">
        <v>138</v>
      </c>
      <c r="F665">
        <v>89858</v>
      </c>
      <c r="G665">
        <v>1708</v>
      </c>
      <c r="H665">
        <v>1704.58</v>
      </c>
      <c r="I665">
        <v>316</v>
      </c>
      <c r="J665">
        <v>1</v>
      </c>
      <c r="L665" t="s">
        <v>139</v>
      </c>
    </row>
    <row r="666" spans="1:12" x14ac:dyDescent="0.2">
      <c r="A666" t="s">
        <v>1393</v>
      </c>
      <c r="B666" t="s">
        <v>1394</v>
      </c>
      <c r="C666" s="1">
        <v>45225</v>
      </c>
      <c r="D666" s="2">
        <v>45254</v>
      </c>
      <c r="E666" t="s">
        <v>14</v>
      </c>
      <c r="F666">
        <v>20065</v>
      </c>
      <c r="G666">
        <v>306</v>
      </c>
      <c r="H666" s="3">
        <v>457.22</v>
      </c>
      <c r="I666">
        <v>48</v>
      </c>
      <c r="J666">
        <v>1</v>
      </c>
      <c r="L666" t="s">
        <v>16</v>
      </c>
    </row>
    <row r="667" spans="1:12" x14ac:dyDescent="0.2">
      <c r="A667" t="s">
        <v>1395</v>
      </c>
      <c r="B667" t="s">
        <v>1396</v>
      </c>
      <c r="C667" s="1">
        <v>45279</v>
      </c>
      <c r="D667" s="2">
        <v>45295</v>
      </c>
      <c r="E667" t="s">
        <v>41</v>
      </c>
      <c r="F667">
        <v>84460</v>
      </c>
      <c r="G667">
        <v>2192</v>
      </c>
      <c r="H667">
        <v>3958.64</v>
      </c>
      <c r="I667">
        <v>378</v>
      </c>
      <c r="J667">
        <v>0</v>
      </c>
      <c r="L667" t="s">
        <v>42</v>
      </c>
    </row>
    <row r="668" spans="1:12" x14ac:dyDescent="0.2">
      <c r="A668" t="s">
        <v>1397</v>
      </c>
      <c r="B668" t="s">
        <v>1398</v>
      </c>
      <c r="C668" s="1">
        <v>45062</v>
      </c>
      <c r="D668" s="2">
        <v>45084</v>
      </c>
      <c r="E668" t="s">
        <v>19</v>
      </c>
      <c r="F668">
        <v>89092</v>
      </c>
      <c r="G668">
        <v>4178</v>
      </c>
      <c r="H668">
        <v>6846.2</v>
      </c>
      <c r="J668" t="s">
        <v>24</v>
      </c>
      <c r="L668" t="s">
        <v>20</v>
      </c>
    </row>
    <row r="669" spans="1:12" x14ac:dyDescent="0.2">
      <c r="A669" t="s">
        <v>1399</v>
      </c>
      <c r="B669" t="s">
        <v>1400</v>
      </c>
      <c r="C669" s="1">
        <v>45223</v>
      </c>
      <c r="D669" s="2">
        <v>45241</v>
      </c>
      <c r="E669" t="s">
        <v>33</v>
      </c>
      <c r="F669">
        <v>55693</v>
      </c>
      <c r="G669">
        <v>1608</v>
      </c>
      <c r="H669">
        <v>2558.8000000000002</v>
      </c>
      <c r="I669">
        <v>110</v>
      </c>
      <c r="J669" t="s">
        <v>15</v>
      </c>
      <c r="L669" t="s">
        <v>34</v>
      </c>
    </row>
    <row r="670" spans="1:12" x14ac:dyDescent="0.2">
      <c r="A670" t="s">
        <v>1401</v>
      </c>
      <c r="B670" t="s">
        <v>1402</v>
      </c>
      <c r="C670" s="1">
        <v>45225</v>
      </c>
      <c r="D670" s="2">
        <v>45239</v>
      </c>
      <c r="E670" t="s">
        <v>234</v>
      </c>
      <c r="F670">
        <v>27962</v>
      </c>
      <c r="G670">
        <v>294</v>
      </c>
      <c r="H670" s="3">
        <v>360.62</v>
      </c>
      <c r="I670">
        <v>48</v>
      </c>
      <c r="J670">
        <v>0</v>
      </c>
      <c r="L670" t="s">
        <v>16</v>
      </c>
    </row>
    <row r="671" spans="1:12" x14ac:dyDescent="0.2">
      <c r="A671" t="s">
        <v>1403</v>
      </c>
      <c r="B671" t="s">
        <v>1404</v>
      </c>
      <c r="C671" s="1">
        <v>45244</v>
      </c>
      <c r="D671" s="2">
        <v>45256</v>
      </c>
      <c r="E671" t="s">
        <v>14</v>
      </c>
      <c r="F671">
        <v>29295</v>
      </c>
      <c r="G671">
        <v>624</v>
      </c>
      <c r="H671" s="3">
        <v>961.4</v>
      </c>
      <c r="I671">
        <v>50</v>
      </c>
      <c r="J671">
        <v>0</v>
      </c>
      <c r="L671" t="s">
        <v>16</v>
      </c>
    </row>
    <row r="672" spans="1:12" x14ac:dyDescent="0.2">
      <c r="A672" t="s">
        <v>1405</v>
      </c>
      <c r="B672" t="s">
        <v>1406</v>
      </c>
      <c r="C672" s="1">
        <v>45275</v>
      </c>
      <c r="D672" s="2">
        <v>45289</v>
      </c>
      <c r="E672" t="s">
        <v>41</v>
      </c>
      <c r="F672">
        <v>14807</v>
      </c>
      <c r="G672">
        <v>174</v>
      </c>
      <c r="H672">
        <v>231.27</v>
      </c>
      <c r="I672">
        <v>17</v>
      </c>
      <c r="J672" t="b">
        <v>0</v>
      </c>
      <c r="L672" t="s">
        <v>42</v>
      </c>
    </row>
    <row r="673" spans="1:12" x14ac:dyDescent="0.2">
      <c r="A673" t="s">
        <v>1407</v>
      </c>
      <c r="B673" t="s">
        <v>1408</v>
      </c>
      <c r="C673" s="2">
        <v>45285</v>
      </c>
      <c r="D673" s="2">
        <v>45288</v>
      </c>
      <c r="E673" t="s">
        <v>33</v>
      </c>
      <c r="F673">
        <v>43348</v>
      </c>
      <c r="G673">
        <v>496</v>
      </c>
      <c r="H673" s="3">
        <v>408.89</v>
      </c>
      <c r="I673">
        <v>85</v>
      </c>
      <c r="J673" t="s">
        <v>24</v>
      </c>
      <c r="L673" t="s">
        <v>34</v>
      </c>
    </row>
    <row r="674" spans="1:12" x14ac:dyDescent="0.2">
      <c r="A674" t="s">
        <v>1409</v>
      </c>
      <c r="B674" t="s">
        <v>1410</v>
      </c>
      <c r="C674" s="1">
        <v>45087</v>
      </c>
      <c r="D674" s="2">
        <v>45107</v>
      </c>
      <c r="E674" t="s">
        <v>33</v>
      </c>
      <c r="F674">
        <v>27432</v>
      </c>
      <c r="G674">
        <v>576</v>
      </c>
      <c r="H674">
        <v>468.22</v>
      </c>
      <c r="I674">
        <v>75</v>
      </c>
      <c r="J674">
        <v>1</v>
      </c>
      <c r="L674" t="s">
        <v>34</v>
      </c>
    </row>
    <row r="675" spans="1:12" x14ac:dyDescent="0.2">
      <c r="A675" t="s">
        <v>1411</v>
      </c>
      <c r="B675" t="s">
        <v>1412</v>
      </c>
      <c r="C675" s="1">
        <v>45031</v>
      </c>
      <c r="D675" s="2">
        <v>45040</v>
      </c>
      <c r="E675" t="s">
        <v>41</v>
      </c>
      <c r="F675">
        <v>84285</v>
      </c>
      <c r="G675">
        <v>1772</v>
      </c>
      <c r="H675">
        <v>1673.81</v>
      </c>
      <c r="I675">
        <v>317</v>
      </c>
      <c r="J675" t="s">
        <v>24</v>
      </c>
      <c r="L675" t="s">
        <v>42</v>
      </c>
    </row>
    <row r="676" spans="1:12" x14ac:dyDescent="0.2">
      <c r="A676" t="s">
        <v>1413</v>
      </c>
      <c r="B676" t="s">
        <v>1414</v>
      </c>
      <c r="C676" s="1">
        <v>45168</v>
      </c>
      <c r="D676" s="2">
        <v>45197</v>
      </c>
      <c r="E676" t="s">
        <v>14</v>
      </c>
      <c r="F676">
        <v>92792</v>
      </c>
      <c r="G676">
        <v>3849</v>
      </c>
      <c r="H676" s="3">
        <v>7183.02</v>
      </c>
      <c r="I676">
        <v>315</v>
      </c>
      <c r="J676" t="s">
        <v>30</v>
      </c>
      <c r="L676" t="s">
        <v>16</v>
      </c>
    </row>
    <row r="677" spans="1:12" x14ac:dyDescent="0.2">
      <c r="A677" t="s">
        <v>1415</v>
      </c>
      <c r="B677" t="s">
        <v>1416</v>
      </c>
      <c r="C677" s="1">
        <v>44958</v>
      </c>
      <c r="D677" s="2">
        <v>44963</v>
      </c>
      <c r="E677" t="s">
        <v>138</v>
      </c>
      <c r="F677">
        <v>58854</v>
      </c>
      <c r="G677">
        <v>2883</v>
      </c>
      <c r="H677">
        <v>3808.8</v>
      </c>
      <c r="I677">
        <v>406</v>
      </c>
      <c r="J677">
        <v>0</v>
      </c>
      <c r="L677" t="s">
        <v>139</v>
      </c>
    </row>
    <row r="678" spans="1:12" x14ac:dyDescent="0.2">
      <c r="A678" t="s">
        <v>1417</v>
      </c>
      <c r="B678" t="s">
        <v>1418</v>
      </c>
      <c r="C678" s="1">
        <v>45214</v>
      </c>
      <c r="D678" s="2">
        <v>45225</v>
      </c>
      <c r="E678" t="s">
        <v>14</v>
      </c>
      <c r="F678">
        <v>41262</v>
      </c>
      <c r="G678">
        <v>1025</v>
      </c>
      <c r="H678">
        <v>-1640.88</v>
      </c>
      <c r="I678">
        <v>64</v>
      </c>
      <c r="J678" t="b">
        <v>0</v>
      </c>
      <c r="L678" t="s">
        <v>16</v>
      </c>
    </row>
    <row r="679" spans="1:12" x14ac:dyDescent="0.2">
      <c r="A679" t="s">
        <v>1419</v>
      </c>
      <c r="B679" t="s">
        <v>1420</v>
      </c>
      <c r="C679" s="1">
        <v>45196</v>
      </c>
      <c r="D679" s="2">
        <v>45226</v>
      </c>
      <c r="E679" t="s">
        <v>14</v>
      </c>
      <c r="F679">
        <v>38080</v>
      </c>
      <c r="G679">
        <v>1034</v>
      </c>
      <c r="H679">
        <v>1054.51</v>
      </c>
      <c r="I679">
        <v>151</v>
      </c>
      <c r="J679" t="b">
        <v>0</v>
      </c>
      <c r="L679" t="s">
        <v>16</v>
      </c>
    </row>
    <row r="680" spans="1:12" x14ac:dyDescent="0.2">
      <c r="A680" t="s">
        <v>1421</v>
      </c>
      <c r="B680" t="s">
        <v>1422</v>
      </c>
      <c r="C680" s="1">
        <v>45162</v>
      </c>
      <c r="D680" s="2">
        <v>45174</v>
      </c>
      <c r="E680" t="s">
        <v>41</v>
      </c>
      <c r="F680">
        <v>2324</v>
      </c>
      <c r="G680">
        <v>101</v>
      </c>
      <c r="H680">
        <v>112.27</v>
      </c>
      <c r="J680">
        <v>1</v>
      </c>
      <c r="L680" t="s">
        <v>42</v>
      </c>
    </row>
    <row r="681" spans="1:12" x14ac:dyDescent="0.2">
      <c r="A681" t="s">
        <v>1423</v>
      </c>
      <c r="B681" t="s">
        <v>1424</v>
      </c>
      <c r="C681" s="1">
        <v>45108</v>
      </c>
      <c r="D681" s="2">
        <v>45129</v>
      </c>
      <c r="E681" t="s">
        <v>19</v>
      </c>
      <c r="F681">
        <v>92267</v>
      </c>
      <c r="G681">
        <v>1912</v>
      </c>
      <c r="H681" s="3">
        <v>1316.12</v>
      </c>
      <c r="I681">
        <v>263</v>
      </c>
      <c r="J681">
        <v>1</v>
      </c>
      <c r="L681" t="s">
        <v>20</v>
      </c>
    </row>
    <row r="682" spans="1:12" x14ac:dyDescent="0.2">
      <c r="A682" t="s">
        <v>1425</v>
      </c>
      <c r="B682" t="s">
        <v>1426</v>
      </c>
      <c r="C682" s="1">
        <v>45275</v>
      </c>
      <c r="D682" s="2">
        <v>45290</v>
      </c>
      <c r="E682" t="s">
        <v>41</v>
      </c>
      <c r="F682">
        <v>36909</v>
      </c>
      <c r="G682">
        <v>599</v>
      </c>
      <c r="H682">
        <v>453.41</v>
      </c>
      <c r="I682">
        <v>53</v>
      </c>
      <c r="J682">
        <v>1</v>
      </c>
      <c r="L682" t="s">
        <v>42</v>
      </c>
    </row>
    <row r="683" spans="1:12" x14ac:dyDescent="0.2">
      <c r="A683" t="s">
        <v>1427</v>
      </c>
      <c r="B683" t="s">
        <v>1428</v>
      </c>
      <c r="C683" s="1">
        <v>45239</v>
      </c>
      <c r="D683" s="2">
        <v>45254</v>
      </c>
      <c r="E683" t="s">
        <v>41</v>
      </c>
      <c r="F683">
        <v>90339</v>
      </c>
      <c r="G683">
        <v>3986</v>
      </c>
      <c r="H683">
        <v>6939.76</v>
      </c>
      <c r="I683">
        <v>218</v>
      </c>
      <c r="J683" t="s">
        <v>30</v>
      </c>
      <c r="L683" t="s">
        <v>42</v>
      </c>
    </row>
    <row r="684" spans="1:12" x14ac:dyDescent="0.2">
      <c r="A684" t="s">
        <v>1429</v>
      </c>
      <c r="B684" t="s">
        <v>1430</v>
      </c>
      <c r="C684" s="1">
        <v>45069</v>
      </c>
      <c r="D684" s="2">
        <v>45094</v>
      </c>
      <c r="E684" t="s">
        <v>23</v>
      </c>
      <c r="F684">
        <v>20870</v>
      </c>
      <c r="G684">
        <v>247</v>
      </c>
      <c r="H684" s="3">
        <v>340.18</v>
      </c>
      <c r="I684">
        <v>16</v>
      </c>
      <c r="J684" t="b">
        <v>0</v>
      </c>
      <c r="L684" t="s">
        <v>25</v>
      </c>
    </row>
    <row r="685" spans="1:12" x14ac:dyDescent="0.2">
      <c r="A685" t="s">
        <v>1431</v>
      </c>
      <c r="B685" t="s">
        <v>1432</v>
      </c>
      <c r="C685" s="1">
        <v>45079</v>
      </c>
      <c r="D685" s="2">
        <v>45097</v>
      </c>
      <c r="E685" t="s">
        <v>14</v>
      </c>
      <c r="F685">
        <v>35578</v>
      </c>
      <c r="G685">
        <v>1237</v>
      </c>
      <c r="H685">
        <v>1244.79</v>
      </c>
      <c r="I685">
        <v>177</v>
      </c>
      <c r="J685" t="s">
        <v>15</v>
      </c>
      <c r="L685" t="s">
        <v>16</v>
      </c>
    </row>
    <row r="686" spans="1:12" x14ac:dyDescent="0.2">
      <c r="A686" t="s">
        <v>1433</v>
      </c>
      <c r="B686" t="s">
        <v>1434</v>
      </c>
      <c r="C686" s="1">
        <v>45280</v>
      </c>
      <c r="D686" s="2">
        <v>45308</v>
      </c>
      <c r="E686" t="s">
        <v>19</v>
      </c>
      <c r="F686">
        <v>73124</v>
      </c>
      <c r="G686">
        <v>2375</v>
      </c>
      <c r="H686">
        <v>4047.66</v>
      </c>
      <c r="I686">
        <v>451</v>
      </c>
      <c r="J686" t="s">
        <v>30</v>
      </c>
      <c r="L686" t="s">
        <v>20</v>
      </c>
    </row>
    <row r="687" spans="1:12" x14ac:dyDescent="0.2">
      <c r="A687" t="s">
        <v>1435</v>
      </c>
      <c r="B687" t="s">
        <v>1436</v>
      </c>
      <c r="C687" s="1">
        <v>45105</v>
      </c>
      <c r="D687" s="2">
        <v>45127</v>
      </c>
      <c r="E687" t="s">
        <v>33</v>
      </c>
      <c r="F687">
        <v>27790</v>
      </c>
      <c r="G687">
        <v>662</v>
      </c>
      <c r="H687">
        <v>575.79</v>
      </c>
      <c r="I687">
        <v>53</v>
      </c>
      <c r="J687" t="b">
        <v>1</v>
      </c>
      <c r="L687" t="s">
        <v>34</v>
      </c>
    </row>
    <row r="688" spans="1:12" x14ac:dyDescent="0.2">
      <c r="A688" t="s">
        <v>1437</v>
      </c>
      <c r="B688" t="s">
        <v>1438</v>
      </c>
      <c r="C688" s="1">
        <v>45067</v>
      </c>
      <c r="D688" s="2">
        <v>45073</v>
      </c>
      <c r="E688" t="s">
        <v>415</v>
      </c>
      <c r="F688">
        <v>26289</v>
      </c>
      <c r="G688">
        <v>594</v>
      </c>
      <c r="H688">
        <v>1166.6500000000001</v>
      </c>
      <c r="J688">
        <v>0</v>
      </c>
      <c r="L688" t="s">
        <v>34</v>
      </c>
    </row>
    <row r="689" spans="1:12" x14ac:dyDescent="0.2">
      <c r="A689" t="s">
        <v>1439</v>
      </c>
      <c r="B689" t="s">
        <v>1440</v>
      </c>
      <c r="C689" s="1">
        <v>45205</v>
      </c>
      <c r="D689" s="2">
        <v>45234</v>
      </c>
      <c r="E689" t="s">
        <v>33</v>
      </c>
      <c r="F689">
        <v>56129</v>
      </c>
      <c r="G689">
        <v>2294</v>
      </c>
      <c r="H689">
        <v>2333.52</v>
      </c>
      <c r="I689">
        <v>412</v>
      </c>
      <c r="J689">
        <v>1</v>
      </c>
      <c r="L689" t="s">
        <v>34</v>
      </c>
    </row>
    <row r="690" spans="1:12" x14ac:dyDescent="0.2">
      <c r="A690" t="s">
        <v>1441</v>
      </c>
      <c r="B690" t="s">
        <v>1442</v>
      </c>
      <c r="C690" s="1">
        <v>45103</v>
      </c>
      <c r="D690" s="2">
        <v>45105</v>
      </c>
      <c r="E690" t="s">
        <v>41</v>
      </c>
      <c r="F690">
        <v>94714</v>
      </c>
      <c r="G690">
        <v>1274</v>
      </c>
      <c r="H690">
        <v>1281.5999999999999</v>
      </c>
      <c r="I690">
        <v>163</v>
      </c>
      <c r="J690" t="b">
        <v>0</v>
      </c>
      <c r="L690" t="s">
        <v>42</v>
      </c>
    </row>
    <row r="691" spans="1:12" x14ac:dyDescent="0.2">
      <c r="A691" t="s">
        <v>1443</v>
      </c>
      <c r="B691" t="s">
        <v>1444</v>
      </c>
      <c r="C691" t="s">
        <v>1445</v>
      </c>
      <c r="D691" s="2">
        <v>45086</v>
      </c>
      <c r="E691" t="s">
        <v>19</v>
      </c>
      <c r="F691">
        <v>95246</v>
      </c>
      <c r="G691">
        <v>1854</v>
      </c>
      <c r="H691">
        <v>1794.43</v>
      </c>
      <c r="I691">
        <v>278</v>
      </c>
      <c r="J691">
        <v>0</v>
      </c>
      <c r="L691" t="s">
        <v>20</v>
      </c>
    </row>
    <row r="692" spans="1:12" x14ac:dyDescent="0.2">
      <c r="A692" t="s">
        <v>1446</v>
      </c>
      <c r="B692" t="s">
        <v>1447</v>
      </c>
      <c r="C692" s="2">
        <v>45292</v>
      </c>
      <c r="D692" s="2">
        <v>45309</v>
      </c>
      <c r="E692" t="s">
        <v>23</v>
      </c>
      <c r="F692">
        <v>16485</v>
      </c>
      <c r="G692">
        <v>647</v>
      </c>
      <c r="H692">
        <v>442.01</v>
      </c>
      <c r="I692">
        <v>111</v>
      </c>
      <c r="J692" t="s">
        <v>24</v>
      </c>
      <c r="L692" t="s">
        <v>25</v>
      </c>
    </row>
    <row r="693" spans="1:12" x14ac:dyDescent="0.2">
      <c r="A693" t="s">
        <v>1448</v>
      </c>
      <c r="B693" t="s">
        <v>1449</v>
      </c>
      <c r="C693" s="1">
        <v>45153</v>
      </c>
      <c r="D693" s="2">
        <v>45183</v>
      </c>
      <c r="E693" t="s">
        <v>33</v>
      </c>
      <c r="F693">
        <v>45482</v>
      </c>
      <c r="G693">
        <v>1452</v>
      </c>
      <c r="H693">
        <v>968.06</v>
      </c>
      <c r="I693">
        <v>129</v>
      </c>
      <c r="J693" t="s">
        <v>30</v>
      </c>
      <c r="L693" t="s">
        <v>34</v>
      </c>
    </row>
    <row r="694" spans="1:12" x14ac:dyDescent="0.2">
      <c r="A694" t="s">
        <v>1450</v>
      </c>
      <c r="B694" t="s">
        <v>1451</v>
      </c>
      <c r="C694" s="1">
        <v>45036</v>
      </c>
      <c r="D694" s="2">
        <v>45064</v>
      </c>
      <c r="E694" t="s">
        <v>138</v>
      </c>
      <c r="F694">
        <v>87188</v>
      </c>
      <c r="G694">
        <v>1318</v>
      </c>
      <c r="H694">
        <v>1940.3</v>
      </c>
      <c r="I694">
        <v>124</v>
      </c>
      <c r="J694" t="b">
        <v>1</v>
      </c>
      <c r="L694" t="s">
        <v>139</v>
      </c>
    </row>
    <row r="695" spans="1:12" x14ac:dyDescent="0.2">
      <c r="A695" t="s">
        <v>1452</v>
      </c>
      <c r="B695" t="s">
        <v>1453</v>
      </c>
      <c r="C695" s="1">
        <v>45214</v>
      </c>
      <c r="D695" s="2">
        <v>45209</v>
      </c>
      <c r="E695" t="s">
        <v>41</v>
      </c>
      <c r="F695">
        <v>5748</v>
      </c>
      <c r="G695">
        <v>260</v>
      </c>
      <c r="H695">
        <v>471.3</v>
      </c>
      <c r="I695">
        <v>13</v>
      </c>
      <c r="J695" t="s">
        <v>24</v>
      </c>
      <c r="L695" t="s">
        <v>42</v>
      </c>
    </row>
    <row r="696" spans="1:12" x14ac:dyDescent="0.2">
      <c r="A696" t="s">
        <v>1454</v>
      </c>
      <c r="B696" t="s">
        <v>1455</v>
      </c>
      <c r="C696" s="1">
        <v>45242</v>
      </c>
      <c r="D696" s="2">
        <v>45247</v>
      </c>
      <c r="E696" t="s">
        <v>33</v>
      </c>
      <c r="F696">
        <v>87769</v>
      </c>
      <c r="G696">
        <v>2258</v>
      </c>
      <c r="H696">
        <v>3806.49</v>
      </c>
      <c r="I696">
        <v>439</v>
      </c>
      <c r="J696" t="s">
        <v>30</v>
      </c>
      <c r="L696" t="s">
        <v>34</v>
      </c>
    </row>
    <row r="697" spans="1:12" x14ac:dyDescent="0.2">
      <c r="A697" t="s">
        <v>1456</v>
      </c>
      <c r="B697" t="s">
        <v>1457</v>
      </c>
      <c r="C697" s="1">
        <v>44952</v>
      </c>
      <c r="D697" s="2">
        <v>44972</v>
      </c>
      <c r="E697" t="s">
        <v>138</v>
      </c>
      <c r="F697">
        <v>10435</v>
      </c>
      <c r="G697">
        <v>449</v>
      </c>
      <c r="H697">
        <v>319.54000000000002</v>
      </c>
      <c r="I697">
        <v>84</v>
      </c>
      <c r="J697" t="s">
        <v>30</v>
      </c>
      <c r="L697" t="s">
        <v>139</v>
      </c>
    </row>
    <row r="698" spans="1:12" x14ac:dyDescent="0.2">
      <c r="A698" t="s">
        <v>1458</v>
      </c>
      <c r="B698" t="s">
        <v>1459</v>
      </c>
      <c r="C698" s="1">
        <v>45253</v>
      </c>
      <c r="D698" s="2">
        <v>45264</v>
      </c>
      <c r="E698" t="s">
        <v>41</v>
      </c>
      <c r="F698">
        <v>4709</v>
      </c>
      <c r="G698">
        <v>195</v>
      </c>
      <c r="H698">
        <v>257.08</v>
      </c>
      <c r="I698">
        <v>32</v>
      </c>
      <c r="J698" t="s">
        <v>15</v>
      </c>
      <c r="L698" t="s">
        <v>68</v>
      </c>
    </row>
    <row r="699" spans="1:12" x14ac:dyDescent="0.2">
      <c r="A699" t="s">
        <v>1460</v>
      </c>
      <c r="B699" t="s">
        <v>1461</v>
      </c>
      <c r="C699" s="1">
        <v>45096</v>
      </c>
      <c r="D699" s="2">
        <v>45114</v>
      </c>
      <c r="E699" t="s">
        <v>14</v>
      </c>
      <c r="F699">
        <v>31355</v>
      </c>
      <c r="G699">
        <v>1096</v>
      </c>
      <c r="H699">
        <v>721.59</v>
      </c>
      <c r="I699">
        <v>67</v>
      </c>
      <c r="J699">
        <v>0</v>
      </c>
      <c r="L699" t="s">
        <v>16</v>
      </c>
    </row>
    <row r="700" spans="1:12" x14ac:dyDescent="0.2">
      <c r="A700" t="s">
        <v>1462</v>
      </c>
      <c r="B700" t="s">
        <v>1463</v>
      </c>
      <c r="C700" s="2">
        <v>45263</v>
      </c>
      <c r="D700" s="2">
        <v>45018</v>
      </c>
      <c r="E700" t="s">
        <v>14</v>
      </c>
      <c r="F700">
        <v>56771</v>
      </c>
      <c r="G700">
        <v>1690</v>
      </c>
      <c r="H700">
        <v>959.82</v>
      </c>
      <c r="I700">
        <v>197</v>
      </c>
      <c r="J700" t="s">
        <v>15</v>
      </c>
      <c r="L700" t="s">
        <v>16</v>
      </c>
    </row>
    <row r="701" spans="1:12" x14ac:dyDescent="0.2">
      <c r="A701" t="s">
        <v>1464</v>
      </c>
      <c r="B701" t="s">
        <v>1465</v>
      </c>
      <c r="C701" s="1">
        <v>45208</v>
      </c>
      <c r="D701" s="2">
        <v>45235</v>
      </c>
      <c r="E701" t="s">
        <v>23</v>
      </c>
      <c r="F701">
        <v>58799</v>
      </c>
      <c r="G701">
        <v>2891</v>
      </c>
      <c r="H701">
        <v>4291.92</v>
      </c>
      <c r="I701">
        <v>188</v>
      </c>
      <c r="J701" t="s">
        <v>30</v>
      </c>
      <c r="L701" t="s">
        <v>25</v>
      </c>
    </row>
    <row r="702" spans="1:12" x14ac:dyDescent="0.2">
      <c r="A702" t="s">
        <v>1466</v>
      </c>
      <c r="B702" t="s">
        <v>1467</v>
      </c>
      <c r="C702" s="1">
        <v>45261</v>
      </c>
      <c r="D702" s="2">
        <v>45285</v>
      </c>
      <c r="E702" t="s">
        <v>19</v>
      </c>
      <c r="F702">
        <v>14116</v>
      </c>
      <c r="G702">
        <v>223</v>
      </c>
      <c r="H702">
        <v>290.51</v>
      </c>
      <c r="I702">
        <v>11</v>
      </c>
      <c r="J702" t="b">
        <v>1</v>
      </c>
      <c r="L702" t="s">
        <v>20</v>
      </c>
    </row>
    <row r="703" spans="1:12" x14ac:dyDescent="0.2">
      <c r="A703" t="s">
        <v>1468</v>
      </c>
      <c r="B703" t="s">
        <v>1469</v>
      </c>
      <c r="C703" s="1">
        <v>45171</v>
      </c>
      <c r="D703" s="2">
        <v>45177</v>
      </c>
      <c r="E703" t="s">
        <v>23</v>
      </c>
      <c r="F703">
        <v>26470</v>
      </c>
      <c r="G703">
        <v>1032</v>
      </c>
      <c r="H703">
        <v>642.97</v>
      </c>
      <c r="I703">
        <v>146</v>
      </c>
      <c r="J703" t="b">
        <v>0</v>
      </c>
      <c r="L703" t="s">
        <v>25</v>
      </c>
    </row>
    <row r="704" spans="1:12" x14ac:dyDescent="0.2">
      <c r="A704" t="s">
        <v>1470</v>
      </c>
      <c r="B704" t="s">
        <v>1471</v>
      </c>
      <c r="C704" s="1">
        <v>45074</v>
      </c>
      <c r="D704" s="2">
        <v>45102</v>
      </c>
      <c r="E704" t="s">
        <v>19</v>
      </c>
      <c r="F704">
        <v>43344</v>
      </c>
      <c r="G704">
        <v>764</v>
      </c>
      <c r="H704">
        <v>422.04</v>
      </c>
      <c r="I704">
        <v>148</v>
      </c>
      <c r="J704" t="b">
        <v>0</v>
      </c>
      <c r="L704" t="s">
        <v>20</v>
      </c>
    </row>
    <row r="705" spans="1:12" x14ac:dyDescent="0.2">
      <c r="A705" t="s">
        <v>1472</v>
      </c>
      <c r="B705" t="s">
        <v>1473</v>
      </c>
      <c r="C705" s="1">
        <v>44972</v>
      </c>
      <c r="D705" s="2">
        <v>44998</v>
      </c>
      <c r="E705" t="s">
        <v>33</v>
      </c>
      <c r="F705">
        <v>43918</v>
      </c>
      <c r="G705">
        <v>1033</v>
      </c>
      <c r="H705">
        <v>2050.13</v>
      </c>
      <c r="J705" t="s">
        <v>24</v>
      </c>
      <c r="L705" t="s">
        <v>68</v>
      </c>
    </row>
    <row r="706" spans="1:12" x14ac:dyDescent="0.2">
      <c r="A706" t="s">
        <v>1474</v>
      </c>
      <c r="B706" t="s">
        <v>1475</v>
      </c>
      <c r="C706" s="1">
        <v>44946</v>
      </c>
      <c r="D706" s="2">
        <v>44965</v>
      </c>
      <c r="E706" t="s">
        <v>415</v>
      </c>
      <c r="F706">
        <v>53224</v>
      </c>
      <c r="G706">
        <v>1189</v>
      </c>
      <c r="H706">
        <v>648.04</v>
      </c>
      <c r="I706">
        <v>183</v>
      </c>
      <c r="J706">
        <v>0</v>
      </c>
      <c r="L706" t="s">
        <v>34</v>
      </c>
    </row>
    <row r="707" spans="1:12" x14ac:dyDescent="0.2">
      <c r="A707" t="s">
        <v>1476</v>
      </c>
      <c r="B707" t="s">
        <v>1477</v>
      </c>
      <c r="C707" s="2">
        <v>45017</v>
      </c>
      <c r="D707" s="2">
        <v>44935</v>
      </c>
      <c r="E707" t="s">
        <v>23</v>
      </c>
      <c r="F707">
        <v>40298</v>
      </c>
      <c r="G707">
        <v>1929</v>
      </c>
      <c r="H707">
        <v>2250.7399999999998</v>
      </c>
      <c r="I707">
        <v>124</v>
      </c>
      <c r="J707">
        <v>1</v>
      </c>
      <c r="L707" t="s">
        <v>25</v>
      </c>
    </row>
    <row r="708" spans="1:12" x14ac:dyDescent="0.2">
      <c r="A708" t="s">
        <v>1478</v>
      </c>
      <c r="B708" t="s">
        <v>1479</v>
      </c>
      <c r="C708" s="1">
        <v>45130</v>
      </c>
      <c r="D708" s="2">
        <v>45157</v>
      </c>
      <c r="E708" t="s">
        <v>41</v>
      </c>
      <c r="F708">
        <v>81219</v>
      </c>
      <c r="G708">
        <v>3954</v>
      </c>
      <c r="H708">
        <v>4969.8999999999996</v>
      </c>
      <c r="I708">
        <v>360</v>
      </c>
      <c r="J708">
        <v>1</v>
      </c>
      <c r="L708" t="s">
        <v>42</v>
      </c>
    </row>
    <row r="709" spans="1:12" x14ac:dyDescent="0.2">
      <c r="A709" t="s">
        <v>1480</v>
      </c>
      <c r="B709" t="s">
        <v>1481</v>
      </c>
      <c r="C709" s="2">
        <v>45075</v>
      </c>
      <c r="D709" s="2">
        <v>45101</v>
      </c>
      <c r="E709" t="s">
        <v>41</v>
      </c>
      <c r="F709">
        <v>62629</v>
      </c>
      <c r="G709">
        <v>1084</v>
      </c>
      <c r="H709">
        <v>732.7</v>
      </c>
      <c r="I709">
        <v>106</v>
      </c>
      <c r="J709" t="b">
        <v>0</v>
      </c>
      <c r="L709" t="s">
        <v>42</v>
      </c>
    </row>
    <row r="710" spans="1:12" x14ac:dyDescent="0.2">
      <c r="A710" t="s">
        <v>1482</v>
      </c>
      <c r="B710" t="s">
        <v>1483</v>
      </c>
      <c r="C710" s="1">
        <v>45217</v>
      </c>
      <c r="D710" s="2">
        <v>45224</v>
      </c>
      <c r="E710" t="s">
        <v>23</v>
      </c>
      <c r="F710">
        <v>67040</v>
      </c>
      <c r="G710">
        <v>729</v>
      </c>
      <c r="H710">
        <v>549.37</v>
      </c>
      <c r="I710">
        <v>119</v>
      </c>
      <c r="J710" t="s">
        <v>30</v>
      </c>
      <c r="L710" t="s">
        <v>25</v>
      </c>
    </row>
    <row r="711" spans="1:12" x14ac:dyDescent="0.2">
      <c r="A711" t="s">
        <v>1484</v>
      </c>
      <c r="B711" t="s">
        <v>1485</v>
      </c>
      <c r="C711" s="1">
        <v>45098</v>
      </c>
      <c r="D711" s="2">
        <v>45125</v>
      </c>
      <c r="E711" t="s">
        <v>23</v>
      </c>
      <c r="F711">
        <v>29016</v>
      </c>
      <c r="G711">
        <v>1125</v>
      </c>
      <c r="H711">
        <v>1156.17</v>
      </c>
      <c r="I711">
        <v>191</v>
      </c>
      <c r="J711" t="s">
        <v>30</v>
      </c>
      <c r="L711" t="s">
        <v>25</v>
      </c>
    </row>
    <row r="712" spans="1:12" x14ac:dyDescent="0.2">
      <c r="A712" t="s">
        <v>1486</v>
      </c>
      <c r="B712" t="s">
        <v>1487</v>
      </c>
      <c r="C712" s="1">
        <v>45205</v>
      </c>
      <c r="D712" s="2">
        <v>45228</v>
      </c>
      <c r="E712" t="s">
        <v>14</v>
      </c>
      <c r="F712">
        <v>24960</v>
      </c>
      <c r="G712">
        <v>666</v>
      </c>
      <c r="H712">
        <v>1093.9100000000001</v>
      </c>
      <c r="I712">
        <v>71</v>
      </c>
      <c r="J712" t="s">
        <v>15</v>
      </c>
      <c r="L712" t="s">
        <v>16</v>
      </c>
    </row>
    <row r="713" spans="1:12" x14ac:dyDescent="0.2">
      <c r="A713" t="s">
        <v>1488</v>
      </c>
      <c r="B713" t="s">
        <v>1489</v>
      </c>
      <c r="C713" s="1">
        <v>44995</v>
      </c>
      <c r="D713" s="2">
        <v>45008</v>
      </c>
      <c r="E713" t="s">
        <v>14</v>
      </c>
      <c r="F713">
        <v>34591</v>
      </c>
      <c r="G713">
        <v>468</v>
      </c>
      <c r="H713">
        <v>589.97</v>
      </c>
      <c r="I713">
        <v>52</v>
      </c>
      <c r="J713">
        <v>0</v>
      </c>
      <c r="L713" t="s">
        <v>16</v>
      </c>
    </row>
    <row r="714" spans="1:12" x14ac:dyDescent="0.2">
      <c r="A714" t="s">
        <v>1490</v>
      </c>
      <c r="B714" t="s">
        <v>1491</v>
      </c>
      <c r="C714" s="1">
        <v>45025</v>
      </c>
      <c r="D714" s="2">
        <v>45028</v>
      </c>
      <c r="E714" t="s">
        <v>33</v>
      </c>
      <c r="F714">
        <v>83848</v>
      </c>
      <c r="G714">
        <v>3131</v>
      </c>
      <c r="H714" s="3">
        <v>4561.41</v>
      </c>
      <c r="I714">
        <v>177</v>
      </c>
      <c r="J714" t="s">
        <v>15</v>
      </c>
      <c r="L714" t="s">
        <v>34</v>
      </c>
    </row>
    <row r="715" spans="1:12" x14ac:dyDescent="0.2">
      <c r="A715" t="s">
        <v>1492</v>
      </c>
      <c r="B715" t="s">
        <v>1493</v>
      </c>
      <c r="C715" s="1">
        <v>45161</v>
      </c>
      <c r="D715" s="2">
        <v>45188</v>
      </c>
      <c r="E715" t="s">
        <v>138</v>
      </c>
      <c r="F715">
        <v>68641</v>
      </c>
      <c r="G715">
        <v>2183</v>
      </c>
      <c r="H715">
        <v>4317.45</v>
      </c>
      <c r="I715">
        <v>203</v>
      </c>
      <c r="J715">
        <v>1</v>
      </c>
      <c r="L715" t="s">
        <v>68</v>
      </c>
    </row>
    <row r="716" spans="1:12" x14ac:dyDescent="0.2">
      <c r="A716" t="s">
        <v>1494</v>
      </c>
      <c r="B716" t="s">
        <v>1495</v>
      </c>
      <c r="C716" s="1">
        <v>44934</v>
      </c>
      <c r="D716" s="2">
        <v>44948</v>
      </c>
      <c r="E716" t="s">
        <v>14</v>
      </c>
      <c r="F716">
        <v>37395</v>
      </c>
      <c r="G716">
        <v>1840</v>
      </c>
      <c r="H716">
        <v>3039.7</v>
      </c>
      <c r="I716">
        <v>216</v>
      </c>
      <c r="J716" t="b">
        <v>0</v>
      </c>
      <c r="K716">
        <v>37479</v>
      </c>
      <c r="L716" t="s">
        <v>16</v>
      </c>
    </row>
    <row r="717" spans="1:12" x14ac:dyDescent="0.2">
      <c r="A717" t="s">
        <v>1496</v>
      </c>
      <c r="B717" t="s">
        <v>1497</v>
      </c>
      <c r="C717" s="1">
        <v>45217</v>
      </c>
      <c r="D717" s="2">
        <v>45246</v>
      </c>
      <c r="E717" t="s">
        <v>14</v>
      </c>
      <c r="F717">
        <v>23700</v>
      </c>
      <c r="G717">
        <v>452</v>
      </c>
      <c r="H717">
        <v>520.5</v>
      </c>
      <c r="I717">
        <v>30</v>
      </c>
      <c r="J717" t="s">
        <v>24</v>
      </c>
      <c r="L717" t="s">
        <v>16</v>
      </c>
    </row>
    <row r="718" spans="1:12" x14ac:dyDescent="0.2">
      <c r="A718" t="s">
        <v>1498</v>
      </c>
      <c r="B718" t="s">
        <v>1499</v>
      </c>
      <c r="C718" s="1">
        <v>45239</v>
      </c>
      <c r="D718" s="2">
        <v>45243</v>
      </c>
      <c r="E718" t="s">
        <v>23</v>
      </c>
      <c r="F718">
        <v>35620</v>
      </c>
      <c r="G718">
        <v>931</v>
      </c>
      <c r="H718">
        <v>1088.96</v>
      </c>
      <c r="I718">
        <v>109</v>
      </c>
      <c r="J718" t="s">
        <v>30</v>
      </c>
      <c r="L718" t="s">
        <v>68</v>
      </c>
    </row>
    <row r="719" spans="1:12" x14ac:dyDescent="0.2">
      <c r="A719" t="s">
        <v>1500</v>
      </c>
      <c r="B719" t="s">
        <v>1501</v>
      </c>
      <c r="C719" s="2">
        <v>45145</v>
      </c>
      <c r="D719" s="2">
        <v>45132</v>
      </c>
      <c r="E719" t="s">
        <v>41</v>
      </c>
      <c r="F719">
        <v>21559</v>
      </c>
      <c r="G719">
        <v>683</v>
      </c>
      <c r="H719">
        <v>975.43</v>
      </c>
      <c r="I719">
        <v>121</v>
      </c>
      <c r="J719" t="b">
        <v>0</v>
      </c>
      <c r="L719" t="s">
        <v>42</v>
      </c>
    </row>
    <row r="720" spans="1:12" x14ac:dyDescent="0.2">
      <c r="A720" t="s">
        <v>1502</v>
      </c>
      <c r="B720" t="s">
        <v>1503</v>
      </c>
      <c r="C720" s="2">
        <v>45181</v>
      </c>
      <c r="D720" s="2">
        <v>45287</v>
      </c>
      <c r="E720" t="s">
        <v>33</v>
      </c>
      <c r="F720">
        <v>94045</v>
      </c>
      <c r="G720">
        <v>3918</v>
      </c>
      <c r="H720">
        <v>5869.35</v>
      </c>
      <c r="I720">
        <v>537</v>
      </c>
      <c r="J720" t="b">
        <v>1</v>
      </c>
      <c r="L720" t="s">
        <v>34</v>
      </c>
    </row>
    <row r="721" spans="1:12" x14ac:dyDescent="0.2">
      <c r="A721" t="s">
        <v>1504</v>
      </c>
      <c r="B721" t="s">
        <v>1505</v>
      </c>
      <c r="C721" s="1">
        <v>44998</v>
      </c>
      <c r="D721" s="2">
        <v>45000</v>
      </c>
      <c r="E721" t="s">
        <v>14</v>
      </c>
      <c r="F721">
        <v>94396</v>
      </c>
      <c r="G721">
        <v>3016</v>
      </c>
      <c r="H721" s="3">
        <v>3773.22</v>
      </c>
      <c r="J721" t="b">
        <v>0</v>
      </c>
      <c r="L721" t="s">
        <v>16</v>
      </c>
    </row>
    <row r="722" spans="1:12" x14ac:dyDescent="0.2">
      <c r="A722" t="s">
        <v>1506</v>
      </c>
      <c r="B722" t="s">
        <v>1507</v>
      </c>
      <c r="C722" s="1">
        <v>44930</v>
      </c>
      <c r="D722" s="2">
        <v>44947</v>
      </c>
      <c r="E722" t="s">
        <v>138</v>
      </c>
      <c r="F722">
        <v>62642</v>
      </c>
      <c r="G722">
        <v>2162</v>
      </c>
      <c r="H722">
        <v>3172.28</v>
      </c>
      <c r="I722">
        <v>170</v>
      </c>
      <c r="J722" t="b">
        <v>1</v>
      </c>
      <c r="L722" t="s">
        <v>139</v>
      </c>
    </row>
    <row r="723" spans="1:12" x14ac:dyDescent="0.2">
      <c r="A723" t="s">
        <v>1508</v>
      </c>
      <c r="B723" t="s">
        <v>1509</v>
      </c>
      <c r="C723" s="1">
        <v>45063</v>
      </c>
      <c r="D723" s="2">
        <v>45067</v>
      </c>
      <c r="E723" t="s">
        <v>41</v>
      </c>
      <c r="F723">
        <v>77539</v>
      </c>
      <c r="G723">
        <v>1476</v>
      </c>
      <c r="H723">
        <v>790.1</v>
      </c>
      <c r="I723">
        <v>178</v>
      </c>
      <c r="J723" t="s">
        <v>15</v>
      </c>
      <c r="L723" t="s">
        <v>42</v>
      </c>
    </row>
    <row r="724" spans="1:12" x14ac:dyDescent="0.2">
      <c r="A724" t="s">
        <v>1510</v>
      </c>
      <c r="B724" t="s">
        <v>1511</v>
      </c>
      <c r="C724" t="s">
        <v>1512</v>
      </c>
      <c r="D724" s="2">
        <v>45239</v>
      </c>
      <c r="E724" t="s">
        <v>14</v>
      </c>
      <c r="F724">
        <v>22732</v>
      </c>
      <c r="G724">
        <v>997</v>
      </c>
      <c r="H724">
        <v>1141</v>
      </c>
      <c r="I724">
        <v>103</v>
      </c>
      <c r="J724" t="s">
        <v>15</v>
      </c>
      <c r="L724" t="s">
        <v>16</v>
      </c>
    </row>
    <row r="725" spans="1:12" x14ac:dyDescent="0.2">
      <c r="A725" t="s">
        <v>1513</v>
      </c>
      <c r="B725" t="s">
        <v>1514</v>
      </c>
      <c r="C725" s="1">
        <v>45261</v>
      </c>
      <c r="D725" s="2">
        <v>45262</v>
      </c>
      <c r="E725" t="s">
        <v>41</v>
      </c>
      <c r="F725">
        <v>92362</v>
      </c>
      <c r="G725">
        <v>2507</v>
      </c>
      <c r="H725" s="3">
        <v>2302.4499999999998</v>
      </c>
      <c r="I725">
        <v>260</v>
      </c>
      <c r="J725">
        <v>1</v>
      </c>
      <c r="L725" t="s">
        <v>42</v>
      </c>
    </row>
    <row r="726" spans="1:12" x14ac:dyDescent="0.2">
      <c r="A726" t="s">
        <v>1515</v>
      </c>
      <c r="B726" t="s">
        <v>1516</v>
      </c>
      <c r="C726" s="1">
        <v>45268</v>
      </c>
      <c r="D726" s="2">
        <v>45277</v>
      </c>
      <c r="E726" t="s">
        <v>14</v>
      </c>
      <c r="F726">
        <v>31354</v>
      </c>
      <c r="G726">
        <v>490</v>
      </c>
      <c r="H726">
        <v>339.94</v>
      </c>
      <c r="I726">
        <v>63</v>
      </c>
      <c r="J726" t="b">
        <v>0</v>
      </c>
      <c r="L726" t="s">
        <v>16</v>
      </c>
    </row>
    <row r="727" spans="1:12" x14ac:dyDescent="0.2">
      <c r="A727" t="s">
        <v>1517</v>
      </c>
      <c r="B727" t="s">
        <v>1518</v>
      </c>
      <c r="C727" s="1">
        <v>45134</v>
      </c>
      <c r="D727" s="2">
        <v>45164</v>
      </c>
      <c r="E727" t="s">
        <v>14</v>
      </c>
      <c r="F727">
        <v>14843</v>
      </c>
      <c r="G727">
        <v>542</v>
      </c>
      <c r="H727">
        <v>351.93</v>
      </c>
      <c r="I727">
        <v>74</v>
      </c>
      <c r="J727" t="b">
        <v>0</v>
      </c>
      <c r="L727" t="s">
        <v>16</v>
      </c>
    </row>
    <row r="728" spans="1:12" x14ac:dyDescent="0.2">
      <c r="A728" t="s">
        <v>1519</v>
      </c>
      <c r="B728" t="s">
        <v>1520</v>
      </c>
      <c r="C728" s="1">
        <v>45287</v>
      </c>
      <c r="D728" s="2">
        <v>45305</v>
      </c>
      <c r="E728" t="s">
        <v>41</v>
      </c>
      <c r="F728">
        <v>72726</v>
      </c>
      <c r="G728">
        <v>1355</v>
      </c>
      <c r="H728" s="3">
        <v>1903.49</v>
      </c>
      <c r="I728">
        <v>229</v>
      </c>
      <c r="J728" t="b">
        <v>1</v>
      </c>
      <c r="L728" t="s">
        <v>42</v>
      </c>
    </row>
    <row r="729" spans="1:12" x14ac:dyDescent="0.2">
      <c r="A729" t="s">
        <v>1521</v>
      </c>
      <c r="B729" t="s">
        <v>1522</v>
      </c>
      <c r="C729" s="1">
        <v>45254</v>
      </c>
      <c r="D729" s="2">
        <v>45276</v>
      </c>
      <c r="E729" t="s">
        <v>14</v>
      </c>
      <c r="F729">
        <v>18640</v>
      </c>
      <c r="G729">
        <v>259</v>
      </c>
      <c r="H729">
        <v>332.92</v>
      </c>
      <c r="I729">
        <v>26</v>
      </c>
      <c r="J729" t="s">
        <v>15</v>
      </c>
      <c r="L729" t="s">
        <v>16</v>
      </c>
    </row>
    <row r="730" spans="1:12" x14ac:dyDescent="0.2">
      <c r="A730" t="s">
        <v>1523</v>
      </c>
      <c r="B730" t="s">
        <v>1524</v>
      </c>
      <c r="C730" s="1">
        <v>45241</v>
      </c>
      <c r="D730" s="2">
        <v>45247</v>
      </c>
      <c r="E730" t="s">
        <v>14</v>
      </c>
      <c r="F730">
        <v>53528</v>
      </c>
      <c r="G730">
        <v>2380</v>
      </c>
      <c r="H730">
        <v>2095.3000000000002</v>
      </c>
      <c r="I730">
        <v>406</v>
      </c>
      <c r="J730" t="b">
        <v>1</v>
      </c>
      <c r="L730" t="s">
        <v>16</v>
      </c>
    </row>
    <row r="731" spans="1:12" x14ac:dyDescent="0.2">
      <c r="A731" t="s">
        <v>1525</v>
      </c>
      <c r="B731" t="s">
        <v>1526</v>
      </c>
      <c r="C731" s="1">
        <v>45171</v>
      </c>
      <c r="D731" s="2">
        <v>45195</v>
      </c>
      <c r="E731" t="s">
        <v>23</v>
      </c>
      <c r="F731">
        <v>39413</v>
      </c>
      <c r="G731">
        <v>1119</v>
      </c>
      <c r="H731">
        <v>1349.99</v>
      </c>
      <c r="I731">
        <v>112</v>
      </c>
      <c r="J731" t="s">
        <v>15</v>
      </c>
      <c r="L731" t="s">
        <v>68</v>
      </c>
    </row>
    <row r="732" spans="1:12" x14ac:dyDescent="0.2">
      <c r="A732" t="s">
        <v>1527</v>
      </c>
      <c r="B732" t="s">
        <v>1528</v>
      </c>
      <c r="C732" s="1">
        <v>45237</v>
      </c>
      <c r="D732" s="2">
        <v>45245</v>
      </c>
      <c r="E732" t="s">
        <v>19</v>
      </c>
      <c r="F732">
        <v>53638</v>
      </c>
      <c r="G732">
        <v>2143</v>
      </c>
      <c r="H732">
        <v>2653.78</v>
      </c>
      <c r="I732">
        <v>124</v>
      </c>
      <c r="J732" t="b">
        <v>1</v>
      </c>
      <c r="L732" t="s">
        <v>20</v>
      </c>
    </row>
    <row r="733" spans="1:12" x14ac:dyDescent="0.2">
      <c r="A733" t="s">
        <v>1529</v>
      </c>
      <c r="B733" t="s">
        <v>1530</v>
      </c>
      <c r="C733" s="1">
        <v>45168</v>
      </c>
      <c r="D733" s="2">
        <v>45190</v>
      </c>
      <c r="E733" t="s">
        <v>19</v>
      </c>
      <c r="F733">
        <v>53736</v>
      </c>
      <c r="G733">
        <v>1161</v>
      </c>
      <c r="H733">
        <v>920.11</v>
      </c>
      <c r="I733">
        <v>154</v>
      </c>
      <c r="J733" t="s">
        <v>15</v>
      </c>
      <c r="L733" t="s">
        <v>20</v>
      </c>
    </row>
    <row r="734" spans="1:12" x14ac:dyDescent="0.2">
      <c r="A734" t="s">
        <v>1531</v>
      </c>
      <c r="B734" t="s">
        <v>1532</v>
      </c>
      <c r="C734" s="1">
        <v>45038</v>
      </c>
      <c r="D734" s="2">
        <v>45061</v>
      </c>
      <c r="E734" t="s">
        <v>33</v>
      </c>
      <c r="F734">
        <v>69866</v>
      </c>
      <c r="G734">
        <v>2897</v>
      </c>
      <c r="H734">
        <v>4282.17</v>
      </c>
      <c r="I734">
        <v>400</v>
      </c>
      <c r="J734" t="b">
        <v>1</v>
      </c>
      <c r="L734" t="s">
        <v>34</v>
      </c>
    </row>
    <row r="735" spans="1:12" x14ac:dyDescent="0.2">
      <c r="A735" t="s">
        <v>1533</v>
      </c>
      <c r="B735" t="s">
        <v>1534</v>
      </c>
      <c r="C735" s="2">
        <v>45232</v>
      </c>
      <c r="D735" s="2">
        <v>44994</v>
      </c>
      <c r="E735" t="s">
        <v>41</v>
      </c>
      <c r="F735">
        <v>20087</v>
      </c>
      <c r="G735">
        <v>290</v>
      </c>
      <c r="H735">
        <v>484.7</v>
      </c>
      <c r="I735">
        <v>55</v>
      </c>
      <c r="J735" t="s">
        <v>24</v>
      </c>
      <c r="L735" t="s">
        <v>42</v>
      </c>
    </row>
    <row r="736" spans="1:12" x14ac:dyDescent="0.2">
      <c r="A736" t="s">
        <v>1535</v>
      </c>
      <c r="B736" t="s">
        <v>1536</v>
      </c>
      <c r="C736" s="1">
        <v>45155</v>
      </c>
      <c r="D736" s="2">
        <v>45166</v>
      </c>
      <c r="E736" t="s">
        <v>23</v>
      </c>
      <c r="F736">
        <v>42430</v>
      </c>
      <c r="G736">
        <v>1028</v>
      </c>
      <c r="H736">
        <v>1734.44</v>
      </c>
      <c r="I736">
        <v>163</v>
      </c>
      <c r="J736" t="s">
        <v>15</v>
      </c>
      <c r="L736" t="s">
        <v>25</v>
      </c>
    </row>
    <row r="737" spans="1:12" x14ac:dyDescent="0.2">
      <c r="A737" t="s">
        <v>1537</v>
      </c>
      <c r="B737" t="s">
        <v>1538</v>
      </c>
      <c r="C737" s="1">
        <v>45215</v>
      </c>
      <c r="D737" s="2">
        <v>45231</v>
      </c>
      <c r="E737" t="s">
        <v>266</v>
      </c>
      <c r="F737">
        <v>25504</v>
      </c>
      <c r="G737">
        <v>1252</v>
      </c>
      <c r="H737">
        <v>1757.44</v>
      </c>
      <c r="I737">
        <v>234</v>
      </c>
      <c r="J737">
        <v>0</v>
      </c>
      <c r="L737" t="s">
        <v>20</v>
      </c>
    </row>
    <row r="738" spans="1:12" x14ac:dyDescent="0.2">
      <c r="A738" t="s">
        <v>1539</v>
      </c>
      <c r="B738" t="s">
        <v>1540</v>
      </c>
      <c r="C738" s="1">
        <v>45185</v>
      </c>
      <c r="D738" s="2">
        <v>45189</v>
      </c>
      <c r="E738" t="s">
        <v>23</v>
      </c>
      <c r="F738">
        <v>8114</v>
      </c>
      <c r="G738">
        <v>338</v>
      </c>
      <c r="H738" s="3">
        <v>428.4</v>
      </c>
      <c r="I738">
        <v>62</v>
      </c>
      <c r="J738" t="b">
        <v>1</v>
      </c>
      <c r="L738" t="s">
        <v>68</v>
      </c>
    </row>
    <row r="739" spans="1:12" x14ac:dyDescent="0.2">
      <c r="A739" t="s">
        <v>1541</v>
      </c>
      <c r="B739" t="s">
        <v>1542</v>
      </c>
      <c r="C739" s="1">
        <v>45011</v>
      </c>
      <c r="D739" s="2">
        <v>45022</v>
      </c>
      <c r="E739" t="s">
        <v>41</v>
      </c>
      <c r="F739">
        <v>79859</v>
      </c>
      <c r="G739">
        <v>2387</v>
      </c>
      <c r="H739">
        <v>1411.94</v>
      </c>
      <c r="I739">
        <v>335</v>
      </c>
      <c r="J739" t="b">
        <v>0</v>
      </c>
      <c r="L739" t="s">
        <v>42</v>
      </c>
    </row>
    <row r="740" spans="1:12" x14ac:dyDescent="0.2">
      <c r="A740" t="s">
        <v>1543</v>
      </c>
      <c r="B740" t="s">
        <v>1544</v>
      </c>
      <c r="C740" s="1">
        <v>44986</v>
      </c>
      <c r="D740" s="2">
        <v>45010</v>
      </c>
      <c r="E740" t="s">
        <v>41</v>
      </c>
      <c r="F740">
        <v>11975</v>
      </c>
      <c r="G740">
        <v>282</v>
      </c>
      <c r="H740">
        <v>262.75</v>
      </c>
      <c r="I740">
        <v>36</v>
      </c>
      <c r="J740">
        <v>1</v>
      </c>
      <c r="L740" t="s">
        <v>42</v>
      </c>
    </row>
    <row r="741" spans="1:12" x14ac:dyDescent="0.2">
      <c r="A741" t="s">
        <v>1545</v>
      </c>
      <c r="B741" t="s">
        <v>1546</v>
      </c>
      <c r="C741" s="2">
        <v>45147</v>
      </c>
      <c r="D741" s="2">
        <v>45204</v>
      </c>
      <c r="E741" t="s">
        <v>58</v>
      </c>
      <c r="F741">
        <v>12023</v>
      </c>
      <c r="G741">
        <v>539</v>
      </c>
      <c r="H741">
        <v>344.91</v>
      </c>
      <c r="I741">
        <v>72</v>
      </c>
      <c r="J741">
        <v>0</v>
      </c>
      <c r="L741" t="s">
        <v>59</v>
      </c>
    </row>
    <row r="742" spans="1:12" x14ac:dyDescent="0.2">
      <c r="A742" t="s">
        <v>1547</v>
      </c>
      <c r="B742" t="s">
        <v>1548</v>
      </c>
      <c r="C742" s="2">
        <v>45188</v>
      </c>
      <c r="D742" s="2">
        <v>45214</v>
      </c>
      <c r="E742" t="s">
        <v>33</v>
      </c>
      <c r="F742">
        <v>22447</v>
      </c>
      <c r="G742">
        <v>713</v>
      </c>
      <c r="H742">
        <v>1387.31</v>
      </c>
      <c r="I742">
        <v>140</v>
      </c>
      <c r="J742">
        <v>0</v>
      </c>
      <c r="L742" t="s">
        <v>34</v>
      </c>
    </row>
    <row r="743" spans="1:12" x14ac:dyDescent="0.2">
      <c r="A743" t="s">
        <v>1549</v>
      </c>
      <c r="B743" t="s">
        <v>1550</v>
      </c>
      <c r="C743" s="1">
        <v>44994</v>
      </c>
      <c r="D743" s="2">
        <v>45006</v>
      </c>
      <c r="E743" t="s">
        <v>23</v>
      </c>
      <c r="F743">
        <v>91469</v>
      </c>
      <c r="G743">
        <v>3689</v>
      </c>
      <c r="H743">
        <v>2591.9699999999998</v>
      </c>
      <c r="I743">
        <v>612</v>
      </c>
      <c r="J743" t="b">
        <v>1</v>
      </c>
      <c r="L743" t="s">
        <v>25</v>
      </c>
    </row>
    <row r="744" spans="1:12" x14ac:dyDescent="0.2">
      <c r="A744" t="s">
        <v>1551</v>
      </c>
      <c r="B744" t="s">
        <v>1552</v>
      </c>
      <c r="C744" s="1">
        <v>44956</v>
      </c>
      <c r="D744" s="2">
        <v>44974</v>
      </c>
      <c r="E744" t="s">
        <v>41</v>
      </c>
      <c r="F744">
        <v>24959</v>
      </c>
      <c r="G744">
        <v>1002</v>
      </c>
      <c r="H744">
        <v>729.12</v>
      </c>
      <c r="I744">
        <v>66</v>
      </c>
      <c r="J744">
        <v>1</v>
      </c>
      <c r="L744" t="s">
        <v>42</v>
      </c>
    </row>
    <row r="745" spans="1:12" x14ac:dyDescent="0.2">
      <c r="A745" t="s">
        <v>1553</v>
      </c>
      <c r="B745" t="s">
        <v>1554</v>
      </c>
      <c r="C745" s="1">
        <v>45084</v>
      </c>
      <c r="D745" s="2">
        <v>45114</v>
      </c>
      <c r="E745" t="s">
        <v>33</v>
      </c>
      <c r="F745">
        <v>67203</v>
      </c>
      <c r="G745">
        <v>720</v>
      </c>
      <c r="H745">
        <v>1320.74</v>
      </c>
      <c r="I745">
        <v>120</v>
      </c>
      <c r="J745" t="b">
        <v>0</v>
      </c>
      <c r="L745" t="s">
        <v>34</v>
      </c>
    </row>
    <row r="746" spans="1:12" x14ac:dyDescent="0.2">
      <c r="A746" t="s">
        <v>1555</v>
      </c>
      <c r="B746" t="s">
        <v>1556</v>
      </c>
      <c r="C746" s="1">
        <v>44928</v>
      </c>
      <c r="D746" s="2">
        <v>44941</v>
      </c>
      <c r="E746" t="s">
        <v>23</v>
      </c>
      <c r="F746">
        <v>30703</v>
      </c>
      <c r="G746">
        <v>462</v>
      </c>
      <c r="H746">
        <v>885.14</v>
      </c>
      <c r="I746">
        <v>34</v>
      </c>
      <c r="J746">
        <v>0</v>
      </c>
      <c r="L746" t="s">
        <v>25</v>
      </c>
    </row>
    <row r="747" spans="1:12" x14ac:dyDescent="0.2">
      <c r="A747" t="s">
        <v>1557</v>
      </c>
      <c r="B747" t="s">
        <v>1558</v>
      </c>
      <c r="C747" s="1">
        <v>44950</v>
      </c>
      <c r="D747" s="2">
        <v>44967</v>
      </c>
      <c r="E747" t="s">
        <v>41</v>
      </c>
      <c r="F747">
        <v>10337</v>
      </c>
      <c r="G747">
        <v>376</v>
      </c>
      <c r="H747">
        <v>619.92999999999995</v>
      </c>
      <c r="I747">
        <v>44</v>
      </c>
      <c r="J747" t="b">
        <v>0</v>
      </c>
      <c r="L747" t="s">
        <v>42</v>
      </c>
    </row>
    <row r="748" spans="1:12" x14ac:dyDescent="0.2">
      <c r="A748" t="s">
        <v>1559</v>
      </c>
      <c r="B748" t="s">
        <v>1560</v>
      </c>
      <c r="C748" s="1">
        <v>45204</v>
      </c>
      <c r="D748" s="2">
        <v>45226</v>
      </c>
      <c r="E748" t="s">
        <v>19</v>
      </c>
      <c r="F748">
        <v>47427</v>
      </c>
      <c r="G748">
        <v>780</v>
      </c>
      <c r="H748">
        <v>396.32</v>
      </c>
      <c r="I748">
        <v>63</v>
      </c>
      <c r="J748" t="s">
        <v>15</v>
      </c>
      <c r="L748" t="s">
        <v>20</v>
      </c>
    </row>
    <row r="749" spans="1:12" x14ac:dyDescent="0.2">
      <c r="A749" t="s">
        <v>1561</v>
      </c>
      <c r="B749" t="s">
        <v>1562</v>
      </c>
      <c r="C749" s="1">
        <v>44962</v>
      </c>
      <c r="D749" s="2">
        <v>44989</v>
      </c>
      <c r="E749" t="s">
        <v>14</v>
      </c>
      <c r="F749">
        <v>62529</v>
      </c>
      <c r="G749">
        <v>1264</v>
      </c>
      <c r="H749">
        <v>634.54999999999995</v>
      </c>
      <c r="I749">
        <v>193</v>
      </c>
      <c r="J749" t="s">
        <v>24</v>
      </c>
      <c r="L749" t="s">
        <v>16</v>
      </c>
    </row>
    <row r="750" spans="1:12" x14ac:dyDescent="0.2">
      <c r="A750" t="s">
        <v>1563</v>
      </c>
      <c r="B750" t="s">
        <v>1564</v>
      </c>
      <c r="C750" s="1">
        <v>45073</v>
      </c>
      <c r="D750" s="2">
        <v>45086</v>
      </c>
      <c r="E750" t="s">
        <v>41</v>
      </c>
      <c r="F750">
        <v>85665</v>
      </c>
      <c r="G750">
        <v>4100</v>
      </c>
      <c r="H750">
        <v>4375.32</v>
      </c>
      <c r="I750">
        <v>744</v>
      </c>
      <c r="J750">
        <v>1</v>
      </c>
      <c r="L750" t="s">
        <v>42</v>
      </c>
    </row>
    <row r="751" spans="1:12" x14ac:dyDescent="0.2">
      <c r="A751" t="s">
        <v>1565</v>
      </c>
      <c r="B751" t="s">
        <v>1566</v>
      </c>
      <c r="C751" s="1">
        <v>45255</v>
      </c>
      <c r="D751" s="2">
        <v>45263</v>
      </c>
      <c r="E751" t="s">
        <v>14</v>
      </c>
      <c r="F751">
        <v>32921</v>
      </c>
      <c r="G751">
        <v>1066</v>
      </c>
      <c r="H751" s="3">
        <v>762.29</v>
      </c>
      <c r="I751">
        <v>99</v>
      </c>
      <c r="J751" t="s">
        <v>24</v>
      </c>
      <c r="L751" t="s">
        <v>16</v>
      </c>
    </row>
    <row r="752" spans="1:12" x14ac:dyDescent="0.2">
      <c r="A752" t="s">
        <v>1567</v>
      </c>
      <c r="B752" t="s">
        <v>1568</v>
      </c>
      <c r="C752" s="1">
        <v>45142</v>
      </c>
      <c r="D752" s="2">
        <v>45161</v>
      </c>
      <c r="E752" t="s">
        <v>41</v>
      </c>
      <c r="F752">
        <v>34307</v>
      </c>
      <c r="G752">
        <v>1373</v>
      </c>
      <c r="H752" s="3">
        <v>724.37</v>
      </c>
      <c r="I752">
        <v>85</v>
      </c>
      <c r="J752" t="s">
        <v>30</v>
      </c>
      <c r="L752" t="s">
        <v>42</v>
      </c>
    </row>
    <row r="753" spans="1:12" x14ac:dyDescent="0.2">
      <c r="A753" t="s">
        <v>1569</v>
      </c>
      <c r="B753" t="s">
        <v>1570</v>
      </c>
      <c r="C753" s="1">
        <v>45156</v>
      </c>
      <c r="D753" s="2">
        <v>45168</v>
      </c>
      <c r="E753" t="s">
        <v>41</v>
      </c>
      <c r="F753">
        <v>28355</v>
      </c>
      <c r="G753">
        <v>916</v>
      </c>
      <c r="H753">
        <v>1095.6300000000001</v>
      </c>
      <c r="I753">
        <v>86</v>
      </c>
      <c r="J753" t="s">
        <v>15</v>
      </c>
      <c r="L753" t="s">
        <v>42</v>
      </c>
    </row>
    <row r="754" spans="1:12" x14ac:dyDescent="0.2">
      <c r="A754" t="s">
        <v>1571</v>
      </c>
      <c r="B754" t="s">
        <v>1572</v>
      </c>
      <c r="C754" s="2">
        <v>45267</v>
      </c>
      <c r="D754" s="2">
        <v>45143</v>
      </c>
      <c r="E754" t="s">
        <v>14</v>
      </c>
      <c r="F754">
        <v>5835</v>
      </c>
      <c r="G754">
        <v>187</v>
      </c>
      <c r="H754" s="3">
        <v>358.03</v>
      </c>
      <c r="I754">
        <v>28</v>
      </c>
      <c r="J754">
        <v>1</v>
      </c>
      <c r="L754" t="s">
        <v>16</v>
      </c>
    </row>
    <row r="755" spans="1:12" x14ac:dyDescent="0.2">
      <c r="A755" t="s">
        <v>1573</v>
      </c>
      <c r="B755" t="s">
        <v>1574</v>
      </c>
      <c r="C755" s="1">
        <v>45265</v>
      </c>
      <c r="D755" s="2">
        <v>45279</v>
      </c>
      <c r="E755" t="s">
        <v>41</v>
      </c>
      <c r="F755">
        <v>21159</v>
      </c>
      <c r="G755">
        <v>291</v>
      </c>
      <c r="H755">
        <v>286.85000000000002</v>
      </c>
      <c r="I755">
        <v>28</v>
      </c>
      <c r="J755" t="b">
        <v>1</v>
      </c>
      <c r="L755" t="s">
        <v>68</v>
      </c>
    </row>
    <row r="756" spans="1:12" x14ac:dyDescent="0.2">
      <c r="A756" t="s">
        <v>1575</v>
      </c>
      <c r="B756" t="s">
        <v>1576</v>
      </c>
      <c r="C756" s="1">
        <v>45105</v>
      </c>
      <c r="D756" s="2">
        <v>45128</v>
      </c>
      <c r="E756" t="s">
        <v>14</v>
      </c>
      <c r="F756">
        <v>48605</v>
      </c>
      <c r="G756">
        <v>1154</v>
      </c>
      <c r="H756">
        <v>1721.43</v>
      </c>
      <c r="I756">
        <v>105</v>
      </c>
      <c r="J756" t="s">
        <v>24</v>
      </c>
      <c r="L756" t="s">
        <v>16</v>
      </c>
    </row>
    <row r="757" spans="1:12" x14ac:dyDescent="0.2">
      <c r="A757" t="s">
        <v>1577</v>
      </c>
      <c r="B757" t="s">
        <v>1578</v>
      </c>
      <c r="C757" s="1">
        <v>45128</v>
      </c>
      <c r="D757" s="2">
        <v>45153</v>
      </c>
      <c r="E757" t="s">
        <v>33</v>
      </c>
      <c r="F757">
        <v>39088</v>
      </c>
      <c r="G757">
        <v>832</v>
      </c>
      <c r="H757">
        <v>1229.99</v>
      </c>
      <c r="I757">
        <v>64</v>
      </c>
      <c r="J757" t="b">
        <v>1</v>
      </c>
      <c r="L757" t="s">
        <v>34</v>
      </c>
    </row>
    <row r="758" spans="1:12" x14ac:dyDescent="0.2">
      <c r="A758" t="s">
        <v>1579</v>
      </c>
      <c r="B758" t="s">
        <v>1580</v>
      </c>
      <c r="C758" s="1">
        <v>45041</v>
      </c>
      <c r="D758" s="2">
        <v>45045</v>
      </c>
      <c r="E758" t="s">
        <v>14</v>
      </c>
      <c r="F758">
        <v>79752</v>
      </c>
      <c r="G758">
        <v>2043</v>
      </c>
      <c r="H758">
        <v>1790.93</v>
      </c>
      <c r="I758">
        <v>254</v>
      </c>
      <c r="J758" t="b">
        <v>0</v>
      </c>
      <c r="L758" t="s">
        <v>16</v>
      </c>
    </row>
    <row r="759" spans="1:12" x14ac:dyDescent="0.2">
      <c r="A759" t="s">
        <v>1581</v>
      </c>
      <c r="B759" t="s">
        <v>1582</v>
      </c>
      <c r="C759" s="1">
        <v>45079</v>
      </c>
      <c r="D759" s="2">
        <v>45087</v>
      </c>
      <c r="E759" t="s">
        <v>33</v>
      </c>
      <c r="F759">
        <v>56284</v>
      </c>
      <c r="G759">
        <v>2360</v>
      </c>
      <c r="H759">
        <v>3482.51</v>
      </c>
      <c r="I759">
        <v>215</v>
      </c>
      <c r="J759">
        <v>0</v>
      </c>
      <c r="L759" t="s">
        <v>34</v>
      </c>
    </row>
    <row r="760" spans="1:12" x14ac:dyDescent="0.2">
      <c r="A760" t="s">
        <v>1583</v>
      </c>
      <c r="B760" t="s">
        <v>1584</v>
      </c>
      <c r="C760" s="1">
        <v>45144</v>
      </c>
      <c r="D760" s="2">
        <v>45165</v>
      </c>
      <c r="E760" t="s">
        <v>415</v>
      </c>
      <c r="F760">
        <v>58043</v>
      </c>
      <c r="G760">
        <v>1443</v>
      </c>
      <c r="H760">
        <v>1181.0999999999999</v>
      </c>
      <c r="I760">
        <v>230</v>
      </c>
      <c r="J760" t="s">
        <v>24</v>
      </c>
      <c r="L760" t="s">
        <v>34</v>
      </c>
    </row>
    <row r="761" spans="1:12" x14ac:dyDescent="0.2">
      <c r="A761" t="s">
        <v>1585</v>
      </c>
      <c r="B761" t="s">
        <v>1586</v>
      </c>
      <c r="C761" s="1">
        <v>45053</v>
      </c>
      <c r="D761" s="2">
        <v>45074</v>
      </c>
      <c r="E761" t="s">
        <v>138</v>
      </c>
      <c r="F761">
        <v>36547</v>
      </c>
      <c r="G761">
        <v>1025</v>
      </c>
      <c r="H761">
        <v>700.09</v>
      </c>
      <c r="J761" t="s">
        <v>30</v>
      </c>
      <c r="L761" t="s">
        <v>139</v>
      </c>
    </row>
    <row r="762" spans="1:12" x14ac:dyDescent="0.2">
      <c r="A762" t="s">
        <v>1587</v>
      </c>
      <c r="B762" t="s">
        <v>1588</v>
      </c>
      <c r="C762" s="1">
        <v>45023</v>
      </c>
      <c r="D762" s="2">
        <v>45038</v>
      </c>
      <c r="E762" t="s">
        <v>14</v>
      </c>
      <c r="F762">
        <v>98007</v>
      </c>
      <c r="G762">
        <v>2537</v>
      </c>
      <c r="H762">
        <v>3937.61</v>
      </c>
      <c r="I762">
        <v>379</v>
      </c>
      <c r="J762" t="b">
        <v>1</v>
      </c>
      <c r="L762" t="s">
        <v>68</v>
      </c>
    </row>
    <row r="763" spans="1:12" x14ac:dyDescent="0.2">
      <c r="A763" t="s">
        <v>1589</v>
      </c>
      <c r="B763" t="s">
        <v>1590</v>
      </c>
      <c r="C763" t="s">
        <v>1591</v>
      </c>
      <c r="D763" s="2">
        <v>44989</v>
      </c>
      <c r="E763" t="s">
        <v>234</v>
      </c>
      <c r="F763">
        <v>83844</v>
      </c>
      <c r="G763">
        <v>1151</v>
      </c>
      <c r="H763">
        <v>771.36</v>
      </c>
      <c r="I763">
        <v>98</v>
      </c>
      <c r="J763">
        <v>1</v>
      </c>
      <c r="L763" t="s">
        <v>16</v>
      </c>
    </row>
    <row r="764" spans="1:12" x14ac:dyDescent="0.2">
      <c r="A764" t="s">
        <v>1592</v>
      </c>
      <c r="B764" t="s">
        <v>1593</v>
      </c>
      <c r="C764" s="1">
        <v>45265</v>
      </c>
      <c r="D764" s="2">
        <v>45292</v>
      </c>
      <c r="E764" t="s">
        <v>41</v>
      </c>
      <c r="F764">
        <v>28532</v>
      </c>
      <c r="G764">
        <v>788</v>
      </c>
      <c r="H764">
        <v>1572.35</v>
      </c>
      <c r="I764">
        <v>97</v>
      </c>
      <c r="J764" t="s">
        <v>24</v>
      </c>
      <c r="L764" t="s">
        <v>42</v>
      </c>
    </row>
    <row r="765" spans="1:12" x14ac:dyDescent="0.2">
      <c r="A765" t="s">
        <v>1594</v>
      </c>
      <c r="B765" t="s">
        <v>1595</v>
      </c>
      <c r="C765" s="2">
        <v>44935</v>
      </c>
      <c r="D765" s="2">
        <v>45193</v>
      </c>
      <c r="E765" t="s">
        <v>23</v>
      </c>
      <c r="F765">
        <v>35349</v>
      </c>
      <c r="G765">
        <v>630</v>
      </c>
      <c r="H765">
        <v>488.36</v>
      </c>
      <c r="I765">
        <v>58</v>
      </c>
      <c r="J765" t="s">
        <v>24</v>
      </c>
      <c r="L765" t="s">
        <v>68</v>
      </c>
    </row>
    <row r="766" spans="1:12" x14ac:dyDescent="0.2">
      <c r="A766" t="s">
        <v>1596</v>
      </c>
      <c r="B766" t="s">
        <v>1597</v>
      </c>
      <c r="C766" s="2">
        <v>44937</v>
      </c>
      <c r="D766" s="2">
        <v>45260</v>
      </c>
      <c r="E766" t="s">
        <v>14</v>
      </c>
      <c r="F766">
        <v>46445</v>
      </c>
      <c r="G766">
        <v>811</v>
      </c>
      <c r="H766">
        <v>1128.27</v>
      </c>
      <c r="I766">
        <v>128</v>
      </c>
      <c r="J766">
        <v>0</v>
      </c>
      <c r="L766" t="s">
        <v>16</v>
      </c>
    </row>
    <row r="767" spans="1:12" x14ac:dyDescent="0.2">
      <c r="A767" t="s">
        <v>1598</v>
      </c>
      <c r="B767" t="s">
        <v>1599</v>
      </c>
      <c r="C767" s="1">
        <v>45233</v>
      </c>
      <c r="D767" s="2">
        <v>45258</v>
      </c>
      <c r="E767" t="s">
        <v>33</v>
      </c>
      <c r="F767">
        <v>6713</v>
      </c>
      <c r="G767">
        <v>92</v>
      </c>
      <c r="H767">
        <v>102.77</v>
      </c>
      <c r="I767">
        <v>17</v>
      </c>
      <c r="J767">
        <v>0</v>
      </c>
      <c r="L767" t="s">
        <v>34</v>
      </c>
    </row>
    <row r="768" spans="1:12" x14ac:dyDescent="0.2">
      <c r="A768" t="s">
        <v>1600</v>
      </c>
      <c r="B768" t="s">
        <v>1601</v>
      </c>
      <c r="C768" s="1">
        <v>45052</v>
      </c>
      <c r="D768" s="2">
        <v>45059</v>
      </c>
      <c r="E768" t="s">
        <v>19</v>
      </c>
      <c r="F768">
        <v>57178</v>
      </c>
      <c r="G768">
        <v>1387</v>
      </c>
      <c r="H768">
        <v>956.45</v>
      </c>
      <c r="J768">
        <v>1</v>
      </c>
      <c r="L768" t="s">
        <v>20</v>
      </c>
    </row>
    <row r="769" spans="1:12" x14ac:dyDescent="0.2">
      <c r="A769" t="s">
        <v>1602</v>
      </c>
      <c r="B769" t="s">
        <v>1603</v>
      </c>
      <c r="C769" s="1">
        <v>45046</v>
      </c>
      <c r="D769" s="2">
        <v>45069</v>
      </c>
      <c r="E769" t="s">
        <v>41</v>
      </c>
      <c r="F769">
        <v>50407</v>
      </c>
      <c r="G769">
        <v>2031</v>
      </c>
      <c r="H769">
        <v>1100.33</v>
      </c>
      <c r="I769">
        <v>279</v>
      </c>
      <c r="J769">
        <v>0</v>
      </c>
      <c r="L769" t="s">
        <v>42</v>
      </c>
    </row>
    <row r="770" spans="1:12" x14ac:dyDescent="0.2">
      <c r="A770" t="s">
        <v>1604</v>
      </c>
      <c r="B770" t="s">
        <v>1605</v>
      </c>
      <c r="C770" s="1">
        <v>44955</v>
      </c>
      <c r="D770" s="2">
        <v>44956</v>
      </c>
      <c r="E770" t="s">
        <v>33</v>
      </c>
      <c r="F770">
        <v>71340</v>
      </c>
      <c r="G770">
        <v>1502</v>
      </c>
      <c r="H770">
        <v>2154.02</v>
      </c>
      <c r="J770" t="b">
        <v>1</v>
      </c>
      <c r="L770" t="s">
        <v>34</v>
      </c>
    </row>
    <row r="771" spans="1:12" x14ac:dyDescent="0.2">
      <c r="A771" t="s">
        <v>1606</v>
      </c>
      <c r="B771" t="s">
        <v>1607</v>
      </c>
      <c r="C771" s="1">
        <v>45046</v>
      </c>
      <c r="D771" s="2">
        <v>45075</v>
      </c>
      <c r="E771" t="s">
        <v>41</v>
      </c>
      <c r="F771">
        <v>51990</v>
      </c>
      <c r="G771">
        <v>1169</v>
      </c>
      <c r="H771">
        <v>1999.15</v>
      </c>
      <c r="I771">
        <v>201</v>
      </c>
      <c r="J771">
        <v>1</v>
      </c>
      <c r="L771" t="s">
        <v>68</v>
      </c>
    </row>
    <row r="772" spans="1:12" x14ac:dyDescent="0.2">
      <c r="A772" t="s">
        <v>1608</v>
      </c>
      <c r="B772" t="s">
        <v>1609</v>
      </c>
      <c r="C772" s="1">
        <v>45090</v>
      </c>
      <c r="D772" s="2">
        <v>45116</v>
      </c>
      <c r="E772" t="s">
        <v>23</v>
      </c>
      <c r="F772">
        <v>76672</v>
      </c>
      <c r="G772">
        <v>2737</v>
      </c>
      <c r="H772">
        <v>4825.3999999999996</v>
      </c>
      <c r="I772">
        <v>417</v>
      </c>
      <c r="J772">
        <v>1</v>
      </c>
      <c r="L772" t="s">
        <v>25</v>
      </c>
    </row>
    <row r="773" spans="1:12" x14ac:dyDescent="0.2">
      <c r="A773" t="s">
        <v>1610</v>
      </c>
      <c r="B773" t="s">
        <v>1611</v>
      </c>
      <c r="C773" s="1">
        <v>45091</v>
      </c>
      <c r="D773" s="2">
        <v>45108</v>
      </c>
      <c r="E773" t="s">
        <v>19</v>
      </c>
      <c r="F773">
        <v>66545</v>
      </c>
      <c r="G773">
        <v>1186</v>
      </c>
      <c r="H773">
        <v>1451.75</v>
      </c>
      <c r="I773">
        <v>91</v>
      </c>
      <c r="J773" t="b">
        <v>0</v>
      </c>
      <c r="L773" t="s">
        <v>20</v>
      </c>
    </row>
    <row r="774" spans="1:12" x14ac:dyDescent="0.2">
      <c r="A774" t="s">
        <v>1612</v>
      </c>
      <c r="B774" t="s">
        <v>1613</v>
      </c>
      <c r="C774" s="1">
        <v>45265</v>
      </c>
      <c r="D774" s="2">
        <v>45291</v>
      </c>
      <c r="E774" t="s">
        <v>23</v>
      </c>
      <c r="F774">
        <v>85791</v>
      </c>
      <c r="G774">
        <v>3935</v>
      </c>
      <c r="H774">
        <v>6556.43</v>
      </c>
      <c r="I774">
        <v>681</v>
      </c>
      <c r="J774" t="s">
        <v>30</v>
      </c>
      <c r="L774" t="s">
        <v>25</v>
      </c>
    </row>
    <row r="775" spans="1:12" x14ac:dyDescent="0.2">
      <c r="A775" t="s">
        <v>1614</v>
      </c>
      <c r="B775" t="s">
        <v>1615</v>
      </c>
      <c r="C775" t="s">
        <v>1616</v>
      </c>
      <c r="D775" s="2">
        <v>45071</v>
      </c>
      <c r="E775" t="s">
        <v>19</v>
      </c>
      <c r="F775">
        <v>59141</v>
      </c>
      <c r="G775">
        <v>1821</v>
      </c>
      <c r="H775">
        <v>2748.38</v>
      </c>
      <c r="I775">
        <v>208</v>
      </c>
      <c r="J775" t="s">
        <v>24</v>
      </c>
      <c r="L775" t="s">
        <v>20</v>
      </c>
    </row>
    <row r="776" spans="1:12" x14ac:dyDescent="0.2">
      <c r="A776" t="s">
        <v>1617</v>
      </c>
      <c r="B776" t="s">
        <v>1618</v>
      </c>
      <c r="C776" s="1">
        <v>45229</v>
      </c>
      <c r="D776" s="2">
        <v>45245</v>
      </c>
      <c r="E776" t="s">
        <v>14</v>
      </c>
      <c r="F776">
        <v>24793</v>
      </c>
      <c r="G776">
        <v>691</v>
      </c>
      <c r="H776">
        <v>1096.19</v>
      </c>
      <c r="I776">
        <v>54</v>
      </c>
      <c r="J776" t="b">
        <v>0</v>
      </c>
      <c r="L776" t="s">
        <v>16</v>
      </c>
    </row>
    <row r="777" spans="1:12" x14ac:dyDescent="0.2">
      <c r="A777" t="s">
        <v>1619</v>
      </c>
      <c r="B777" t="s">
        <v>1620</v>
      </c>
      <c r="C777" s="1">
        <v>45247</v>
      </c>
      <c r="D777" s="2">
        <v>45252</v>
      </c>
      <c r="E777" t="s">
        <v>191</v>
      </c>
      <c r="F777">
        <v>57570</v>
      </c>
      <c r="G777">
        <v>1860</v>
      </c>
      <c r="H777">
        <v>2304.35</v>
      </c>
      <c r="I777">
        <v>171</v>
      </c>
      <c r="J777" t="s">
        <v>30</v>
      </c>
      <c r="L777" t="s">
        <v>42</v>
      </c>
    </row>
    <row r="778" spans="1:12" x14ac:dyDescent="0.2">
      <c r="A778" t="s">
        <v>1621</v>
      </c>
      <c r="B778" t="s">
        <v>1622</v>
      </c>
      <c r="C778" s="1">
        <v>44951</v>
      </c>
      <c r="D778" s="2">
        <v>44981</v>
      </c>
      <c r="E778" t="s">
        <v>19</v>
      </c>
      <c r="F778">
        <v>96084</v>
      </c>
      <c r="G778">
        <v>1598</v>
      </c>
      <c r="H778">
        <v>2317.29</v>
      </c>
      <c r="I778">
        <v>144</v>
      </c>
      <c r="J778">
        <v>1</v>
      </c>
      <c r="L778" t="s">
        <v>20</v>
      </c>
    </row>
    <row r="779" spans="1:12" x14ac:dyDescent="0.2">
      <c r="A779" t="s">
        <v>1623</v>
      </c>
      <c r="B779" t="s">
        <v>1624</v>
      </c>
      <c r="C779" s="1">
        <v>45270</v>
      </c>
      <c r="D779" s="2">
        <v>45273</v>
      </c>
      <c r="E779" t="s">
        <v>23</v>
      </c>
      <c r="F779">
        <v>38892</v>
      </c>
      <c r="G779">
        <v>1343</v>
      </c>
      <c r="H779">
        <v>2294.23</v>
      </c>
      <c r="J779" t="s">
        <v>24</v>
      </c>
      <c r="L779" t="s">
        <v>25</v>
      </c>
    </row>
    <row r="780" spans="1:12" x14ac:dyDescent="0.2">
      <c r="A780" t="s">
        <v>1625</v>
      </c>
      <c r="B780" t="s">
        <v>1626</v>
      </c>
      <c r="C780" s="1">
        <v>45283</v>
      </c>
      <c r="D780" s="2">
        <v>45306</v>
      </c>
      <c r="E780" t="s">
        <v>19</v>
      </c>
      <c r="F780">
        <v>2015</v>
      </c>
      <c r="G780">
        <v>49</v>
      </c>
      <c r="H780">
        <v>53.74</v>
      </c>
      <c r="I780">
        <v>4</v>
      </c>
      <c r="J780">
        <v>0</v>
      </c>
      <c r="L780" t="s">
        <v>20</v>
      </c>
    </row>
    <row r="781" spans="1:12" x14ac:dyDescent="0.2">
      <c r="A781" t="s">
        <v>1627</v>
      </c>
      <c r="B781" t="s">
        <v>1628</v>
      </c>
      <c r="C781" s="1">
        <v>45119</v>
      </c>
      <c r="D781" s="2">
        <v>45129</v>
      </c>
      <c r="E781" t="s">
        <v>415</v>
      </c>
      <c r="F781">
        <v>62813</v>
      </c>
      <c r="G781">
        <v>2882</v>
      </c>
      <c r="H781">
        <v>4925.25</v>
      </c>
      <c r="I781">
        <v>197</v>
      </c>
      <c r="J781" t="s">
        <v>30</v>
      </c>
      <c r="L781" t="s">
        <v>34</v>
      </c>
    </row>
    <row r="782" spans="1:12" x14ac:dyDescent="0.2">
      <c r="A782" t="s">
        <v>1629</v>
      </c>
      <c r="B782" t="s">
        <v>1630</v>
      </c>
      <c r="C782" s="1">
        <v>45050</v>
      </c>
      <c r="D782" s="2">
        <v>45058</v>
      </c>
      <c r="E782" t="s">
        <v>138</v>
      </c>
      <c r="F782">
        <v>28712</v>
      </c>
      <c r="G782">
        <v>481</v>
      </c>
      <c r="H782">
        <v>667.64</v>
      </c>
      <c r="I782">
        <v>32</v>
      </c>
      <c r="J782">
        <v>1</v>
      </c>
      <c r="L782" t="s">
        <v>139</v>
      </c>
    </row>
    <row r="783" spans="1:12" x14ac:dyDescent="0.2">
      <c r="A783" t="s">
        <v>1631</v>
      </c>
      <c r="B783" t="s">
        <v>1632</v>
      </c>
      <c r="C783" s="1">
        <v>45289</v>
      </c>
      <c r="D783" s="2">
        <v>45314</v>
      </c>
      <c r="E783" t="s">
        <v>14</v>
      </c>
      <c r="F783">
        <v>9415</v>
      </c>
      <c r="G783">
        <v>285</v>
      </c>
      <c r="H783" s="3">
        <v>213.42</v>
      </c>
      <c r="I783">
        <v>39</v>
      </c>
      <c r="J783">
        <v>1</v>
      </c>
      <c r="L783" t="s">
        <v>16</v>
      </c>
    </row>
    <row r="784" spans="1:12" x14ac:dyDescent="0.2">
      <c r="A784" t="s">
        <v>1633</v>
      </c>
      <c r="B784" t="s">
        <v>1634</v>
      </c>
      <c r="C784" s="1">
        <v>44956</v>
      </c>
      <c r="D784" s="2">
        <v>44969</v>
      </c>
      <c r="E784" t="s">
        <v>41</v>
      </c>
      <c r="F784">
        <v>63292</v>
      </c>
      <c r="G784">
        <v>2147</v>
      </c>
      <c r="H784">
        <v>1153</v>
      </c>
      <c r="I784">
        <v>343</v>
      </c>
      <c r="J784" t="b">
        <v>0</v>
      </c>
      <c r="L784" t="s">
        <v>42</v>
      </c>
    </row>
    <row r="785" spans="1:12" x14ac:dyDescent="0.2">
      <c r="A785" t="s">
        <v>1635</v>
      </c>
      <c r="B785" t="s">
        <v>1636</v>
      </c>
      <c r="C785" s="1">
        <v>45212</v>
      </c>
      <c r="D785" s="2">
        <v>45222</v>
      </c>
      <c r="E785" t="s">
        <v>19</v>
      </c>
      <c r="F785">
        <v>24833</v>
      </c>
      <c r="G785">
        <v>281</v>
      </c>
      <c r="H785">
        <v>293.39999999999998</v>
      </c>
      <c r="I785">
        <v>27</v>
      </c>
      <c r="J785" t="b">
        <v>0</v>
      </c>
      <c r="L785" t="s">
        <v>20</v>
      </c>
    </row>
    <row r="786" spans="1:12" x14ac:dyDescent="0.2">
      <c r="A786" t="s">
        <v>1637</v>
      </c>
      <c r="B786" t="s">
        <v>1638</v>
      </c>
      <c r="C786" s="1">
        <v>45057</v>
      </c>
      <c r="D786" s="2">
        <v>45084</v>
      </c>
      <c r="E786" t="s">
        <v>19</v>
      </c>
      <c r="F786">
        <v>5158</v>
      </c>
      <c r="G786">
        <v>126</v>
      </c>
      <c r="H786">
        <v>166.33</v>
      </c>
      <c r="I786">
        <v>6</v>
      </c>
      <c r="J786">
        <v>0</v>
      </c>
      <c r="L786" t="s">
        <v>20</v>
      </c>
    </row>
    <row r="787" spans="1:12" x14ac:dyDescent="0.2">
      <c r="A787" t="s">
        <v>1639</v>
      </c>
      <c r="B787" t="s">
        <v>1640</v>
      </c>
      <c r="C787" s="2">
        <v>45157</v>
      </c>
      <c r="D787" s="2">
        <v>45164</v>
      </c>
      <c r="E787" t="s">
        <v>14</v>
      </c>
      <c r="F787">
        <v>63680</v>
      </c>
      <c r="G787">
        <v>2502</v>
      </c>
      <c r="H787">
        <v>4402.8500000000004</v>
      </c>
      <c r="I787">
        <v>172</v>
      </c>
      <c r="J787" t="s">
        <v>15</v>
      </c>
      <c r="L787" t="s">
        <v>16</v>
      </c>
    </row>
    <row r="788" spans="1:12" x14ac:dyDescent="0.2">
      <c r="A788" t="s">
        <v>1641</v>
      </c>
      <c r="B788" t="s">
        <v>1642</v>
      </c>
      <c r="C788" s="2">
        <v>45142</v>
      </c>
      <c r="D788" s="2">
        <v>45042</v>
      </c>
      <c r="E788" t="s">
        <v>23</v>
      </c>
      <c r="F788">
        <v>21309</v>
      </c>
      <c r="G788">
        <v>912</v>
      </c>
      <c r="H788">
        <v>630.4</v>
      </c>
      <c r="I788">
        <v>170</v>
      </c>
      <c r="J788" t="b">
        <v>1</v>
      </c>
      <c r="L788" t="s">
        <v>25</v>
      </c>
    </row>
    <row r="789" spans="1:12" x14ac:dyDescent="0.2">
      <c r="A789" t="s">
        <v>1643</v>
      </c>
      <c r="B789" t="s">
        <v>1644</v>
      </c>
      <c r="C789" s="1">
        <v>45120</v>
      </c>
      <c r="D789" s="2">
        <v>45141</v>
      </c>
      <c r="E789" t="s">
        <v>19</v>
      </c>
      <c r="F789">
        <v>7970</v>
      </c>
      <c r="G789">
        <v>179</v>
      </c>
      <c r="H789">
        <v>304.36</v>
      </c>
      <c r="I789">
        <v>22</v>
      </c>
      <c r="J789" t="s">
        <v>15</v>
      </c>
      <c r="L789" t="s">
        <v>20</v>
      </c>
    </row>
    <row r="790" spans="1:12" x14ac:dyDescent="0.2">
      <c r="A790" t="s">
        <v>1645</v>
      </c>
      <c r="B790" t="s">
        <v>1646</v>
      </c>
      <c r="C790" s="1">
        <v>44964</v>
      </c>
      <c r="D790" s="2">
        <v>44968</v>
      </c>
      <c r="E790" t="s">
        <v>41</v>
      </c>
      <c r="F790">
        <v>73474</v>
      </c>
      <c r="G790">
        <v>3081</v>
      </c>
      <c r="H790">
        <v>5528.9</v>
      </c>
      <c r="I790">
        <v>363</v>
      </c>
      <c r="J790" t="s">
        <v>15</v>
      </c>
      <c r="L790" t="s">
        <v>42</v>
      </c>
    </row>
    <row r="791" spans="1:12" x14ac:dyDescent="0.2">
      <c r="A791" t="s">
        <v>1647</v>
      </c>
      <c r="B791" t="s">
        <v>1648</v>
      </c>
      <c r="C791" s="1">
        <v>45270</v>
      </c>
      <c r="D791" s="2">
        <v>45297</v>
      </c>
      <c r="E791" t="s">
        <v>19</v>
      </c>
      <c r="F791">
        <v>87704</v>
      </c>
      <c r="G791">
        <v>4272</v>
      </c>
      <c r="H791">
        <v>500000</v>
      </c>
      <c r="I791">
        <v>237</v>
      </c>
      <c r="J791" t="s">
        <v>24</v>
      </c>
      <c r="L791" t="s">
        <v>20</v>
      </c>
    </row>
    <row r="792" spans="1:12" x14ac:dyDescent="0.2">
      <c r="A792" t="s">
        <v>1649</v>
      </c>
      <c r="B792" t="s">
        <v>1650</v>
      </c>
      <c r="C792" s="1">
        <v>45097</v>
      </c>
      <c r="D792" s="2">
        <v>45104</v>
      </c>
      <c r="E792" t="s">
        <v>23</v>
      </c>
      <c r="F792">
        <v>47540</v>
      </c>
      <c r="G792">
        <v>2104</v>
      </c>
      <c r="H792">
        <v>3739.63</v>
      </c>
      <c r="I792">
        <v>335</v>
      </c>
      <c r="J792" t="s">
        <v>24</v>
      </c>
      <c r="L792" t="s">
        <v>25</v>
      </c>
    </row>
    <row r="793" spans="1:12" x14ac:dyDescent="0.2">
      <c r="A793" t="s">
        <v>1651</v>
      </c>
      <c r="B793" t="s">
        <v>1652</v>
      </c>
      <c r="C793" s="1">
        <v>45035</v>
      </c>
      <c r="D793" s="2">
        <v>45036</v>
      </c>
      <c r="E793" t="s">
        <v>14</v>
      </c>
      <c r="F793">
        <v>21384</v>
      </c>
      <c r="G793">
        <v>314</v>
      </c>
      <c r="H793" s="3">
        <v>623.97</v>
      </c>
      <c r="I793">
        <v>40</v>
      </c>
      <c r="J793">
        <v>0</v>
      </c>
      <c r="L793" t="s">
        <v>16</v>
      </c>
    </row>
    <row r="794" spans="1:12" x14ac:dyDescent="0.2">
      <c r="A794" t="s">
        <v>1653</v>
      </c>
      <c r="B794" t="s">
        <v>1654</v>
      </c>
      <c r="C794" s="1">
        <v>44987</v>
      </c>
      <c r="D794" s="2">
        <v>44988</v>
      </c>
      <c r="E794" t="s">
        <v>41</v>
      </c>
      <c r="F794">
        <v>19017</v>
      </c>
      <c r="G794">
        <v>752</v>
      </c>
      <c r="H794">
        <v>1195.8699999999999</v>
      </c>
      <c r="I794">
        <v>60</v>
      </c>
      <c r="J794" t="s">
        <v>24</v>
      </c>
      <c r="L794" t="s">
        <v>42</v>
      </c>
    </row>
    <row r="795" spans="1:12" x14ac:dyDescent="0.2">
      <c r="A795" t="s">
        <v>1655</v>
      </c>
      <c r="B795" t="s">
        <v>1656</v>
      </c>
      <c r="C795" s="1">
        <v>45051</v>
      </c>
      <c r="D795" s="2">
        <v>45052</v>
      </c>
      <c r="E795" t="s">
        <v>14</v>
      </c>
      <c r="F795">
        <v>76880</v>
      </c>
      <c r="G795">
        <v>1751</v>
      </c>
      <c r="H795">
        <v>2936.7</v>
      </c>
      <c r="I795">
        <v>116</v>
      </c>
      <c r="J795" t="s">
        <v>30</v>
      </c>
      <c r="L795" t="s">
        <v>16</v>
      </c>
    </row>
    <row r="796" spans="1:12" x14ac:dyDescent="0.2">
      <c r="A796" t="s">
        <v>1657</v>
      </c>
      <c r="B796" t="s">
        <v>1658</v>
      </c>
      <c r="C796" s="1">
        <v>45130</v>
      </c>
      <c r="D796" s="2">
        <v>45140</v>
      </c>
      <c r="E796" t="s">
        <v>33</v>
      </c>
      <c r="F796">
        <v>9702</v>
      </c>
      <c r="G796">
        <v>480</v>
      </c>
      <c r="H796" s="3">
        <v>955.98</v>
      </c>
      <c r="I796">
        <v>51</v>
      </c>
      <c r="J796">
        <v>0</v>
      </c>
      <c r="L796" t="s">
        <v>34</v>
      </c>
    </row>
    <row r="797" spans="1:12" x14ac:dyDescent="0.2">
      <c r="A797" t="s">
        <v>1659</v>
      </c>
      <c r="B797" t="s">
        <v>1660</v>
      </c>
      <c r="C797" s="1">
        <v>45071</v>
      </c>
      <c r="D797" s="2">
        <v>45075</v>
      </c>
      <c r="E797" t="s">
        <v>14</v>
      </c>
      <c r="F797">
        <v>1384</v>
      </c>
      <c r="G797">
        <v>40</v>
      </c>
      <c r="H797">
        <v>56.33</v>
      </c>
      <c r="I797">
        <v>7</v>
      </c>
      <c r="J797">
        <v>0</v>
      </c>
      <c r="L797" t="s">
        <v>16</v>
      </c>
    </row>
    <row r="798" spans="1:12" x14ac:dyDescent="0.2">
      <c r="A798" t="s">
        <v>1661</v>
      </c>
      <c r="B798" t="s">
        <v>1662</v>
      </c>
      <c r="C798" s="1">
        <v>45110</v>
      </c>
      <c r="D798" s="2">
        <v>45117</v>
      </c>
      <c r="E798" t="s">
        <v>33</v>
      </c>
      <c r="F798">
        <v>1404</v>
      </c>
      <c r="G798">
        <v>20</v>
      </c>
      <c r="H798" s="3">
        <v>19.239999999999998</v>
      </c>
      <c r="I798">
        <v>3</v>
      </c>
      <c r="J798">
        <v>1</v>
      </c>
      <c r="L798" t="s">
        <v>34</v>
      </c>
    </row>
    <row r="799" spans="1:12" x14ac:dyDescent="0.2">
      <c r="A799" t="s">
        <v>1663</v>
      </c>
      <c r="B799" t="s">
        <v>1664</v>
      </c>
      <c r="C799" s="1">
        <v>45181</v>
      </c>
      <c r="D799" s="2">
        <v>45187</v>
      </c>
      <c r="E799" t="s">
        <v>14</v>
      </c>
      <c r="F799">
        <v>41943</v>
      </c>
      <c r="G799">
        <v>1636</v>
      </c>
      <c r="H799">
        <v>2873.3</v>
      </c>
      <c r="I799">
        <v>229</v>
      </c>
      <c r="J799">
        <v>1</v>
      </c>
      <c r="L799" t="s">
        <v>16</v>
      </c>
    </row>
    <row r="800" spans="1:12" x14ac:dyDescent="0.2">
      <c r="A800" t="s">
        <v>1665</v>
      </c>
      <c r="B800" t="s">
        <v>1666</v>
      </c>
      <c r="C800" s="1">
        <v>45167</v>
      </c>
      <c r="D800" s="2">
        <v>45194</v>
      </c>
      <c r="E800" t="s">
        <v>41</v>
      </c>
      <c r="F800">
        <v>48926</v>
      </c>
      <c r="G800">
        <v>1121</v>
      </c>
      <c r="H800">
        <v>1593.76</v>
      </c>
      <c r="I800">
        <v>178</v>
      </c>
      <c r="J800">
        <v>1</v>
      </c>
      <c r="L800" t="s">
        <v>42</v>
      </c>
    </row>
    <row r="801" spans="1:12" x14ac:dyDescent="0.2">
      <c r="A801" t="s">
        <v>1667</v>
      </c>
      <c r="B801" t="s">
        <v>1668</v>
      </c>
      <c r="C801" s="1">
        <v>45031</v>
      </c>
      <c r="D801" s="2">
        <v>45056</v>
      </c>
      <c r="E801" t="s">
        <v>23</v>
      </c>
      <c r="F801">
        <v>30189</v>
      </c>
      <c r="G801">
        <v>1505</v>
      </c>
      <c r="H801">
        <v>2064.5500000000002</v>
      </c>
      <c r="I801">
        <v>101</v>
      </c>
      <c r="J801" t="b">
        <v>1</v>
      </c>
      <c r="L801" t="s">
        <v>25</v>
      </c>
    </row>
    <row r="802" spans="1:12" x14ac:dyDescent="0.2">
      <c r="A802" t="s">
        <v>1669</v>
      </c>
      <c r="B802" t="s">
        <v>1670</v>
      </c>
      <c r="C802" s="1">
        <v>45215</v>
      </c>
      <c r="D802" s="2">
        <v>45237</v>
      </c>
      <c r="E802" t="s">
        <v>19</v>
      </c>
      <c r="F802">
        <v>13763</v>
      </c>
      <c r="G802">
        <v>677</v>
      </c>
      <c r="H802">
        <v>596.07000000000005</v>
      </c>
      <c r="I802">
        <v>93</v>
      </c>
      <c r="J802" t="s">
        <v>30</v>
      </c>
      <c r="L802" t="s">
        <v>20</v>
      </c>
    </row>
    <row r="803" spans="1:12" x14ac:dyDescent="0.2">
      <c r="A803" t="s">
        <v>1671</v>
      </c>
      <c r="B803" t="s">
        <v>1672</v>
      </c>
      <c r="C803" s="1">
        <v>44935</v>
      </c>
      <c r="D803" s="2">
        <v>44938</v>
      </c>
      <c r="E803" t="s">
        <v>23</v>
      </c>
      <c r="F803">
        <v>19384</v>
      </c>
      <c r="G803">
        <v>702</v>
      </c>
      <c r="H803">
        <v>1147.42</v>
      </c>
      <c r="I803">
        <v>105</v>
      </c>
      <c r="J803" t="s">
        <v>30</v>
      </c>
      <c r="L803" t="s">
        <v>25</v>
      </c>
    </row>
    <row r="804" spans="1:12" x14ac:dyDescent="0.2">
      <c r="A804" t="s">
        <v>1673</v>
      </c>
      <c r="B804" t="s">
        <v>1674</v>
      </c>
      <c r="C804" s="1">
        <v>45223</v>
      </c>
      <c r="D804" s="2">
        <v>45218</v>
      </c>
      <c r="E804" t="s">
        <v>14</v>
      </c>
      <c r="F804">
        <v>61100</v>
      </c>
      <c r="G804">
        <v>928</v>
      </c>
      <c r="H804">
        <v>577.67999999999995</v>
      </c>
      <c r="I804">
        <v>74</v>
      </c>
      <c r="J804">
        <v>1</v>
      </c>
      <c r="L804" t="s">
        <v>16</v>
      </c>
    </row>
    <row r="805" spans="1:12" x14ac:dyDescent="0.2">
      <c r="A805" t="s">
        <v>1675</v>
      </c>
      <c r="B805" t="s">
        <v>1676</v>
      </c>
      <c r="C805" s="1">
        <v>45027</v>
      </c>
      <c r="D805" s="2">
        <v>45022</v>
      </c>
      <c r="E805" t="s">
        <v>14</v>
      </c>
      <c r="F805">
        <v>99142</v>
      </c>
      <c r="G805">
        <v>3715</v>
      </c>
      <c r="H805">
        <v>7008.09</v>
      </c>
      <c r="I805">
        <v>676</v>
      </c>
      <c r="J805" t="s">
        <v>15</v>
      </c>
      <c r="L805" t="s">
        <v>68</v>
      </c>
    </row>
    <row r="806" spans="1:12" x14ac:dyDescent="0.2">
      <c r="A806" t="s">
        <v>1677</v>
      </c>
      <c r="B806" t="s">
        <v>1678</v>
      </c>
      <c r="C806" s="1">
        <v>45052</v>
      </c>
      <c r="D806" s="2">
        <v>45047</v>
      </c>
      <c r="E806" t="s">
        <v>138</v>
      </c>
      <c r="F806">
        <v>10860</v>
      </c>
      <c r="G806">
        <v>149</v>
      </c>
      <c r="H806">
        <v>147.32</v>
      </c>
      <c r="I806">
        <v>11</v>
      </c>
      <c r="J806" t="b">
        <v>1</v>
      </c>
      <c r="L806" t="s">
        <v>139</v>
      </c>
    </row>
    <row r="807" spans="1:12" x14ac:dyDescent="0.2">
      <c r="A807" t="s">
        <v>1679</v>
      </c>
      <c r="B807" t="s">
        <v>1680</v>
      </c>
      <c r="C807" s="1">
        <v>45277</v>
      </c>
      <c r="D807" s="2">
        <v>45281</v>
      </c>
      <c r="E807" t="s">
        <v>14</v>
      </c>
      <c r="F807">
        <v>81642</v>
      </c>
      <c r="G807">
        <v>912</v>
      </c>
      <c r="H807">
        <v>630.79999999999995</v>
      </c>
      <c r="I807">
        <v>88</v>
      </c>
      <c r="J807" t="s">
        <v>15</v>
      </c>
      <c r="L807" t="s">
        <v>68</v>
      </c>
    </row>
    <row r="808" spans="1:12" x14ac:dyDescent="0.2">
      <c r="A808" t="s">
        <v>1681</v>
      </c>
      <c r="B808" t="s">
        <v>1682</v>
      </c>
      <c r="C808" s="1">
        <v>45177</v>
      </c>
      <c r="D808" s="2">
        <v>45191</v>
      </c>
      <c r="E808" t="s">
        <v>23</v>
      </c>
      <c r="F808">
        <v>51612</v>
      </c>
      <c r="G808">
        <v>2215</v>
      </c>
      <c r="H808">
        <v>2577.2600000000002</v>
      </c>
      <c r="I808">
        <v>316</v>
      </c>
      <c r="J808" t="b">
        <v>0</v>
      </c>
      <c r="K808">
        <v>51694</v>
      </c>
      <c r="L808" t="s">
        <v>68</v>
      </c>
    </row>
    <row r="809" spans="1:12" x14ac:dyDescent="0.2">
      <c r="A809" t="s">
        <v>1683</v>
      </c>
      <c r="B809" t="s">
        <v>1684</v>
      </c>
      <c r="C809" s="1">
        <v>45178</v>
      </c>
      <c r="D809" s="2">
        <v>45190</v>
      </c>
      <c r="E809" t="s">
        <v>14</v>
      </c>
      <c r="F809">
        <v>24574</v>
      </c>
      <c r="G809">
        <v>451</v>
      </c>
      <c r="H809">
        <v>254.23</v>
      </c>
      <c r="I809">
        <v>65</v>
      </c>
      <c r="J809" t="s">
        <v>30</v>
      </c>
      <c r="L809" t="s">
        <v>16</v>
      </c>
    </row>
    <row r="810" spans="1:12" x14ac:dyDescent="0.2">
      <c r="A810" t="s">
        <v>1685</v>
      </c>
      <c r="B810" t="s">
        <v>1686</v>
      </c>
      <c r="C810" s="1">
        <v>45107</v>
      </c>
      <c r="D810" s="2">
        <v>45129</v>
      </c>
      <c r="E810" t="s">
        <v>23</v>
      </c>
      <c r="F810">
        <v>24524</v>
      </c>
      <c r="G810">
        <v>617</v>
      </c>
      <c r="H810">
        <v>942.12</v>
      </c>
      <c r="I810">
        <v>95</v>
      </c>
      <c r="J810" t="s">
        <v>30</v>
      </c>
      <c r="L810" t="s">
        <v>25</v>
      </c>
    </row>
    <row r="811" spans="1:12" x14ac:dyDescent="0.2">
      <c r="A811" t="s">
        <v>1687</v>
      </c>
      <c r="B811" t="s">
        <v>1688</v>
      </c>
      <c r="C811" s="1">
        <v>45177</v>
      </c>
      <c r="D811" s="2">
        <v>45190</v>
      </c>
      <c r="E811" t="s">
        <v>138</v>
      </c>
      <c r="F811">
        <v>70172</v>
      </c>
      <c r="G811">
        <v>3434</v>
      </c>
      <c r="H811">
        <v>6366.84</v>
      </c>
      <c r="I811">
        <v>229</v>
      </c>
      <c r="J811" t="s">
        <v>15</v>
      </c>
      <c r="L811" t="s">
        <v>139</v>
      </c>
    </row>
    <row r="812" spans="1:12" x14ac:dyDescent="0.2">
      <c r="A812" t="s">
        <v>1689</v>
      </c>
      <c r="B812" t="s">
        <v>1690</v>
      </c>
      <c r="C812" s="1">
        <v>45255</v>
      </c>
      <c r="D812" s="2">
        <v>45256</v>
      </c>
      <c r="E812" t="s">
        <v>33</v>
      </c>
      <c r="F812">
        <v>11916</v>
      </c>
      <c r="G812">
        <v>279</v>
      </c>
      <c r="H812">
        <v>489.89</v>
      </c>
      <c r="J812" t="b">
        <v>1</v>
      </c>
      <c r="L812" t="s">
        <v>68</v>
      </c>
    </row>
    <row r="813" spans="1:12" x14ac:dyDescent="0.2">
      <c r="A813" t="s">
        <v>1691</v>
      </c>
      <c r="B813" t="s">
        <v>1692</v>
      </c>
      <c r="C813" s="1">
        <v>44965</v>
      </c>
      <c r="D813" s="2">
        <v>44988</v>
      </c>
      <c r="E813" t="s">
        <v>23</v>
      </c>
      <c r="F813">
        <v>5809</v>
      </c>
      <c r="G813">
        <v>126</v>
      </c>
      <c r="H813">
        <v>87.07</v>
      </c>
      <c r="I813">
        <v>16</v>
      </c>
      <c r="J813" t="s">
        <v>30</v>
      </c>
      <c r="L813" t="s">
        <v>25</v>
      </c>
    </row>
    <row r="814" spans="1:12" x14ac:dyDescent="0.2">
      <c r="A814" t="s">
        <v>1693</v>
      </c>
      <c r="B814" t="s">
        <v>1694</v>
      </c>
      <c r="C814" s="1">
        <v>44930</v>
      </c>
      <c r="D814" s="2">
        <v>44950</v>
      </c>
      <c r="E814" t="s">
        <v>23</v>
      </c>
      <c r="F814">
        <v>33201</v>
      </c>
      <c r="G814">
        <v>1551</v>
      </c>
      <c r="H814">
        <v>1069.27</v>
      </c>
      <c r="I814">
        <v>187</v>
      </c>
      <c r="J814" t="s">
        <v>15</v>
      </c>
      <c r="L814" t="s">
        <v>25</v>
      </c>
    </row>
    <row r="815" spans="1:12" x14ac:dyDescent="0.2">
      <c r="A815" t="s">
        <v>1695</v>
      </c>
      <c r="B815" t="s">
        <v>1696</v>
      </c>
      <c r="C815" t="s">
        <v>1697</v>
      </c>
      <c r="D815" s="2">
        <v>45055</v>
      </c>
      <c r="E815" t="s">
        <v>14</v>
      </c>
      <c r="F815">
        <v>54330</v>
      </c>
      <c r="G815">
        <v>783</v>
      </c>
      <c r="H815">
        <v>1346.88</v>
      </c>
      <c r="I815">
        <v>154</v>
      </c>
      <c r="J815">
        <v>0</v>
      </c>
      <c r="L815" t="s">
        <v>16</v>
      </c>
    </row>
    <row r="816" spans="1:12" x14ac:dyDescent="0.2">
      <c r="A816" t="s">
        <v>1698</v>
      </c>
      <c r="B816" t="s">
        <v>1699</v>
      </c>
      <c r="C816" t="s">
        <v>1700</v>
      </c>
      <c r="D816" s="2">
        <v>45015</v>
      </c>
      <c r="E816" t="s">
        <v>14</v>
      </c>
      <c r="F816">
        <v>14456</v>
      </c>
      <c r="G816">
        <v>583</v>
      </c>
      <c r="H816">
        <v>1099.76</v>
      </c>
      <c r="I816">
        <v>93</v>
      </c>
      <c r="J816">
        <v>0</v>
      </c>
      <c r="L816" t="s">
        <v>16</v>
      </c>
    </row>
    <row r="817" spans="1:12" x14ac:dyDescent="0.2">
      <c r="A817" t="s">
        <v>1701</v>
      </c>
      <c r="B817" t="s">
        <v>1702</v>
      </c>
      <c r="C817" s="2">
        <v>45185</v>
      </c>
      <c r="D817" s="2">
        <v>45198</v>
      </c>
      <c r="E817" t="s">
        <v>33</v>
      </c>
      <c r="F817">
        <v>57397</v>
      </c>
      <c r="G817">
        <v>2842</v>
      </c>
      <c r="H817">
        <v>3384.84</v>
      </c>
      <c r="I817">
        <v>192</v>
      </c>
      <c r="J817" t="s">
        <v>24</v>
      </c>
      <c r="L817" t="s">
        <v>34</v>
      </c>
    </row>
    <row r="818" spans="1:12" x14ac:dyDescent="0.2">
      <c r="A818" t="s">
        <v>1703</v>
      </c>
      <c r="B818" t="s">
        <v>1704</v>
      </c>
      <c r="C818" s="1">
        <v>45253</v>
      </c>
      <c r="D818" s="2">
        <v>45265</v>
      </c>
      <c r="E818" t="s">
        <v>41</v>
      </c>
      <c r="F818">
        <v>39765</v>
      </c>
      <c r="G818">
        <v>1831</v>
      </c>
      <c r="H818">
        <v>2285.92</v>
      </c>
      <c r="I818">
        <v>299</v>
      </c>
      <c r="J818" t="b">
        <v>1</v>
      </c>
      <c r="L818" t="s">
        <v>42</v>
      </c>
    </row>
    <row r="819" spans="1:12" x14ac:dyDescent="0.2">
      <c r="A819" t="s">
        <v>1705</v>
      </c>
      <c r="B819" t="s">
        <v>1706</v>
      </c>
      <c r="C819" s="2">
        <v>45174</v>
      </c>
      <c r="D819" s="2">
        <v>45062</v>
      </c>
      <c r="E819" t="s">
        <v>23</v>
      </c>
      <c r="F819">
        <v>35816</v>
      </c>
      <c r="G819">
        <v>1291</v>
      </c>
      <c r="H819">
        <v>-1261.81</v>
      </c>
      <c r="I819">
        <v>82</v>
      </c>
      <c r="J819" t="s">
        <v>15</v>
      </c>
      <c r="K819">
        <v>35860</v>
      </c>
      <c r="L819" t="s">
        <v>25</v>
      </c>
    </row>
    <row r="820" spans="1:12" x14ac:dyDescent="0.2">
      <c r="A820" t="s">
        <v>1707</v>
      </c>
      <c r="B820" t="s">
        <v>1708</v>
      </c>
      <c r="C820" s="2">
        <v>45199</v>
      </c>
      <c r="D820" s="2">
        <v>45209</v>
      </c>
      <c r="E820" t="s">
        <v>58</v>
      </c>
      <c r="F820">
        <v>46106</v>
      </c>
      <c r="G820">
        <v>1040</v>
      </c>
      <c r="H820">
        <v>1915.05</v>
      </c>
      <c r="I820">
        <v>56</v>
      </c>
      <c r="J820" t="s">
        <v>24</v>
      </c>
      <c r="L820" t="s">
        <v>59</v>
      </c>
    </row>
    <row r="821" spans="1:12" x14ac:dyDescent="0.2">
      <c r="A821" t="s">
        <v>1709</v>
      </c>
      <c r="B821" t="s">
        <v>1710</v>
      </c>
      <c r="C821" s="1">
        <v>45198</v>
      </c>
      <c r="D821" s="2">
        <v>45212</v>
      </c>
      <c r="E821" t="s">
        <v>19</v>
      </c>
      <c r="F821">
        <v>54932</v>
      </c>
      <c r="G821">
        <v>1108</v>
      </c>
      <c r="H821">
        <v>1625.83</v>
      </c>
      <c r="I821">
        <v>122</v>
      </c>
      <c r="J821">
        <v>0</v>
      </c>
      <c r="L821" t="s">
        <v>20</v>
      </c>
    </row>
    <row r="822" spans="1:12" x14ac:dyDescent="0.2">
      <c r="A822" t="s">
        <v>1711</v>
      </c>
      <c r="B822" t="s">
        <v>1712</v>
      </c>
      <c r="C822" t="s">
        <v>1713</v>
      </c>
      <c r="D822" s="2">
        <v>45093</v>
      </c>
      <c r="E822" t="s">
        <v>23</v>
      </c>
      <c r="F822">
        <v>18100</v>
      </c>
      <c r="G822">
        <v>774</v>
      </c>
      <c r="H822">
        <v>721.66</v>
      </c>
      <c r="I822">
        <v>154</v>
      </c>
      <c r="J822" t="b">
        <v>1</v>
      </c>
      <c r="L822" t="s">
        <v>25</v>
      </c>
    </row>
    <row r="823" spans="1:12" x14ac:dyDescent="0.2">
      <c r="A823" t="s">
        <v>1714</v>
      </c>
      <c r="B823" t="s">
        <v>1715</v>
      </c>
      <c r="C823" s="1">
        <v>45284</v>
      </c>
      <c r="D823" s="2">
        <v>45303</v>
      </c>
      <c r="E823" t="s">
        <v>14</v>
      </c>
      <c r="F823">
        <v>58091</v>
      </c>
      <c r="G823">
        <v>2625</v>
      </c>
      <c r="H823">
        <v>2488.96</v>
      </c>
      <c r="I823">
        <v>200</v>
      </c>
      <c r="J823" t="s">
        <v>24</v>
      </c>
      <c r="L823" t="s">
        <v>16</v>
      </c>
    </row>
    <row r="824" spans="1:12" x14ac:dyDescent="0.2">
      <c r="A824" t="s">
        <v>1716</v>
      </c>
      <c r="B824" t="s">
        <v>1717</v>
      </c>
      <c r="C824" s="2">
        <v>45018</v>
      </c>
      <c r="D824" s="2">
        <v>44991</v>
      </c>
      <c r="E824" t="s">
        <v>14</v>
      </c>
      <c r="F824">
        <v>22949</v>
      </c>
      <c r="G824">
        <v>711</v>
      </c>
      <c r="H824">
        <v>1305.96</v>
      </c>
      <c r="I824">
        <v>107</v>
      </c>
      <c r="J824">
        <v>1</v>
      </c>
      <c r="L824" t="s">
        <v>16</v>
      </c>
    </row>
    <row r="825" spans="1:12" x14ac:dyDescent="0.2">
      <c r="A825" t="s">
        <v>1718</v>
      </c>
      <c r="B825" t="s">
        <v>1719</v>
      </c>
      <c r="C825" s="1">
        <v>45003</v>
      </c>
      <c r="D825" s="2">
        <v>45019</v>
      </c>
      <c r="E825" t="s">
        <v>23</v>
      </c>
      <c r="F825">
        <v>71080</v>
      </c>
      <c r="G825">
        <v>1405</v>
      </c>
      <c r="H825">
        <v>731.23</v>
      </c>
      <c r="I825">
        <v>106</v>
      </c>
      <c r="J825" t="b">
        <v>1</v>
      </c>
      <c r="L825" t="s">
        <v>25</v>
      </c>
    </row>
    <row r="826" spans="1:12" x14ac:dyDescent="0.2">
      <c r="A826" t="s">
        <v>1720</v>
      </c>
      <c r="B826" t="s">
        <v>1721</v>
      </c>
      <c r="C826" s="1">
        <v>45056</v>
      </c>
      <c r="D826" s="2">
        <v>45077</v>
      </c>
      <c r="E826" t="s">
        <v>41</v>
      </c>
      <c r="F826">
        <v>38744</v>
      </c>
      <c r="G826">
        <v>562</v>
      </c>
      <c r="H826">
        <v>553.05999999999995</v>
      </c>
      <c r="I826">
        <v>89</v>
      </c>
      <c r="J826" t="b">
        <v>0</v>
      </c>
      <c r="L826" t="s">
        <v>42</v>
      </c>
    </row>
    <row r="827" spans="1:12" x14ac:dyDescent="0.2">
      <c r="A827" t="s">
        <v>1722</v>
      </c>
      <c r="B827" t="s">
        <v>1723</v>
      </c>
      <c r="C827" t="s">
        <v>1724</v>
      </c>
      <c r="D827" s="2">
        <v>45150</v>
      </c>
      <c r="E827" t="s">
        <v>19</v>
      </c>
      <c r="F827">
        <v>46543</v>
      </c>
      <c r="G827">
        <v>627</v>
      </c>
      <c r="H827">
        <v>834.87</v>
      </c>
      <c r="I827">
        <v>78</v>
      </c>
      <c r="J827">
        <v>1</v>
      </c>
      <c r="L827" t="s">
        <v>20</v>
      </c>
    </row>
    <row r="828" spans="1:12" x14ac:dyDescent="0.2">
      <c r="A828" t="s">
        <v>1725</v>
      </c>
      <c r="B828" t="s">
        <v>1726</v>
      </c>
      <c r="C828" s="1">
        <v>45134</v>
      </c>
      <c r="D828" s="2">
        <v>45153</v>
      </c>
      <c r="E828" t="s">
        <v>19</v>
      </c>
      <c r="F828">
        <v>93193</v>
      </c>
      <c r="G828">
        <v>3612</v>
      </c>
      <c r="H828" s="3">
        <v>2609.04</v>
      </c>
      <c r="I828">
        <v>549</v>
      </c>
      <c r="J828" t="s">
        <v>24</v>
      </c>
      <c r="L828" t="s">
        <v>20</v>
      </c>
    </row>
    <row r="829" spans="1:12" x14ac:dyDescent="0.2">
      <c r="A829" t="s">
        <v>1727</v>
      </c>
      <c r="B829" t="s">
        <v>1728</v>
      </c>
      <c r="C829" s="1">
        <v>45283</v>
      </c>
      <c r="D829" s="2">
        <v>45285</v>
      </c>
      <c r="E829" t="s">
        <v>14</v>
      </c>
      <c r="F829">
        <v>37187</v>
      </c>
      <c r="G829">
        <v>996</v>
      </c>
      <c r="H829">
        <v>635.6</v>
      </c>
      <c r="I829">
        <v>80</v>
      </c>
      <c r="J829" t="s">
        <v>15</v>
      </c>
      <c r="L829" t="s">
        <v>16</v>
      </c>
    </row>
    <row r="830" spans="1:12" x14ac:dyDescent="0.2">
      <c r="A830" t="s">
        <v>1729</v>
      </c>
      <c r="B830" t="s">
        <v>1730</v>
      </c>
      <c r="C830" s="1">
        <v>44968</v>
      </c>
      <c r="D830" s="2">
        <v>44990</v>
      </c>
      <c r="E830" t="s">
        <v>33</v>
      </c>
      <c r="F830">
        <v>8239</v>
      </c>
      <c r="G830">
        <v>380</v>
      </c>
      <c r="H830">
        <v>654.71</v>
      </c>
      <c r="I830">
        <v>61</v>
      </c>
      <c r="J830">
        <v>1</v>
      </c>
      <c r="L830" t="s">
        <v>68</v>
      </c>
    </row>
    <row r="831" spans="1:12" x14ac:dyDescent="0.2">
      <c r="A831" t="s">
        <v>1731</v>
      </c>
      <c r="B831" t="s">
        <v>1732</v>
      </c>
      <c r="C831" t="s">
        <v>1733</v>
      </c>
      <c r="D831" s="2">
        <v>44959</v>
      </c>
      <c r="E831" t="s">
        <v>19</v>
      </c>
      <c r="F831">
        <v>15489</v>
      </c>
      <c r="G831">
        <v>613</v>
      </c>
      <c r="H831">
        <v>1128.9000000000001</v>
      </c>
      <c r="J831">
        <v>1</v>
      </c>
      <c r="L831" t="s">
        <v>20</v>
      </c>
    </row>
    <row r="832" spans="1:12" x14ac:dyDescent="0.2">
      <c r="A832" t="s">
        <v>1734</v>
      </c>
      <c r="B832" t="s">
        <v>1735</v>
      </c>
      <c r="C832" s="1">
        <v>45121</v>
      </c>
      <c r="D832" s="2">
        <v>45123</v>
      </c>
      <c r="E832" t="s">
        <v>41</v>
      </c>
      <c r="F832">
        <v>59017</v>
      </c>
      <c r="G832">
        <v>1041</v>
      </c>
      <c r="H832">
        <v>1806.56</v>
      </c>
      <c r="I832">
        <v>155</v>
      </c>
      <c r="J832" t="s">
        <v>24</v>
      </c>
      <c r="L832" t="s">
        <v>42</v>
      </c>
    </row>
    <row r="833" spans="1:12" x14ac:dyDescent="0.2">
      <c r="A833" t="s">
        <v>1736</v>
      </c>
      <c r="B833" t="s">
        <v>1737</v>
      </c>
      <c r="C833" t="s">
        <v>1738</v>
      </c>
      <c r="D833" s="2">
        <v>45269</v>
      </c>
      <c r="E833" t="s">
        <v>14</v>
      </c>
      <c r="F833">
        <v>62877</v>
      </c>
      <c r="G833">
        <v>2172</v>
      </c>
      <c r="H833">
        <v>4014.25</v>
      </c>
      <c r="I833">
        <v>269</v>
      </c>
      <c r="J833" t="s">
        <v>15</v>
      </c>
      <c r="L833" t="s">
        <v>16</v>
      </c>
    </row>
    <row r="834" spans="1:12" x14ac:dyDescent="0.2">
      <c r="A834" t="s">
        <v>1739</v>
      </c>
      <c r="B834" t="s">
        <v>1740</v>
      </c>
      <c r="C834" t="s">
        <v>1741</v>
      </c>
      <c r="D834" s="2">
        <v>45025</v>
      </c>
      <c r="E834" t="s">
        <v>14</v>
      </c>
      <c r="F834">
        <v>44125</v>
      </c>
      <c r="G834">
        <v>1209</v>
      </c>
      <c r="H834">
        <v>1607.57</v>
      </c>
      <c r="I834">
        <v>227</v>
      </c>
      <c r="J834" t="s">
        <v>15</v>
      </c>
      <c r="L834" t="s">
        <v>16</v>
      </c>
    </row>
    <row r="835" spans="1:12" x14ac:dyDescent="0.2">
      <c r="A835" t="s">
        <v>1742</v>
      </c>
      <c r="B835" t="s">
        <v>1743</v>
      </c>
      <c r="C835" s="1">
        <v>45149</v>
      </c>
      <c r="D835" s="2">
        <v>45161</v>
      </c>
      <c r="E835" t="s">
        <v>41</v>
      </c>
      <c r="F835">
        <v>50922</v>
      </c>
      <c r="G835">
        <v>1685</v>
      </c>
      <c r="H835">
        <v>2895.48</v>
      </c>
      <c r="I835">
        <v>88</v>
      </c>
      <c r="J835">
        <v>0</v>
      </c>
      <c r="L835" t="s">
        <v>42</v>
      </c>
    </row>
    <row r="836" spans="1:12" x14ac:dyDescent="0.2">
      <c r="A836" t="s">
        <v>1744</v>
      </c>
      <c r="B836" t="s">
        <v>1745</v>
      </c>
      <c r="C836" s="1">
        <v>44975</v>
      </c>
      <c r="D836" s="2">
        <v>44976</v>
      </c>
      <c r="E836" t="s">
        <v>33</v>
      </c>
      <c r="F836">
        <v>95074</v>
      </c>
      <c r="G836">
        <v>3757</v>
      </c>
      <c r="H836">
        <v>4042.77</v>
      </c>
      <c r="I836">
        <v>599</v>
      </c>
      <c r="J836" t="b">
        <v>0</v>
      </c>
      <c r="L836" t="s">
        <v>34</v>
      </c>
    </row>
    <row r="837" spans="1:12" x14ac:dyDescent="0.2">
      <c r="A837" t="s">
        <v>1746</v>
      </c>
      <c r="B837" t="s">
        <v>1747</v>
      </c>
      <c r="C837" s="1">
        <v>45044</v>
      </c>
      <c r="D837" s="2">
        <v>45053</v>
      </c>
      <c r="E837" t="s">
        <v>19</v>
      </c>
      <c r="F837">
        <v>33049</v>
      </c>
      <c r="G837">
        <v>1396</v>
      </c>
      <c r="H837" s="3">
        <v>2093.16</v>
      </c>
      <c r="I837">
        <v>255</v>
      </c>
      <c r="J837" t="s">
        <v>15</v>
      </c>
      <c r="L837" t="s">
        <v>20</v>
      </c>
    </row>
    <row r="838" spans="1:12" x14ac:dyDescent="0.2">
      <c r="A838" t="s">
        <v>1748</v>
      </c>
      <c r="B838" t="s">
        <v>1749</v>
      </c>
      <c r="C838" s="2">
        <v>45217</v>
      </c>
      <c r="D838" s="2">
        <v>45240</v>
      </c>
      <c r="E838" t="s">
        <v>23</v>
      </c>
      <c r="F838">
        <v>38131</v>
      </c>
      <c r="G838">
        <v>1668</v>
      </c>
      <c r="H838">
        <v>3308.07</v>
      </c>
      <c r="J838" t="s">
        <v>30</v>
      </c>
      <c r="L838" t="s">
        <v>25</v>
      </c>
    </row>
    <row r="839" spans="1:12" x14ac:dyDescent="0.2">
      <c r="A839" t="s">
        <v>1750</v>
      </c>
      <c r="B839" t="s">
        <v>1751</v>
      </c>
      <c r="C839" s="1">
        <v>44965</v>
      </c>
      <c r="D839" s="2">
        <v>44981</v>
      </c>
      <c r="E839" t="s">
        <v>19</v>
      </c>
      <c r="F839">
        <v>43944</v>
      </c>
      <c r="G839">
        <v>885</v>
      </c>
      <c r="H839">
        <v>742.15</v>
      </c>
      <c r="I839">
        <v>103</v>
      </c>
      <c r="J839" t="s">
        <v>30</v>
      </c>
      <c r="L839" t="s">
        <v>20</v>
      </c>
    </row>
    <row r="840" spans="1:12" x14ac:dyDescent="0.2">
      <c r="A840" t="s">
        <v>1752</v>
      </c>
      <c r="B840" t="s">
        <v>1753</v>
      </c>
      <c r="C840" s="2">
        <v>45205</v>
      </c>
      <c r="D840" s="2">
        <v>45115</v>
      </c>
      <c r="E840" t="s">
        <v>266</v>
      </c>
      <c r="F840">
        <v>74963</v>
      </c>
      <c r="G840">
        <v>842</v>
      </c>
      <c r="H840" s="3">
        <v>913.44</v>
      </c>
      <c r="I840">
        <v>67</v>
      </c>
      <c r="J840" t="b">
        <v>0</v>
      </c>
      <c r="L840" t="s">
        <v>20</v>
      </c>
    </row>
    <row r="841" spans="1:12" x14ac:dyDescent="0.2">
      <c r="A841" t="s">
        <v>1754</v>
      </c>
      <c r="B841" t="s">
        <v>1755</v>
      </c>
      <c r="C841" s="2">
        <v>45236</v>
      </c>
      <c r="D841" s="2">
        <v>45114</v>
      </c>
      <c r="E841" t="s">
        <v>266</v>
      </c>
      <c r="F841">
        <v>25285</v>
      </c>
      <c r="G841">
        <v>1000</v>
      </c>
      <c r="H841">
        <v>1220.07</v>
      </c>
      <c r="J841" t="b">
        <v>1</v>
      </c>
      <c r="L841" t="s">
        <v>20</v>
      </c>
    </row>
    <row r="842" spans="1:12" x14ac:dyDescent="0.2">
      <c r="A842" t="s">
        <v>1756</v>
      </c>
      <c r="B842" t="s">
        <v>1757</v>
      </c>
      <c r="C842" s="1">
        <v>45033</v>
      </c>
      <c r="D842" s="2">
        <v>45046</v>
      </c>
      <c r="E842" t="s">
        <v>14</v>
      </c>
      <c r="F842">
        <v>38626</v>
      </c>
      <c r="G842">
        <v>550</v>
      </c>
      <c r="H842">
        <v>388.86</v>
      </c>
      <c r="I842">
        <v>81</v>
      </c>
      <c r="J842" t="s">
        <v>24</v>
      </c>
      <c r="L842" t="s">
        <v>16</v>
      </c>
    </row>
    <row r="843" spans="1:12" x14ac:dyDescent="0.2">
      <c r="A843" t="s">
        <v>1758</v>
      </c>
      <c r="B843" t="s">
        <v>1759</v>
      </c>
      <c r="C843" s="1">
        <v>45291</v>
      </c>
      <c r="D843" s="2">
        <v>45316</v>
      </c>
      <c r="E843" t="s">
        <v>14</v>
      </c>
      <c r="F843">
        <v>43808</v>
      </c>
      <c r="G843">
        <v>989</v>
      </c>
      <c r="H843" s="3">
        <v>614.72</v>
      </c>
      <c r="I843">
        <v>94</v>
      </c>
      <c r="J843" t="b">
        <v>1</v>
      </c>
      <c r="L843" t="s">
        <v>16</v>
      </c>
    </row>
    <row r="844" spans="1:12" x14ac:dyDescent="0.2">
      <c r="A844" t="s">
        <v>1760</v>
      </c>
      <c r="B844" t="s">
        <v>1761</v>
      </c>
      <c r="C844" s="1">
        <v>45080</v>
      </c>
      <c r="D844" s="2">
        <v>45098</v>
      </c>
      <c r="E844" t="s">
        <v>23</v>
      </c>
      <c r="F844">
        <v>89464</v>
      </c>
      <c r="G844">
        <v>908</v>
      </c>
      <c r="H844">
        <v>1584.08</v>
      </c>
      <c r="I844">
        <v>108</v>
      </c>
      <c r="J844" t="s">
        <v>30</v>
      </c>
      <c r="L844" t="s">
        <v>25</v>
      </c>
    </row>
    <row r="845" spans="1:12" x14ac:dyDescent="0.2">
      <c r="A845" t="s">
        <v>1762</v>
      </c>
      <c r="B845" t="s">
        <v>1763</v>
      </c>
      <c r="C845" s="1">
        <v>45126</v>
      </c>
      <c r="D845" s="2">
        <v>45151</v>
      </c>
      <c r="E845" t="s">
        <v>41</v>
      </c>
      <c r="F845">
        <v>54871</v>
      </c>
      <c r="G845">
        <v>2044</v>
      </c>
      <c r="H845">
        <v>4016.85</v>
      </c>
      <c r="J845" t="s">
        <v>15</v>
      </c>
      <c r="L845" t="s">
        <v>42</v>
      </c>
    </row>
    <row r="846" spans="1:12" x14ac:dyDescent="0.2">
      <c r="A846" t="s">
        <v>1764</v>
      </c>
      <c r="B846" t="s">
        <v>1765</v>
      </c>
      <c r="C846" s="1">
        <v>45123</v>
      </c>
      <c r="D846" s="2">
        <v>45127</v>
      </c>
      <c r="E846" t="s">
        <v>23</v>
      </c>
      <c r="F846">
        <v>20198</v>
      </c>
      <c r="G846">
        <v>337</v>
      </c>
      <c r="H846">
        <v>373.09</v>
      </c>
      <c r="I846">
        <v>35</v>
      </c>
      <c r="J846" t="b">
        <v>0</v>
      </c>
      <c r="L846" t="s">
        <v>25</v>
      </c>
    </row>
    <row r="847" spans="1:12" x14ac:dyDescent="0.2">
      <c r="A847" t="s">
        <v>1766</v>
      </c>
      <c r="B847" t="s">
        <v>1767</v>
      </c>
      <c r="C847" s="1">
        <v>45279</v>
      </c>
      <c r="D847" s="2">
        <v>45293</v>
      </c>
      <c r="E847" t="s">
        <v>14</v>
      </c>
      <c r="F847">
        <v>20758</v>
      </c>
      <c r="G847">
        <v>751</v>
      </c>
      <c r="H847">
        <v>474.24</v>
      </c>
      <c r="I847">
        <v>55</v>
      </c>
      <c r="J847" t="b">
        <v>1</v>
      </c>
      <c r="L847" t="s">
        <v>16</v>
      </c>
    </row>
    <row r="848" spans="1:12" x14ac:dyDescent="0.2">
      <c r="A848" t="s">
        <v>1768</v>
      </c>
      <c r="B848" t="s">
        <v>1769</v>
      </c>
      <c r="C848" t="s">
        <v>1770</v>
      </c>
      <c r="D848" s="2">
        <v>45127</v>
      </c>
      <c r="E848" t="s">
        <v>19</v>
      </c>
      <c r="F848">
        <v>16254</v>
      </c>
      <c r="G848">
        <v>807</v>
      </c>
      <c r="H848">
        <v>483.17</v>
      </c>
      <c r="I848">
        <v>147</v>
      </c>
      <c r="J848" t="b">
        <v>1</v>
      </c>
      <c r="L848" t="s">
        <v>20</v>
      </c>
    </row>
    <row r="849" spans="1:12" x14ac:dyDescent="0.2">
      <c r="A849" t="s">
        <v>1771</v>
      </c>
      <c r="B849" t="s">
        <v>1772</v>
      </c>
      <c r="C849" s="2">
        <v>45150</v>
      </c>
      <c r="D849" s="2">
        <v>45287</v>
      </c>
      <c r="E849" t="s">
        <v>19</v>
      </c>
      <c r="F849">
        <v>45238</v>
      </c>
      <c r="G849">
        <v>583</v>
      </c>
      <c r="H849">
        <v>1070.96</v>
      </c>
      <c r="I849">
        <v>30</v>
      </c>
      <c r="J849" t="s">
        <v>24</v>
      </c>
      <c r="L849" t="s">
        <v>20</v>
      </c>
    </row>
    <row r="850" spans="1:12" x14ac:dyDescent="0.2">
      <c r="A850" t="s">
        <v>1773</v>
      </c>
      <c r="B850" t="s">
        <v>1774</v>
      </c>
      <c r="C850" s="1">
        <v>45236</v>
      </c>
      <c r="D850" s="2">
        <v>45256</v>
      </c>
      <c r="E850" t="s">
        <v>19</v>
      </c>
      <c r="F850">
        <v>2252</v>
      </c>
      <c r="G850">
        <v>29</v>
      </c>
      <c r="H850">
        <v>34.68</v>
      </c>
      <c r="I850">
        <v>5</v>
      </c>
      <c r="J850">
        <v>1</v>
      </c>
      <c r="L850" t="s">
        <v>20</v>
      </c>
    </row>
    <row r="851" spans="1:12" x14ac:dyDescent="0.2">
      <c r="A851" t="s">
        <v>1775</v>
      </c>
      <c r="B851" t="s">
        <v>1776</v>
      </c>
      <c r="C851" s="1">
        <v>45130</v>
      </c>
      <c r="D851" s="2">
        <v>45159</v>
      </c>
      <c r="E851" t="s">
        <v>33</v>
      </c>
      <c r="F851">
        <v>40764</v>
      </c>
      <c r="G851">
        <v>962</v>
      </c>
      <c r="H851">
        <v>942.8</v>
      </c>
      <c r="I851">
        <v>130</v>
      </c>
      <c r="J851" t="s">
        <v>30</v>
      </c>
      <c r="L851" t="s">
        <v>68</v>
      </c>
    </row>
    <row r="852" spans="1:12" x14ac:dyDescent="0.2">
      <c r="A852" t="s">
        <v>1777</v>
      </c>
      <c r="B852" t="s">
        <v>1778</v>
      </c>
      <c r="C852" s="1">
        <v>45251</v>
      </c>
      <c r="D852" s="2">
        <v>45263</v>
      </c>
      <c r="E852" t="s">
        <v>33</v>
      </c>
      <c r="F852">
        <v>78709</v>
      </c>
      <c r="G852">
        <v>3514</v>
      </c>
      <c r="H852">
        <v>4268.43</v>
      </c>
      <c r="J852" t="s">
        <v>15</v>
      </c>
      <c r="L852" t="s">
        <v>34</v>
      </c>
    </row>
    <row r="853" spans="1:12" x14ac:dyDescent="0.2">
      <c r="A853" t="s">
        <v>1779</v>
      </c>
      <c r="B853" t="s">
        <v>1780</v>
      </c>
      <c r="C853" s="1">
        <v>45178</v>
      </c>
      <c r="D853" s="2">
        <v>45200</v>
      </c>
      <c r="E853" t="s">
        <v>33</v>
      </c>
      <c r="F853">
        <v>38441</v>
      </c>
      <c r="G853">
        <v>715</v>
      </c>
      <c r="H853" s="3">
        <v>698.88</v>
      </c>
      <c r="I853">
        <v>113</v>
      </c>
      <c r="J853" t="b">
        <v>0</v>
      </c>
      <c r="L853" t="s">
        <v>34</v>
      </c>
    </row>
    <row r="854" spans="1:12" x14ac:dyDescent="0.2">
      <c r="A854" t="s">
        <v>1781</v>
      </c>
      <c r="B854" t="s">
        <v>1782</v>
      </c>
      <c r="C854" s="1">
        <v>45119</v>
      </c>
      <c r="D854" s="2">
        <v>45135</v>
      </c>
      <c r="E854" t="s">
        <v>14</v>
      </c>
      <c r="F854">
        <v>93234</v>
      </c>
      <c r="G854">
        <v>2276</v>
      </c>
      <c r="H854">
        <v>2807.57</v>
      </c>
      <c r="I854">
        <v>287</v>
      </c>
      <c r="J854" t="b">
        <v>1</v>
      </c>
      <c r="L854" t="s">
        <v>16</v>
      </c>
    </row>
    <row r="855" spans="1:12" x14ac:dyDescent="0.2">
      <c r="A855" t="s">
        <v>1783</v>
      </c>
      <c r="B855" t="s">
        <v>1784</v>
      </c>
      <c r="C855" s="1">
        <v>45265</v>
      </c>
      <c r="D855" s="2">
        <v>45266</v>
      </c>
      <c r="E855" t="s">
        <v>23</v>
      </c>
      <c r="F855">
        <v>54682</v>
      </c>
      <c r="G855">
        <v>696</v>
      </c>
      <c r="H855" s="3">
        <v>1245.3800000000001</v>
      </c>
      <c r="I855">
        <v>86</v>
      </c>
      <c r="J855" t="s">
        <v>24</v>
      </c>
      <c r="L855" t="s">
        <v>25</v>
      </c>
    </row>
    <row r="856" spans="1:12" x14ac:dyDescent="0.2">
      <c r="A856" t="s">
        <v>1785</v>
      </c>
      <c r="B856" t="s">
        <v>1786</v>
      </c>
      <c r="C856" s="1">
        <v>45078</v>
      </c>
      <c r="D856" s="2">
        <v>45091</v>
      </c>
      <c r="E856" t="s">
        <v>41</v>
      </c>
      <c r="F856">
        <v>60494</v>
      </c>
      <c r="G856">
        <v>2451</v>
      </c>
      <c r="H856">
        <v>3403.1</v>
      </c>
      <c r="I856">
        <v>163</v>
      </c>
      <c r="J856">
        <v>1</v>
      </c>
      <c r="L856" t="s">
        <v>42</v>
      </c>
    </row>
    <row r="857" spans="1:12" x14ac:dyDescent="0.2">
      <c r="A857" t="s">
        <v>1787</v>
      </c>
      <c r="B857" t="s">
        <v>1788</v>
      </c>
      <c r="C857" s="1">
        <v>44969</v>
      </c>
      <c r="D857" s="2">
        <v>44971</v>
      </c>
      <c r="E857" t="s">
        <v>33</v>
      </c>
      <c r="F857">
        <v>82317</v>
      </c>
      <c r="G857">
        <v>2167</v>
      </c>
      <c r="H857">
        <v>3341.47</v>
      </c>
      <c r="I857">
        <v>234</v>
      </c>
      <c r="J857" t="s">
        <v>30</v>
      </c>
      <c r="L857" t="s">
        <v>34</v>
      </c>
    </row>
    <row r="858" spans="1:12" x14ac:dyDescent="0.2">
      <c r="A858" t="s">
        <v>1789</v>
      </c>
      <c r="B858" t="s">
        <v>1790</v>
      </c>
      <c r="C858" s="1">
        <v>45251</v>
      </c>
      <c r="D858" s="2">
        <v>45267</v>
      </c>
      <c r="E858" t="s">
        <v>19</v>
      </c>
      <c r="F858">
        <v>66215</v>
      </c>
      <c r="G858">
        <v>2673</v>
      </c>
      <c r="H858" s="3">
        <v>2798.65</v>
      </c>
      <c r="I858">
        <v>230</v>
      </c>
      <c r="J858" t="s">
        <v>30</v>
      </c>
      <c r="L858" t="s">
        <v>20</v>
      </c>
    </row>
    <row r="859" spans="1:12" x14ac:dyDescent="0.2">
      <c r="A859" t="s">
        <v>1791</v>
      </c>
      <c r="B859" t="s">
        <v>1792</v>
      </c>
      <c r="C859" s="2">
        <v>45111</v>
      </c>
      <c r="D859" s="2">
        <v>45048</v>
      </c>
      <c r="E859" t="s">
        <v>33</v>
      </c>
      <c r="F859">
        <v>79587</v>
      </c>
      <c r="G859">
        <v>3672</v>
      </c>
      <c r="H859">
        <v>5903.69</v>
      </c>
      <c r="I859">
        <v>192</v>
      </c>
      <c r="J859" t="s">
        <v>24</v>
      </c>
      <c r="L859" t="s">
        <v>34</v>
      </c>
    </row>
    <row r="860" spans="1:12" x14ac:dyDescent="0.2">
      <c r="A860" t="s">
        <v>1793</v>
      </c>
      <c r="B860" t="s">
        <v>1794</v>
      </c>
      <c r="C860" s="1">
        <v>45084</v>
      </c>
      <c r="D860" s="2">
        <v>45113</v>
      </c>
      <c r="E860" t="s">
        <v>14</v>
      </c>
      <c r="F860">
        <v>7949</v>
      </c>
      <c r="G860">
        <v>153</v>
      </c>
      <c r="H860">
        <v>229.49</v>
      </c>
      <c r="I860">
        <v>15</v>
      </c>
      <c r="J860" t="b">
        <v>0</v>
      </c>
      <c r="L860" t="s">
        <v>16</v>
      </c>
    </row>
    <row r="861" spans="1:12" x14ac:dyDescent="0.2">
      <c r="A861" t="s">
        <v>1795</v>
      </c>
      <c r="B861" t="s">
        <v>1796</v>
      </c>
      <c r="C861" s="1">
        <v>44979</v>
      </c>
      <c r="D861" s="2">
        <v>44982</v>
      </c>
      <c r="E861" t="s">
        <v>234</v>
      </c>
      <c r="F861">
        <v>56393</v>
      </c>
      <c r="G861">
        <v>2385</v>
      </c>
      <c r="H861">
        <v>1620.23</v>
      </c>
      <c r="I861">
        <v>151</v>
      </c>
      <c r="J861" t="b">
        <v>1</v>
      </c>
      <c r="L861" t="s">
        <v>16</v>
      </c>
    </row>
    <row r="862" spans="1:12" x14ac:dyDescent="0.2">
      <c r="A862" t="s">
        <v>1797</v>
      </c>
      <c r="B862" t="s">
        <v>1798</v>
      </c>
      <c r="C862" s="1">
        <v>45156</v>
      </c>
      <c r="D862" s="2">
        <v>45172</v>
      </c>
      <c r="E862" t="s">
        <v>14</v>
      </c>
      <c r="F862">
        <v>74553</v>
      </c>
      <c r="G862">
        <v>921</v>
      </c>
      <c r="H862">
        <v>1251.6099999999999</v>
      </c>
      <c r="I862">
        <v>81</v>
      </c>
      <c r="J862" t="b">
        <v>0</v>
      </c>
      <c r="L862" t="s">
        <v>16</v>
      </c>
    </row>
    <row r="863" spans="1:12" x14ac:dyDescent="0.2">
      <c r="A863" t="s">
        <v>1799</v>
      </c>
      <c r="B863" t="s">
        <v>1800</v>
      </c>
      <c r="C863" t="s">
        <v>47</v>
      </c>
      <c r="D863" s="2">
        <v>44974</v>
      </c>
      <c r="E863" t="s">
        <v>33</v>
      </c>
      <c r="F863">
        <v>7941</v>
      </c>
      <c r="G863">
        <v>364</v>
      </c>
      <c r="H863">
        <v>322.18</v>
      </c>
      <c r="I863">
        <v>23</v>
      </c>
      <c r="J863" t="s">
        <v>24</v>
      </c>
      <c r="L863" t="s">
        <v>34</v>
      </c>
    </row>
    <row r="864" spans="1:12" x14ac:dyDescent="0.2">
      <c r="A864" t="s">
        <v>1801</v>
      </c>
      <c r="B864" t="s">
        <v>1802</v>
      </c>
      <c r="C864" s="1">
        <v>45108</v>
      </c>
      <c r="D864" s="2">
        <v>45126</v>
      </c>
      <c r="E864" t="s">
        <v>14</v>
      </c>
      <c r="F864">
        <v>26934</v>
      </c>
      <c r="G864">
        <v>970</v>
      </c>
      <c r="H864" s="3">
        <v>1654.96</v>
      </c>
      <c r="I864">
        <v>63</v>
      </c>
      <c r="J864" t="s">
        <v>24</v>
      </c>
      <c r="L864" t="s">
        <v>16</v>
      </c>
    </row>
    <row r="865" spans="1:12" x14ac:dyDescent="0.2">
      <c r="A865" t="s">
        <v>1803</v>
      </c>
      <c r="B865" t="s">
        <v>1804</v>
      </c>
      <c r="C865" s="2">
        <v>45093</v>
      </c>
      <c r="D865" s="2">
        <v>45096</v>
      </c>
      <c r="E865" t="s">
        <v>19</v>
      </c>
      <c r="F865">
        <v>24386</v>
      </c>
      <c r="G865">
        <v>1096</v>
      </c>
      <c r="H865">
        <v>1248.24</v>
      </c>
      <c r="I865">
        <v>87</v>
      </c>
      <c r="J865" t="b">
        <v>0</v>
      </c>
      <c r="L865" t="s">
        <v>20</v>
      </c>
    </row>
    <row r="866" spans="1:12" x14ac:dyDescent="0.2">
      <c r="A866" t="s">
        <v>1805</v>
      </c>
      <c r="B866" t="s">
        <v>1806</v>
      </c>
      <c r="C866" s="2">
        <v>45138</v>
      </c>
      <c r="D866" s="2">
        <v>45141</v>
      </c>
      <c r="E866" t="s">
        <v>14</v>
      </c>
      <c r="F866">
        <v>62886</v>
      </c>
      <c r="G866">
        <v>629</v>
      </c>
      <c r="H866">
        <v>1252.98</v>
      </c>
      <c r="I866">
        <v>125</v>
      </c>
      <c r="J866">
        <v>0</v>
      </c>
      <c r="L866" t="s">
        <v>16</v>
      </c>
    </row>
    <row r="867" spans="1:12" x14ac:dyDescent="0.2">
      <c r="A867" t="s">
        <v>1807</v>
      </c>
      <c r="B867" t="s">
        <v>1808</v>
      </c>
      <c r="C867" s="1">
        <v>45213</v>
      </c>
      <c r="D867" s="2">
        <v>45208</v>
      </c>
      <c r="E867" t="s">
        <v>14</v>
      </c>
      <c r="F867">
        <v>76745</v>
      </c>
      <c r="G867">
        <v>1286</v>
      </c>
      <c r="H867">
        <v>821.43</v>
      </c>
      <c r="I867">
        <v>64</v>
      </c>
      <c r="J867">
        <v>1</v>
      </c>
      <c r="L867" t="s">
        <v>16</v>
      </c>
    </row>
    <row r="868" spans="1:12" x14ac:dyDescent="0.2">
      <c r="A868" t="s">
        <v>1809</v>
      </c>
      <c r="B868" t="s">
        <v>1810</v>
      </c>
      <c r="C868" s="1">
        <v>45219</v>
      </c>
      <c r="D868" s="2">
        <v>45243</v>
      </c>
      <c r="E868" t="s">
        <v>23</v>
      </c>
      <c r="F868">
        <v>84251</v>
      </c>
      <c r="G868">
        <v>2156</v>
      </c>
      <c r="H868">
        <v>3601.64</v>
      </c>
      <c r="I868">
        <v>314</v>
      </c>
      <c r="J868" t="s">
        <v>30</v>
      </c>
      <c r="L868" t="s">
        <v>25</v>
      </c>
    </row>
    <row r="869" spans="1:12" x14ac:dyDescent="0.2">
      <c r="A869" t="s">
        <v>1811</v>
      </c>
      <c r="B869" t="s">
        <v>1812</v>
      </c>
      <c r="C869" s="1">
        <v>45013</v>
      </c>
      <c r="D869" s="2">
        <v>45040</v>
      </c>
      <c r="E869" t="s">
        <v>191</v>
      </c>
      <c r="F869">
        <v>95456</v>
      </c>
      <c r="G869">
        <v>2403</v>
      </c>
      <c r="H869">
        <v>3629.86</v>
      </c>
      <c r="I869">
        <v>171</v>
      </c>
      <c r="J869">
        <v>0</v>
      </c>
      <c r="L869" t="s">
        <v>42</v>
      </c>
    </row>
    <row r="870" spans="1:12" x14ac:dyDescent="0.2">
      <c r="A870" t="s">
        <v>1813</v>
      </c>
      <c r="B870" t="s">
        <v>1814</v>
      </c>
      <c r="C870" s="1">
        <v>45179</v>
      </c>
      <c r="D870" s="2">
        <v>45202</v>
      </c>
      <c r="E870" t="s">
        <v>14</v>
      </c>
      <c r="F870">
        <v>54413</v>
      </c>
      <c r="G870">
        <v>1037</v>
      </c>
      <c r="H870">
        <v>1712.34</v>
      </c>
      <c r="I870">
        <v>195</v>
      </c>
      <c r="J870" t="s">
        <v>15</v>
      </c>
      <c r="L870" t="s">
        <v>16</v>
      </c>
    </row>
    <row r="871" spans="1:12" x14ac:dyDescent="0.2">
      <c r="A871" t="s">
        <v>1815</v>
      </c>
      <c r="B871" t="s">
        <v>1816</v>
      </c>
      <c r="C871" s="1">
        <v>45068</v>
      </c>
      <c r="D871" s="2">
        <v>45089</v>
      </c>
      <c r="E871" t="s">
        <v>23</v>
      </c>
      <c r="F871">
        <v>57800</v>
      </c>
      <c r="G871">
        <v>1460</v>
      </c>
      <c r="H871">
        <v>1403.49</v>
      </c>
      <c r="I871">
        <v>93</v>
      </c>
      <c r="J871" t="s">
        <v>30</v>
      </c>
      <c r="L871" t="s">
        <v>25</v>
      </c>
    </row>
    <row r="872" spans="1:12" x14ac:dyDescent="0.2">
      <c r="A872" t="s">
        <v>1817</v>
      </c>
      <c r="B872" t="s">
        <v>1818</v>
      </c>
      <c r="C872" s="1">
        <v>44966</v>
      </c>
      <c r="D872" s="2">
        <v>44996</v>
      </c>
      <c r="E872" t="s">
        <v>14</v>
      </c>
      <c r="F872">
        <v>98239</v>
      </c>
      <c r="G872">
        <v>1488</v>
      </c>
      <c r="H872">
        <v>1842.27</v>
      </c>
      <c r="I872">
        <v>287</v>
      </c>
      <c r="J872" t="s">
        <v>30</v>
      </c>
      <c r="L872" t="s">
        <v>16</v>
      </c>
    </row>
    <row r="873" spans="1:12" x14ac:dyDescent="0.2">
      <c r="A873" t="s">
        <v>1819</v>
      </c>
      <c r="B873" t="s">
        <v>1820</v>
      </c>
      <c r="C873" s="1">
        <v>45247</v>
      </c>
      <c r="D873" s="2">
        <v>45251</v>
      </c>
      <c r="E873" t="s">
        <v>19</v>
      </c>
      <c r="F873">
        <v>43318</v>
      </c>
      <c r="G873">
        <v>1148</v>
      </c>
      <c r="H873">
        <v>1945.59</v>
      </c>
      <c r="I873">
        <v>162</v>
      </c>
      <c r="J873">
        <v>1</v>
      </c>
      <c r="L873" t="s">
        <v>20</v>
      </c>
    </row>
    <row r="874" spans="1:12" x14ac:dyDescent="0.2">
      <c r="A874" t="s">
        <v>1821</v>
      </c>
      <c r="B874" t="s">
        <v>1822</v>
      </c>
      <c r="C874" s="1">
        <v>45161</v>
      </c>
      <c r="D874" s="2">
        <v>45176</v>
      </c>
      <c r="E874" t="s">
        <v>14</v>
      </c>
      <c r="F874">
        <v>71173</v>
      </c>
      <c r="G874">
        <v>2995</v>
      </c>
      <c r="H874">
        <v>2542.19</v>
      </c>
      <c r="I874">
        <v>150</v>
      </c>
      <c r="J874" t="s">
        <v>15</v>
      </c>
      <c r="L874" t="s">
        <v>16</v>
      </c>
    </row>
    <row r="875" spans="1:12" x14ac:dyDescent="0.2">
      <c r="A875" t="s">
        <v>1823</v>
      </c>
      <c r="B875" t="s">
        <v>1824</v>
      </c>
      <c r="C875" s="1">
        <v>45129</v>
      </c>
      <c r="D875" s="2">
        <v>45142</v>
      </c>
      <c r="E875" t="s">
        <v>23</v>
      </c>
      <c r="F875">
        <v>71390</v>
      </c>
      <c r="G875">
        <v>2081</v>
      </c>
      <c r="H875">
        <v>1746.06</v>
      </c>
      <c r="I875">
        <v>383</v>
      </c>
      <c r="J875" t="b">
        <v>1</v>
      </c>
      <c r="L875" t="s">
        <v>25</v>
      </c>
    </row>
    <row r="876" spans="1:12" x14ac:dyDescent="0.2">
      <c r="A876" t="s">
        <v>1825</v>
      </c>
      <c r="B876" t="s">
        <v>1826</v>
      </c>
      <c r="C876" s="1">
        <v>45095</v>
      </c>
      <c r="D876" s="2">
        <v>45119</v>
      </c>
      <c r="E876" t="s">
        <v>14</v>
      </c>
      <c r="F876">
        <v>53329</v>
      </c>
      <c r="G876">
        <v>571</v>
      </c>
      <c r="H876">
        <v>757.48</v>
      </c>
      <c r="I876">
        <v>73</v>
      </c>
      <c r="J876" t="s">
        <v>15</v>
      </c>
      <c r="L876" t="s">
        <v>16</v>
      </c>
    </row>
    <row r="877" spans="1:12" x14ac:dyDescent="0.2">
      <c r="A877" t="s">
        <v>1827</v>
      </c>
      <c r="B877" t="s">
        <v>1828</v>
      </c>
      <c r="C877" s="1">
        <v>45260</v>
      </c>
      <c r="D877" s="2">
        <v>45271</v>
      </c>
      <c r="E877" t="s">
        <v>19</v>
      </c>
      <c r="F877">
        <v>44088</v>
      </c>
      <c r="G877">
        <v>1184</v>
      </c>
      <c r="H877">
        <v>1521.85</v>
      </c>
      <c r="I877">
        <v>105</v>
      </c>
      <c r="J877" t="b">
        <v>1</v>
      </c>
      <c r="L877" t="s">
        <v>20</v>
      </c>
    </row>
    <row r="878" spans="1:12" x14ac:dyDescent="0.2">
      <c r="A878" t="s">
        <v>1829</v>
      </c>
      <c r="B878" t="s">
        <v>1830</v>
      </c>
      <c r="C878" s="1">
        <v>45091</v>
      </c>
      <c r="D878" s="2">
        <v>45099</v>
      </c>
      <c r="E878" t="s">
        <v>41</v>
      </c>
      <c r="F878">
        <v>40811</v>
      </c>
      <c r="G878">
        <v>452</v>
      </c>
      <c r="H878">
        <v>417.37</v>
      </c>
      <c r="I878">
        <v>74</v>
      </c>
      <c r="J878" t="s">
        <v>15</v>
      </c>
      <c r="L878" t="s">
        <v>42</v>
      </c>
    </row>
    <row r="879" spans="1:12" x14ac:dyDescent="0.2">
      <c r="A879" t="s">
        <v>1831</v>
      </c>
      <c r="B879" t="s">
        <v>1832</v>
      </c>
      <c r="C879" s="1">
        <v>45172</v>
      </c>
      <c r="D879" s="2">
        <v>45192</v>
      </c>
      <c r="E879" t="s">
        <v>234</v>
      </c>
      <c r="F879">
        <v>56479</v>
      </c>
      <c r="G879">
        <v>2747</v>
      </c>
      <c r="H879">
        <v>2601.7199999999998</v>
      </c>
      <c r="I879">
        <v>519</v>
      </c>
      <c r="J879" t="b">
        <v>0</v>
      </c>
      <c r="L879" t="s">
        <v>16</v>
      </c>
    </row>
    <row r="880" spans="1:12" x14ac:dyDescent="0.2">
      <c r="A880" t="s">
        <v>1833</v>
      </c>
      <c r="B880" t="s">
        <v>1834</v>
      </c>
      <c r="C880" s="1">
        <v>45090</v>
      </c>
      <c r="D880" s="2">
        <v>45106</v>
      </c>
      <c r="E880" t="s">
        <v>41</v>
      </c>
      <c r="F880">
        <v>86392</v>
      </c>
      <c r="G880">
        <v>1304</v>
      </c>
      <c r="H880">
        <v>1195.47</v>
      </c>
      <c r="I880">
        <v>159</v>
      </c>
      <c r="J880" t="s">
        <v>24</v>
      </c>
      <c r="L880" t="s">
        <v>42</v>
      </c>
    </row>
    <row r="881" spans="1:12" x14ac:dyDescent="0.2">
      <c r="A881" t="s">
        <v>1835</v>
      </c>
      <c r="B881" t="s">
        <v>1836</v>
      </c>
      <c r="C881" s="1">
        <v>45178</v>
      </c>
      <c r="D881" s="2">
        <v>45180</v>
      </c>
      <c r="E881" t="s">
        <v>14</v>
      </c>
      <c r="F881">
        <v>88369</v>
      </c>
      <c r="G881">
        <v>3385</v>
      </c>
      <c r="H881">
        <v>5609.85</v>
      </c>
      <c r="I881">
        <v>329</v>
      </c>
      <c r="J881" t="s">
        <v>15</v>
      </c>
      <c r="L881" t="s">
        <v>16</v>
      </c>
    </row>
    <row r="882" spans="1:12" x14ac:dyDescent="0.2">
      <c r="A882" t="s">
        <v>1837</v>
      </c>
      <c r="B882" t="s">
        <v>1838</v>
      </c>
      <c r="C882" s="1">
        <v>45093</v>
      </c>
      <c r="D882" s="2">
        <v>45104</v>
      </c>
      <c r="E882" t="s">
        <v>33</v>
      </c>
      <c r="F882">
        <v>20963</v>
      </c>
      <c r="G882">
        <v>1025</v>
      </c>
      <c r="H882">
        <v>1514.8</v>
      </c>
      <c r="I882">
        <v>172</v>
      </c>
      <c r="J882">
        <v>0</v>
      </c>
      <c r="L882" t="s">
        <v>34</v>
      </c>
    </row>
    <row r="883" spans="1:12" x14ac:dyDescent="0.2">
      <c r="A883" t="s">
        <v>1839</v>
      </c>
      <c r="B883" t="s">
        <v>1840</v>
      </c>
      <c r="C883" s="1">
        <v>45128</v>
      </c>
      <c r="D883" s="2">
        <v>45138</v>
      </c>
      <c r="E883" t="s">
        <v>23</v>
      </c>
      <c r="F883">
        <v>56123</v>
      </c>
      <c r="G883">
        <v>2415</v>
      </c>
      <c r="H883" s="3">
        <v>4222.93</v>
      </c>
      <c r="I883">
        <v>367</v>
      </c>
      <c r="J883">
        <v>0</v>
      </c>
      <c r="L883" t="s">
        <v>25</v>
      </c>
    </row>
    <row r="884" spans="1:12" x14ac:dyDescent="0.2">
      <c r="A884" t="s">
        <v>1841</v>
      </c>
      <c r="B884" t="s">
        <v>1842</v>
      </c>
      <c r="C884" s="1">
        <v>45029</v>
      </c>
      <c r="D884" s="2">
        <v>45047</v>
      </c>
      <c r="E884" t="s">
        <v>41</v>
      </c>
      <c r="F884">
        <v>93705</v>
      </c>
      <c r="G884">
        <v>3558</v>
      </c>
      <c r="H884" s="3">
        <v>6985.1</v>
      </c>
      <c r="I884">
        <v>652</v>
      </c>
      <c r="J884">
        <v>1</v>
      </c>
      <c r="L884" t="s">
        <v>42</v>
      </c>
    </row>
    <row r="885" spans="1:12" x14ac:dyDescent="0.2">
      <c r="A885" t="s">
        <v>1843</v>
      </c>
      <c r="B885" t="s">
        <v>1844</v>
      </c>
      <c r="C885" s="2">
        <v>45276</v>
      </c>
      <c r="D885" s="2">
        <v>45301</v>
      </c>
      <c r="E885" t="s">
        <v>14</v>
      </c>
      <c r="F885">
        <v>74477</v>
      </c>
      <c r="G885">
        <v>3245</v>
      </c>
      <c r="H885">
        <v>3930.49</v>
      </c>
      <c r="I885">
        <v>499</v>
      </c>
      <c r="J885" t="s">
        <v>24</v>
      </c>
      <c r="L885" t="s">
        <v>16</v>
      </c>
    </row>
    <row r="886" spans="1:12" x14ac:dyDescent="0.2">
      <c r="A886" t="s">
        <v>1845</v>
      </c>
      <c r="B886" t="s">
        <v>1846</v>
      </c>
      <c r="C886" s="1">
        <v>45163</v>
      </c>
      <c r="D886" s="2">
        <v>45186</v>
      </c>
      <c r="E886" t="s">
        <v>41</v>
      </c>
      <c r="F886">
        <v>15388</v>
      </c>
      <c r="G886">
        <v>758</v>
      </c>
      <c r="H886">
        <v>454.83</v>
      </c>
      <c r="I886">
        <v>65</v>
      </c>
      <c r="J886" t="s">
        <v>24</v>
      </c>
      <c r="L886" t="s">
        <v>68</v>
      </c>
    </row>
    <row r="887" spans="1:12" x14ac:dyDescent="0.2">
      <c r="A887" t="s">
        <v>1847</v>
      </c>
      <c r="B887" t="s">
        <v>1848</v>
      </c>
      <c r="C887" s="2">
        <v>45076</v>
      </c>
      <c r="D887" s="2">
        <v>45104</v>
      </c>
      <c r="E887" t="s">
        <v>14</v>
      </c>
      <c r="F887">
        <v>6569</v>
      </c>
      <c r="G887">
        <v>228</v>
      </c>
      <c r="H887">
        <v>130.44999999999999</v>
      </c>
      <c r="I887">
        <v>43</v>
      </c>
      <c r="J887" t="b">
        <v>1</v>
      </c>
      <c r="L887" t="s">
        <v>16</v>
      </c>
    </row>
    <row r="888" spans="1:12" x14ac:dyDescent="0.2">
      <c r="A888" t="s">
        <v>1849</v>
      </c>
      <c r="B888" t="s">
        <v>1850</v>
      </c>
      <c r="C888" s="1">
        <v>45136</v>
      </c>
      <c r="D888" s="2">
        <v>45151</v>
      </c>
      <c r="E888" t="s">
        <v>41</v>
      </c>
      <c r="F888">
        <v>70836</v>
      </c>
      <c r="G888">
        <v>2292</v>
      </c>
      <c r="H888">
        <v>-2162.5</v>
      </c>
      <c r="I888">
        <v>150</v>
      </c>
      <c r="J888" t="s">
        <v>30</v>
      </c>
      <c r="L888" t="s">
        <v>42</v>
      </c>
    </row>
    <row r="889" spans="1:12" x14ac:dyDescent="0.2">
      <c r="A889" t="s">
        <v>1851</v>
      </c>
      <c r="B889" t="s">
        <v>1852</v>
      </c>
      <c r="C889" s="1">
        <v>45082</v>
      </c>
      <c r="D889" s="2">
        <v>45089</v>
      </c>
      <c r="E889" t="s">
        <v>33</v>
      </c>
      <c r="F889">
        <v>37586</v>
      </c>
      <c r="G889">
        <v>1320</v>
      </c>
      <c r="H889">
        <v>2506.44</v>
      </c>
      <c r="I889">
        <v>119</v>
      </c>
      <c r="J889">
        <v>1</v>
      </c>
      <c r="L889" t="s">
        <v>34</v>
      </c>
    </row>
    <row r="890" spans="1:12" x14ac:dyDescent="0.2">
      <c r="A890" t="s">
        <v>1853</v>
      </c>
      <c r="B890" t="s">
        <v>1854</v>
      </c>
      <c r="C890" s="2">
        <v>45143</v>
      </c>
      <c r="D890" s="2">
        <v>45074</v>
      </c>
      <c r="E890" t="s">
        <v>41</v>
      </c>
      <c r="F890">
        <v>13015</v>
      </c>
      <c r="G890">
        <v>407</v>
      </c>
      <c r="H890">
        <v>522.91999999999996</v>
      </c>
      <c r="I890">
        <v>52</v>
      </c>
      <c r="J890">
        <v>0</v>
      </c>
      <c r="K890">
        <v>13074</v>
      </c>
      <c r="L890" t="s">
        <v>42</v>
      </c>
    </row>
    <row r="891" spans="1:12" x14ac:dyDescent="0.2">
      <c r="A891" t="s">
        <v>1855</v>
      </c>
      <c r="B891" t="s">
        <v>1856</v>
      </c>
      <c r="C891" s="1">
        <v>45233</v>
      </c>
      <c r="D891" s="2">
        <v>45247</v>
      </c>
      <c r="E891" t="s">
        <v>19</v>
      </c>
      <c r="F891">
        <v>46002</v>
      </c>
      <c r="G891">
        <v>1628</v>
      </c>
      <c r="H891" s="3">
        <v>1477.7</v>
      </c>
      <c r="I891">
        <v>219</v>
      </c>
      <c r="J891">
        <v>0</v>
      </c>
      <c r="L891" t="s">
        <v>20</v>
      </c>
    </row>
    <row r="892" spans="1:12" x14ac:dyDescent="0.2">
      <c r="A892" t="s">
        <v>1857</v>
      </c>
      <c r="B892" t="s">
        <v>1858</v>
      </c>
      <c r="C892" s="1">
        <v>45186</v>
      </c>
      <c r="D892" s="2">
        <v>45190</v>
      </c>
      <c r="E892" t="s">
        <v>33</v>
      </c>
      <c r="F892">
        <v>7254</v>
      </c>
      <c r="G892">
        <v>203</v>
      </c>
      <c r="H892">
        <v>223.05</v>
      </c>
      <c r="I892">
        <v>10</v>
      </c>
      <c r="J892" t="b">
        <v>1</v>
      </c>
      <c r="L892" t="s">
        <v>34</v>
      </c>
    </row>
    <row r="893" spans="1:12" x14ac:dyDescent="0.2">
      <c r="A893" t="s">
        <v>1859</v>
      </c>
      <c r="B893" t="s">
        <v>1860</v>
      </c>
      <c r="C893" s="1">
        <v>45141</v>
      </c>
      <c r="D893" s="2">
        <v>45142</v>
      </c>
      <c r="E893" t="s">
        <v>33</v>
      </c>
      <c r="F893">
        <v>18144</v>
      </c>
      <c r="G893">
        <v>339</v>
      </c>
      <c r="H893">
        <v>473.89</v>
      </c>
      <c r="I893">
        <v>56</v>
      </c>
      <c r="J893">
        <v>0</v>
      </c>
      <c r="L893" t="s">
        <v>34</v>
      </c>
    </row>
    <row r="894" spans="1:12" x14ac:dyDescent="0.2">
      <c r="A894" t="s">
        <v>1861</v>
      </c>
      <c r="B894" t="s">
        <v>1862</v>
      </c>
      <c r="C894" s="1">
        <v>45111</v>
      </c>
      <c r="D894" s="2">
        <v>45133</v>
      </c>
      <c r="E894" t="s">
        <v>19</v>
      </c>
      <c r="F894">
        <v>25214</v>
      </c>
      <c r="G894">
        <v>373</v>
      </c>
      <c r="H894">
        <v>551.83000000000004</v>
      </c>
      <c r="I894">
        <v>38</v>
      </c>
      <c r="J894">
        <v>0</v>
      </c>
      <c r="L894" t="s">
        <v>20</v>
      </c>
    </row>
    <row r="895" spans="1:12" x14ac:dyDescent="0.2">
      <c r="A895" t="s">
        <v>1863</v>
      </c>
      <c r="B895" t="s">
        <v>1864</v>
      </c>
      <c r="C895" s="2">
        <v>45231</v>
      </c>
      <c r="D895" s="2">
        <v>44942</v>
      </c>
      <c r="E895" t="s">
        <v>14</v>
      </c>
      <c r="F895">
        <v>81719</v>
      </c>
      <c r="G895">
        <v>1040</v>
      </c>
      <c r="H895">
        <v>760.11</v>
      </c>
      <c r="I895">
        <v>115</v>
      </c>
      <c r="J895" t="b">
        <v>1</v>
      </c>
      <c r="L895" t="s">
        <v>16</v>
      </c>
    </row>
    <row r="896" spans="1:12" x14ac:dyDescent="0.2">
      <c r="A896" t="s">
        <v>1865</v>
      </c>
      <c r="B896" t="s">
        <v>1866</v>
      </c>
      <c r="C896" s="1">
        <v>45054</v>
      </c>
      <c r="D896" s="2">
        <v>45073</v>
      </c>
      <c r="E896" t="s">
        <v>33</v>
      </c>
      <c r="F896">
        <v>72774</v>
      </c>
      <c r="G896">
        <v>1494</v>
      </c>
      <c r="H896">
        <v>2936.53</v>
      </c>
      <c r="I896">
        <v>256</v>
      </c>
      <c r="J896">
        <v>0</v>
      </c>
      <c r="L896" t="s">
        <v>34</v>
      </c>
    </row>
    <row r="897" spans="1:12" x14ac:dyDescent="0.2">
      <c r="A897" t="s">
        <v>1867</v>
      </c>
      <c r="B897" t="s">
        <v>1868</v>
      </c>
      <c r="C897" s="1">
        <v>45258</v>
      </c>
      <c r="D897" s="2">
        <v>45286</v>
      </c>
      <c r="E897" t="s">
        <v>19</v>
      </c>
      <c r="F897">
        <v>7090</v>
      </c>
      <c r="G897">
        <v>83</v>
      </c>
      <c r="H897">
        <v>109.32</v>
      </c>
      <c r="I897">
        <v>8</v>
      </c>
      <c r="J897" t="s">
        <v>30</v>
      </c>
      <c r="L897" t="s">
        <v>20</v>
      </c>
    </row>
    <row r="898" spans="1:12" x14ac:dyDescent="0.2">
      <c r="A898" t="s">
        <v>1869</v>
      </c>
      <c r="B898" t="s">
        <v>1870</v>
      </c>
      <c r="C898" s="1">
        <v>45257</v>
      </c>
      <c r="D898" s="2">
        <v>45279</v>
      </c>
      <c r="E898" t="s">
        <v>41</v>
      </c>
      <c r="F898">
        <v>12637</v>
      </c>
      <c r="G898">
        <v>413</v>
      </c>
      <c r="H898">
        <v>290.56</v>
      </c>
      <c r="I898">
        <v>23</v>
      </c>
      <c r="J898" t="b">
        <v>0</v>
      </c>
      <c r="L898" t="s">
        <v>68</v>
      </c>
    </row>
    <row r="899" spans="1:12" x14ac:dyDescent="0.2">
      <c r="A899" t="s">
        <v>1871</v>
      </c>
      <c r="B899" t="s">
        <v>1872</v>
      </c>
      <c r="C899" s="1">
        <v>45096</v>
      </c>
      <c r="D899" s="2">
        <v>45121</v>
      </c>
      <c r="E899" t="s">
        <v>33</v>
      </c>
      <c r="F899">
        <v>23415</v>
      </c>
      <c r="G899">
        <v>499</v>
      </c>
      <c r="H899">
        <v>918.39</v>
      </c>
      <c r="J899">
        <v>1</v>
      </c>
      <c r="L899" t="s">
        <v>34</v>
      </c>
    </row>
    <row r="900" spans="1:12" x14ac:dyDescent="0.2">
      <c r="A900" t="s">
        <v>1873</v>
      </c>
      <c r="B900" t="s">
        <v>1874</v>
      </c>
      <c r="C900" s="2">
        <v>45078</v>
      </c>
      <c r="D900" s="2">
        <v>44933</v>
      </c>
      <c r="E900" t="s">
        <v>58</v>
      </c>
      <c r="F900">
        <v>25071</v>
      </c>
      <c r="G900">
        <v>1077</v>
      </c>
      <c r="H900">
        <v>659.08</v>
      </c>
      <c r="I900">
        <v>208</v>
      </c>
      <c r="J900" t="s">
        <v>30</v>
      </c>
      <c r="L900" t="s">
        <v>59</v>
      </c>
    </row>
    <row r="901" spans="1:12" x14ac:dyDescent="0.2">
      <c r="A901" t="s">
        <v>1875</v>
      </c>
      <c r="B901" t="s">
        <v>1876</v>
      </c>
      <c r="C901" s="1">
        <v>45040</v>
      </c>
      <c r="D901" s="2">
        <v>45070</v>
      </c>
      <c r="E901" t="s">
        <v>19</v>
      </c>
      <c r="F901">
        <v>59243</v>
      </c>
      <c r="G901">
        <v>768</v>
      </c>
      <c r="H901">
        <v>1429.71</v>
      </c>
      <c r="I901">
        <v>46</v>
      </c>
      <c r="J901" t="s">
        <v>30</v>
      </c>
      <c r="L901" t="s">
        <v>20</v>
      </c>
    </row>
    <row r="902" spans="1:12" x14ac:dyDescent="0.2">
      <c r="A902" t="s">
        <v>1877</v>
      </c>
      <c r="B902" t="s">
        <v>1878</v>
      </c>
      <c r="C902" s="1">
        <v>45224</v>
      </c>
      <c r="D902" s="2">
        <v>45241</v>
      </c>
      <c r="E902" t="s">
        <v>19</v>
      </c>
      <c r="F902">
        <v>42240</v>
      </c>
      <c r="G902">
        <v>804</v>
      </c>
      <c r="H902">
        <v>1603.86</v>
      </c>
      <c r="I902">
        <v>83</v>
      </c>
      <c r="J902" t="b">
        <v>0</v>
      </c>
      <c r="L902" t="s">
        <v>20</v>
      </c>
    </row>
    <row r="903" spans="1:12" x14ac:dyDescent="0.2">
      <c r="A903" t="s">
        <v>1879</v>
      </c>
      <c r="B903" t="s">
        <v>1880</v>
      </c>
      <c r="C903" s="1">
        <v>45118</v>
      </c>
      <c r="D903" s="2">
        <v>45133</v>
      </c>
      <c r="E903" t="s">
        <v>19</v>
      </c>
      <c r="F903">
        <v>84807</v>
      </c>
      <c r="G903">
        <v>3325</v>
      </c>
      <c r="H903" s="3">
        <v>5155.8999999999996</v>
      </c>
      <c r="I903">
        <v>417</v>
      </c>
      <c r="J903" t="s">
        <v>24</v>
      </c>
      <c r="L903" t="s">
        <v>20</v>
      </c>
    </row>
    <row r="904" spans="1:12" x14ac:dyDescent="0.2">
      <c r="A904" t="s">
        <v>1881</v>
      </c>
      <c r="B904" t="s">
        <v>1882</v>
      </c>
      <c r="C904" s="1">
        <v>45228</v>
      </c>
      <c r="D904" s="2">
        <v>45231</v>
      </c>
      <c r="E904" t="s">
        <v>14</v>
      </c>
      <c r="F904">
        <v>34434</v>
      </c>
      <c r="G904">
        <v>1169</v>
      </c>
      <c r="H904">
        <v>1935.48</v>
      </c>
      <c r="I904">
        <v>144</v>
      </c>
      <c r="J904">
        <v>1</v>
      </c>
      <c r="L904" t="s">
        <v>16</v>
      </c>
    </row>
    <row r="905" spans="1:12" x14ac:dyDescent="0.2">
      <c r="A905" t="s">
        <v>1883</v>
      </c>
      <c r="B905" t="s">
        <v>1884</v>
      </c>
      <c r="C905" s="1">
        <v>44939</v>
      </c>
      <c r="D905" s="2">
        <v>44956</v>
      </c>
      <c r="E905" t="s">
        <v>41</v>
      </c>
      <c r="F905">
        <v>70724</v>
      </c>
      <c r="G905">
        <v>889</v>
      </c>
      <c r="H905">
        <v>894.29</v>
      </c>
      <c r="I905">
        <v>44</v>
      </c>
      <c r="J905" t="s">
        <v>30</v>
      </c>
      <c r="L905" t="s">
        <v>42</v>
      </c>
    </row>
    <row r="906" spans="1:12" x14ac:dyDescent="0.2">
      <c r="A906" t="s">
        <v>1885</v>
      </c>
      <c r="B906" t="s">
        <v>1886</v>
      </c>
      <c r="C906" s="1">
        <v>44970</v>
      </c>
      <c r="D906" s="2">
        <v>44976</v>
      </c>
      <c r="E906" t="s">
        <v>19</v>
      </c>
      <c r="F906">
        <v>76697</v>
      </c>
      <c r="G906">
        <v>3458</v>
      </c>
      <c r="H906">
        <v>6612.96</v>
      </c>
      <c r="I906">
        <v>432</v>
      </c>
      <c r="J906">
        <v>0</v>
      </c>
      <c r="L906" t="s">
        <v>20</v>
      </c>
    </row>
    <row r="907" spans="1:12" x14ac:dyDescent="0.2">
      <c r="A907" t="s">
        <v>1887</v>
      </c>
      <c r="B907" t="s">
        <v>1888</v>
      </c>
      <c r="C907" s="1">
        <v>44999</v>
      </c>
      <c r="D907" s="2">
        <v>45014</v>
      </c>
      <c r="E907" t="s">
        <v>23</v>
      </c>
      <c r="F907">
        <v>29732</v>
      </c>
      <c r="G907">
        <v>1340</v>
      </c>
      <c r="H907">
        <v>1734.73</v>
      </c>
      <c r="I907">
        <v>144</v>
      </c>
      <c r="J907" t="b">
        <v>0</v>
      </c>
      <c r="L907" t="s">
        <v>25</v>
      </c>
    </row>
    <row r="908" spans="1:12" x14ac:dyDescent="0.2">
      <c r="A908" t="s">
        <v>1889</v>
      </c>
      <c r="B908" t="s">
        <v>1890</v>
      </c>
      <c r="C908" s="1">
        <v>45032</v>
      </c>
      <c r="D908" s="2">
        <v>45041</v>
      </c>
      <c r="E908" t="s">
        <v>138</v>
      </c>
      <c r="F908">
        <v>12314</v>
      </c>
      <c r="G908">
        <v>285</v>
      </c>
      <c r="H908">
        <v>455.6</v>
      </c>
      <c r="I908">
        <v>55</v>
      </c>
      <c r="J908" t="s">
        <v>24</v>
      </c>
      <c r="L908" t="s">
        <v>139</v>
      </c>
    </row>
    <row r="909" spans="1:12" x14ac:dyDescent="0.2">
      <c r="A909" t="s">
        <v>1891</v>
      </c>
      <c r="B909" t="s">
        <v>1892</v>
      </c>
      <c r="C909" s="1">
        <v>44976</v>
      </c>
      <c r="D909" s="2">
        <v>44999</v>
      </c>
      <c r="E909" t="s">
        <v>23</v>
      </c>
      <c r="F909">
        <v>24954</v>
      </c>
      <c r="G909">
        <v>589</v>
      </c>
      <c r="H909">
        <v>1110.95</v>
      </c>
      <c r="I909">
        <v>43</v>
      </c>
      <c r="J909">
        <v>1</v>
      </c>
      <c r="L909" t="s">
        <v>25</v>
      </c>
    </row>
    <row r="910" spans="1:12" x14ac:dyDescent="0.2">
      <c r="A910" t="s">
        <v>1893</v>
      </c>
      <c r="B910" t="s">
        <v>1894</v>
      </c>
      <c r="C910" t="s">
        <v>1895</v>
      </c>
      <c r="D910" s="2">
        <v>45109</v>
      </c>
      <c r="E910" t="s">
        <v>19</v>
      </c>
      <c r="F910">
        <v>58108</v>
      </c>
      <c r="G910">
        <v>2879</v>
      </c>
      <c r="H910">
        <v>5650.81</v>
      </c>
      <c r="I910">
        <v>296</v>
      </c>
      <c r="J910" t="s">
        <v>15</v>
      </c>
      <c r="L910" t="s">
        <v>20</v>
      </c>
    </row>
    <row r="911" spans="1:12" x14ac:dyDescent="0.2">
      <c r="A911" t="s">
        <v>1896</v>
      </c>
      <c r="B911" t="s">
        <v>1897</v>
      </c>
      <c r="C911" s="1">
        <v>44949</v>
      </c>
      <c r="D911" s="2">
        <v>44962</v>
      </c>
      <c r="E911" t="s">
        <v>138</v>
      </c>
      <c r="F911">
        <v>88044</v>
      </c>
      <c r="G911">
        <v>3085</v>
      </c>
      <c r="H911" s="3">
        <v>5398.15</v>
      </c>
      <c r="I911">
        <v>348</v>
      </c>
      <c r="J911" t="b">
        <v>1</v>
      </c>
      <c r="L911" t="s">
        <v>139</v>
      </c>
    </row>
    <row r="912" spans="1:12" x14ac:dyDescent="0.2">
      <c r="A912" t="s">
        <v>1898</v>
      </c>
      <c r="B912" t="s">
        <v>1899</v>
      </c>
      <c r="C912" s="1">
        <v>45102</v>
      </c>
      <c r="D912" s="2">
        <v>45128</v>
      </c>
      <c r="E912" t="s">
        <v>19</v>
      </c>
      <c r="F912">
        <v>88505</v>
      </c>
      <c r="G912">
        <v>2766</v>
      </c>
      <c r="H912">
        <v>2640.22</v>
      </c>
      <c r="I912">
        <v>300</v>
      </c>
      <c r="J912">
        <v>0</v>
      </c>
      <c r="L912" t="s">
        <v>20</v>
      </c>
    </row>
    <row r="913" spans="1:12" x14ac:dyDescent="0.2">
      <c r="A913" t="s">
        <v>1900</v>
      </c>
      <c r="B913" t="s">
        <v>1901</v>
      </c>
      <c r="C913" s="1">
        <v>45011</v>
      </c>
      <c r="D913" s="2">
        <v>45041</v>
      </c>
      <c r="E913" t="s">
        <v>23</v>
      </c>
      <c r="F913">
        <v>37668</v>
      </c>
      <c r="G913">
        <v>1639</v>
      </c>
      <c r="H913" s="3">
        <v>3195.76</v>
      </c>
      <c r="I913">
        <v>245</v>
      </c>
      <c r="J913" t="b">
        <v>0</v>
      </c>
      <c r="L913" t="s">
        <v>25</v>
      </c>
    </row>
    <row r="914" spans="1:12" x14ac:dyDescent="0.2">
      <c r="A914" t="s">
        <v>1902</v>
      </c>
      <c r="B914" t="s">
        <v>1903</v>
      </c>
      <c r="C914" s="1">
        <v>45191</v>
      </c>
      <c r="D914" s="2">
        <v>45209</v>
      </c>
      <c r="E914" t="s">
        <v>19</v>
      </c>
      <c r="F914">
        <v>24061</v>
      </c>
      <c r="G914">
        <v>515</v>
      </c>
      <c r="H914">
        <v>742.72</v>
      </c>
      <c r="I914">
        <v>42</v>
      </c>
      <c r="J914" t="b">
        <v>1</v>
      </c>
      <c r="L914" t="s">
        <v>20</v>
      </c>
    </row>
    <row r="915" spans="1:12" x14ac:dyDescent="0.2">
      <c r="A915" t="s">
        <v>1904</v>
      </c>
      <c r="B915" t="s">
        <v>1905</v>
      </c>
      <c r="C915" s="1">
        <v>45213</v>
      </c>
      <c r="D915" s="2">
        <v>45234</v>
      </c>
      <c r="E915" t="s">
        <v>19</v>
      </c>
      <c r="F915">
        <v>80252</v>
      </c>
      <c r="G915">
        <v>2180</v>
      </c>
      <c r="H915">
        <v>4133.2</v>
      </c>
      <c r="I915">
        <v>181</v>
      </c>
      <c r="J915" t="s">
        <v>24</v>
      </c>
      <c r="L915" t="s">
        <v>20</v>
      </c>
    </row>
    <row r="916" spans="1:12" x14ac:dyDescent="0.2">
      <c r="A916" t="s">
        <v>1906</v>
      </c>
      <c r="B916" t="s">
        <v>1907</v>
      </c>
      <c r="C916" s="1">
        <v>45134</v>
      </c>
      <c r="D916" s="2">
        <v>45158</v>
      </c>
      <c r="E916" t="s">
        <v>33</v>
      </c>
      <c r="F916">
        <v>40749</v>
      </c>
      <c r="G916">
        <v>843</v>
      </c>
      <c r="H916">
        <v>1276.43</v>
      </c>
      <c r="J916" t="s">
        <v>24</v>
      </c>
      <c r="L916" t="s">
        <v>68</v>
      </c>
    </row>
    <row r="917" spans="1:12" x14ac:dyDescent="0.2">
      <c r="A917" t="s">
        <v>1908</v>
      </c>
      <c r="B917" t="s">
        <v>1909</v>
      </c>
      <c r="C917" s="2">
        <v>45263</v>
      </c>
      <c r="D917" s="2">
        <v>44999</v>
      </c>
      <c r="E917" t="s">
        <v>33</v>
      </c>
      <c r="F917">
        <v>17907</v>
      </c>
      <c r="G917">
        <v>744</v>
      </c>
      <c r="H917">
        <v>714.88</v>
      </c>
      <c r="I917">
        <v>93</v>
      </c>
      <c r="J917" t="s">
        <v>15</v>
      </c>
      <c r="L917" t="s">
        <v>34</v>
      </c>
    </row>
    <row r="918" spans="1:12" x14ac:dyDescent="0.2">
      <c r="A918" t="s">
        <v>1910</v>
      </c>
      <c r="B918" t="s">
        <v>1911</v>
      </c>
      <c r="C918" s="1">
        <v>45241</v>
      </c>
      <c r="D918" s="2">
        <v>45250</v>
      </c>
      <c r="E918" t="s">
        <v>33</v>
      </c>
      <c r="F918">
        <v>19777</v>
      </c>
      <c r="G918">
        <v>651</v>
      </c>
      <c r="H918">
        <v>686.83</v>
      </c>
      <c r="I918">
        <v>73</v>
      </c>
      <c r="J918" t="s">
        <v>30</v>
      </c>
      <c r="L918" t="s">
        <v>34</v>
      </c>
    </row>
    <row r="919" spans="1:12" x14ac:dyDescent="0.2">
      <c r="A919" t="s">
        <v>1912</v>
      </c>
      <c r="B919" t="s">
        <v>1913</v>
      </c>
      <c r="C919" s="1">
        <v>45146</v>
      </c>
      <c r="D919" s="2">
        <v>45165</v>
      </c>
      <c r="E919" t="s">
        <v>14</v>
      </c>
      <c r="F919">
        <v>94229</v>
      </c>
      <c r="G919">
        <v>3425</v>
      </c>
      <c r="H919" s="3">
        <v>4540.55</v>
      </c>
      <c r="I919">
        <v>258</v>
      </c>
      <c r="J919" t="s">
        <v>30</v>
      </c>
      <c r="L919" t="s">
        <v>16</v>
      </c>
    </row>
    <row r="920" spans="1:12" x14ac:dyDescent="0.2">
      <c r="A920" t="s">
        <v>1914</v>
      </c>
      <c r="B920" t="s">
        <v>1915</v>
      </c>
      <c r="C920" s="1">
        <v>45032</v>
      </c>
      <c r="D920" s="2">
        <v>45036</v>
      </c>
      <c r="E920" t="s">
        <v>14</v>
      </c>
      <c r="F920">
        <v>52745</v>
      </c>
      <c r="G920">
        <v>1059</v>
      </c>
      <c r="H920">
        <v>1784.44</v>
      </c>
      <c r="I920">
        <v>82</v>
      </c>
      <c r="J920">
        <v>1</v>
      </c>
      <c r="L920" t="s">
        <v>16</v>
      </c>
    </row>
    <row r="921" spans="1:12" x14ac:dyDescent="0.2">
      <c r="A921" t="s">
        <v>1916</v>
      </c>
      <c r="B921" t="s">
        <v>1917</v>
      </c>
      <c r="C921" s="1">
        <v>44959</v>
      </c>
      <c r="D921" s="2">
        <v>44982</v>
      </c>
      <c r="E921" t="s">
        <v>19</v>
      </c>
      <c r="F921">
        <v>92865</v>
      </c>
      <c r="G921">
        <v>1746</v>
      </c>
      <c r="H921" s="3">
        <v>1705.8</v>
      </c>
      <c r="J921" t="b">
        <v>0</v>
      </c>
      <c r="L921" t="s">
        <v>20</v>
      </c>
    </row>
    <row r="922" spans="1:12" x14ac:dyDescent="0.2">
      <c r="A922" t="s">
        <v>1918</v>
      </c>
      <c r="B922" t="s">
        <v>1919</v>
      </c>
      <c r="C922" s="1">
        <v>45201</v>
      </c>
      <c r="D922" s="2">
        <v>45218</v>
      </c>
      <c r="E922" t="s">
        <v>41</v>
      </c>
      <c r="F922">
        <v>82818</v>
      </c>
      <c r="G922">
        <v>2446</v>
      </c>
      <c r="H922">
        <v>3350.03</v>
      </c>
      <c r="I922">
        <v>155</v>
      </c>
      <c r="J922" t="b">
        <v>0</v>
      </c>
      <c r="L922" t="s">
        <v>42</v>
      </c>
    </row>
    <row r="923" spans="1:12" x14ac:dyDescent="0.2">
      <c r="A923" t="s">
        <v>1920</v>
      </c>
      <c r="B923" t="s">
        <v>1921</v>
      </c>
      <c r="C923" s="1">
        <v>45161</v>
      </c>
      <c r="D923" s="2">
        <v>45177</v>
      </c>
      <c r="E923" t="s">
        <v>33</v>
      </c>
      <c r="F923">
        <v>24624</v>
      </c>
      <c r="G923">
        <v>972</v>
      </c>
      <c r="H923">
        <v>989.92</v>
      </c>
      <c r="I923">
        <v>129</v>
      </c>
      <c r="J923" t="s">
        <v>24</v>
      </c>
      <c r="L923" t="s">
        <v>68</v>
      </c>
    </row>
    <row r="924" spans="1:12" x14ac:dyDescent="0.2">
      <c r="A924" t="s">
        <v>1922</v>
      </c>
      <c r="B924" t="s">
        <v>1923</v>
      </c>
      <c r="C924" s="1">
        <v>45177</v>
      </c>
      <c r="D924" s="2">
        <v>45183</v>
      </c>
      <c r="E924" t="s">
        <v>33</v>
      </c>
      <c r="F924">
        <v>24321</v>
      </c>
      <c r="G924">
        <v>754</v>
      </c>
      <c r="H924">
        <v>1299.6400000000001</v>
      </c>
      <c r="I924">
        <v>138</v>
      </c>
      <c r="J924">
        <v>1</v>
      </c>
      <c r="L924" t="s">
        <v>34</v>
      </c>
    </row>
    <row r="925" spans="1:12" x14ac:dyDescent="0.2">
      <c r="A925" t="s">
        <v>1924</v>
      </c>
      <c r="B925" t="s">
        <v>1925</v>
      </c>
      <c r="C925" s="1">
        <v>45232</v>
      </c>
      <c r="D925" s="2">
        <v>45261</v>
      </c>
      <c r="E925" t="s">
        <v>14</v>
      </c>
      <c r="F925">
        <v>11488</v>
      </c>
      <c r="G925">
        <v>129</v>
      </c>
      <c r="H925" s="3">
        <v>154.81</v>
      </c>
      <c r="I925">
        <v>12</v>
      </c>
      <c r="J925" t="b">
        <v>1</v>
      </c>
      <c r="L925" t="s">
        <v>68</v>
      </c>
    </row>
    <row r="926" spans="1:12" x14ac:dyDescent="0.2">
      <c r="A926" t="s">
        <v>1926</v>
      </c>
      <c r="B926" t="s">
        <v>1927</v>
      </c>
      <c r="C926" s="1">
        <v>44985</v>
      </c>
      <c r="D926" s="2">
        <v>45000</v>
      </c>
      <c r="E926" t="s">
        <v>19</v>
      </c>
      <c r="F926">
        <v>23574</v>
      </c>
      <c r="G926">
        <v>1054</v>
      </c>
      <c r="H926">
        <v>-648.29999999999995</v>
      </c>
      <c r="I926">
        <v>104</v>
      </c>
      <c r="J926" t="s">
        <v>30</v>
      </c>
      <c r="L926" t="s">
        <v>20</v>
      </c>
    </row>
    <row r="927" spans="1:12" x14ac:dyDescent="0.2">
      <c r="A927" t="s">
        <v>1928</v>
      </c>
      <c r="B927" t="s">
        <v>1929</v>
      </c>
      <c r="C927" s="1">
        <v>45243</v>
      </c>
      <c r="D927" s="2">
        <v>45253</v>
      </c>
      <c r="E927" t="s">
        <v>14</v>
      </c>
      <c r="F927">
        <v>6240</v>
      </c>
      <c r="G927">
        <v>78</v>
      </c>
      <c r="H927">
        <v>58.43</v>
      </c>
      <c r="J927" t="s">
        <v>30</v>
      </c>
      <c r="L927" t="s">
        <v>16</v>
      </c>
    </row>
    <row r="928" spans="1:12" x14ac:dyDescent="0.2">
      <c r="A928" t="s">
        <v>1930</v>
      </c>
      <c r="B928" t="s">
        <v>1931</v>
      </c>
      <c r="C928" s="1">
        <v>45079</v>
      </c>
      <c r="D928" s="2">
        <v>45107</v>
      </c>
      <c r="E928" t="s">
        <v>23</v>
      </c>
      <c r="F928">
        <v>44221</v>
      </c>
      <c r="G928">
        <v>2132</v>
      </c>
      <c r="H928">
        <v>1261.4100000000001</v>
      </c>
      <c r="I928">
        <v>230</v>
      </c>
      <c r="J928" t="s">
        <v>24</v>
      </c>
      <c r="L928" t="s">
        <v>25</v>
      </c>
    </row>
    <row r="929" spans="1:12" x14ac:dyDescent="0.2">
      <c r="A929" t="s">
        <v>1932</v>
      </c>
      <c r="B929" t="s">
        <v>1933</v>
      </c>
      <c r="C929" s="1">
        <v>45271</v>
      </c>
      <c r="D929" s="2">
        <v>45277</v>
      </c>
      <c r="E929" t="s">
        <v>41</v>
      </c>
      <c r="F929">
        <v>11478</v>
      </c>
      <c r="G929">
        <v>126</v>
      </c>
      <c r="H929" s="3">
        <v>157.37</v>
      </c>
      <c r="I929">
        <v>7</v>
      </c>
      <c r="J929" t="b">
        <v>0</v>
      </c>
      <c r="L929" t="s">
        <v>42</v>
      </c>
    </row>
    <row r="930" spans="1:12" x14ac:dyDescent="0.2">
      <c r="A930" t="s">
        <v>1934</v>
      </c>
      <c r="B930" t="s">
        <v>1935</v>
      </c>
      <c r="C930" s="1">
        <v>45083</v>
      </c>
      <c r="D930" s="2">
        <v>45085</v>
      </c>
      <c r="E930" t="s">
        <v>14</v>
      </c>
      <c r="F930">
        <v>56645</v>
      </c>
      <c r="G930">
        <v>2139</v>
      </c>
      <c r="H930">
        <v>1410.68</v>
      </c>
      <c r="I930">
        <v>401</v>
      </c>
      <c r="J930" t="s">
        <v>24</v>
      </c>
      <c r="L930" t="s">
        <v>16</v>
      </c>
    </row>
    <row r="931" spans="1:12" x14ac:dyDescent="0.2">
      <c r="A931" t="s">
        <v>1936</v>
      </c>
      <c r="B931" t="s">
        <v>1937</v>
      </c>
      <c r="C931" s="1">
        <v>44999</v>
      </c>
      <c r="D931" s="2">
        <v>45009</v>
      </c>
      <c r="E931" t="s">
        <v>33</v>
      </c>
      <c r="F931">
        <v>20262</v>
      </c>
      <c r="G931">
        <v>269</v>
      </c>
      <c r="H931">
        <v>180.56</v>
      </c>
      <c r="I931">
        <v>40</v>
      </c>
      <c r="J931" t="b">
        <v>0</v>
      </c>
      <c r="L931" t="s">
        <v>34</v>
      </c>
    </row>
    <row r="932" spans="1:12" x14ac:dyDescent="0.2">
      <c r="A932" t="s">
        <v>1938</v>
      </c>
      <c r="B932" t="s">
        <v>1939</v>
      </c>
      <c r="C932" s="1">
        <v>44997</v>
      </c>
      <c r="D932" s="2">
        <v>45017</v>
      </c>
      <c r="E932" t="s">
        <v>23</v>
      </c>
      <c r="F932">
        <v>53796</v>
      </c>
      <c r="G932">
        <v>2497</v>
      </c>
      <c r="H932">
        <v>4773.2</v>
      </c>
      <c r="I932">
        <v>495</v>
      </c>
      <c r="J932">
        <v>1</v>
      </c>
      <c r="L932" t="s">
        <v>25</v>
      </c>
    </row>
    <row r="933" spans="1:12" x14ac:dyDescent="0.2">
      <c r="A933" t="s">
        <v>1940</v>
      </c>
      <c r="B933" t="s">
        <v>1941</v>
      </c>
      <c r="C933" s="1">
        <v>45176</v>
      </c>
      <c r="D933" s="2">
        <v>45187</v>
      </c>
      <c r="E933" t="s">
        <v>33</v>
      </c>
      <c r="F933">
        <v>5432</v>
      </c>
      <c r="G933">
        <v>155</v>
      </c>
      <c r="H933">
        <v>280.39</v>
      </c>
      <c r="I933">
        <v>28</v>
      </c>
      <c r="J933" t="s">
        <v>15</v>
      </c>
      <c r="L933" t="s">
        <v>34</v>
      </c>
    </row>
    <row r="934" spans="1:12" x14ac:dyDescent="0.2">
      <c r="A934" t="s">
        <v>1942</v>
      </c>
      <c r="B934" t="s">
        <v>1943</v>
      </c>
      <c r="C934" s="1">
        <v>45257</v>
      </c>
      <c r="D934" s="2">
        <v>45252</v>
      </c>
      <c r="E934" t="s">
        <v>14</v>
      </c>
      <c r="F934">
        <v>96257</v>
      </c>
      <c r="G934">
        <v>1492</v>
      </c>
      <c r="H934">
        <v>1757.77</v>
      </c>
      <c r="J934" t="b">
        <v>1</v>
      </c>
      <c r="L934" t="s">
        <v>16</v>
      </c>
    </row>
    <row r="935" spans="1:12" x14ac:dyDescent="0.2">
      <c r="A935" t="s">
        <v>1944</v>
      </c>
      <c r="B935" t="s">
        <v>1945</v>
      </c>
      <c r="C935" s="1">
        <v>45012</v>
      </c>
      <c r="D935" s="2">
        <v>45016</v>
      </c>
      <c r="E935" t="s">
        <v>14</v>
      </c>
      <c r="F935">
        <v>65291</v>
      </c>
      <c r="G935">
        <v>1542</v>
      </c>
      <c r="H935">
        <v>3051.17</v>
      </c>
      <c r="I935">
        <v>197</v>
      </c>
      <c r="J935">
        <v>0</v>
      </c>
      <c r="L935" t="s">
        <v>16</v>
      </c>
    </row>
    <row r="936" spans="1:12" x14ac:dyDescent="0.2">
      <c r="A936" t="s">
        <v>1946</v>
      </c>
      <c r="B936" t="s">
        <v>1947</v>
      </c>
      <c r="C936" s="1">
        <v>45088</v>
      </c>
      <c r="D936" s="2">
        <v>45110</v>
      </c>
      <c r="E936" t="s">
        <v>23</v>
      </c>
      <c r="F936">
        <v>80104</v>
      </c>
      <c r="G936">
        <v>1329</v>
      </c>
      <c r="H936">
        <v>664.87</v>
      </c>
      <c r="I936">
        <v>104</v>
      </c>
      <c r="J936" t="s">
        <v>15</v>
      </c>
      <c r="L936" t="s">
        <v>25</v>
      </c>
    </row>
    <row r="937" spans="1:12" x14ac:dyDescent="0.2">
      <c r="A937" t="s">
        <v>1948</v>
      </c>
      <c r="B937" t="s">
        <v>1949</v>
      </c>
      <c r="C937" s="1">
        <v>45110</v>
      </c>
      <c r="D937" s="2">
        <v>45115</v>
      </c>
      <c r="E937" t="s">
        <v>41</v>
      </c>
      <c r="F937">
        <v>60399</v>
      </c>
      <c r="G937">
        <v>1016</v>
      </c>
      <c r="H937">
        <v>1443.7</v>
      </c>
      <c r="I937">
        <v>121</v>
      </c>
      <c r="J937" t="s">
        <v>15</v>
      </c>
      <c r="L937" t="s">
        <v>42</v>
      </c>
    </row>
    <row r="938" spans="1:12" x14ac:dyDescent="0.2">
      <c r="A938" t="s">
        <v>1950</v>
      </c>
      <c r="B938" t="s">
        <v>1951</v>
      </c>
      <c r="C938" s="1">
        <v>45026</v>
      </c>
      <c r="D938" s="2">
        <v>45053</v>
      </c>
      <c r="E938" t="s">
        <v>14</v>
      </c>
      <c r="F938">
        <v>80714</v>
      </c>
      <c r="G938">
        <v>3868</v>
      </c>
      <c r="H938">
        <v>5510.52</v>
      </c>
      <c r="I938">
        <v>717</v>
      </c>
      <c r="J938" t="b">
        <v>0</v>
      </c>
      <c r="L938" t="s">
        <v>16</v>
      </c>
    </row>
    <row r="939" spans="1:12" x14ac:dyDescent="0.2">
      <c r="A939" t="s">
        <v>1952</v>
      </c>
      <c r="B939" t="s">
        <v>1953</v>
      </c>
      <c r="C939" s="1">
        <v>45185</v>
      </c>
      <c r="D939" s="2">
        <v>45188</v>
      </c>
      <c r="E939" t="s">
        <v>19</v>
      </c>
      <c r="F939">
        <v>51428</v>
      </c>
      <c r="G939">
        <v>1430</v>
      </c>
      <c r="H939">
        <v>1696.22</v>
      </c>
      <c r="I939">
        <v>82</v>
      </c>
      <c r="J939" t="b">
        <v>0</v>
      </c>
      <c r="L939" t="s">
        <v>68</v>
      </c>
    </row>
    <row r="940" spans="1:12" x14ac:dyDescent="0.2">
      <c r="A940" t="s">
        <v>1954</v>
      </c>
      <c r="B940" t="s">
        <v>1955</v>
      </c>
      <c r="C940" s="1">
        <v>45178</v>
      </c>
      <c r="D940" s="2">
        <v>45185</v>
      </c>
      <c r="E940" t="s">
        <v>23</v>
      </c>
      <c r="F940">
        <v>88731</v>
      </c>
      <c r="G940">
        <v>3686</v>
      </c>
      <c r="H940">
        <v>4037.73</v>
      </c>
      <c r="I940">
        <v>661</v>
      </c>
      <c r="J940" t="b">
        <v>0</v>
      </c>
      <c r="L940" t="s">
        <v>25</v>
      </c>
    </row>
    <row r="941" spans="1:12" x14ac:dyDescent="0.2">
      <c r="A941" t="s">
        <v>1956</v>
      </c>
      <c r="B941" t="s">
        <v>1957</v>
      </c>
      <c r="C941" s="1">
        <v>45177</v>
      </c>
      <c r="D941" s="2">
        <v>45193</v>
      </c>
      <c r="E941" t="s">
        <v>19</v>
      </c>
      <c r="F941">
        <v>1302</v>
      </c>
      <c r="G941">
        <v>46</v>
      </c>
      <c r="H941">
        <v>54.42</v>
      </c>
      <c r="I941">
        <v>4</v>
      </c>
      <c r="J941" t="s">
        <v>15</v>
      </c>
      <c r="L941" t="s">
        <v>20</v>
      </c>
    </row>
    <row r="942" spans="1:12" x14ac:dyDescent="0.2">
      <c r="A942" t="s">
        <v>1958</v>
      </c>
      <c r="B942" t="s">
        <v>1959</v>
      </c>
      <c r="C942" s="1">
        <v>45039</v>
      </c>
      <c r="D942" s="2">
        <v>45055</v>
      </c>
      <c r="E942" t="s">
        <v>14</v>
      </c>
      <c r="F942">
        <v>83558</v>
      </c>
      <c r="G942">
        <v>3096</v>
      </c>
      <c r="H942">
        <v>3475.08</v>
      </c>
      <c r="I942">
        <v>572</v>
      </c>
      <c r="J942" t="s">
        <v>24</v>
      </c>
      <c r="L942" t="s">
        <v>16</v>
      </c>
    </row>
    <row r="943" spans="1:12" x14ac:dyDescent="0.2">
      <c r="A943" t="s">
        <v>1960</v>
      </c>
      <c r="B943" t="s">
        <v>1961</v>
      </c>
      <c r="C943" s="1">
        <v>45202</v>
      </c>
      <c r="D943" s="2">
        <v>45210</v>
      </c>
      <c r="E943" t="s">
        <v>33</v>
      </c>
      <c r="F943">
        <v>1055</v>
      </c>
      <c r="G943">
        <v>16</v>
      </c>
      <c r="H943">
        <v>25.53</v>
      </c>
      <c r="I943">
        <v>3</v>
      </c>
      <c r="J943" t="b">
        <v>1</v>
      </c>
      <c r="L943" t="s">
        <v>68</v>
      </c>
    </row>
    <row r="944" spans="1:12" x14ac:dyDescent="0.2">
      <c r="A944" t="s">
        <v>1962</v>
      </c>
      <c r="B944" t="s">
        <v>1963</v>
      </c>
      <c r="C944" s="1">
        <v>45216</v>
      </c>
      <c r="D944" s="2">
        <v>45217</v>
      </c>
      <c r="E944" t="s">
        <v>14</v>
      </c>
      <c r="F944">
        <v>9717</v>
      </c>
      <c r="G944">
        <v>188</v>
      </c>
      <c r="H944">
        <v>132.16999999999999</v>
      </c>
      <c r="I944">
        <v>28</v>
      </c>
      <c r="J944" t="s">
        <v>24</v>
      </c>
      <c r="L944" t="s">
        <v>16</v>
      </c>
    </row>
    <row r="945" spans="1:12" x14ac:dyDescent="0.2">
      <c r="A945" t="s">
        <v>1964</v>
      </c>
      <c r="B945" t="s">
        <v>1965</v>
      </c>
      <c r="C945" s="1">
        <v>45208</v>
      </c>
      <c r="D945" s="2">
        <v>45221</v>
      </c>
      <c r="E945" t="s">
        <v>33</v>
      </c>
      <c r="F945">
        <v>29699</v>
      </c>
      <c r="G945">
        <v>1231</v>
      </c>
      <c r="H945">
        <v>980.44</v>
      </c>
      <c r="I945">
        <v>184</v>
      </c>
      <c r="J945" t="b">
        <v>0</v>
      </c>
      <c r="L945" t="s">
        <v>34</v>
      </c>
    </row>
    <row r="946" spans="1:12" x14ac:dyDescent="0.2">
      <c r="A946" t="s">
        <v>1966</v>
      </c>
      <c r="B946" t="s">
        <v>1967</v>
      </c>
      <c r="C946" s="1">
        <v>45064</v>
      </c>
      <c r="D946" s="2">
        <v>45089</v>
      </c>
      <c r="E946" t="s">
        <v>138</v>
      </c>
      <c r="F946">
        <v>74686</v>
      </c>
      <c r="G946">
        <v>3646</v>
      </c>
      <c r="H946">
        <v>2810.25</v>
      </c>
      <c r="I946">
        <v>429</v>
      </c>
      <c r="J946" t="s">
        <v>30</v>
      </c>
      <c r="L946" t="s">
        <v>139</v>
      </c>
    </row>
    <row r="947" spans="1:12" x14ac:dyDescent="0.2">
      <c r="A947" t="s">
        <v>1968</v>
      </c>
      <c r="B947" t="s">
        <v>1969</v>
      </c>
      <c r="C947" s="1">
        <v>45114</v>
      </c>
      <c r="D947" s="2">
        <v>45138</v>
      </c>
      <c r="E947" t="s">
        <v>23</v>
      </c>
      <c r="F947">
        <v>68661</v>
      </c>
      <c r="G947">
        <v>1408</v>
      </c>
      <c r="H947" s="3">
        <v>1258.3399999999999</v>
      </c>
      <c r="I947">
        <v>246</v>
      </c>
      <c r="J947" t="s">
        <v>24</v>
      </c>
      <c r="L947" t="s">
        <v>25</v>
      </c>
    </row>
    <row r="948" spans="1:12" x14ac:dyDescent="0.2">
      <c r="A948" t="s">
        <v>1970</v>
      </c>
      <c r="B948" t="s">
        <v>1971</v>
      </c>
      <c r="C948" s="1">
        <v>45152</v>
      </c>
      <c r="D948" s="2">
        <v>45178</v>
      </c>
      <c r="E948" t="s">
        <v>14</v>
      </c>
      <c r="F948">
        <v>45247</v>
      </c>
      <c r="G948">
        <v>943</v>
      </c>
      <c r="H948" s="3">
        <v>1214.48</v>
      </c>
      <c r="I948">
        <v>183</v>
      </c>
      <c r="J948" t="b">
        <v>1</v>
      </c>
      <c r="L948" t="s">
        <v>16</v>
      </c>
    </row>
    <row r="949" spans="1:12" x14ac:dyDescent="0.2">
      <c r="A949" t="s">
        <v>1972</v>
      </c>
      <c r="B949" t="s">
        <v>1973</v>
      </c>
      <c r="C949" s="1">
        <v>44979</v>
      </c>
      <c r="D949" s="2">
        <v>45000</v>
      </c>
      <c r="E949" t="s">
        <v>23</v>
      </c>
      <c r="F949">
        <v>17748</v>
      </c>
      <c r="G949">
        <v>513</v>
      </c>
      <c r="H949">
        <v>342.08</v>
      </c>
      <c r="I949">
        <v>85</v>
      </c>
      <c r="J949" t="s">
        <v>30</v>
      </c>
      <c r="L949" t="s">
        <v>25</v>
      </c>
    </row>
    <row r="950" spans="1:12" x14ac:dyDescent="0.2">
      <c r="A950" t="s">
        <v>1974</v>
      </c>
      <c r="B950" t="s">
        <v>1975</v>
      </c>
      <c r="C950" s="1">
        <v>45053</v>
      </c>
      <c r="D950" s="2">
        <v>45082</v>
      </c>
      <c r="E950" t="s">
        <v>41</v>
      </c>
      <c r="F950">
        <v>5621</v>
      </c>
      <c r="G950">
        <v>277</v>
      </c>
      <c r="H950">
        <v>499.22</v>
      </c>
      <c r="I950">
        <v>39</v>
      </c>
      <c r="J950" t="b">
        <v>1</v>
      </c>
      <c r="L950" t="s">
        <v>42</v>
      </c>
    </row>
    <row r="951" spans="1:12" x14ac:dyDescent="0.2">
      <c r="A951" t="s">
        <v>1976</v>
      </c>
      <c r="B951" t="s">
        <v>1977</v>
      </c>
      <c r="C951" s="1">
        <v>45157</v>
      </c>
      <c r="D951" s="2">
        <v>45163</v>
      </c>
      <c r="E951" t="s">
        <v>19</v>
      </c>
      <c r="F951">
        <v>16034</v>
      </c>
      <c r="G951">
        <v>332</v>
      </c>
      <c r="H951">
        <v>314.08999999999997</v>
      </c>
      <c r="I951">
        <v>46</v>
      </c>
      <c r="J951" t="b">
        <v>0</v>
      </c>
      <c r="L951" t="s">
        <v>20</v>
      </c>
    </row>
    <row r="952" spans="1:12" x14ac:dyDescent="0.2">
      <c r="A952" t="s">
        <v>1978</v>
      </c>
      <c r="B952" t="s">
        <v>1979</v>
      </c>
      <c r="C952" s="1">
        <v>44971</v>
      </c>
      <c r="D952" s="2">
        <v>44996</v>
      </c>
      <c r="E952" t="s">
        <v>23</v>
      </c>
      <c r="F952">
        <v>6126</v>
      </c>
      <c r="G952">
        <v>160</v>
      </c>
      <c r="H952">
        <v>119.01</v>
      </c>
      <c r="I952">
        <v>28</v>
      </c>
      <c r="J952" t="s">
        <v>24</v>
      </c>
      <c r="L952" t="s">
        <v>25</v>
      </c>
    </row>
    <row r="953" spans="1:12" x14ac:dyDescent="0.2">
      <c r="A953" t="s">
        <v>1980</v>
      </c>
      <c r="B953" t="s">
        <v>1981</v>
      </c>
      <c r="C953" s="1">
        <v>45048</v>
      </c>
      <c r="D953" s="2">
        <v>45061</v>
      </c>
      <c r="E953" t="s">
        <v>33</v>
      </c>
      <c r="F953">
        <v>6122</v>
      </c>
      <c r="G953">
        <v>279</v>
      </c>
      <c r="H953">
        <v>422.25</v>
      </c>
      <c r="I953">
        <v>36</v>
      </c>
      <c r="J953">
        <v>0</v>
      </c>
      <c r="L953" t="s">
        <v>34</v>
      </c>
    </row>
    <row r="954" spans="1:12" x14ac:dyDescent="0.2">
      <c r="A954" t="s">
        <v>1982</v>
      </c>
      <c r="B954" t="s">
        <v>1983</v>
      </c>
      <c r="C954" s="1">
        <v>45279</v>
      </c>
      <c r="D954" s="2">
        <v>45281</v>
      </c>
      <c r="E954" t="s">
        <v>14</v>
      </c>
      <c r="F954">
        <v>19030</v>
      </c>
      <c r="G954">
        <v>192</v>
      </c>
      <c r="H954">
        <v>106.97</v>
      </c>
      <c r="I954">
        <v>32</v>
      </c>
      <c r="J954">
        <v>1</v>
      </c>
      <c r="L954" t="s">
        <v>16</v>
      </c>
    </row>
    <row r="955" spans="1:12" x14ac:dyDescent="0.2">
      <c r="A955" t="s">
        <v>1984</v>
      </c>
      <c r="B955" t="s">
        <v>1985</v>
      </c>
      <c r="C955" s="1">
        <v>45250</v>
      </c>
      <c r="D955" s="2">
        <v>45260</v>
      </c>
      <c r="E955" t="s">
        <v>23</v>
      </c>
      <c r="F955">
        <v>83838</v>
      </c>
      <c r="G955">
        <v>971</v>
      </c>
      <c r="H955">
        <v>1388.48</v>
      </c>
      <c r="I955">
        <v>122</v>
      </c>
      <c r="J955" t="b">
        <v>0</v>
      </c>
      <c r="L955" t="s">
        <v>25</v>
      </c>
    </row>
    <row r="956" spans="1:12" x14ac:dyDescent="0.2">
      <c r="A956" t="s">
        <v>1986</v>
      </c>
      <c r="B956" t="s">
        <v>1987</v>
      </c>
      <c r="C956" s="1">
        <v>45032</v>
      </c>
      <c r="D956" s="2">
        <v>45038</v>
      </c>
      <c r="E956" t="s">
        <v>23</v>
      </c>
      <c r="F956">
        <v>85717</v>
      </c>
      <c r="G956">
        <v>2928</v>
      </c>
      <c r="H956">
        <v>4530.49</v>
      </c>
      <c r="I956">
        <v>173</v>
      </c>
      <c r="J956" t="s">
        <v>15</v>
      </c>
      <c r="L956" t="s">
        <v>25</v>
      </c>
    </row>
    <row r="957" spans="1:12" x14ac:dyDescent="0.2">
      <c r="A957" t="s">
        <v>1988</v>
      </c>
      <c r="B957" t="s">
        <v>1989</v>
      </c>
      <c r="C957" s="1">
        <v>45218</v>
      </c>
      <c r="D957" s="2">
        <v>45226</v>
      </c>
      <c r="E957" t="s">
        <v>41</v>
      </c>
      <c r="F957">
        <v>56658</v>
      </c>
      <c r="G957">
        <v>2622</v>
      </c>
      <c r="H957">
        <v>2156.27</v>
      </c>
      <c r="I957">
        <v>282</v>
      </c>
      <c r="J957">
        <v>0</v>
      </c>
      <c r="L957" t="s">
        <v>42</v>
      </c>
    </row>
    <row r="958" spans="1:12" x14ac:dyDescent="0.2">
      <c r="A958" t="s">
        <v>1990</v>
      </c>
      <c r="B958" t="s">
        <v>1991</v>
      </c>
      <c r="C958" s="1">
        <v>45202</v>
      </c>
      <c r="D958" s="2">
        <v>45213</v>
      </c>
      <c r="E958" t="s">
        <v>14</v>
      </c>
      <c r="F958">
        <v>39638</v>
      </c>
      <c r="G958">
        <v>775</v>
      </c>
      <c r="H958">
        <v>436.28</v>
      </c>
      <c r="I958">
        <v>90</v>
      </c>
      <c r="J958" t="s">
        <v>15</v>
      </c>
      <c r="L958" t="s">
        <v>16</v>
      </c>
    </row>
    <row r="959" spans="1:12" x14ac:dyDescent="0.2">
      <c r="A959" t="s">
        <v>1992</v>
      </c>
      <c r="B959" t="s">
        <v>1993</v>
      </c>
      <c r="C959" s="1">
        <v>45076</v>
      </c>
      <c r="D959" s="2">
        <v>45104</v>
      </c>
      <c r="E959" t="s">
        <v>41</v>
      </c>
      <c r="F959">
        <v>68067</v>
      </c>
      <c r="G959">
        <v>1959</v>
      </c>
      <c r="H959">
        <v>2048.0700000000002</v>
      </c>
      <c r="I959">
        <v>139</v>
      </c>
      <c r="J959" t="b">
        <v>1</v>
      </c>
      <c r="L959" t="s">
        <v>42</v>
      </c>
    </row>
    <row r="960" spans="1:12" x14ac:dyDescent="0.2">
      <c r="A960" t="s">
        <v>1994</v>
      </c>
      <c r="B960" t="s">
        <v>1995</v>
      </c>
      <c r="C960" s="1">
        <v>45190</v>
      </c>
      <c r="D960" s="2">
        <v>45212</v>
      </c>
      <c r="E960" t="s">
        <v>23</v>
      </c>
      <c r="F960">
        <v>89869</v>
      </c>
      <c r="G960">
        <v>2518</v>
      </c>
      <c r="H960">
        <v>1631.39</v>
      </c>
      <c r="I960">
        <v>164</v>
      </c>
      <c r="J960" t="s">
        <v>15</v>
      </c>
      <c r="L960" t="s">
        <v>25</v>
      </c>
    </row>
    <row r="961" spans="1:12" x14ac:dyDescent="0.2">
      <c r="A961" t="s">
        <v>1996</v>
      </c>
      <c r="B961" t="s">
        <v>1997</v>
      </c>
      <c r="C961" s="1">
        <v>44975</v>
      </c>
      <c r="D961" s="2">
        <v>44994</v>
      </c>
      <c r="E961" t="s">
        <v>33</v>
      </c>
      <c r="F961">
        <v>35674</v>
      </c>
      <c r="G961">
        <v>1031</v>
      </c>
      <c r="H961">
        <v>695.63</v>
      </c>
      <c r="I961">
        <v>134</v>
      </c>
      <c r="J961">
        <v>0</v>
      </c>
      <c r="L961" t="s">
        <v>34</v>
      </c>
    </row>
    <row r="962" spans="1:12" x14ac:dyDescent="0.2">
      <c r="A962" t="s">
        <v>1998</v>
      </c>
      <c r="B962" t="s">
        <v>1999</v>
      </c>
      <c r="C962" s="1">
        <v>45137</v>
      </c>
      <c r="D962" s="2">
        <v>45132</v>
      </c>
      <c r="E962" t="s">
        <v>138</v>
      </c>
      <c r="F962">
        <v>36854</v>
      </c>
      <c r="G962">
        <v>1286</v>
      </c>
      <c r="H962">
        <v>1133.47</v>
      </c>
      <c r="I962">
        <v>80</v>
      </c>
      <c r="J962">
        <v>0</v>
      </c>
      <c r="L962" t="s">
        <v>139</v>
      </c>
    </row>
    <row r="963" spans="1:12" x14ac:dyDescent="0.2">
      <c r="A963" t="s">
        <v>2000</v>
      </c>
      <c r="B963" t="s">
        <v>2001</v>
      </c>
      <c r="C963" s="1">
        <v>45262</v>
      </c>
      <c r="D963" s="2">
        <v>45278</v>
      </c>
      <c r="E963" t="s">
        <v>19</v>
      </c>
      <c r="F963">
        <v>47271</v>
      </c>
      <c r="G963">
        <v>1360</v>
      </c>
      <c r="H963" s="3">
        <v>1282.75</v>
      </c>
      <c r="I963">
        <v>129</v>
      </c>
      <c r="J963" t="b">
        <v>0</v>
      </c>
      <c r="L963" t="s">
        <v>20</v>
      </c>
    </row>
    <row r="964" spans="1:12" x14ac:dyDescent="0.2">
      <c r="A964" t="s">
        <v>2002</v>
      </c>
      <c r="B964" t="s">
        <v>2003</v>
      </c>
      <c r="C964" s="1">
        <v>45054</v>
      </c>
      <c r="D964" s="2">
        <v>45062</v>
      </c>
      <c r="E964" t="s">
        <v>41</v>
      </c>
      <c r="F964">
        <v>74688</v>
      </c>
      <c r="G964">
        <v>2083</v>
      </c>
      <c r="H964">
        <v>2697.39</v>
      </c>
      <c r="I964">
        <v>336</v>
      </c>
      <c r="J964" t="s">
        <v>30</v>
      </c>
      <c r="L964" t="s">
        <v>42</v>
      </c>
    </row>
    <row r="965" spans="1:12" x14ac:dyDescent="0.2">
      <c r="A965" t="s">
        <v>2004</v>
      </c>
      <c r="B965" t="s">
        <v>2005</v>
      </c>
      <c r="C965" s="1">
        <v>45053</v>
      </c>
      <c r="D965" s="2">
        <v>45076</v>
      </c>
      <c r="E965" t="s">
        <v>415</v>
      </c>
      <c r="F965">
        <v>39518</v>
      </c>
      <c r="G965">
        <v>1144</v>
      </c>
      <c r="H965">
        <v>1736.12</v>
      </c>
      <c r="I965">
        <v>222</v>
      </c>
      <c r="J965" t="b">
        <v>0</v>
      </c>
      <c r="L965" t="s">
        <v>34</v>
      </c>
    </row>
    <row r="966" spans="1:12" x14ac:dyDescent="0.2">
      <c r="A966" t="s">
        <v>2006</v>
      </c>
      <c r="B966" t="s">
        <v>2007</v>
      </c>
      <c r="C966" s="1">
        <v>45177</v>
      </c>
      <c r="D966" s="2">
        <v>45192</v>
      </c>
      <c r="E966" t="s">
        <v>23</v>
      </c>
      <c r="F966">
        <v>11267</v>
      </c>
      <c r="G966">
        <v>378</v>
      </c>
      <c r="H966">
        <v>525.1</v>
      </c>
      <c r="J966" t="b">
        <v>1</v>
      </c>
      <c r="L966" t="s">
        <v>25</v>
      </c>
    </row>
    <row r="967" spans="1:12" x14ac:dyDescent="0.2">
      <c r="A967" t="s">
        <v>2008</v>
      </c>
      <c r="B967" t="s">
        <v>2009</v>
      </c>
      <c r="C967" s="1">
        <v>45248</v>
      </c>
      <c r="D967" s="2">
        <v>45274</v>
      </c>
      <c r="E967" t="s">
        <v>33</v>
      </c>
      <c r="F967">
        <v>91825</v>
      </c>
      <c r="G967">
        <v>2890</v>
      </c>
      <c r="H967">
        <v>2088.14</v>
      </c>
      <c r="I967">
        <v>574</v>
      </c>
      <c r="J967" t="s">
        <v>15</v>
      </c>
      <c r="L967" t="s">
        <v>34</v>
      </c>
    </row>
    <row r="968" spans="1:12" x14ac:dyDescent="0.2">
      <c r="A968" t="s">
        <v>2010</v>
      </c>
      <c r="B968" t="s">
        <v>2011</v>
      </c>
      <c r="C968" s="1">
        <v>45251</v>
      </c>
      <c r="D968" s="2">
        <v>45274</v>
      </c>
      <c r="E968" t="s">
        <v>41</v>
      </c>
      <c r="F968">
        <v>2062</v>
      </c>
      <c r="G968">
        <v>91</v>
      </c>
      <c r="H968">
        <v>68.989999999999995</v>
      </c>
      <c r="I968">
        <v>14</v>
      </c>
      <c r="J968" t="s">
        <v>30</v>
      </c>
      <c r="L968" t="s">
        <v>42</v>
      </c>
    </row>
    <row r="969" spans="1:12" x14ac:dyDescent="0.2">
      <c r="A969" t="s">
        <v>2012</v>
      </c>
      <c r="B969" t="s">
        <v>2013</v>
      </c>
      <c r="C969" s="1">
        <v>45133</v>
      </c>
      <c r="D969" s="2">
        <v>45163</v>
      </c>
      <c r="E969" t="s">
        <v>23</v>
      </c>
      <c r="F969">
        <v>51448</v>
      </c>
      <c r="G969">
        <v>616</v>
      </c>
      <c r="H969">
        <v>1119.98</v>
      </c>
      <c r="I969">
        <v>57</v>
      </c>
      <c r="J969" t="s">
        <v>24</v>
      </c>
      <c r="L969" t="s">
        <v>25</v>
      </c>
    </row>
    <row r="970" spans="1:12" x14ac:dyDescent="0.2">
      <c r="A970" t="s">
        <v>2014</v>
      </c>
      <c r="B970" t="s">
        <v>2015</v>
      </c>
      <c r="C970" s="1">
        <v>45115</v>
      </c>
      <c r="D970" s="2">
        <v>45119</v>
      </c>
      <c r="E970" t="s">
        <v>19</v>
      </c>
      <c r="F970">
        <v>96462</v>
      </c>
      <c r="G970">
        <v>4179</v>
      </c>
      <c r="H970">
        <v>5589.53</v>
      </c>
      <c r="I970">
        <v>630</v>
      </c>
      <c r="J970">
        <v>1</v>
      </c>
      <c r="L970" t="s">
        <v>20</v>
      </c>
    </row>
    <row r="971" spans="1:12" x14ac:dyDescent="0.2">
      <c r="A971" t="s">
        <v>2016</v>
      </c>
      <c r="B971" t="s">
        <v>2017</v>
      </c>
      <c r="C971" t="s">
        <v>2018</v>
      </c>
      <c r="D971" s="2">
        <v>45228</v>
      </c>
      <c r="E971" t="s">
        <v>41</v>
      </c>
      <c r="F971">
        <v>7229</v>
      </c>
      <c r="G971">
        <v>316</v>
      </c>
      <c r="H971">
        <v>570.35</v>
      </c>
      <c r="I971">
        <v>49</v>
      </c>
      <c r="J971">
        <v>0</v>
      </c>
      <c r="L971" t="s">
        <v>42</v>
      </c>
    </row>
    <row r="972" spans="1:12" x14ac:dyDescent="0.2">
      <c r="A972" t="s">
        <v>2019</v>
      </c>
      <c r="B972" t="s">
        <v>2020</v>
      </c>
      <c r="C972" s="1">
        <v>44974</v>
      </c>
      <c r="D972" s="2">
        <v>44980</v>
      </c>
      <c r="E972" t="s">
        <v>41</v>
      </c>
      <c r="F972">
        <v>57793</v>
      </c>
      <c r="G972">
        <v>1236</v>
      </c>
      <c r="H972">
        <v>1306.8499999999999</v>
      </c>
      <c r="I972">
        <v>130</v>
      </c>
      <c r="J972" t="s">
        <v>30</v>
      </c>
      <c r="K972">
        <v>57876</v>
      </c>
      <c r="L972" t="s">
        <v>42</v>
      </c>
    </row>
    <row r="973" spans="1:12" x14ac:dyDescent="0.2">
      <c r="A973" t="s">
        <v>2021</v>
      </c>
      <c r="B973" t="s">
        <v>2022</v>
      </c>
      <c r="C973" s="1">
        <v>45267</v>
      </c>
      <c r="D973" s="2">
        <v>45272</v>
      </c>
      <c r="E973" t="s">
        <v>19</v>
      </c>
      <c r="F973">
        <v>48915</v>
      </c>
      <c r="G973">
        <v>1394</v>
      </c>
      <c r="H973" s="3">
        <v>1981.71</v>
      </c>
      <c r="I973">
        <v>73</v>
      </c>
      <c r="J973" t="s">
        <v>24</v>
      </c>
      <c r="L973" t="s">
        <v>20</v>
      </c>
    </row>
    <row r="974" spans="1:12" x14ac:dyDescent="0.2">
      <c r="A974" t="s">
        <v>2023</v>
      </c>
      <c r="B974" t="s">
        <v>2024</v>
      </c>
      <c r="C974" s="1">
        <v>45200</v>
      </c>
      <c r="D974" s="2">
        <v>45205</v>
      </c>
      <c r="E974" t="s">
        <v>23</v>
      </c>
      <c r="F974">
        <v>5632</v>
      </c>
      <c r="G974">
        <v>155</v>
      </c>
      <c r="H974">
        <v>199.25</v>
      </c>
      <c r="J974" t="s">
        <v>30</v>
      </c>
      <c r="L974" t="s">
        <v>25</v>
      </c>
    </row>
    <row r="975" spans="1:12" x14ac:dyDescent="0.2">
      <c r="A975" t="s">
        <v>2025</v>
      </c>
      <c r="B975" t="s">
        <v>2026</v>
      </c>
      <c r="C975" s="1">
        <v>45035</v>
      </c>
      <c r="D975" s="2">
        <v>45059</v>
      </c>
      <c r="E975" t="s">
        <v>14</v>
      </c>
      <c r="F975">
        <v>4596</v>
      </c>
      <c r="G975">
        <v>86</v>
      </c>
      <c r="H975">
        <v>84.17</v>
      </c>
      <c r="I975">
        <v>4</v>
      </c>
      <c r="J975" t="b">
        <v>0</v>
      </c>
      <c r="L975" t="s">
        <v>16</v>
      </c>
    </row>
    <row r="976" spans="1:12" x14ac:dyDescent="0.2">
      <c r="A976" t="s">
        <v>2027</v>
      </c>
      <c r="B976" t="s">
        <v>2028</v>
      </c>
      <c r="C976" s="1">
        <v>45072</v>
      </c>
      <c r="D976" s="2">
        <v>45092</v>
      </c>
      <c r="E976" t="s">
        <v>33</v>
      </c>
      <c r="F976">
        <v>7168</v>
      </c>
      <c r="G976">
        <v>185</v>
      </c>
      <c r="H976">
        <v>222.9</v>
      </c>
      <c r="I976">
        <v>26</v>
      </c>
      <c r="J976" t="s">
        <v>24</v>
      </c>
      <c r="L976" t="s">
        <v>34</v>
      </c>
    </row>
    <row r="977" spans="1:12" x14ac:dyDescent="0.2">
      <c r="A977" t="s">
        <v>2029</v>
      </c>
      <c r="B977" t="s">
        <v>2030</v>
      </c>
      <c r="C977" s="1">
        <v>45216</v>
      </c>
      <c r="D977" s="2">
        <v>45211</v>
      </c>
      <c r="E977" t="s">
        <v>23</v>
      </c>
      <c r="F977">
        <v>8561</v>
      </c>
      <c r="G977">
        <v>100</v>
      </c>
      <c r="H977">
        <v>125.37</v>
      </c>
      <c r="I977">
        <v>7</v>
      </c>
      <c r="J977">
        <v>1</v>
      </c>
      <c r="L977" t="s">
        <v>25</v>
      </c>
    </row>
    <row r="978" spans="1:12" x14ac:dyDescent="0.2">
      <c r="A978" t="s">
        <v>2031</v>
      </c>
      <c r="B978" t="s">
        <v>2032</v>
      </c>
      <c r="C978" s="2">
        <v>45276</v>
      </c>
      <c r="D978" s="2">
        <v>45277</v>
      </c>
      <c r="E978" t="s">
        <v>23</v>
      </c>
      <c r="F978">
        <v>74794</v>
      </c>
      <c r="G978">
        <v>1579</v>
      </c>
      <c r="H978">
        <v>1265.03</v>
      </c>
      <c r="I978">
        <v>212</v>
      </c>
      <c r="J978">
        <v>0</v>
      </c>
      <c r="L978" t="s">
        <v>25</v>
      </c>
    </row>
    <row r="979" spans="1:12" x14ac:dyDescent="0.2">
      <c r="A979" t="s">
        <v>2033</v>
      </c>
      <c r="B979" t="s">
        <v>2034</v>
      </c>
      <c r="C979" s="1">
        <v>45247</v>
      </c>
      <c r="D979" s="2">
        <v>45262</v>
      </c>
      <c r="E979" t="s">
        <v>33</v>
      </c>
      <c r="F979">
        <v>83152</v>
      </c>
      <c r="G979">
        <v>3547</v>
      </c>
      <c r="H979" s="3">
        <v>3449.51</v>
      </c>
      <c r="I979">
        <v>445</v>
      </c>
      <c r="J979" t="b">
        <v>1</v>
      </c>
      <c r="L979" t="s">
        <v>34</v>
      </c>
    </row>
    <row r="980" spans="1:12" x14ac:dyDescent="0.2">
      <c r="A980" t="s">
        <v>2035</v>
      </c>
      <c r="B980" t="s">
        <v>2036</v>
      </c>
      <c r="C980" s="1">
        <v>44990</v>
      </c>
      <c r="D980" s="2">
        <v>45006</v>
      </c>
      <c r="E980" t="s">
        <v>41</v>
      </c>
      <c r="F980">
        <v>27734</v>
      </c>
      <c r="G980">
        <v>593</v>
      </c>
      <c r="H980">
        <v>1000.46</v>
      </c>
      <c r="I980">
        <v>30</v>
      </c>
      <c r="J980" t="b">
        <v>1</v>
      </c>
      <c r="L980" t="s">
        <v>42</v>
      </c>
    </row>
    <row r="981" spans="1:12" x14ac:dyDescent="0.2">
      <c r="A981" t="s">
        <v>2037</v>
      </c>
      <c r="B981" t="s">
        <v>2038</v>
      </c>
      <c r="C981" t="s">
        <v>677</v>
      </c>
      <c r="D981" s="2">
        <v>45172</v>
      </c>
      <c r="E981" t="s">
        <v>23</v>
      </c>
      <c r="F981">
        <v>7371</v>
      </c>
      <c r="G981">
        <v>314</v>
      </c>
      <c r="H981">
        <v>588.34</v>
      </c>
      <c r="I981">
        <v>32</v>
      </c>
      <c r="J981" t="s">
        <v>30</v>
      </c>
      <c r="L981" t="s">
        <v>25</v>
      </c>
    </row>
    <row r="982" spans="1:12" x14ac:dyDescent="0.2">
      <c r="A982" t="s">
        <v>2039</v>
      </c>
      <c r="B982" t="s">
        <v>2040</v>
      </c>
      <c r="C982" s="1">
        <v>45146</v>
      </c>
      <c r="D982" s="2">
        <v>45172</v>
      </c>
      <c r="E982" t="s">
        <v>14</v>
      </c>
      <c r="F982">
        <v>27069</v>
      </c>
      <c r="G982">
        <v>846</v>
      </c>
      <c r="H982">
        <v>879.58</v>
      </c>
      <c r="I982">
        <v>118</v>
      </c>
      <c r="J982" t="s">
        <v>24</v>
      </c>
      <c r="L982" t="s">
        <v>16</v>
      </c>
    </row>
    <row r="983" spans="1:12" x14ac:dyDescent="0.2">
      <c r="A983" t="s">
        <v>2041</v>
      </c>
      <c r="B983" t="s">
        <v>2042</v>
      </c>
      <c r="C983" s="1">
        <v>44994</v>
      </c>
      <c r="D983" s="2">
        <v>45017</v>
      </c>
      <c r="E983" t="s">
        <v>33</v>
      </c>
      <c r="F983">
        <v>80905</v>
      </c>
      <c r="G983">
        <v>3656</v>
      </c>
      <c r="H983">
        <v>3511.44</v>
      </c>
      <c r="J983" t="s">
        <v>30</v>
      </c>
      <c r="L983" t="s">
        <v>34</v>
      </c>
    </row>
    <row r="984" spans="1:12" x14ac:dyDescent="0.2">
      <c r="A984" t="s">
        <v>2043</v>
      </c>
      <c r="B984" t="s">
        <v>2044</v>
      </c>
      <c r="C984" t="s">
        <v>1616</v>
      </c>
      <c r="D984" s="2">
        <v>45081</v>
      </c>
      <c r="E984" t="s">
        <v>23</v>
      </c>
      <c r="F984">
        <v>13910</v>
      </c>
      <c r="G984">
        <v>458</v>
      </c>
      <c r="H984" s="3">
        <v>363.1</v>
      </c>
      <c r="I984">
        <v>83</v>
      </c>
      <c r="J984" t="s">
        <v>15</v>
      </c>
      <c r="L984" t="s">
        <v>25</v>
      </c>
    </row>
    <row r="985" spans="1:12" x14ac:dyDescent="0.2">
      <c r="A985" t="s">
        <v>2045</v>
      </c>
      <c r="B985" t="s">
        <v>2046</v>
      </c>
      <c r="C985" s="1">
        <v>45111</v>
      </c>
      <c r="D985" s="2">
        <v>45112</v>
      </c>
      <c r="E985" t="s">
        <v>41</v>
      </c>
      <c r="F985">
        <v>74479</v>
      </c>
      <c r="G985">
        <v>833</v>
      </c>
      <c r="H985">
        <v>1264.27</v>
      </c>
      <c r="I985">
        <v>102</v>
      </c>
      <c r="J985">
        <v>1</v>
      </c>
      <c r="L985" t="s">
        <v>42</v>
      </c>
    </row>
    <row r="986" spans="1:12" x14ac:dyDescent="0.2">
      <c r="A986" t="s">
        <v>2047</v>
      </c>
      <c r="B986" t="s">
        <v>2048</v>
      </c>
      <c r="C986" s="1">
        <v>45259</v>
      </c>
      <c r="D986" s="2">
        <v>45282</v>
      </c>
      <c r="E986" t="s">
        <v>33</v>
      </c>
      <c r="F986">
        <v>78735</v>
      </c>
      <c r="G986">
        <v>2914</v>
      </c>
      <c r="H986">
        <v>2869.27</v>
      </c>
      <c r="I986">
        <v>464</v>
      </c>
      <c r="J986">
        <v>0</v>
      </c>
      <c r="L986" t="s">
        <v>34</v>
      </c>
    </row>
    <row r="987" spans="1:12" x14ac:dyDescent="0.2">
      <c r="A987" t="s">
        <v>2049</v>
      </c>
      <c r="B987" t="s">
        <v>2050</v>
      </c>
      <c r="C987" s="1">
        <v>45083</v>
      </c>
      <c r="D987" s="2">
        <v>45078</v>
      </c>
      <c r="E987" t="s">
        <v>14</v>
      </c>
      <c r="F987">
        <v>82264</v>
      </c>
      <c r="G987">
        <v>970</v>
      </c>
      <c r="H987">
        <v>1922.18</v>
      </c>
      <c r="I987">
        <v>94</v>
      </c>
      <c r="J987" t="s">
        <v>30</v>
      </c>
      <c r="L987" t="s">
        <v>16</v>
      </c>
    </row>
    <row r="988" spans="1:12" x14ac:dyDescent="0.2">
      <c r="A988" t="s">
        <v>2051</v>
      </c>
      <c r="B988" t="s">
        <v>2052</v>
      </c>
      <c r="C988" s="1">
        <v>45146</v>
      </c>
      <c r="D988" s="2">
        <v>45175</v>
      </c>
      <c r="E988" t="s">
        <v>19</v>
      </c>
      <c r="F988">
        <v>24275</v>
      </c>
      <c r="G988">
        <v>680</v>
      </c>
      <c r="H988">
        <v>672.2</v>
      </c>
      <c r="I988">
        <v>68</v>
      </c>
      <c r="J988" t="s">
        <v>15</v>
      </c>
      <c r="L988" t="s">
        <v>20</v>
      </c>
    </row>
    <row r="989" spans="1:12" x14ac:dyDescent="0.2">
      <c r="A989" t="s">
        <v>2053</v>
      </c>
      <c r="B989" t="s">
        <v>2054</v>
      </c>
      <c r="C989" s="2">
        <v>44927</v>
      </c>
      <c r="D989" s="2">
        <v>44950</v>
      </c>
      <c r="E989" t="s">
        <v>33</v>
      </c>
      <c r="F989">
        <v>73274</v>
      </c>
      <c r="G989">
        <v>3456</v>
      </c>
      <c r="H989">
        <v>3771.2</v>
      </c>
      <c r="I989">
        <v>273</v>
      </c>
      <c r="J989" t="s">
        <v>24</v>
      </c>
      <c r="L989" t="s">
        <v>34</v>
      </c>
    </row>
    <row r="990" spans="1:12" x14ac:dyDescent="0.2">
      <c r="A990" t="s">
        <v>2055</v>
      </c>
      <c r="B990" t="s">
        <v>2056</v>
      </c>
      <c r="C990" s="1">
        <v>45230</v>
      </c>
      <c r="D990" s="2">
        <v>45242</v>
      </c>
      <c r="E990" t="s">
        <v>14</v>
      </c>
      <c r="F990">
        <v>82449</v>
      </c>
      <c r="G990">
        <v>1369</v>
      </c>
      <c r="H990">
        <v>1923.45</v>
      </c>
      <c r="I990">
        <v>183</v>
      </c>
      <c r="J990">
        <v>1</v>
      </c>
      <c r="L990" t="s">
        <v>16</v>
      </c>
    </row>
    <row r="991" spans="1:12" x14ac:dyDescent="0.2">
      <c r="A991" t="s">
        <v>2057</v>
      </c>
      <c r="B991" t="s">
        <v>2058</v>
      </c>
      <c r="C991" s="2">
        <v>45047</v>
      </c>
      <c r="D991" s="2">
        <v>44952</v>
      </c>
      <c r="E991" t="s">
        <v>23</v>
      </c>
      <c r="F991">
        <v>61004</v>
      </c>
      <c r="G991">
        <v>1561</v>
      </c>
      <c r="H991">
        <v>2657.64</v>
      </c>
      <c r="I991">
        <v>151</v>
      </c>
      <c r="J991">
        <v>0</v>
      </c>
      <c r="L991" t="s">
        <v>25</v>
      </c>
    </row>
    <row r="992" spans="1:12" x14ac:dyDescent="0.2">
      <c r="A992" t="s">
        <v>2059</v>
      </c>
      <c r="B992" t="s">
        <v>2060</v>
      </c>
      <c r="C992" s="1">
        <v>45102</v>
      </c>
      <c r="D992" s="2">
        <v>45120</v>
      </c>
      <c r="E992" t="s">
        <v>23</v>
      </c>
      <c r="F992">
        <v>63981</v>
      </c>
      <c r="G992">
        <v>2507</v>
      </c>
      <c r="H992">
        <v>3019.12</v>
      </c>
      <c r="I992">
        <v>157</v>
      </c>
      <c r="J992" t="b">
        <v>1</v>
      </c>
      <c r="L992" t="s">
        <v>25</v>
      </c>
    </row>
    <row r="993" spans="1:12" x14ac:dyDescent="0.2">
      <c r="A993" t="s">
        <v>2061</v>
      </c>
      <c r="B993" t="s">
        <v>2062</v>
      </c>
      <c r="C993" s="1">
        <v>45143</v>
      </c>
      <c r="D993" s="2">
        <v>45147</v>
      </c>
      <c r="E993" t="s">
        <v>14</v>
      </c>
      <c r="F993">
        <v>85659</v>
      </c>
      <c r="G993">
        <v>3879</v>
      </c>
      <c r="H993" s="3">
        <v>4398.72</v>
      </c>
      <c r="I993">
        <v>592</v>
      </c>
      <c r="J993" t="s">
        <v>15</v>
      </c>
      <c r="L993" t="s">
        <v>16</v>
      </c>
    </row>
    <row r="994" spans="1:12" x14ac:dyDescent="0.2">
      <c r="A994" t="s">
        <v>2063</v>
      </c>
      <c r="B994" t="s">
        <v>2064</v>
      </c>
      <c r="C994" s="1">
        <v>45044</v>
      </c>
      <c r="D994" s="2">
        <v>45058</v>
      </c>
      <c r="E994" t="s">
        <v>23</v>
      </c>
      <c r="F994">
        <v>55553</v>
      </c>
      <c r="G994">
        <v>2046</v>
      </c>
      <c r="H994">
        <v>4078.61</v>
      </c>
      <c r="I994">
        <v>319</v>
      </c>
      <c r="J994" t="s">
        <v>24</v>
      </c>
      <c r="L994" t="s">
        <v>25</v>
      </c>
    </row>
    <row r="995" spans="1:12" x14ac:dyDescent="0.2">
      <c r="A995" t="s">
        <v>2065</v>
      </c>
      <c r="B995" t="s">
        <v>2066</v>
      </c>
      <c r="C995" s="1">
        <v>44979</v>
      </c>
      <c r="D995" s="2">
        <v>44995</v>
      </c>
      <c r="E995" t="s">
        <v>14</v>
      </c>
      <c r="F995">
        <v>49447</v>
      </c>
      <c r="G995">
        <v>1005</v>
      </c>
      <c r="H995">
        <v>518.32000000000005</v>
      </c>
      <c r="I995">
        <v>104</v>
      </c>
      <c r="J995">
        <v>1</v>
      </c>
      <c r="L995" t="s">
        <v>16</v>
      </c>
    </row>
    <row r="996" spans="1:12" x14ac:dyDescent="0.2">
      <c r="A996" t="s">
        <v>2067</v>
      </c>
      <c r="B996" t="s">
        <v>2068</v>
      </c>
      <c r="C996" s="1">
        <v>45080</v>
      </c>
      <c r="D996" s="2">
        <v>45082</v>
      </c>
      <c r="E996" t="s">
        <v>14</v>
      </c>
      <c r="F996">
        <v>35529</v>
      </c>
      <c r="G996">
        <v>1314</v>
      </c>
      <c r="H996" s="3">
        <v>2421.17</v>
      </c>
      <c r="I996">
        <v>80</v>
      </c>
      <c r="J996" t="s">
        <v>15</v>
      </c>
      <c r="L996" t="s">
        <v>16</v>
      </c>
    </row>
    <row r="997" spans="1:12" x14ac:dyDescent="0.2">
      <c r="A997" t="s">
        <v>2069</v>
      </c>
      <c r="B997" t="s">
        <v>2070</v>
      </c>
      <c r="C997" s="1">
        <v>44995</v>
      </c>
      <c r="D997" s="2">
        <v>45004</v>
      </c>
      <c r="E997" t="s">
        <v>14</v>
      </c>
      <c r="F997">
        <v>76703</v>
      </c>
      <c r="G997">
        <v>1677</v>
      </c>
      <c r="H997">
        <v>1213.6600000000001</v>
      </c>
      <c r="I997">
        <v>191</v>
      </c>
      <c r="J997" t="s">
        <v>30</v>
      </c>
      <c r="L997" t="s">
        <v>16</v>
      </c>
    </row>
    <row r="998" spans="1:12" x14ac:dyDescent="0.2">
      <c r="A998" t="s">
        <v>2071</v>
      </c>
      <c r="B998" t="s">
        <v>2072</v>
      </c>
      <c r="C998" s="2">
        <v>44962</v>
      </c>
      <c r="D998" s="2">
        <v>45062</v>
      </c>
      <c r="E998" t="s">
        <v>33</v>
      </c>
      <c r="F998">
        <v>77090</v>
      </c>
      <c r="G998">
        <v>2986</v>
      </c>
      <c r="H998">
        <v>5013.16</v>
      </c>
      <c r="I998">
        <v>347</v>
      </c>
      <c r="J998" t="b">
        <v>0</v>
      </c>
      <c r="L998" t="s">
        <v>34</v>
      </c>
    </row>
    <row r="999" spans="1:12" x14ac:dyDescent="0.2">
      <c r="A999" t="s">
        <v>2073</v>
      </c>
      <c r="B999" t="s">
        <v>2074</v>
      </c>
      <c r="C999" s="1">
        <v>45259</v>
      </c>
      <c r="D999" s="2">
        <v>45277</v>
      </c>
      <c r="E999" t="s">
        <v>14</v>
      </c>
      <c r="F999">
        <v>18260</v>
      </c>
      <c r="G999">
        <v>879</v>
      </c>
      <c r="H999">
        <v>1254.24</v>
      </c>
      <c r="I999">
        <v>132</v>
      </c>
      <c r="J999" t="b">
        <v>1</v>
      </c>
      <c r="L999" t="s">
        <v>16</v>
      </c>
    </row>
    <row r="1000" spans="1:12" x14ac:dyDescent="0.2">
      <c r="A1000" t="s">
        <v>2075</v>
      </c>
      <c r="B1000" t="s">
        <v>2076</v>
      </c>
      <c r="C1000" s="1">
        <v>45036</v>
      </c>
      <c r="D1000" s="2">
        <v>45059</v>
      </c>
      <c r="E1000" t="s">
        <v>33</v>
      </c>
      <c r="F1000">
        <v>4812</v>
      </c>
      <c r="G1000">
        <v>186</v>
      </c>
      <c r="H1000">
        <v>188.38</v>
      </c>
      <c r="I1000">
        <v>18</v>
      </c>
      <c r="J1000" t="s">
        <v>30</v>
      </c>
      <c r="L1000" t="s">
        <v>34</v>
      </c>
    </row>
    <row r="1001" spans="1:12" x14ac:dyDescent="0.2">
      <c r="A1001" t="s">
        <v>2077</v>
      </c>
      <c r="B1001" t="s">
        <v>2078</v>
      </c>
      <c r="C1001" s="1">
        <v>45137</v>
      </c>
      <c r="D1001" s="2">
        <v>45151</v>
      </c>
      <c r="E1001" t="s">
        <v>23</v>
      </c>
      <c r="F1001">
        <v>29024</v>
      </c>
      <c r="G1001">
        <v>1292</v>
      </c>
      <c r="H1001">
        <v>2339.5700000000002</v>
      </c>
      <c r="I1001">
        <v>196</v>
      </c>
      <c r="J1001" t="s">
        <v>30</v>
      </c>
      <c r="L1001" t="s">
        <v>25</v>
      </c>
    </row>
    <row r="1002" spans="1:12" x14ac:dyDescent="0.2">
      <c r="A1002" t="s">
        <v>2079</v>
      </c>
      <c r="B1002" t="s">
        <v>2080</v>
      </c>
      <c r="C1002" t="s">
        <v>2081</v>
      </c>
      <c r="D1002" s="2">
        <v>45041</v>
      </c>
      <c r="E1002" t="s">
        <v>19</v>
      </c>
      <c r="F1002">
        <v>59656</v>
      </c>
      <c r="G1002">
        <v>601</v>
      </c>
      <c r="H1002">
        <v>312.14</v>
      </c>
      <c r="I1002">
        <v>108</v>
      </c>
      <c r="J1002" t="s">
        <v>24</v>
      </c>
      <c r="L1002" t="s">
        <v>20</v>
      </c>
    </row>
    <row r="1003" spans="1:12" x14ac:dyDescent="0.2">
      <c r="A1003" t="s">
        <v>2082</v>
      </c>
      <c r="B1003" t="s">
        <v>2083</v>
      </c>
      <c r="C1003" s="1">
        <v>44978</v>
      </c>
      <c r="D1003" s="2">
        <v>44981</v>
      </c>
      <c r="E1003" t="s">
        <v>14</v>
      </c>
      <c r="F1003">
        <v>28285</v>
      </c>
      <c r="G1003">
        <v>1094</v>
      </c>
      <c r="H1003">
        <v>919</v>
      </c>
      <c r="I1003">
        <v>93</v>
      </c>
      <c r="J1003" t="s">
        <v>24</v>
      </c>
      <c r="K1003">
        <v>28352</v>
      </c>
      <c r="L1003" t="s">
        <v>16</v>
      </c>
    </row>
    <row r="1004" spans="1:12" x14ac:dyDescent="0.2">
      <c r="A1004" t="s">
        <v>2084</v>
      </c>
      <c r="B1004" t="s">
        <v>2085</v>
      </c>
      <c r="C1004" s="1">
        <v>45123</v>
      </c>
      <c r="D1004" s="2">
        <v>45126</v>
      </c>
      <c r="E1004" t="s">
        <v>33</v>
      </c>
      <c r="F1004">
        <v>93436</v>
      </c>
      <c r="G1004">
        <v>4034</v>
      </c>
      <c r="H1004" s="3">
        <v>5447.27</v>
      </c>
      <c r="I1004">
        <v>794</v>
      </c>
      <c r="J1004">
        <v>1</v>
      </c>
      <c r="L1004" t="s">
        <v>34</v>
      </c>
    </row>
    <row r="1005" spans="1:12" x14ac:dyDescent="0.2">
      <c r="A1005" t="s">
        <v>2086</v>
      </c>
      <c r="B1005" t="s">
        <v>2087</v>
      </c>
      <c r="C1005" s="1">
        <v>44998</v>
      </c>
      <c r="D1005" s="2">
        <v>45007</v>
      </c>
      <c r="E1005" t="s">
        <v>41</v>
      </c>
      <c r="F1005">
        <v>2605</v>
      </c>
      <c r="G1005">
        <v>30</v>
      </c>
      <c r="H1005">
        <v>30.82</v>
      </c>
      <c r="I1005">
        <v>3</v>
      </c>
      <c r="J1005" t="s">
        <v>24</v>
      </c>
      <c r="L1005" t="s">
        <v>42</v>
      </c>
    </row>
    <row r="1006" spans="1:12" x14ac:dyDescent="0.2">
      <c r="A1006" t="s">
        <v>2088</v>
      </c>
      <c r="B1006" t="s">
        <v>2089</v>
      </c>
      <c r="C1006" s="1">
        <v>45054</v>
      </c>
      <c r="D1006" s="2">
        <v>45083</v>
      </c>
      <c r="E1006" t="s">
        <v>19</v>
      </c>
      <c r="F1006">
        <v>72158</v>
      </c>
      <c r="G1006">
        <v>3237</v>
      </c>
      <c r="H1006">
        <v>4582.1899999999996</v>
      </c>
      <c r="I1006">
        <v>291</v>
      </c>
      <c r="J1006" t="s">
        <v>15</v>
      </c>
      <c r="L1006" t="s">
        <v>20</v>
      </c>
    </row>
    <row r="1007" spans="1:12" x14ac:dyDescent="0.2">
      <c r="A1007" t="s">
        <v>2090</v>
      </c>
      <c r="B1007" t="s">
        <v>2091</v>
      </c>
      <c r="C1007" s="1">
        <v>45238</v>
      </c>
      <c r="D1007" s="2">
        <v>45260</v>
      </c>
      <c r="E1007" t="s">
        <v>14</v>
      </c>
      <c r="F1007">
        <v>73303</v>
      </c>
      <c r="G1007">
        <v>1485</v>
      </c>
      <c r="H1007">
        <v>796.21</v>
      </c>
      <c r="I1007">
        <v>168</v>
      </c>
      <c r="J1007" t="b">
        <v>1</v>
      </c>
      <c r="L1007" t="s">
        <v>16</v>
      </c>
    </row>
    <row r="1008" spans="1:12" x14ac:dyDescent="0.2">
      <c r="A1008" t="s">
        <v>2092</v>
      </c>
      <c r="B1008" t="s">
        <v>2093</v>
      </c>
      <c r="C1008" s="1">
        <v>44940</v>
      </c>
      <c r="D1008" s="2">
        <v>44952</v>
      </c>
      <c r="E1008" t="s">
        <v>41</v>
      </c>
      <c r="F1008">
        <v>28139</v>
      </c>
      <c r="G1008">
        <v>1030</v>
      </c>
      <c r="H1008">
        <v>694.93</v>
      </c>
      <c r="I1008">
        <v>66</v>
      </c>
      <c r="J1008" t="s">
        <v>30</v>
      </c>
      <c r="K1008">
        <v>28220</v>
      </c>
      <c r="L1008" t="s">
        <v>42</v>
      </c>
    </row>
    <row r="1009" spans="1:12" x14ac:dyDescent="0.2">
      <c r="A1009" t="s">
        <v>2094</v>
      </c>
      <c r="B1009" t="s">
        <v>2095</v>
      </c>
      <c r="C1009" s="1">
        <v>45081</v>
      </c>
      <c r="D1009" s="2">
        <v>45097</v>
      </c>
      <c r="E1009" t="s">
        <v>19</v>
      </c>
      <c r="F1009">
        <v>78149</v>
      </c>
      <c r="G1009">
        <v>3283</v>
      </c>
      <c r="H1009">
        <v>2267.39</v>
      </c>
      <c r="I1009">
        <v>226</v>
      </c>
      <c r="J1009">
        <v>1</v>
      </c>
      <c r="L1009" t="s">
        <v>20</v>
      </c>
    </row>
    <row r="1010" spans="1:12" x14ac:dyDescent="0.2">
      <c r="A1010" t="s">
        <v>2096</v>
      </c>
      <c r="B1010" t="s">
        <v>2097</v>
      </c>
      <c r="C1010" s="1">
        <v>45023</v>
      </c>
      <c r="D1010" s="2">
        <v>45036</v>
      </c>
      <c r="E1010" t="s">
        <v>19</v>
      </c>
      <c r="F1010">
        <v>57138</v>
      </c>
      <c r="G1010">
        <v>2085</v>
      </c>
      <c r="H1010">
        <v>1634.48</v>
      </c>
      <c r="J1010" t="b">
        <v>1</v>
      </c>
      <c r="L1010" t="s">
        <v>20</v>
      </c>
    </row>
    <row r="1011" spans="1:12" x14ac:dyDescent="0.2">
      <c r="A1011" t="s">
        <v>2098</v>
      </c>
      <c r="B1011" t="s">
        <v>2099</v>
      </c>
      <c r="C1011" s="1">
        <v>44954</v>
      </c>
      <c r="D1011" s="2">
        <v>44971</v>
      </c>
      <c r="E1011" t="s">
        <v>41</v>
      </c>
      <c r="F1011">
        <v>77125</v>
      </c>
      <c r="G1011">
        <v>1055</v>
      </c>
      <c r="H1011" s="3">
        <v>1254.3900000000001</v>
      </c>
      <c r="I1011">
        <v>173</v>
      </c>
      <c r="J1011" t="s">
        <v>24</v>
      </c>
      <c r="L1011" t="s">
        <v>42</v>
      </c>
    </row>
    <row r="1012" spans="1:12" x14ac:dyDescent="0.2">
      <c r="A1012" t="s">
        <v>2100</v>
      </c>
      <c r="B1012" t="s">
        <v>2101</v>
      </c>
      <c r="C1012" s="1">
        <v>45049</v>
      </c>
      <c r="D1012" s="2">
        <v>45079</v>
      </c>
      <c r="E1012" t="s">
        <v>234</v>
      </c>
      <c r="F1012">
        <v>14918</v>
      </c>
      <c r="G1012">
        <v>505</v>
      </c>
      <c r="H1012">
        <v>822.24</v>
      </c>
      <c r="I1012">
        <v>93</v>
      </c>
      <c r="J1012" t="s">
        <v>24</v>
      </c>
      <c r="L1012" t="s">
        <v>16</v>
      </c>
    </row>
    <row r="1013" spans="1:12" x14ac:dyDescent="0.2">
      <c r="A1013" t="s">
        <v>2102</v>
      </c>
      <c r="B1013" t="s">
        <v>2103</v>
      </c>
      <c r="C1013" s="2">
        <v>45182</v>
      </c>
      <c r="D1013" s="2">
        <v>45190</v>
      </c>
      <c r="E1013" t="s">
        <v>33</v>
      </c>
      <c r="F1013">
        <v>86655</v>
      </c>
      <c r="G1013">
        <v>2771</v>
      </c>
      <c r="H1013" s="3">
        <v>5149.37</v>
      </c>
      <c r="I1013">
        <v>414</v>
      </c>
      <c r="J1013" t="s">
        <v>15</v>
      </c>
      <c r="L1013" t="s">
        <v>34</v>
      </c>
    </row>
    <row r="1014" spans="1:12" x14ac:dyDescent="0.2">
      <c r="A1014" t="s">
        <v>2104</v>
      </c>
      <c r="B1014" t="s">
        <v>2105</v>
      </c>
      <c r="C1014" s="1">
        <v>44933</v>
      </c>
      <c r="D1014" s="2">
        <v>44963</v>
      </c>
      <c r="E1014" t="s">
        <v>23</v>
      </c>
      <c r="F1014">
        <v>28446</v>
      </c>
      <c r="G1014">
        <v>1308</v>
      </c>
      <c r="H1014">
        <v>2293</v>
      </c>
      <c r="I1014">
        <v>86</v>
      </c>
      <c r="J1014" t="s">
        <v>24</v>
      </c>
      <c r="L1014" t="s">
        <v>25</v>
      </c>
    </row>
    <row r="1015" spans="1:12" x14ac:dyDescent="0.2">
      <c r="A1015" t="s">
        <v>2106</v>
      </c>
      <c r="B1015" t="s">
        <v>2107</v>
      </c>
      <c r="C1015" s="1">
        <v>44994</v>
      </c>
      <c r="D1015" s="2">
        <v>45024</v>
      </c>
      <c r="E1015" t="s">
        <v>41</v>
      </c>
      <c r="F1015">
        <v>14046</v>
      </c>
      <c r="G1015">
        <v>367</v>
      </c>
      <c r="H1015">
        <v>291.89</v>
      </c>
      <c r="I1015">
        <v>55</v>
      </c>
      <c r="J1015" t="s">
        <v>30</v>
      </c>
      <c r="L1015" t="s">
        <v>42</v>
      </c>
    </row>
    <row r="1016" spans="1:12" x14ac:dyDescent="0.2">
      <c r="A1016" t="s">
        <v>2108</v>
      </c>
      <c r="B1016" t="s">
        <v>2109</v>
      </c>
      <c r="C1016" s="1">
        <v>45142</v>
      </c>
      <c r="D1016" s="2">
        <v>45137</v>
      </c>
      <c r="E1016" t="s">
        <v>33</v>
      </c>
      <c r="F1016">
        <v>25818</v>
      </c>
      <c r="G1016">
        <v>589</v>
      </c>
      <c r="H1016">
        <v>684.26</v>
      </c>
      <c r="I1016">
        <v>85</v>
      </c>
      <c r="J1016">
        <v>0</v>
      </c>
      <c r="L1016" t="s">
        <v>34</v>
      </c>
    </row>
    <row r="1017" spans="1:12" x14ac:dyDescent="0.2">
      <c r="A1017" t="s">
        <v>2110</v>
      </c>
      <c r="B1017" t="s">
        <v>2111</v>
      </c>
      <c r="C1017" s="1">
        <v>45168</v>
      </c>
      <c r="D1017" s="2">
        <v>45173</v>
      </c>
      <c r="E1017" t="s">
        <v>234</v>
      </c>
      <c r="F1017">
        <v>5324</v>
      </c>
      <c r="G1017">
        <v>212</v>
      </c>
      <c r="H1017">
        <v>169.41</v>
      </c>
      <c r="I1017">
        <v>36</v>
      </c>
      <c r="J1017" t="s">
        <v>30</v>
      </c>
      <c r="L1017" t="s">
        <v>16</v>
      </c>
    </row>
    <row r="1018" spans="1:12" x14ac:dyDescent="0.2">
      <c r="A1018" t="s">
        <v>2112</v>
      </c>
      <c r="B1018" t="s">
        <v>2113</v>
      </c>
      <c r="C1018" s="2">
        <v>44935</v>
      </c>
      <c r="D1018" s="2">
        <v>45174</v>
      </c>
      <c r="E1018" t="s">
        <v>23</v>
      </c>
      <c r="F1018">
        <v>77323</v>
      </c>
      <c r="G1018">
        <v>2049</v>
      </c>
      <c r="H1018">
        <v>1837.35</v>
      </c>
      <c r="J1018" t="s">
        <v>30</v>
      </c>
      <c r="L1018" t="s">
        <v>25</v>
      </c>
    </row>
    <row r="1019" spans="1:12" x14ac:dyDescent="0.2">
      <c r="A1019" t="s">
        <v>2114</v>
      </c>
      <c r="B1019" t="s">
        <v>2115</v>
      </c>
      <c r="C1019" t="s">
        <v>2116</v>
      </c>
      <c r="D1019" s="2">
        <v>45038</v>
      </c>
      <c r="E1019" t="s">
        <v>19</v>
      </c>
      <c r="F1019">
        <v>10111</v>
      </c>
      <c r="G1019">
        <v>362</v>
      </c>
      <c r="H1019">
        <v>454.43</v>
      </c>
      <c r="I1019">
        <v>65</v>
      </c>
      <c r="J1019" t="s">
        <v>24</v>
      </c>
      <c r="L1019" t="s">
        <v>20</v>
      </c>
    </row>
    <row r="1020" spans="1:12" x14ac:dyDescent="0.2">
      <c r="A1020" t="s">
        <v>2117</v>
      </c>
      <c r="B1020" t="s">
        <v>2118</v>
      </c>
      <c r="C1020" s="1">
        <v>44957</v>
      </c>
      <c r="D1020" s="2">
        <v>44963</v>
      </c>
      <c r="E1020" t="s">
        <v>138</v>
      </c>
      <c r="F1020">
        <v>39110</v>
      </c>
      <c r="G1020">
        <v>1402</v>
      </c>
      <c r="H1020">
        <v>844.23</v>
      </c>
      <c r="I1020">
        <v>157</v>
      </c>
      <c r="J1020" t="b">
        <v>1</v>
      </c>
      <c r="L1020" t="s">
        <v>139</v>
      </c>
    </row>
    <row r="1021" spans="1:12" x14ac:dyDescent="0.2">
      <c r="A1021" t="s">
        <v>2119</v>
      </c>
      <c r="B1021" t="s">
        <v>2120</v>
      </c>
      <c r="C1021" s="1">
        <v>45073</v>
      </c>
      <c r="D1021" s="2">
        <v>45076</v>
      </c>
      <c r="E1021" t="s">
        <v>14</v>
      </c>
      <c r="F1021">
        <v>17389</v>
      </c>
      <c r="G1021">
        <v>791</v>
      </c>
      <c r="H1021">
        <v>654.36</v>
      </c>
      <c r="I1021">
        <v>122</v>
      </c>
      <c r="J1021" t="s">
        <v>24</v>
      </c>
      <c r="L1021" t="s">
        <v>16</v>
      </c>
    </row>
    <row r="1022" spans="1:12" x14ac:dyDescent="0.2">
      <c r="A1022" t="s">
        <v>2121</v>
      </c>
      <c r="B1022" t="s">
        <v>2122</v>
      </c>
      <c r="C1022" s="1">
        <v>45139</v>
      </c>
      <c r="D1022" s="2">
        <v>45158</v>
      </c>
      <c r="E1022" t="s">
        <v>14</v>
      </c>
      <c r="F1022">
        <v>42427</v>
      </c>
      <c r="G1022">
        <v>1440</v>
      </c>
      <c r="H1022">
        <v>2740.42</v>
      </c>
      <c r="J1022" t="b">
        <v>1</v>
      </c>
      <c r="L1022" t="s">
        <v>16</v>
      </c>
    </row>
    <row r="1023" spans="1:12" x14ac:dyDescent="0.2">
      <c r="A1023" t="s">
        <v>2123</v>
      </c>
      <c r="B1023" t="s">
        <v>2124</v>
      </c>
      <c r="C1023" s="1">
        <v>45254</v>
      </c>
      <c r="D1023" s="2">
        <v>45249</v>
      </c>
      <c r="E1023" t="s">
        <v>23</v>
      </c>
      <c r="F1023">
        <v>80579</v>
      </c>
      <c r="G1023">
        <v>2424</v>
      </c>
      <c r="H1023">
        <v>2906.8</v>
      </c>
      <c r="I1023">
        <v>484</v>
      </c>
      <c r="J1023" t="b">
        <v>1</v>
      </c>
      <c r="L1023" t="s">
        <v>25</v>
      </c>
    </row>
    <row r="1024" spans="1:12" x14ac:dyDescent="0.2">
      <c r="A1024" t="s">
        <v>2125</v>
      </c>
      <c r="B1024" t="s">
        <v>2126</v>
      </c>
      <c r="C1024" t="s">
        <v>2127</v>
      </c>
      <c r="D1024" s="2">
        <v>45091</v>
      </c>
      <c r="E1024" t="s">
        <v>33</v>
      </c>
      <c r="F1024">
        <v>29746</v>
      </c>
      <c r="G1024">
        <v>462</v>
      </c>
      <c r="H1024" s="3">
        <v>539.65</v>
      </c>
      <c r="I1024">
        <v>35</v>
      </c>
      <c r="J1024" t="b">
        <v>1</v>
      </c>
      <c r="L1024" t="s">
        <v>34</v>
      </c>
    </row>
    <row r="1025" spans="1:12" x14ac:dyDescent="0.2">
      <c r="A1025" t="s">
        <v>2128</v>
      </c>
      <c r="B1025" t="s">
        <v>2129</v>
      </c>
      <c r="C1025" s="1">
        <v>44967</v>
      </c>
      <c r="D1025" s="2">
        <v>44974</v>
      </c>
      <c r="E1025" t="s">
        <v>14</v>
      </c>
      <c r="F1025">
        <v>88886</v>
      </c>
      <c r="G1025">
        <v>1300</v>
      </c>
      <c r="H1025">
        <v>678.41</v>
      </c>
      <c r="I1025">
        <v>66</v>
      </c>
      <c r="J1025">
        <v>1</v>
      </c>
      <c r="L1025" t="s">
        <v>16</v>
      </c>
    </row>
    <row r="1026" spans="1:12" x14ac:dyDescent="0.2">
      <c r="A1026" t="s">
        <v>2130</v>
      </c>
      <c r="B1026" t="s">
        <v>2131</v>
      </c>
      <c r="C1026" s="1">
        <v>45006</v>
      </c>
      <c r="D1026" s="2">
        <v>45021</v>
      </c>
      <c r="E1026" t="s">
        <v>14</v>
      </c>
      <c r="F1026">
        <v>1117</v>
      </c>
      <c r="G1026">
        <v>18</v>
      </c>
      <c r="H1026">
        <v>15.68</v>
      </c>
      <c r="I1026">
        <v>1</v>
      </c>
      <c r="J1026" t="b">
        <v>0</v>
      </c>
      <c r="L1026" t="s">
        <v>16</v>
      </c>
    </row>
    <row r="1027" spans="1:12" x14ac:dyDescent="0.2">
      <c r="A1027" t="s">
        <v>2132</v>
      </c>
      <c r="B1027" t="s">
        <v>2133</v>
      </c>
      <c r="C1027" s="1">
        <v>45251</v>
      </c>
      <c r="D1027" s="2">
        <v>45273</v>
      </c>
      <c r="E1027" t="s">
        <v>41</v>
      </c>
      <c r="F1027">
        <v>85471</v>
      </c>
      <c r="G1027">
        <v>1442</v>
      </c>
      <c r="H1027">
        <v>2594.79</v>
      </c>
      <c r="I1027">
        <v>239</v>
      </c>
      <c r="J1027" t="s">
        <v>24</v>
      </c>
      <c r="L1027" t="s">
        <v>42</v>
      </c>
    </row>
    <row r="1028" spans="1:12" x14ac:dyDescent="0.2">
      <c r="A1028" t="s">
        <v>2134</v>
      </c>
      <c r="B1028" t="s">
        <v>2135</v>
      </c>
      <c r="C1028" t="s">
        <v>2136</v>
      </c>
      <c r="D1028" s="2">
        <v>45274</v>
      </c>
      <c r="E1028" t="s">
        <v>23</v>
      </c>
      <c r="F1028">
        <v>14234</v>
      </c>
      <c r="G1028">
        <v>505</v>
      </c>
      <c r="H1028" s="3">
        <v>377.21</v>
      </c>
      <c r="I1028">
        <v>59</v>
      </c>
      <c r="J1028">
        <v>1</v>
      </c>
      <c r="L1028" t="s">
        <v>25</v>
      </c>
    </row>
    <row r="1029" spans="1:12" x14ac:dyDescent="0.2">
      <c r="A1029" t="s">
        <v>2137</v>
      </c>
      <c r="B1029" t="s">
        <v>2138</v>
      </c>
      <c r="C1029" s="1">
        <v>45284</v>
      </c>
      <c r="D1029" s="2">
        <v>45296</v>
      </c>
      <c r="E1029" t="s">
        <v>14</v>
      </c>
      <c r="F1029">
        <v>54441</v>
      </c>
      <c r="G1029">
        <v>2158</v>
      </c>
      <c r="H1029" s="3">
        <v>2422.7600000000002</v>
      </c>
      <c r="I1029">
        <v>252</v>
      </c>
      <c r="J1029" t="s">
        <v>30</v>
      </c>
      <c r="L1029" t="s">
        <v>16</v>
      </c>
    </row>
    <row r="1030" spans="1:12" x14ac:dyDescent="0.2">
      <c r="A1030" t="s">
        <v>2139</v>
      </c>
      <c r="B1030" t="s">
        <v>2140</v>
      </c>
      <c r="C1030" s="2">
        <v>44990</v>
      </c>
      <c r="D1030" s="2">
        <v>44985</v>
      </c>
      <c r="E1030" t="s">
        <v>14</v>
      </c>
      <c r="F1030">
        <v>1846</v>
      </c>
      <c r="G1030">
        <v>57</v>
      </c>
      <c r="H1030">
        <v>29.73</v>
      </c>
      <c r="J1030">
        <v>1</v>
      </c>
      <c r="L1030" t="s">
        <v>16</v>
      </c>
    </row>
    <row r="1031" spans="1:12" x14ac:dyDescent="0.2">
      <c r="A1031" t="s">
        <v>2141</v>
      </c>
      <c r="B1031" t="s">
        <v>2142</v>
      </c>
      <c r="C1031" s="1">
        <v>44971</v>
      </c>
      <c r="D1031" s="2">
        <v>44980</v>
      </c>
      <c r="E1031" t="s">
        <v>19</v>
      </c>
      <c r="F1031">
        <v>11954</v>
      </c>
      <c r="G1031">
        <v>515</v>
      </c>
      <c r="H1031">
        <v>627.01</v>
      </c>
      <c r="I1031">
        <v>96</v>
      </c>
      <c r="J1031" t="s">
        <v>15</v>
      </c>
      <c r="L1031" t="s">
        <v>20</v>
      </c>
    </row>
    <row r="1032" spans="1:12" x14ac:dyDescent="0.2">
      <c r="A1032" t="s">
        <v>2143</v>
      </c>
      <c r="B1032" t="s">
        <v>2144</v>
      </c>
      <c r="C1032" s="1">
        <v>45240</v>
      </c>
      <c r="D1032" s="2">
        <v>45256</v>
      </c>
      <c r="E1032" t="s">
        <v>14</v>
      </c>
      <c r="F1032">
        <v>80239</v>
      </c>
      <c r="G1032">
        <v>3983</v>
      </c>
      <c r="H1032">
        <v>2117.09</v>
      </c>
      <c r="I1032">
        <v>385</v>
      </c>
      <c r="J1032">
        <v>0</v>
      </c>
      <c r="L1032" t="s">
        <v>16</v>
      </c>
    </row>
    <row r="1033" spans="1:12" x14ac:dyDescent="0.2">
      <c r="A1033" t="s">
        <v>2145</v>
      </c>
      <c r="B1033" t="s">
        <v>2146</v>
      </c>
      <c r="C1033" s="1">
        <v>45263</v>
      </c>
      <c r="D1033" s="2">
        <v>45266</v>
      </c>
      <c r="E1033" t="s">
        <v>19</v>
      </c>
      <c r="F1033">
        <v>47514</v>
      </c>
      <c r="G1033">
        <v>2033</v>
      </c>
      <c r="H1033">
        <v>3515.9</v>
      </c>
      <c r="I1033">
        <v>165</v>
      </c>
      <c r="J1033" t="b">
        <v>1</v>
      </c>
      <c r="L1033" t="s">
        <v>20</v>
      </c>
    </row>
    <row r="1034" spans="1:12" x14ac:dyDescent="0.2">
      <c r="A1034" t="s">
        <v>2147</v>
      </c>
      <c r="B1034" t="s">
        <v>2148</v>
      </c>
      <c r="C1034" s="2">
        <v>45289</v>
      </c>
      <c r="D1034" s="2">
        <v>45315</v>
      </c>
      <c r="E1034" t="s">
        <v>19</v>
      </c>
      <c r="F1034">
        <v>89236</v>
      </c>
      <c r="G1034">
        <v>3372</v>
      </c>
      <c r="H1034">
        <v>5858.11</v>
      </c>
      <c r="I1034">
        <v>597</v>
      </c>
      <c r="J1034" t="s">
        <v>24</v>
      </c>
      <c r="L1034" t="s">
        <v>20</v>
      </c>
    </row>
    <row r="1035" spans="1:12" x14ac:dyDescent="0.2">
      <c r="A1035" t="s">
        <v>2149</v>
      </c>
      <c r="B1035" t="s">
        <v>2150</v>
      </c>
      <c r="C1035" s="1">
        <v>45181</v>
      </c>
      <c r="D1035" s="2">
        <v>45203</v>
      </c>
      <c r="E1035" t="s">
        <v>41</v>
      </c>
      <c r="F1035">
        <v>98579</v>
      </c>
      <c r="G1035">
        <v>3085</v>
      </c>
      <c r="H1035">
        <v>5187.78</v>
      </c>
      <c r="I1035">
        <v>573</v>
      </c>
      <c r="J1035" t="s">
        <v>15</v>
      </c>
      <c r="L1035" t="s">
        <v>42</v>
      </c>
    </row>
    <row r="1036" spans="1:12" x14ac:dyDescent="0.2">
      <c r="A1036" t="s">
        <v>2151</v>
      </c>
      <c r="B1036" t="s">
        <v>2152</v>
      </c>
      <c r="C1036" s="1">
        <v>45059</v>
      </c>
      <c r="D1036" s="2">
        <v>45065</v>
      </c>
      <c r="E1036" t="s">
        <v>19</v>
      </c>
      <c r="F1036">
        <v>7469</v>
      </c>
      <c r="G1036">
        <v>208</v>
      </c>
      <c r="H1036">
        <v>192.41</v>
      </c>
      <c r="I1036">
        <v>27</v>
      </c>
      <c r="J1036" t="s">
        <v>24</v>
      </c>
      <c r="K1036">
        <v>7539</v>
      </c>
      <c r="L1036" t="s">
        <v>20</v>
      </c>
    </row>
    <row r="1037" spans="1:12" x14ac:dyDescent="0.2">
      <c r="A1037" t="s">
        <v>2153</v>
      </c>
      <c r="B1037" t="s">
        <v>2154</v>
      </c>
      <c r="C1037" s="1">
        <v>45064</v>
      </c>
      <c r="D1037" s="2">
        <v>45083</v>
      </c>
      <c r="E1037" t="s">
        <v>19</v>
      </c>
      <c r="F1037">
        <v>31105</v>
      </c>
      <c r="G1037">
        <v>416</v>
      </c>
      <c r="H1037">
        <v>730.44</v>
      </c>
      <c r="I1037">
        <v>60</v>
      </c>
      <c r="J1037">
        <v>0</v>
      </c>
      <c r="L1037" t="s">
        <v>20</v>
      </c>
    </row>
    <row r="1038" spans="1:12" x14ac:dyDescent="0.2">
      <c r="A1038" t="s">
        <v>2155</v>
      </c>
      <c r="B1038" t="s">
        <v>2156</v>
      </c>
      <c r="C1038" s="1">
        <v>44942</v>
      </c>
      <c r="D1038" s="2">
        <v>44956</v>
      </c>
      <c r="E1038" t="s">
        <v>23</v>
      </c>
      <c r="F1038">
        <v>43101</v>
      </c>
      <c r="G1038">
        <v>1119</v>
      </c>
      <c r="H1038">
        <v>1470.92</v>
      </c>
      <c r="I1038">
        <v>99</v>
      </c>
      <c r="J1038" t="s">
        <v>15</v>
      </c>
      <c r="L1038" t="s">
        <v>25</v>
      </c>
    </row>
    <row r="1039" spans="1:12" x14ac:dyDescent="0.2">
      <c r="A1039" t="s">
        <v>2157</v>
      </c>
      <c r="B1039" t="s">
        <v>2158</v>
      </c>
      <c r="C1039" t="s">
        <v>2159</v>
      </c>
      <c r="D1039" s="2">
        <v>45199</v>
      </c>
      <c r="E1039" t="s">
        <v>19</v>
      </c>
      <c r="F1039">
        <v>65323</v>
      </c>
      <c r="G1039">
        <v>3031</v>
      </c>
      <c r="H1039">
        <v>3215.02</v>
      </c>
      <c r="I1039">
        <v>515</v>
      </c>
      <c r="J1039" t="s">
        <v>24</v>
      </c>
      <c r="L1039" t="s">
        <v>20</v>
      </c>
    </row>
    <row r="1040" spans="1:12" x14ac:dyDescent="0.2">
      <c r="A1040" t="s">
        <v>2160</v>
      </c>
      <c r="B1040" t="s">
        <v>2161</v>
      </c>
      <c r="C1040" s="1">
        <v>45291</v>
      </c>
      <c r="D1040" s="2">
        <v>45309</v>
      </c>
      <c r="E1040" t="s">
        <v>23</v>
      </c>
      <c r="F1040">
        <v>92922</v>
      </c>
      <c r="G1040">
        <v>3932</v>
      </c>
      <c r="H1040">
        <v>5654.2</v>
      </c>
      <c r="I1040">
        <v>569</v>
      </c>
      <c r="J1040" t="s">
        <v>30</v>
      </c>
      <c r="L1040" t="s">
        <v>25</v>
      </c>
    </row>
    <row r="1041" spans="1:12" x14ac:dyDescent="0.2">
      <c r="A1041" t="s">
        <v>2162</v>
      </c>
      <c r="B1041" t="s">
        <v>2163</v>
      </c>
      <c r="C1041" s="1">
        <v>45181</v>
      </c>
      <c r="D1041" s="2">
        <v>45183</v>
      </c>
      <c r="E1041" t="s">
        <v>14</v>
      </c>
      <c r="F1041">
        <v>59067</v>
      </c>
      <c r="G1041">
        <v>1101</v>
      </c>
      <c r="H1041">
        <v>570.88</v>
      </c>
      <c r="I1041">
        <v>138</v>
      </c>
      <c r="J1041" t="b">
        <v>1</v>
      </c>
      <c r="L1041" t="s">
        <v>16</v>
      </c>
    </row>
    <row r="1042" spans="1:12" x14ac:dyDescent="0.2">
      <c r="A1042" t="s">
        <v>2164</v>
      </c>
      <c r="B1042" t="s">
        <v>2165</v>
      </c>
      <c r="C1042" s="1">
        <v>45182</v>
      </c>
      <c r="D1042" s="2">
        <v>45190</v>
      </c>
      <c r="E1042" t="s">
        <v>19</v>
      </c>
      <c r="F1042">
        <v>50376</v>
      </c>
      <c r="G1042">
        <v>1443</v>
      </c>
      <c r="H1042">
        <v>1030.94</v>
      </c>
      <c r="I1042">
        <v>85</v>
      </c>
      <c r="J1042" t="s">
        <v>15</v>
      </c>
      <c r="L1042" t="s">
        <v>20</v>
      </c>
    </row>
    <row r="1043" spans="1:12" x14ac:dyDescent="0.2">
      <c r="A1043" t="s">
        <v>2166</v>
      </c>
      <c r="B1043" t="s">
        <v>2167</v>
      </c>
      <c r="C1043" s="1">
        <v>45007</v>
      </c>
      <c r="D1043" s="2">
        <v>45014</v>
      </c>
      <c r="E1043" t="s">
        <v>23</v>
      </c>
      <c r="F1043">
        <v>46587</v>
      </c>
      <c r="G1043">
        <v>1987</v>
      </c>
      <c r="H1043">
        <v>3205.91</v>
      </c>
      <c r="I1043">
        <v>372</v>
      </c>
      <c r="J1043" t="s">
        <v>30</v>
      </c>
      <c r="L1043" t="s">
        <v>25</v>
      </c>
    </row>
    <row r="1044" spans="1:12" x14ac:dyDescent="0.2">
      <c r="A1044" t="s">
        <v>2168</v>
      </c>
      <c r="B1044" t="s">
        <v>2169</v>
      </c>
      <c r="C1044" s="1">
        <v>45220</v>
      </c>
      <c r="D1044" s="2">
        <v>45225</v>
      </c>
      <c r="E1044" t="s">
        <v>138</v>
      </c>
      <c r="F1044">
        <v>37976</v>
      </c>
      <c r="G1044">
        <v>482</v>
      </c>
      <c r="H1044">
        <v>417.53</v>
      </c>
      <c r="I1044">
        <v>68</v>
      </c>
      <c r="J1044" t="b">
        <v>1</v>
      </c>
      <c r="L1044" t="s">
        <v>139</v>
      </c>
    </row>
    <row r="1045" spans="1:12" x14ac:dyDescent="0.2">
      <c r="A1045" t="s">
        <v>2170</v>
      </c>
      <c r="B1045" t="s">
        <v>2171</v>
      </c>
      <c r="C1045" t="s">
        <v>2172</v>
      </c>
      <c r="D1045" s="2">
        <v>45197</v>
      </c>
      <c r="E1045" t="s">
        <v>33</v>
      </c>
      <c r="F1045">
        <v>68584</v>
      </c>
      <c r="G1045">
        <v>1748</v>
      </c>
      <c r="H1045">
        <v>2441.98</v>
      </c>
      <c r="I1045">
        <v>137</v>
      </c>
      <c r="J1045" t="b">
        <v>0</v>
      </c>
      <c r="L1045" t="s">
        <v>34</v>
      </c>
    </row>
    <row r="1046" spans="1:12" x14ac:dyDescent="0.2">
      <c r="A1046" t="s">
        <v>2173</v>
      </c>
      <c r="B1046" t="s">
        <v>2174</v>
      </c>
      <c r="C1046" s="1">
        <v>44933</v>
      </c>
      <c r="D1046" s="2">
        <v>44938</v>
      </c>
      <c r="E1046" t="s">
        <v>23</v>
      </c>
      <c r="F1046">
        <v>79477</v>
      </c>
      <c r="G1046">
        <v>3502</v>
      </c>
      <c r="H1046" s="3">
        <v>3773.94</v>
      </c>
      <c r="I1046">
        <v>493</v>
      </c>
      <c r="J1046" t="s">
        <v>30</v>
      </c>
      <c r="L1046" t="s">
        <v>25</v>
      </c>
    </row>
    <row r="1047" spans="1:12" x14ac:dyDescent="0.2">
      <c r="A1047" t="s">
        <v>2175</v>
      </c>
      <c r="B1047" t="s">
        <v>2176</v>
      </c>
      <c r="C1047" s="1">
        <v>45123</v>
      </c>
      <c r="D1047" s="2">
        <v>45147</v>
      </c>
      <c r="E1047" t="s">
        <v>23</v>
      </c>
      <c r="F1047">
        <v>43533</v>
      </c>
      <c r="G1047">
        <v>1138</v>
      </c>
      <c r="H1047">
        <v>2028.15</v>
      </c>
      <c r="I1047">
        <v>172</v>
      </c>
      <c r="J1047">
        <v>1</v>
      </c>
      <c r="K1047">
        <v>43575</v>
      </c>
      <c r="L1047" t="s">
        <v>25</v>
      </c>
    </row>
    <row r="1048" spans="1:12" x14ac:dyDescent="0.2">
      <c r="A1048" t="s">
        <v>2177</v>
      </c>
      <c r="B1048" t="s">
        <v>2178</v>
      </c>
      <c r="C1048" s="1">
        <v>44945</v>
      </c>
      <c r="D1048" s="2">
        <v>44968</v>
      </c>
      <c r="E1048" t="s">
        <v>14</v>
      </c>
      <c r="F1048">
        <v>2828</v>
      </c>
      <c r="G1048">
        <v>37</v>
      </c>
      <c r="H1048" s="3">
        <v>71.36</v>
      </c>
      <c r="I1048">
        <v>4</v>
      </c>
      <c r="J1048" t="s">
        <v>24</v>
      </c>
      <c r="L1048" t="s">
        <v>16</v>
      </c>
    </row>
    <row r="1049" spans="1:12" x14ac:dyDescent="0.2">
      <c r="A1049" t="s">
        <v>2179</v>
      </c>
      <c r="B1049" t="s">
        <v>2180</v>
      </c>
      <c r="C1049" s="1">
        <v>45262</v>
      </c>
      <c r="D1049" s="2">
        <v>45275</v>
      </c>
      <c r="E1049" t="s">
        <v>14</v>
      </c>
      <c r="F1049">
        <v>2917</v>
      </c>
      <c r="G1049">
        <v>92</v>
      </c>
      <c r="H1049">
        <v>167.93</v>
      </c>
      <c r="I1049">
        <v>14</v>
      </c>
      <c r="J1049" t="b">
        <v>1</v>
      </c>
      <c r="L1049" t="s">
        <v>16</v>
      </c>
    </row>
    <row r="1050" spans="1:12" x14ac:dyDescent="0.2">
      <c r="A1050" t="s">
        <v>2181</v>
      </c>
      <c r="B1050" t="s">
        <v>2182</v>
      </c>
      <c r="C1050" s="1">
        <v>45140</v>
      </c>
      <c r="D1050" s="2">
        <v>45141</v>
      </c>
      <c r="E1050" t="s">
        <v>19</v>
      </c>
      <c r="F1050">
        <v>21618</v>
      </c>
      <c r="G1050">
        <v>961</v>
      </c>
      <c r="H1050">
        <v>870.6</v>
      </c>
      <c r="I1050">
        <v>131</v>
      </c>
      <c r="J1050" t="s">
        <v>15</v>
      </c>
      <c r="L1050" t="s">
        <v>20</v>
      </c>
    </row>
    <row r="1051" spans="1:12" x14ac:dyDescent="0.2">
      <c r="A1051" t="s">
        <v>2183</v>
      </c>
      <c r="B1051" t="s">
        <v>2184</v>
      </c>
      <c r="C1051" s="1">
        <v>44966</v>
      </c>
      <c r="D1051" s="2">
        <v>44978</v>
      </c>
      <c r="E1051" t="s">
        <v>33</v>
      </c>
      <c r="F1051">
        <v>33254</v>
      </c>
      <c r="G1051">
        <v>1117</v>
      </c>
      <c r="H1051">
        <v>883.82</v>
      </c>
      <c r="I1051">
        <v>214</v>
      </c>
      <c r="J1051">
        <v>0</v>
      </c>
      <c r="L1051" t="s">
        <v>34</v>
      </c>
    </row>
    <row r="1052" spans="1:12" x14ac:dyDescent="0.2">
      <c r="A1052" t="s">
        <v>2185</v>
      </c>
      <c r="B1052" t="s">
        <v>2186</v>
      </c>
      <c r="C1052" s="1">
        <v>45271</v>
      </c>
      <c r="D1052" s="2">
        <v>45273</v>
      </c>
      <c r="E1052" t="s">
        <v>23</v>
      </c>
      <c r="F1052">
        <v>48362</v>
      </c>
      <c r="G1052">
        <v>921</v>
      </c>
      <c r="H1052" s="3">
        <v>1115.93</v>
      </c>
      <c r="I1052">
        <v>53</v>
      </c>
      <c r="J1052" t="s">
        <v>15</v>
      </c>
      <c r="L1052" t="s">
        <v>25</v>
      </c>
    </row>
    <row r="1053" spans="1:12" x14ac:dyDescent="0.2">
      <c r="A1053" t="s">
        <v>2187</v>
      </c>
      <c r="B1053" t="s">
        <v>2188</v>
      </c>
      <c r="C1053" s="1">
        <v>45191</v>
      </c>
      <c r="D1053" s="2">
        <v>45208</v>
      </c>
      <c r="E1053" t="s">
        <v>41</v>
      </c>
      <c r="F1053">
        <v>21128</v>
      </c>
      <c r="G1053">
        <v>536</v>
      </c>
      <c r="H1053">
        <v>273.89999999999998</v>
      </c>
      <c r="I1053">
        <v>35</v>
      </c>
      <c r="J1053">
        <v>1</v>
      </c>
      <c r="L1053" t="s">
        <v>42</v>
      </c>
    </row>
    <row r="1054" spans="1:12" x14ac:dyDescent="0.2">
      <c r="A1054" t="s">
        <v>2189</v>
      </c>
      <c r="B1054" t="s">
        <v>2190</v>
      </c>
      <c r="C1054" s="1">
        <v>44962</v>
      </c>
      <c r="D1054" s="2">
        <v>44988</v>
      </c>
      <c r="E1054" t="s">
        <v>19</v>
      </c>
      <c r="F1054">
        <v>60383</v>
      </c>
      <c r="G1054">
        <v>1691</v>
      </c>
      <c r="H1054">
        <v>910.97</v>
      </c>
      <c r="I1054">
        <v>128</v>
      </c>
      <c r="J1054" t="s">
        <v>24</v>
      </c>
      <c r="L1054" t="s">
        <v>20</v>
      </c>
    </row>
    <row r="1055" spans="1:12" x14ac:dyDescent="0.2">
      <c r="A1055" t="s">
        <v>2191</v>
      </c>
      <c r="B1055" t="s">
        <v>2192</v>
      </c>
      <c r="C1055" s="1">
        <v>45086</v>
      </c>
      <c r="D1055" s="2">
        <v>45087</v>
      </c>
      <c r="E1055" t="s">
        <v>41</v>
      </c>
      <c r="F1055">
        <v>66545</v>
      </c>
      <c r="G1055">
        <v>2207</v>
      </c>
      <c r="H1055">
        <v>2935.17</v>
      </c>
      <c r="I1055">
        <v>338</v>
      </c>
      <c r="J1055">
        <v>1</v>
      </c>
      <c r="L1055" t="s">
        <v>42</v>
      </c>
    </row>
    <row r="1056" spans="1:12" x14ac:dyDescent="0.2">
      <c r="A1056" t="s">
        <v>2193</v>
      </c>
      <c r="B1056" t="s">
        <v>2194</v>
      </c>
      <c r="C1056" s="1">
        <v>44931</v>
      </c>
      <c r="D1056" s="2">
        <v>44935</v>
      </c>
      <c r="E1056" t="s">
        <v>41</v>
      </c>
      <c r="F1056">
        <v>83180</v>
      </c>
      <c r="G1056">
        <v>3358</v>
      </c>
      <c r="H1056" s="3">
        <v>4300.5</v>
      </c>
      <c r="I1056">
        <v>493</v>
      </c>
      <c r="J1056" t="s">
        <v>15</v>
      </c>
      <c r="L1056" t="s">
        <v>42</v>
      </c>
    </row>
    <row r="1057" spans="1:12" x14ac:dyDescent="0.2">
      <c r="A1057" t="s">
        <v>2195</v>
      </c>
      <c r="B1057" t="s">
        <v>2196</v>
      </c>
      <c r="C1057" s="1">
        <v>45082</v>
      </c>
      <c r="D1057" s="2">
        <v>45099</v>
      </c>
      <c r="E1057" t="s">
        <v>33</v>
      </c>
      <c r="F1057">
        <v>88958</v>
      </c>
      <c r="G1057">
        <v>1241</v>
      </c>
      <c r="H1057">
        <v>2471.91</v>
      </c>
      <c r="I1057">
        <v>228</v>
      </c>
      <c r="J1057" t="s">
        <v>24</v>
      </c>
      <c r="L1057" t="s">
        <v>34</v>
      </c>
    </row>
    <row r="1058" spans="1:12" x14ac:dyDescent="0.2">
      <c r="A1058" t="s">
        <v>2197</v>
      </c>
      <c r="B1058" t="s">
        <v>2198</v>
      </c>
      <c r="C1058" s="1">
        <v>45115</v>
      </c>
      <c r="D1058" s="2">
        <v>45137</v>
      </c>
      <c r="E1058" t="s">
        <v>14</v>
      </c>
      <c r="F1058">
        <v>10865</v>
      </c>
      <c r="G1058">
        <v>495</v>
      </c>
      <c r="H1058" s="3">
        <v>397.37</v>
      </c>
      <c r="I1058">
        <v>79</v>
      </c>
      <c r="J1058">
        <v>0</v>
      </c>
      <c r="L1058" t="s">
        <v>16</v>
      </c>
    </row>
    <row r="1059" spans="1:12" x14ac:dyDescent="0.2">
      <c r="A1059" t="s">
        <v>2199</v>
      </c>
      <c r="B1059" t="s">
        <v>2200</v>
      </c>
      <c r="C1059" s="1">
        <v>45027</v>
      </c>
      <c r="D1059" s="2">
        <v>45036</v>
      </c>
      <c r="E1059" t="s">
        <v>19</v>
      </c>
      <c r="F1059">
        <v>3219</v>
      </c>
      <c r="G1059">
        <v>33</v>
      </c>
      <c r="H1059">
        <v>29.28</v>
      </c>
      <c r="I1059">
        <v>4</v>
      </c>
      <c r="J1059" t="b">
        <v>1</v>
      </c>
      <c r="L1059" t="s">
        <v>20</v>
      </c>
    </row>
    <row r="1060" spans="1:12" x14ac:dyDescent="0.2">
      <c r="A1060" t="s">
        <v>2201</v>
      </c>
      <c r="B1060" t="s">
        <v>2202</v>
      </c>
      <c r="C1060" s="1">
        <v>45052</v>
      </c>
      <c r="D1060" s="2">
        <v>45071</v>
      </c>
      <c r="E1060" t="s">
        <v>41</v>
      </c>
      <c r="F1060">
        <v>40809</v>
      </c>
      <c r="G1060">
        <v>1012</v>
      </c>
      <c r="H1060">
        <v>678.35</v>
      </c>
      <c r="I1060">
        <v>201</v>
      </c>
      <c r="J1060" t="s">
        <v>24</v>
      </c>
      <c r="L1060" t="s">
        <v>42</v>
      </c>
    </row>
    <row r="1061" spans="1:12" x14ac:dyDescent="0.2">
      <c r="A1061" t="s">
        <v>2203</v>
      </c>
      <c r="B1061" t="s">
        <v>2204</v>
      </c>
      <c r="C1061" s="1">
        <v>44939</v>
      </c>
      <c r="D1061" s="2">
        <v>44956</v>
      </c>
      <c r="E1061" t="s">
        <v>19</v>
      </c>
      <c r="F1061">
        <v>6287</v>
      </c>
      <c r="G1061">
        <v>69</v>
      </c>
      <c r="H1061">
        <v>129.47</v>
      </c>
      <c r="I1061">
        <v>6</v>
      </c>
      <c r="J1061" t="s">
        <v>30</v>
      </c>
      <c r="L1061" t="s">
        <v>20</v>
      </c>
    </row>
    <row r="1062" spans="1:12" x14ac:dyDescent="0.2">
      <c r="A1062" t="s">
        <v>2205</v>
      </c>
      <c r="B1062" t="s">
        <v>2206</v>
      </c>
      <c r="C1062" s="1">
        <v>45282</v>
      </c>
      <c r="D1062" s="2">
        <v>45283</v>
      </c>
      <c r="E1062" t="s">
        <v>19</v>
      </c>
      <c r="F1062">
        <v>35387</v>
      </c>
      <c r="G1062">
        <v>910</v>
      </c>
      <c r="H1062">
        <v>1516.71</v>
      </c>
      <c r="I1062">
        <v>159</v>
      </c>
      <c r="J1062" t="s">
        <v>24</v>
      </c>
      <c r="L1062" t="s">
        <v>20</v>
      </c>
    </row>
    <row r="1063" spans="1:12" x14ac:dyDescent="0.2">
      <c r="A1063" t="s">
        <v>2207</v>
      </c>
      <c r="B1063" t="s">
        <v>2208</v>
      </c>
      <c r="C1063" s="1">
        <v>44927</v>
      </c>
      <c r="D1063" s="2">
        <v>44937</v>
      </c>
      <c r="E1063" t="s">
        <v>14</v>
      </c>
      <c r="F1063">
        <v>9512</v>
      </c>
      <c r="G1063">
        <v>295</v>
      </c>
      <c r="H1063">
        <v>511.39</v>
      </c>
      <c r="I1063">
        <v>33</v>
      </c>
      <c r="J1063">
        <v>1</v>
      </c>
      <c r="L1063" t="s">
        <v>16</v>
      </c>
    </row>
    <row r="1064" spans="1:12" x14ac:dyDescent="0.2">
      <c r="A1064" t="s">
        <v>2209</v>
      </c>
      <c r="B1064" t="s">
        <v>2210</v>
      </c>
      <c r="C1064" s="1">
        <v>45084</v>
      </c>
      <c r="D1064" s="2">
        <v>45113</v>
      </c>
      <c r="E1064" t="s">
        <v>41</v>
      </c>
      <c r="F1064">
        <v>2342</v>
      </c>
      <c r="G1064">
        <v>71</v>
      </c>
      <c r="H1064">
        <v>131.63999999999999</v>
      </c>
      <c r="I1064">
        <v>10</v>
      </c>
      <c r="J1064">
        <v>1</v>
      </c>
      <c r="L1064" t="s">
        <v>42</v>
      </c>
    </row>
    <row r="1065" spans="1:12" x14ac:dyDescent="0.2">
      <c r="A1065" t="s">
        <v>2211</v>
      </c>
      <c r="B1065" t="s">
        <v>2212</v>
      </c>
      <c r="C1065" s="1">
        <v>45048</v>
      </c>
      <c r="D1065" s="2">
        <v>45074</v>
      </c>
      <c r="E1065" t="s">
        <v>19</v>
      </c>
      <c r="F1065">
        <v>64076</v>
      </c>
      <c r="G1065">
        <v>1065</v>
      </c>
      <c r="H1065">
        <v>1371.03</v>
      </c>
      <c r="I1065">
        <v>169</v>
      </c>
      <c r="J1065">
        <v>1</v>
      </c>
      <c r="L1065" t="s">
        <v>20</v>
      </c>
    </row>
    <row r="1066" spans="1:12" x14ac:dyDescent="0.2">
      <c r="A1066" t="s">
        <v>2213</v>
      </c>
      <c r="B1066" t="s">
        <v>2214</v>
      </c>
      <c r="C1066" s="2">
        <v>44999</v>
      </c>
      <c r="D1066" s="2">
        <v>45004</v>
      </c>
      <c r="E1066" t="s">
        <v>33</v>
      </c>
      <c r="F1066">
        <v>20216</v>
      </c>
      <c r="G1066">
        <v>724</v>
      </c>
      <c r="H1066" s="3">
        <v>852</v>
      </c>
      <c r="I1066">
        <v>105</v>
      </c>
      <c r="J1066">
        <v>0</v>
      </c>
      <c r="L1066" t="s">
        <v>34</v>
      </c>
    </row>
    <row r="1067" spans="1:12" x14ac:dyDescent="0.2">
      <c r="A1067" t="s">
        <v>2215</v>
      </c>
      <c r="B1067" t="s">
        <v>2216</v>
      </c>
      <c r="C1067" s="1">
        <v>45045</v>
      </c>
      <c r="D1067" s="2">
        <v>45056</v>
      </c>
      <c r="E1067" t="s">
        <v>23</v>
      </c>
      <c r="F1067">
        <v>94070</v>
      </c>
      <c r="G1067">
        <v>1109</v>
      </c>
      <c r="H1067">
        <v>1104.1099999999999</v>
      </c>
      <c r="I1067">
        <v>78</v>
      </c>
      <c r="J1067" t="s">
        <v>24</v>
      </c>
      <c r="L1067" t="s">
        <v>25</v>
      </c>
    </row>
    <row r="1068" spans="1:12" x14ac:dyDescent="0.2">
      <c r="A1068" t="s">
        <v>2217</v>
      </c>
      <c r="B1068" t="s">
        <v>2218</v>
      </c>
      <c r="C1068" s="1">
        <v>45285</v>
      </c>
      <c r="D1068" s="2">
        <v>45315</v>
      </c>
      <c r="E1068" t="s">
        <v>23</v>
      </c>
      <c r="F1068">
        <v>80767</v>
      </c>
      <c r="G1068">
        <v>3269</v>
      </c>
      <c r="H1068">
        <v>4523.71</v>
      </c>
      <c r="I1068">
        <v>380</v>
      </c>
      <c r="J1068" t="s">
        <v>24</v>
      </c>
      <c r="L1068" t="s">
        <v>25</v>
      </c>
    </row>
    <row r="1069" spans="1:12" x14ac:dyDescent="0.2">
      <c r="A1069" t="s">
        <v>2219</v>
      </c>
      <c r="B1069" t="s">
        <v>2220</v>
      </c>
      <c r="C1069" s="1">
        <v>44970</v>
      </c>
      <c r="D1069" s="2">
        <v>44978</v>
      </c>
      <c r="E1069" t="s">
        <v>14</v>
      </c>
      <c r="F1069">
        <v>98829</v>
      </c>
      <c r="G1069">
        <v>4730</v>
      </c>
      <c r="H1069">
        <v>5588.11</v>
      </c>
      <c r="I1069">
        <v>634</v>
      </c>
      <c r="J1069" t="b">
        <v>0</v>
      </c>
      <c r="L1069" t="s">
        <v>16</v>
      </c>
    </row>
    <row r="1070" spans="1:12" x14ac:dyDescent="0.2">
      <c r="A1070" t="s">
        <v>2221</v>
      </c>
      <c r="B1070" t="s">
        <v>2222</v>
      </c>
      <c r="C1070" s="2">
        <v>45253</v>
      </c>
      <c r="D1070" s="2">
        <v>45281</v>
      </c>
      <c r="E1070" t="s">
        <v>41</v>
      </c>
      <c r="F1070">
        <v>27614</v>
      </c>
      <c r="G1070">
        <v>651</v>
      </c>
      <c r="H1070">
        <v>766.45</v>
      </c>
      <c r="I1070">
        <v>115</v>
      </c>
      <c r="J1070">
        <v>0</v>
      </c>
      <c r="L1070" t="s">
        <v>42</v>
      </c>
    </row>
    <row r="1071" spans="1:12" x14ac:dyDescent="0.2">
      <c r="A1071" t="s">
        <v>2223</v>
      </c>
      <c r="B1071" t="s">
        <v>2224</v>
      </c>
      <c r="C1071" t="s">
        <v>2225</v>
      </c>
      <c r="D1071" s="2">
        <v>45233</v>
      </c>
      <c r="E1071" t="s">
        <v>14</v>
      </c>
      <c r="F1071">
        <v>37258</v>
      </c>
      <c r="G1071">
        <v>1143</v>
      </c>
      <c r="H1071">
        <v>2177.86</v>
      </c>
      <c r="I1071">
        <v>133</v>
      </c>
      <c r="J1071" t="b">
        <v>1</v>
      </c>
      <c r="L1071" t="s">
        <v>16</v>
      </c>
    </row>
    <row r="1072" spans="1:12" x14ac:dyDescent="0.2">
      <c r="A1072" t="s">
        <v>2226</v>
      </c>
      <c r="B1072" t="s">
        <v>2227</v>
      </c>
      <c r="C1072" s="1">
        <v>45266</v>
      </c>
      <c r="D1072" s="2">
        <v>45292</v>
      </c>
      <c r="E1072" t="s">
        <v>19</v>
      </c>
      <c r="F1072">
        <v>94789</v>
      </c>
      <c r="G1072">
        <v>2384</v>
      </c>
      <c r="H1072">
        <v>4710.8999999999996</v>
      </c>
      <c r="I1072">
        <v>447</v>
      </c>
      <c r="J1072" t="b">
        <v>1</v>
      </c>
      <c r="L1072" t="s">
        <v>20</v>
      </c>
    </row>
    <row r="1073" spans="1:12" x14ac:dyDescent="0.2">
      <c r="A1073" t="s">
        <v>2228</v>
      </c>
      <c r="B1073" t="s">
        <v>2229</v>
      </c>
      <c r="C1073" s="1">
        <v>45060</v>
      </c>
      <c r="D1073" s="2">
        <v>45067</v>
      </c>
      <c r="E1073" t="s">
        <v>14</v>
      </c>
      <c r="F1073">
        <v>43078</v>
      </c>
      <c r="G1073">
        <v>442</v>
      </c>
      <c r="H1073">
        <v>749.07</v>
      </c>
      <c r="I1073">
        <v>51</v>
      </c>
      <c r="J1073" t="b">
        <v>1</v>
      </c>
      <c r="L1073" t="s">
        <v>16</v>
      </c>
    </row>
    <row r="1074" spans="1:12" x14ac:dyDescent="0.2">
      <c r="A1074" t="s">
        <v>2230</v>
      </c>
      <c r="B1074" t="s">
        <v>2231</v>
      </c>
      <c r="C1074" s="1">
        <v>45128</v>
      </c>
      <c r="D1074" s="2">
        <v>45135</v>
      </c>
      <c r="E1074" t="s">
        <v>19</v>
      </c>
      <c r="F1074">
        <v>84524</v>
      </c>
      <c r="G1074">
        <v>2149</v>
      </c>
      <c r="H1074">
        <v>3513.91</v>
      </c>
      <c r="I1074">
        <v>284</v>
      </c>
      <c r="J1074" t="b">
        <v>1</v>
      </c>
      <c r="L1074" t="s">
        <v>20</v>
      </c>
    </row>
    <row r="1075" spans="1:12" x14ac:dyDescent="0.2">
      <c r="A1075" t="s">
        <v>2232</v>
      </c>
      <c r="B1075" t="s">
        <v>2233</v>
      </c>
      <c r="C1075" s="1">
        <v>45089</v>
      </c>
      <c r="D1075" s="2">
        <v>45111</v>
      </c>
      <c r="E1075" t="s">
        <v>138</v>
      </c>
      <c r="F1075">
        <v>97573</v>
      </c>
      <c r="G1075">
        <v>4065</v>
      </c>
      <c r="H1075">
        <v>6182.2</v>
      </c>
      <c r="I1075">
        <v>688</v>
      </c>
      <c r="J1075" t="b">
        <v>1</v>
      </c>
      <c r="L1075" t="s">
        <v>68</v>
      </c>
    </row>
    <row r="1076" spans="1:12" x14ac:dyDescent="0.2">
      <c r="A1076" t="s">
        <v>2234</v>
      </c>
      <c r="B1076" t="s">
        <v>2235</v>
      </c>
      <c r="C1076" s="1">
        <v>45030</v>
      </c>
      <c r="D1076" s="2">
        <v>45046</v>
      </c>
      <c r="E1076" t="s">
        <v>33</v>
      </c>
      <c r="F1076">
        <v>13219</v>
      </c>
      <c r="G1076">
        <v>447</v>
      </c>
      <c r="H1076" s="3">
        <v>334.85</v>
      </c>
      <c r="I1076">
        <v>61</v>
      </c>
      <c r="J1076" t="s">
        <v>15</v>
      </c>
      <c r="L1076" t="s">
        <v>34</v>
      </c>
    </row>
    <row r="1077" spans="1:12" x14ac:dyDescent="0.2">
      <c r="A1077" t="s">
        <v>2236</v>
      </c>
      <c r="B1077" t="s">
        <v>2237</v>
      </c>
      <c r="C1077" s="1">
        <v>44982</v>
      </c>
      <c r="D1077" s="2">
        <v>44998</v>
      </c>
      <c r="E1077" t="s">
        <v>33</v>
      </c>
      <c r="F1077">
        <v>1235</v>
      </c>
      <c r="G1077">
        <v>17</v>
      </c>
      <c r="H1077">
        <v>10.01</v>
      </c>
      <c r="I1077">
        <v>3</v>
      </c>
      <c r="J1077">
        <v>1</v>
      </c>
      <c r="L1077" t="s">
        <v>34</v>
      </c>
    </row>
    <row r="1078" spans="1:12" x14ac:dyDescent="0.2">
      <c r="A1078" t="s">
        <v>2238</v>
      </c>
      <c r="B1078" t="s">
        <v>2239</v>
      </c>
      <c r="C1078" s="1">
        <v>45165</v>
      </c>
      <c r="D1078" s="2">
        <v>45181</v>
      </c>
      <c r="E1078" t="s">
        <v>14</v>
      </c>
      <c r="F1078">
        <v>43929</v>
      </c>
      <c r="G1078">
        <v>1927</v>
      </c>
      <c r="H1078">
        <v>2960.04</v>
      </c>
      <c r="I1078">
        <v>287</v>
      </c>
      <c r="J1078">
        <v>0</v>
      </c>
      <c r="L1078" t="s">
        <v>16</v>
      </c>
    </row>
    <row r="1079" spans="1:12" x14ac:dyDescent="0.2">
      <c r="A1079" t="s">
        <v>2240</v>
      </c>
      <c r="B1079" t="s">
        <v>2241</v>
      </c>
      <c r="C1079" s="1">
        <v>45110</v>
      </c>
      <c r="D1079" s="2">
        <v>45117</v>
      </c>
      <c r="E1079" t="s">
        <v>23</v>
      </c>
      <c r="F1079">
        <v>68444</v>
      </c>
      <c r="G1079">
        <v>2138</v>
      </c>
      <c r="H1079">
        <v>3406.22</v>
      </c>
      <c r="I1079">
        <v>274</v>
      </c>
      <c r="J1079" t="s">
        <v>15</v>
      </c>
      <c r="L1079" t="s">
        <v>25</v>
      </c>
    </row>
    <row r="1080" spans="1:12" x14ac:dyDescent="0.2">
      <c r="A1080" t="s">
        <v>2242</v>
      </c>
      <c r="B1080" t="s">
        <v>2243</v>
      </c>
      <c r="C1080" s="1">
        <v>45084</v>
      </c>
      <c r="D1080" s="2">
        <v>45088</v>
      </c>
      <c r="E1080" t="s">
        <v>33</v>
      </c>
      <c r="F1080">
        <v>9567</v>
      </c>
      <c r="G1080">
        <v>417</v>
      </c>
      <c r="H1080">
        <v>237.88</v>
      </c>
      <c r="I1080">
        <v>22</v>
      </c>
      <c r="J1080">
        <v>0</v>
      </c>
      <c r="L1080" t="s">
        <v>34</v>
      </c>
    </row>
    <row r="1081" spans="1:12" x14ac:dyDescent="0.2">
      <c r="A1081" t="s">
        <v>2244</v>
      </c>
      <c r="B1081" t="s">
        <v>2245</v>
      </c>
      <c r="C1081" s="1">
        <v>44973</v>
      </c>
      <c r="D1081" s="2">
        <v>44979</v>
      </c>
      <c r="E1081" t="s">
        <v>33</v>
      </c>
      <c r="F1081">
        <v>71792</v>
      </c>
      <c r="G1081">
        <v>2384</v>
      </c>
      <c r="H1081" s="3">
        <v>4510.71</v>
      </c>
      <c r="I1081">
        <v>267</v>
      </c>
      <c r="J1081" t="b">
        <v>0</v>
      </c>
      <c r="L1081" t="s">
        <v>34</v>
      </c>
    </row>
    <row r="1082" spans="1:12" x14ac:dyDescent="0.2">
      <c r="A1082" t="s">
        <v>2246</v>
      </c>
      <c r="B1082" t="s">
        <v>2247</v>
      </c>
      <c r="C1082" s="2">
        <v>45287</v>
      </c>
      <c r="D1082" s="2">
        <v>45300</v>
      </c>
      <c r="E1082" t="s">
        <v>23</v>
      </c>
      <c r="F1082">
        <v>66441</v>
      </c>
      <c r="G1082">
        <v>2151</v>
      </c>
      <c r="H1082">
        <v>1369.57</v>
      </c>
      <c r="I1082">
        <v>204</v>
      </c>
      <c r="J1082" t="s">
        <v>24</v>
      </c>
      <c r="L1082" t="s">
        <v>25</v>
      </c>
    </row>
    <row r="1083" spans="1:12" x14ac:dyDescent="0.2">
      <c r="A1083" t="s">
        <v>2248</v>
      </c>
      <c r="B1083" t="s">
        <v>2249</v>
      </c>
      <c r="C1083" s="1">
        <v>45094</v>
      </c>
      <c r="D1083" s="2">
        <v>45112</v>
      </c>
      <c r="E1083" t="s">
        <v>23</v>
      </c>
      <c r="F1083">
        <v>85555</v>
      </c>
      <c r="G1083">
        <v>1215</v>
      </c>
      <c r="H1083">
        <v>1128.55</v>
      </c>
      <c r="J1083" t="s">
        <v>30</v>
      </c>
      <c r="L1083" t="s">
        <v>25</v>
      </c>
    </row>
    <row r="1084" spans="1:12" x14ac:dyDescent="0.2">
      <c r="A1084" t="s">
        <v>2250</v>
      </c>
      <c r="B1084" t="s">
        <v>2251</v>
      </c>
      <c r="C1084" s="2">
        <v>45109</v>
      </c>
      <c r="D1084" s="2">
        <v>44985</v>
      </c>
      <c r="E1084" t="s">
        <v>19</v>
      </c>
      <c r="F1084">
        <v>74698</v>
      </c>
      <c r="G1084">
        <v>1247</v>
      </c>
      <c r="H1084" s="3">
        <v>1881.21</v>
      </c>
      <c r="I1084">
        <v>101</v>
      </c>
      <c r="J1084">
        <v>1</v>
      </c>
      <c r="L1084" t="s">
        <v>20</v>
      </c>
    </row>
    <row r="1085" spans="1:12" x14ac:dyDescent="0.2">
      <c r="A1085" t="s">
        <v>2252</v>
      </c>
      <c r="B1085" t="s">
        <v>2253</v>
      </c>
      <c r="C1085" s="1">
        <v>45080</v>
      </c>
      <c r="D1085" s="2">
        <v>45101</v>
      </c>
      <c r="E1085" t="s">
        <v>23</v>
      </c>
      <c r="F1085">
        <v>6415</v>
      </c>
      <c r="G1085">
        <v>313</v>
      </c>
      <c r="H1085">
        <v>236.26</v>
      </c>
      <c r="I1085">
        <v>25</v>
      </c>
      <c r="J1085" t="b">
        <v>0</v>
      </c>
      <c r="L1085" t="s">
        <v>25</v>
      </c>
    </row>
    <row r="1086" spans="1:12" x14ac:dyDescent="0.2">
      <c r="A1086" t="s">
        <v>2254</v>
      </c>
      <c r="B1086" t="s">
        <v>2255</v>
      </c>
      <c r="C1086" s="1">
        <v>44942</v>
      </c>
      <c r="D1086" s="2">
        <v>44937</v>
      </c>
      <c r="E1086" t="s">
        <v>415</v>
      </c>
      <c r="F1086">
        <v>37159</v>
      </c>
      <c r="G1086">
        <v>711</v>
      </c>
      <c r="H1086">
        <v>414.6</v>
      </c>
      <c r="I1086">
        <v>55</v>
      </c>
      <c r="J1086" t="s">
        <v>15</v>
      </c>
      <c r="L1086" t="s">
        <v>34</v>
      </c>
    </row>
    <row r="1087" spans="1:12" x14ac:dyDescent="0.2">
      <c r="A1087" t="s">
        <v>2256</v>
      </c>
      <c r="B1087" t="s">
        <v>2257</v>
      </c>
      <c r="C1087" s="1">
        <v>45211</v>
      </c>
      <c r="D1087" s="2">
        <v>45239</v>
      </c>
      <c r="E1087" t="s">
        <v>14</v>
      </c>
      <c r="F1087">
        <v>44925</v>
      </c>
      <c r="G1087">
        <v>2205</v>
      </c>
      <c r="H1087">
        <v>2197.77</v>
      </c>
      <c r="I1087">
        <v>151</v>
      </c>
      <c r="J1087" t="s">
        <v>30</v>
      </c>
      <c r="L1087" t="s">
        <v>16</v>
      </c>
    </row>
    <row r="1088" spans="1:12" x14ac:dyDescent="0.2">
      <c r="A1088" t="s">
        <v>2258</v>
      </c>
      <c r="B1088" t="s">
        <v>2259</v>
      </c>
      <c r="C1088" s="1">
        <v>45163</v>
      </c>
      <c r="D1088" s="2">
        <v>45189</v>
      </c>
      <c r="E1088" t="s">
        <v>41</v>
      </c>
      <c r="F1088">
        <v>6951</v>
      </c>
      <c r="G1088">
        <v>217</v>
      </c>
      <c r="H1088">
        <v>357.82</v>
      </c>
      <c r="I1088">
        <v>20</v>
      </c>
      <c r="J1088" t="s">
        <v>24</v>
      </c>
      <c r="L1088" t="s">
        <v>42</v>
      </c>
    </row>
    <row r="1089" spans="1:12" x14ac:dyDescent="0.2">
      <c r="A1089" t="s">
        <v>2260</v>
      </c>
      <c r="B1089" t="s">
        <v>2261</v>
      </c>
      <c r="C1089" s="2">
        <v>45019</v>
      </c>
      <c r="D1089" s="2">
        <v>44992</v>
      </c>
      <c r="E1089" t="s">
        <v>14</v>
      </c>
      <c r="F1089">
        <v>88388</v>
      </c>
      <c r="G1089">
        <v>1363</v>
      </c>
      <c r="H1089">
        <v>1527.27</v>
      </c>
      <c r="I1089">
        <v>249</v>
      </c>
      <c r="J1089" t="b">
        <v>0</v>
      </c>
      <c r="L1089" t="s">
        <v>16</v>
      </c>
    </row>
    <row r="1090" spans="1:12" x14ac:dyDescent="0.2">
      <c r="A1090" t="s">
        <v>2262</v>
      </c>
      <c r="B1090" t="s">
        <v>2263</v>
      </c>
      <c r="C1090" s="1">
        <v>45040</v>
      </c>
      <c r="D1090" s="2">
        <v>45045</v>
      </c>
      <c r="E1090" t="s">
        <v>33</v>
      </c>
      <c r="F1090">
        <v>9007</v>
      </c>
      <c r="G1090">
        <v>125</v>
      </c>
      <c r="H1090">
        <v>184.93</v>
      </c>
      <c r="I1090">
        <v>20</v>
      </c>
      <c r="J1090" t="s">
        <v>24</v>
      </c>
      <c r="L1090" t="s">
        <v>34</v>
      </c>
    </row>
    <row r="1091" spans="1:12" x14ac:dyDescent="0.2">
      <c r="A1091" t="s">
        <v>2264</v>
      </c>
      <c r="B1091" t="s">
        <v>2265</v>
      </c>
      <c r="C1091" s="1">
        <v>45117</v>
      </c>
      <c r="D1091" s="2">
        <v>45139</v>
      </c>
      <c r="E1091" t="s">
        <v>23</v>
      </c>
      <c r="F1091">
        <v>42832</v>
      </c>
      <c r="G1091">
        <v>786</v>
      </c>
      <c r="H1091">
        <v>1076.3699999999999</v>
      </c>
      <c r="I1091">
        <v>125</v>
      </c>
      <c r="J1091" t="s">
        <v>24</v>
      </c>
      <c r="L1091" t="s">
        <v>25</v>
      </c>
    </row>
    <row r="1092" spans="1:12" x14ac:dyDescent="0.2">
      <c r="A1092" t="s">
        <v>2266</v>
      </c>
      <c r="B1092" t="s">
        <v>2267</v>
      </c>
      <c r="C1092" s="1">
        <v>44970</v>
      </c>
      <c r="D1092" s="2">
        <v>44975</v>
      </c>
      <c r="E1092" t="s">
        <v>33</v>
      </c>
      <c r="F1092">
        <v>59596</v>
      </c>
      <c r="G1092">
        <v>2802</v>
      </c>
      <c r="H1092">
        <v>1494.38</v>
      </c>
      <c r="I1092">
        <v>475</v>
      </c>
      <c r="J1092">
        <v>0</v>
      </c>
      <c r="L1092" t="s">
        <v>34</v>
      </c>
    </row>
    <row r="1093" spans="1:12" x14ac:dyDescent="0.2">
      <c r="A1093" t="s">
        <v>2268</v>
      </c>
      <c r="B1093" t="s">
        <v>2269</v>
      </c>
      <c r="C1093" s="2">
        <v>45140</v>
      </c>
      <c r="D1093" s="2">
        <v>44993</v>
      </c>
      <c r="E1093" t="s">
        <v>23</v>
      </c>
      <c r="F1093">
        <v>31523</v>
      </c>
      <c r="G1093">
        <v>837</v>
      </c>
      <c r="H1093">
        <v>1659.61</v>
      </c>
      <c r="I1093">
        <v>75</v>
      </c>
      <c r="J1093" t="s">
        <v>30</v>
      </c>
      <c r="L1093" t="s">
        <v>25</v>
      </c>
    </row>
    <row r="1094" spans="1:12" x14ac:dyDescent="0.2">
      <c r="A1094" t="s">
        <v>2270</v>
      </c>
      <c r="B1094" t="s">
        <v>2271</v>
      </c>
      <c r="C1094" s="1">
        <v>44960</v>
      </c>
      <c r="D1094" s="2">
        <v>44977</v>
      </c>
      <c r="E1094" t="s">
        <v>19</v>
      </c>
      <c r="F1094">
        <v>89861</v>
      </c>
      <c r="G1094">
        <v>2319</v>
      </c>
      <c r="H1094">
        <v>1303.6099999999999</v>
      </c>
      <c r="I1094">
        <v>424</v>
      </c>
      <c r="J1094">
        <v>0</v>
      </c>
      <c r="L1094" t="s">
        <v>20</v>
      </c>
    </row>
    <row r="1095" spans="1:12" x14ac:dyDescent="0.2">
      <c r="A1095" t="s">
        <v>2272</v>
      </c>
      <c r="B1095" t="s">
        <v>2273</v>
      </c>
      <c r="C1095" s="2">
        <v>45110</v>
      </c>
      <c r="D1095" s="2">
        <v>44997</v>
      </c>
      <c r="E1095" t="s">
        <v>19</v>
      </c>
      <c r="F1095">
        <v>87740</v>
      </c>
      <c r="G1095">
        <v>1976</v>
      </c>
      <c r="H1095" s="3">
        <v>3856.57</v>
      </c>
      <c r="I1095">
        <v>139</v>
      </c>
      <c r="J1095" t="s">
        <v>24</v>
      </c>
      <c r="L1095" t="s">
        <v>20</v>
      </c>
    </row>
    <row r="1096" spans="1:12" x14ac:dyDescent="0.2">
      <c r="A1096" t="s">
        <v>2274</v>
      </c>
      <c r="B1096" t="s">
        <v>2275</v>
      </c>
      <c r="C1096" s="1">
        <v>45096</v>
      </c>
      <c r="D1096" s="2">
        <v>45124</v>
      </c>
      <c r="E1096" t="s">
        <v>23</v>
      </c>
      <c r="F1096">
        <v>16524</v>
      </c>
      <c r="G1096">
        <v>262</v>
      </c>
      <c r="H1096">
        <v>347.1</v>
      </c>
      <c r="I1096">
        <v>26</v>
      </c>
      <c r="J1096" t="b">
        <v>0</v>
      </c>
      <c r="L1096" t="s">
        <v>25</v>
      </c>
    </row>
    <row r="1097" spans="1:12" x14ac:dyDescent="0.2">
      <c r="A1097" t="s">
        <v>2276</v>
      </c>
      <c r="B1097" t="s">
        <v>2277</v>
      </c>
      <c r="C1097" s="1">
        <v>44952</v>
      </c>
      <c r="D1097" s="2">
        <v>44977</v>
      </c>
      <c r="E1097" t="s">
        <v>14</v>
      </c>
      <c r="F1097">
        <v>20282</v>
      </c>
      <c r="G1097">
        <v>598</v>
      </c>
      <c r="H1097" s="3">
        <v>1162.95</v>
      </c>
      <c r="J1097" t="s">
        <v>24</v>
      </c>
      <c r="L1097" t="s">
        <v>68</v>
      </c>
    </row>
    <row r="1098" spans="1:12" x14ac:dyDescent="0.2">
      <c r="A1098" t="s">
        <v>2278</v>
      </c>
      <c r="B1098" t="s">
        <v>2279</v>
      </c>
      <c r="C1098" s="1">
        <v>45129</v>
      </c>
      <c r="D1098" s="2">
        <v>45132</v>
      </c>
      <c r="E1098" t="s">
        <v>23</v>
      </c>
      <c r="F1098">
        <v>24930</v>
      </c>
      <c r="G1098">
        <v>378</v>
      </c>
      <c r="H1098">
        <v>254.07</v>
      </c>
      <c r="I1098">
        <v>24</v>
      </c>
      <c r="J1098" t="s">
        <v>15</v>
      </c>
      <c r="L1098" t="s">
        <v>25</v>
      </c>
    </row>
    <row r="1099" spans="1:12" x14ac:dyDescent="0.2">
      <c r="A1099" t="s">
        <v>2280</v>
      </c>
      <c r="B1099" t="s">
        <v>2281</v>
      </c>
      <c r="C1099" s="1">
        <v>45145</v>
      </c>
      <c r="D1099" s="2">
        <v>45161</v>
      </c>
      <c r="E1099" t="s">
        <v>41</v>
      </c>
      <c r="F1099">
        <v>1077</v>
      </c>
      <c r="G1099">
        <v>46</v>
      </c>
      <c r="H1099">
        <v>56.84</v>
      </c>
      <c r="J1099" t="s">
        <v>24</v>
      </c>
      <c r="L1099" t="s">
        <v>42</v>
      </c>
    </row>
    <row r="1100" spans="1:12" x14ac:dyDescent="0.2">
      <c r="A1100" t="s">
        <v>2282</v>
      </c>
      <c r="B1100" t="s">
        <v>2283</v>
      </c>
      <c r="C1100" s="1">
        <v>45022</v>
      </c>
      <c r="D1100" s="2">
        <v>45039</v>
      </c>
      <c r="E1100" t="s">
        <v>41</v>
      </c>
      <c r="F1100">
        <v>21611</v>
      </c>
      <c r="G1100">
        <v>536</v>
      </c>
      <c r="H1100">
        <v>404.28</v>
      </c>
      <c r="J1100">
        <v>0</v>
      </c>
      <c r="L1100" t="s">
        <v>42</v>
      </c>
    </row>
    <row r="1101" spans="1:12" x14ac:dyDescent="0.2">
      <c r="A1101" t="s">
        <v>2284</v>
      </c>
      <c r="B1101" t="s">
        <v>2285</v>
      </c>
      <c r="C1101" t="s">
        <v>2286</v>
      </c>
      <c r="D1101" s="2">
        <v>45006</v>
      </c>
      <c r="E1101" t="s">
        <v>14</v>
      </c>
      <c r="F1101">
        <v>17984</v>
      </c>
      <c r="G1101">
        <v>449</v>
      </c>
      <c r="H1101" s="3">
        <v>258.83</v>
      </c>
      <c r="I1101">
        <v>75</v>
      </c>
      <c r="J1101" t="s">
        <v>30</v>
      </c>
      <c r="K1101">
        <v>18015</v>
      </c>
      <c r="L1101" t="s">
        <v>16</v>
      </c>
    </row>
    <row r="1102" spans="1:12" x14ac:dyDescent="0.2">
      <c r="A1102" t="s">
        <v>2287</v>
      </c>
      <c r="B1102" t="s">
        <v>2288</v>
      </c>
      <c r="C1102" s="1">
        <v>45244</v>
      </c>
      <c r="D1102" s="2">
        <v>45263</v>
      </c>
      <c r="E1102" t="s">
        <v>41</v>
      </c>
      <c r="F1102">
        <v>15060</v>
      </c>
      <c r="G1102">
        <v>436</v>
      </c>
      <c r="H1102">
        <v>621.86</v>
      </c>
      <c r="I1102">
        <v>54</v>
      </c>
      <c r="J1102" t="b">
        <v>0</v>
      </c>
      <c r="L1102" t="s">
        <v>42</v>
      </c>
    </row>
    <row r="1103" spans="1:12" x14ac:dyDescent="0.2">
      <c r="A1103" t="s">
        <v>2289</v>
      </c>
      <c r="B1103" t="s">
        <v>2290</v>
      </c>
      <c r="C1103" s="1">
        <v>45182</v>
      </c>
      <c r="D1103" s="2">
        <v>45188</v>
      </c>
      <c r="E1103" t="s">
        <v>14</v>
      </c>
      <c r="F1103">
        <v>83985</v>
      </c>
      <c r="G1103">
        <v>2331</v>
      </c>
      <c r="H1103">
        <v>1892.01</v>
      </c>
      <c r="J1103">
        <v>0</v>
      </c>
      <c r="L1103" t="s">
        <v>16</v>
      </c>
    </row>
    <row r="1104" spans="1:12" x14ac:dyDescent="0.2">
      <c r="A1104" t="s">
        <v>2291</v>
      </c>
      <c r="B1104" t="s">
        <v>2292</v>
      </c>
      <c r="C1104" s="2">
        <v>44928</v>
      </c>
      <c r="D1104" s="2">
        <v>44966</v>
      </c>
      <c r="E1104" t="s">
        <v>191</v>
      </c>
      <c r="F1104">
        <v>85056</v>
      </c>
      <c r="G1104">
        <v>4235</v>
      </c>
      <c r="H1104">
        <v>5850.85</v>
      </c>
      <c r="I1104">
        <v>678</v>
      </c>
      <c r="J1104" t="s">
        <v>24</v>
      </c>
      <c r="L1104" t="s">
        <v>42</v>
      </c>
    </row>
    <row r="1105" spans="1:12" x14ac:dyDescent="0.2">
      <c r="A1105" t="s">
        <v>2293</v>
      </c>
      <c r="B1105" t="s">
        <v>2294</v>
      </c>
      <c r="C1105" s="1">
        <v>45123</v>
      </c>
      <c r="D1105" s="2">
        <v>45144</v>
      </c>
      <c r="E1105" t="s">
        <v>33</v>
      </c>
      <c r="F1105">
        <v>44303</v>
      </c>
      <c r="G1105">
        <v>1409</v>
      </c>
      <c r="H1105" s="3">
        <v>941.98</v>
      </c>
      <c r="J1105" t="s">
        <v>15</v>
      </c>
      <c r="L1105" t="s">
        <v>34</v>
      </c>
    </row>
    <row r="1106" spans="1:12" x14ac:dyDescent="0.2">
      <c r="A1106" t="s">
        <v>2295</v>
      </c>
      <c r="B1106" t="s">
        <v>2296</v>
      </c>
      <c r="C1106" s="1">
        <v>45196</v>
      </c>
      <c r="D1106" s="2">
        <v>45221</v>
      </c>
      <c r="E1106" t="s">
        <v>19</v>
      </c>
      <c r="F1106">
        <v>60207</v>
      </c>
      <c r="G1106">
        <v>814</v>
      </c>
      <c r="H1106">
        <v>812.36</v>
      </c>
      <c r="I1106">
        <v>100</v>
      </c>
      <c r="J1106">
        <v>1</v>
      </c>
      <c r="L1106" t="s">
        <v>20</v>
      </c>
    </row>
    <row r="1107" spans="1:12" x14ac:dyDescent="0.2">
      <c r="A1107" t="s">
        <v>2297</v>
      </c>
      <c r="B1107" t="s">
        <v>2298</v>
      </c>
      <c r="C1107" s="1">
        <v>45205</v>
      </c>
      <c r="D1107" s="2">
        <v>45219</v>
      </c>
      <c r="E1107" t="s">
        <v>19</v>
      </c>
      <c r="F1107">
        <v>76046</v>
      </c>
      <c r="G1107">
        <v>2606</v>
      </c>
      <c r="H1107">
        <v>4358.3999999999996</v>
      </c>
      <c r="I1107">
        <v>159</v>
      </c>
      <c r="J1107" t="s">
        <v>15</v>
      </c>
      <c r="L1107" t="s">
        <v>20</v>
      </c>
    </row>
    <row r="1108" spans="1:12" x14ac:dyDescent="0.2">
      <c r="A1108" t="s">
        <v>2299</v>
      </c>
      <c r="B1108" t="s">
        <v>2300</v>
      </c>
      <c r="C1108" s="1">
        <v>45292</v>
      </c>
      <c r="D1108" s="2">
        <v>45319</v>
      </c>
      <c r="E1108" t="s">
        <v>33</v>
      </c>
      <c r="F1108">
        <v>30287</v>
      </c>
      <c r="G1108">
        <v>486</v>
      </c>
      <c r="H1108" s="3">
        <v>561.61</v>
      </c>
      <c r="I1108">
        <v>69</v>
      </c>
      <c r="J1108" t="s">
        <v>24</v>
      </c>
      <c r="L1108" t="s">
        <v>34</v>
      </c>
    </row>
    <row r="1109" spans="1:12" x14ac:dyDescent="0.2">
      <c r="A1109" t="s">
        <v>2301</v>
      </c>
      <c r="B1109" t="s">
        <v>2302</v>
      </c>
      <c r="C1109" s="1">
        <v>45175</v>
      </c>
      <c r="D1109" s="2">
        <v>45196</v>
      </c>
      <c r="E1109" t="s">
        <v>14</v>
      </c>
      <c r="F1109">
        <v>94709</v>
      </c>
      <c r="G1109">
        <v>1064</v>
      </c>
      <c r="H1109" s="3">
        <v>1533.88</v>
      </c>
      <c r="I1109">
        <v>159</v>
      </c>
      <c r="J1109" t="s">
        <v>15</v>
      </c>
      <c r="L1109" t="s">
        <v>16</v>
      </c>
    </row>
    <row r="1110" spans="1:12" x14ac:dyDescent="0.2">
      <c r="A1110" t="s">
        <v>2303</v>
      </c>
      <c r="B1110" t="s">
        <v>2304</v>
      </c>
      <c r="C1110" s="1">
        <v>45091</v>
      </c>
      <c r="D1110" s="2">
        <v>45103</v>
      </c>
      <c r="E1110" t="s">
        <v>23</v>
      </c>
      <c r="F1110">
        <v>40711</v>
      </c>
      <c r="G1110">
        <v>1987</v>
      </c>
      <c r="H1110">
        <v>2923.25</v>
      </c>
      <c r="I1110">
        <v>212</v>
      </c>
      <c r="J1110">
        <v>1</v>
      </c>
      <c r="L1110" t="s">
        <v>25</v>
      </c>
    </row>
    <row r="1111" spans="1:12" x14ac:dyDescent="0.2">
      <c r="A1111" t="s">
        <v>2305</v>
      </c>
      <c r="B1111" t="s">
        <v>2306</v>
      </c>
      <c r="C1111" s="2">
        <v>45090</v>
      </c>
      <c r="D1111" s="2">
        <v>45085</v>
      </c>
      <c r="E1111" t="s">
        <v>19</v>
      </c>
      <c r="F1111">
        <v>12954</v>
      </c>
      <c r="G1111">
        <v>530</v>
      </c>
      <c r="H1111">
        <v>935.79</v>
      </c>
      <c r="I1111">
        <v>102</v>
      </c>
      <c r="J1111" t="s">
        <v>15</v>
      </c>
      <c r="L1111" t="s">
        <v>20</v>
      </c>
    </row>
    <row r="1112" spans="1:12" x14ac:dyDescent="0.2">
      <c r="A1112" t="s">
        <v>2307</v>
      </c>
      <c r="B1112" t="s">
        <v>2308</v>
      </c>
      <c r="C1112" t="s">
        <v>806</v>
      </c>
      <c r="D1112" s="2">
        <v>45097</v>
      </c>
      <c r="E1112" t="s">
        <v>14</v>
      </c>
      <c r="F1112">
        <v>74340</v>
      </c>
      <c r="G1112">
        <v>3657</v>
      </c>
      <c r="H1112">
        <v>3610.86</v>
      </c>
      <c r="I1112">
        <v>662</v>
      </c>
      <c r="J1112">
        <v>1</v>
      </c>
      <c r="L1112" t="s">
        <v>16</v>
      </c>
    </row>
    <row r="1113" spans="1:12" x14ac:dyDescent="0.2">
      <c r="A1113" t="s">
        <v>2309</v>
      </c>
      <c r="B1113" t="s">
        <v>2310</v>
      </c>
      <c r="C1113" s="1">
        <v>45168</v>
      </c>
      <c r="D1113" s="2">
        <v>45177</v>
      </c>
      <c r="E1113" t="s">
        <v>41</v>
      </c>
      <c r="F1113">
        <v>73101</v>
      </c>
      <c r="G1113">
        <v>2128</v>
      </c>
      <c r="H1113">
        <v>3257.85</v>
      </c>
      <c r="I1113">
        <v>332</v>
      </c>
      <c r="J1113" t="s">
        <v>24</v>
      </c>
      <c r="K1113">
        <v>73116</v>
      </c>
      <c r="L1113" t="s">
        <v>42</v>
      </c>
    </row>
    <row r="1114" spans="1:12" x14ac:dyDescent="0.2">
      <c r="A1114" t="s">
        <v>2311</v>
      </c>
      <c r="B1114" t="s">
        <v>2312</v>
      </c>
      <c r="C1114" s="1">
        <v>45046</v>
      </c>
      <c r="D1114" s="2">
        <v>45060</v>
      </c>
      <c r="E1114" t="s">
        <v>14</v>
      </c>
      <c r="F1114">
        <v>72520</v>
      </c>
      <c r="G1114">
        <v>2269</v>
      </c>
      <c r="H1114">
        <v>4407.3599999999997</v>
      </c>
      <c r="I1114">
        <v>356</v>
      </c>
      <c r="J1114">
        <v>1</v>
      </c>
      <c r="L1114" t="s">
        <v>16</v>
      </c>
    </row>
    <row r="1115" spans="1:12" x14ac:dyDescent="0.2">
      <c r="A1115" t="s">
        <v>2313</v>
      </c>
      <c r="B1115" t="s">
        <v>2314</v>
      </c>
      <c r="C1115" s="1">
        <v>45263</v>
      </c>
      <c r="D1115" s="2">
        <v>45265</v>
      </c>
      <c r="E1115" t="s">
        <v>41</v>
      </c>
      <c r="F1115">
        <v>88062</v>
      </c>
      <c r="G1115">
        <v>1473</v>
      </c>
      <c r="H1115">
        <v>2349.9699999999998</v>
      </c>
      <c r="I1115">
        <v>129</v>
      </c>
      <c r="J1115">
        <v>0</v>
      </c>
      <c r="L1115" t="s">
        <v>42</v>
      </c>
    </row>
    <row r="1116" spans="1:12" x14ac:dyDescent="0.2">
      <c r="A1116" t="s">
        <v>2315</v>
      </c>
      <c r="B1116" t="s">
        <v>2316</v>
      </c>
      <c r="C1116" s="1">
        <v>44955</v>
      </c>
      <c r="D1116" s="2">
        <v>44980</v>
      </c>
      <c r="E1116" t="s">
        <v>19</v>
      </c>
      <c r="F1116">
        <v>19574</v>
      </c>
      <c r="G1116">
        <v>389</v>
      </c>
      <c r="H1116">
        <v>480.34</v>
      </c>
      <c r="I1116">
        <v>57</v>
      </c>
      <c r="J1116">
        <v>0</v>
      </c>
      <c r="L1116" t="s">
        <v>20</v>
      </c>
    </row>
    <row r="1117" spans="1:12" x14ac:dyDescent="0.2">
      <c r="A1117" t="s">
        <v>2317</v>
      </c>
      <c r="B1117" t="s">
        <v>2318</v>
      </c>
      <c r="C1117" s="1">
        <v>45221</v>
      </c>
      <c r="D1117" s="2">
        <v>45235</v>
      </c>
      <c r="E1117" t="s">
        <v>41</v>
      </c>
      <c r="F1117">
        <v>10184</v>
      </c>
      <c r="G1117">
        <v>443</v>
      </c>
      <c r="H1117">
        <v>640.61</v>
      </c>
      <c r="J1117">
        <v>1</v>
      </c>
      <c r="L1117" t="s">
        <v>42</v>
      </c>
    </row>
    <row r="1118" spans="1:12" x14ac:dyDescent="0.2">
      <c r="A1118" t="s">
        <v>2319</v>
      </c>
      <c r="B1118" t="s">
        <v>2320</v>
      </c>
      <c r="C1118" s="1">
        <v>45108</v>
      </c>
      <c r="D1118" s="2">
        <v>45110</v>
      </c>
      <c r="E1118" t="s">
        <v>234</v>
      </c>
      <c r="F1118">
        <v>20096</v>
      </c>
      <c r="G1118">
        <v>487</v>
      </c>
      <c r="H1118">
        <v>783.84</v>
      </c>
      <c r="I1118">
        <v>34</v>
      </c>
      <c r="J1118" t="b">
        <v>0</v>
      </c>
      <c r="L1118" t="s">
        <v>16</v>
      </c>
    </row>
    <row r="1119" spans="1:12" x14ac:dyDescent="0.2">
      <c r="A1119" t="s">
        <v>2321</v>
      </c>
      <c r="B1119" t="s">
        <v>2322</v>
      </c>
      <c r="C1119" s="1">
        <v>45015</v>
      </c>
      <c r="D1119" s="2">
        <v>45043</v>
      </c>
      <c r="E1119" t="s">
        <v>19</v>
      </c>
      <c r="F1119">
        <v>68728</v>
      </c>
      <c r="G1119">
        <v>2960</v>
      </c>
      <c r="H1119">
        <v>4198.5</v>
      </c>
      <c r="I1119">
        <v>591</v>
      </c>
      <c r="J1119" t="s">
        <v>30</v>
      </c>
      <c r="L1119" t="s">
        <v>20</v>
      </c>
    </row>
    <row r="1120" spans="1:12" x14ac:dyDescent="0.2">
      <c r="A1120" t="s">
        <v>2323</v>
      </c>
      <c r="B1120" t="s">
        <v>2324</v>
      </c>
      <c r="C1120" s="1">
        <v>45284</v>
      </c>
      <c r="D1120" s="2">
        <v>45295</v>
      </c>
      <c r="E1120" t="s">
        <v>41</v>
      </c>
      <c r="F1120">
        <v>35016</v>
      </c>
      <c r="G1120">
        <v>1343</v>
      </c>
      <c r="H1120">
        <v>705.09</v>
      </c>
      <c r="I1120">
        <v>192</v>
      </c>
      <c r="J1120" t="b">
        <v>0</v>
      </c>
      <c r="L1120" t="s">
        <v>42</v>
      </c>
    </row>
    <row r="1121" spans="1:12" x14ac:dyDescent="0.2">
      <c r="A1121" t="s">
        <v>2325</v>
      </c>
      <c r="B1121" t="s">
        <v>2326</v>
      </c>
      <c r="C1121" s="1">
        <v>45287</v>
      </c>
      <c r="D1121" s="2">
        <v>45312</v>
      </c>
      <c r="E1121" t="s">
        <v>23</v>
      </c>
      <c r="F1121">
        <v>12246</v>
      </c>
      <c r="G1121">
        <v>209</v>
      </c>
      <c r="H1121" s="3">
        <v>165.56</v>
      </c>
      <c r="I1121">
        <v>23</v>
      </c>
      <c r="J1121">
        <v>1</v>
      </c>
      <c r="L1121" t="s">
        <v>25</v>
      </c>
    </row>
    <row r="1122" spans="1:12" x14ac:dyDescent="0.2">
      <c r="A1122" t="s">
        <v>2327</v>
      </c>
      <c r="B1122" t="s">
        <v>2328</v>
      </c>
      <c r="C1122" s="1">
        <v>45215</v>
      </c>
      <c r="D1122" s="2">
        <v>45228</v>
      </c>
      <c r="E1122" t="s">
        <v>33</v>
      </c>
      <c r="F1122">
        <v>46558</v>
      </c>
      <c r="G1122">
        <v>1410</v>
      </c>
      <c r="H1122">
        <v>2419.14</v>
      </c>
      <c r="I1122">
        <v>131</v>
      </c>
      <c r="J1122" t="s">
        <v>30</v>
      </c>
      <c r="L1122" t="s">
        <v>34</v>
      </c>
    </row>
    <row r="1123" spans="1:12" x14ac:dyDescent="0.2">
      <c r="A1123" t="s">
        <v>2329</v>
      </c>
      <c r="B1123" t="s">
        <v>2330</v>
      </c>
      <c r="C1123" s="1">
        <v>45179</v>
      </c>
      <c r="D1123" s="2">
        <v>45180</v>
      </c>
      <c r="E1123" t="s">
        <v>14</v>
      </c>
      <c r="F1123">
        <v>19381</v>
      </c>
      <c r="G1123">
        <v>718</v>
      </c>
      <c r="H1123" s="3">
        <v>652.64</v>
      </c>
      <c r="I1123">
        <v>100</v>
      </c>
      <c r="J1123">
        <v>0</v>
      </c>
      <c r="L1123" t="s">
        <v>16</v>
      </c>
    </row>
    <row r="1124" spans="1:12" x14ac:dyDescent="0.2">
      <c r="A1124" t="s">
        <v>2331</v>
      </c>
      <c r="B1124" t="s">
        <v>2332</v>
      </c>
      <c r="C1124" t="s">
        <v>2333</v>
      </c>
      <c r="D1124" s="2">
        <v>44953</v>
      </c>
      <c r="E1124" t="s">
        <v>19</v>
      </c>
      <c r="F1124">
        <v>37455</v>
      </c>
      <c r="G1124">
        <v>726</v>
      </c>
      <c r="H1124">
        <v>1159.67</v>
      </c>
      <c r="I1124">
        <v>41</v>
      </c>
      <c r="J1124" t="s">
        <v>30</v>
      </c>
      <c r="L1124" t="s">
        <v>20</v>
      </c>
    </row>
    <row r="1125" spans="1:12" x14ac:dyDescent="0.2">
      <c r="A1125" t="s">
        <v>2334</v>
      </c>
      <c r="B1125" t="s">
        <v>2335</v>
      </c>
      <c r="C1125" s="2">
        <v>45046</v>
      </c>
      <c r="D1125" s="2">
        <v>45068</v>
      </c>
      <c r="E1125" t="s">
        <v>23</v>
      </c>
      <c r="F1125">
        <v>93263</v>
      </c>
      <c r="G1125">
        <v>4031</v>
      </c>
      <c r="H1125" s="3">
        <v>4265.5200000000004</v>
      </c>
      <c r="I1125">
        <v>258</v>
      </c>
      <c r="J1125">
        <v>1</v>
      </c>
      <c r="L1125" t="s">
        <v>25</v>
      </c>
    </row>
    <row r="1126" spans="1:12" x14ac:dyDescent="0.2">
      <c r="A1126" t="s">
        <v>2336</v>
      </c>
      <c r="B1126" t="s">
        <v>2337</v>
      </c>
      <c r="C1126" s="2">
        <v>44966</v>
      </c>
      <c r="D1126" s="2">
        <v>45195</v>
      </c>
      <c r="E1126" t="s">
        <v>33</v>
      </c>
      <c r="F1126">
        <v>5018</v>
      </c>
      <c r="G1126">
        <v>159</v>
      </c>
      <c r="H1126">
        <v>203.97</v>
      </c>
      <c r="I1126">
        <v>8</v>
      </c>
      <c r="J1126">
        <v>0</v>
      </c>
      <c r="L1126" t="s">
        <v>34</v>
      </c>
    </row>
    <row r="1127" spans="1:12" x14ac:dyDescent="0.2">
      <c r="A1127" t="s">
        <v>2338</v>
      </c>
      <c r="B1127" t="s">
        <v>2339</v>
      </c>
      <c r="C1127" s="1">
        <v>45241</v>
      </c>
      <c r="D1127" s="2">
        <v>45271</v>
      </c>
      <c r="E1127" t="s">
        <v>14</v>
      </c>
      <c r="F1127">
        <v>12302</v>
      </c>
      <c r="G1127">
        <v>204</v>
      </c>
      <c r="H1127">
        <v>-122.8</v>
      </c>
      <c r="I1127">
        <v>25</v>
      </c>
      <c r="J1127" t="s">
        <v>30</v>
      </c>
      <c r="L1127" t="s">
        <v>16</v>
      </c>
    </row>
    <row r="1128" spans="1:12" x14ac:dyDescent="0.2">
      <c r="A1128" t="s">
        <v>2340</v>
      </c>
      <c r="B1128" t="s">
        <v>2341</v>
      </c>
      <c r="C1128" s="1">
        <v>45017</v>
      </c>
      <c r="D1128" s="2">
        <v>45029</v>
      </c>
      <c r="E1128" t="s">
        <v>41</v>
      </c>
      <c r="F1128">
        <v>68506</v>
      </c>
      <c r="G1128">
        <v>2282</v>
      </c>
      <c r="H1128">
        <v>1761.34</v>
      </c>
      <c r="I1128">
        <v>319</v>
      </c>
      <c r="J1128" t="s">
        <v>30</v>
      </c>
      <c r="L1128" t="s">
        <v>42</v>
      </c>
    </row>
    <row r="1129" spans="1:12" x14ac:dyDescent="0.2">
      <c r="A1129" t="s">
        <v>2342</v>
      </c>
      <c r="B1129" t="s">
        <v>2343</v>
      </c>
      <c r="C1129" t="s">
        <v>2344</v>
      </c>
      <c r="D1129" s="2">
        <v>45105</v>
      </c>
      <c r="E1129" t="s">
        <v>14</v>
      </c>
      <c r="F1129">
        <v>42157</v>
      </c>
      <c r="G1129">
        <v>2107</v>
      </c>
      <c r="H1129">
        <v>4078.72</v>
      </c>
      <c r="I1129">
        <v>125</v>
      </c>
      <c r="J1129" t="b">
        <v>0</v>
      </c>
      <c r="L1129" t="s">
        <v>16</v>
      </c>
    </row>
    <row r="1130" spans="1:12" x14ac:dyDescent="0.2">
      <c r="A1130" t="s">
        <v>2345</v>
      </c>
      <c r="B1130" t="s">
        <v>2346</v>
      </c>
      <c r="C1130" s="1">
        <v>45002</v>
      </c>
      <c r="D1130" s="2">
        <v>45017</v>
      </c>
      <c r="E1130" t="s">
        <v>33</v>
      </c>
      <c r="F1130">
        <v>55917</v>
      </c>
      <c r="G1130">
        <v>895</v>
      </c>
      <c r="H1130">
        <v>1642.51</v>
      </c>
      <c r="I1130">
        <v>141</v>
      </c>
      <c r="J1130" t="s">
        <v>30</v>
      </c>
      <c r="L1130" t="s">
        <v>34</v>
      </c>
    </row>
    <row r="1131" spans="1:12" x14ac:dyDescent="0.2">
      <c r="A1131" t="s">
        <v>2347</v>
      </c>
      <c r="B1131" t="s">
        <v>2348</v>
      </c>
      <c r="C1131" s="1">
        <v>44983</v>
      </c>
      <c r="D1131" s="2">
        <v>45003</v>
      </c>
      <c r="E1131" t="s">
        <v>23</v>
      </c>
      <c r="F1131">
        <v>93738</v>
      </c>
      <c r="G1131">
        <v>3999</v>
      </c>
      <c r="H1131">
        <v>5912.17</v>
      </c>
      <c r="I1131">
        <v>338</v>
      </c>
      <c r="J1131" t="s">
        <v>24</v>
      </c>
      <c r="L1131" t="s">
        <v>25</v>
      </c>
    </row>
    <row r="1132" spans="1:12" x14ac:dyDescent="0.2">
      <c r="A1132" t="s">
        <v>2349</v>
      </c>
      <c r="B1132" t="s">
        <v>2350</v>
      </c>
      <c r="C1132" s="1">
        <v>44964</v>
      </c>
      <c r="D1132" s="2">
        <v>44991</v>
      </c>
      <c r="E1132" t="s">
        <v>23</v>
      </c>
      <c r="F1132">
        <v>97646</v>
      </c>
      <c r="G1132">
        <v>1786</v>
      </c>
      <c r="H1132">
        <v>2124.39</v>
      </c>
      <c r="I1132">
        <v>272</v>
      </c>
      <c r="J1132">
        <v>1</v>
      </c>
      <c r="L1132" t="s">
        <v>25</v>
      </c>
    </row>
    <row r="1133" spans="1:12" x14ac:dyDescent="0.2">
      <c r="A1133" t="s">
        <v>2351</v>
      </c>
      <c r="B1133" t="s">
        <v>2352</v>
      </c>
      <c r="C1133" s="1">
        <v>45129</v>
      </c>
      <c r="D1133" s="2">
        <v>45157</v>
      </c>
      <c r="E1133" t="s">
        <v>19</v>
      </c>
      <c r="F1133">
        <v>84122</v>
      </c>
      <c r="G1133">
        <v>3473</v>
      </c>
      <c r="H1133">
        <v>5256.88</v>
      </c>
      <c r="I1133">
        <v>685</v>
      </c>
      <c r="J1133" t="b">
        <v>1</v>
      </c>
      <c r="L1133" t="s">
        <v>20</v>
      </c>
    </row>
    <row r="1134" spans="1:12" x14ac:dyDescent="0.2">
      <c r="A1134" t="s">
        <v>2353</v>
      </c>
      <c r="B1134" t="s">
        <v>2354</v>
      </c>
      <c r="C1134" s="1">
        <v>45092</v>
      </c>
      <c r="D1134" s="2">
        <v>45100</v>
      </c>
      <c r="E1134" t="s">
        <v>19</v>
      </c>
      <c r="F1134">
        <v>25519</v>
      </c>
      <c r="G1134">
        <v>1005</v>
      </c>
      <c r="H1134">
        <v>1435.06</v>
      </c>
      <c r="I1134">
        <v>154</v>
      </c>
      <c r="J1134" t="b">
        <v>1</v>
      </c>
      <c r="L1134" t="s">
        <v>20</v>
      </c>
    </row>
    <row r="1135" spans="1:12" x14ac:dyDescent="0.2">
      <c r="A1135" t="s">
        <v>2355</v>
      </c>
      <c r="B1135" t="s">
        <v>2356</v>
      </c>
      <c r="C1135" s="1">
        <v>45150</v>
      </c>
      <c r="D1135" s="2">
        <v>45174</v>
      </c>
      <c r="E1135" t="s">
        <v>23</v>
      </c>
      <c r="F1135">
        <v>97809</v>
      </c>
      <c r="G1135">
        <v>2153</v>
      </c>
      <c r="H1135">
        <v>2912.64</v>
      </c>
      <c r="I1135">
        <v>392</v>
      </c>
      <c r="J1135" t="b">
        <v>1</v>
      </c>
      <c r="L1135" t="s">
        <v>25</v>
      </c>
    </row>
    <row r="1136" spans="1:12" x14ac:dyDescent="0.2">
      <c r="A1136" t="s">
        <v>2357</v>
      </c>
      <c r="B1136" t="s">
        <v>2358</v>
      </c>
      <c r="C1136" s="1">
        <v>45259</v>
      </c>
      <c r="D1136" s="2">
        <v>45289</v>
      </c>
      <c r="E1136" t="s">
        <v>23</v>
      </c>
      <c r="F1136">
        <v>88487</v>
      </c>
      <c r="G1136">
        <v>2038</v>
      </c>
      <c r="H1136">
        <v>1199.9000000000001</v>
      </c>
      <c r="I1136">
        <v>391</v>
      </c>
      <c r="J1136">
        <v>1</v>
      </c>
      <c r="L1136" t="s">
        <v>25</v>
      </c>
    </row>
    <row r="1137" spans="1:12" x14ac:dyDescent="0.2">
      <c r="A1137" t="s">
        <v>2359</v>
      </c>
      <c r="B1137" t="s">
        <v>2360</v>
      </c>
      <c r="C1137" s="1">
        <v>45214</v>
      </c>
      <c r="D1137" s="2">
        <v>45219</v>
      </c>
      <c r="E1137" t="s">
        <v>41</v>
      </c>
      <c r="F1137">
        <v>57819</v>
      </c>
      <c r="G1137">
        <v>2411</v>
      </c>
      <c r="H1137">
        <v>3494.03</v>
      </c>
      <c r="I1137">
        <v>296</v>
      </c>
      <c r="J1137" t="b">
        <v>1</v>
      </c>
      <c r="L1137" t="s">
        <v>42</v>
      </c>
    </row>
    <row r="1138" spans="1:12" x14ac:dyDescent="0.2">
      <c r="A1138" t="s">
        <v>2361</v>
      </c>
      <c r="B1138" t="s">
        <v>2362</v>
      </c>
      <c r="C1138" s="1">
        <v>45109</v>
      </c>
      <c r="D1138" s="2">
        <v>45125</v>
      </c>
      <c r="E1138" t="s">
        <v>19</v>
      </c>
      <c r="F1138">
        <v>81910</v>
      </c>
      <c r="G1138">
        <v>2330</v>
      </c>
      <c r="H1138" s="3">
        <v>3852.38</v>
      </c>
      <c r="I1138">
        <v>361</v>
      </c>
      <c r="J1138" t="b">
        <v>0</v>
      </c>
      <c r="L1138" t="s">
        <v>20</v>
      </c>
    </row>
    <row r="1139" spans="1:12" x14ac:dyDescent="0.2">
      <c r="A1139" t="s">
        <v>2363</v>
      </c>
      <c r="B1139" t="s">
        <v>2364</v>
      </c>
      <c r="C1139" s="1">
        <v>45016</v>
      </c>
      <c r="D1139" s="2">
        <v>45036</v>
      </c>
      <c r="E1139" t="s">
        <v>23</v>
      </c>
      <c r="F1139">
        <v>72324</v>
      </c>
      <c r="G1139">
        <v>2837</v>
      </c>
      <c r="H1139">
        <v>5648.81</v>
      </c>
      <c r="I1139">
        <v>504</v>
      </c>
      <c r="J1139">
        <v>1</v>
      </c>
      <c r="L1139" t="s">
        <v>25</v>
      </c>
    </row>
    <row r="1140" spans="1:12" x14ac:dyDescent="0.2">
      <c r="A1140" t="s">
        <v>2365</v>
      </c>
      <c r="B1140" t="s">
        <v>2366</v>
      </c>
      <c r="C1140" s="1">
        <v>45077</v>
      </c>
      <c r="D1140" s="2">
        <v>45103</v>
      </c>
      <c r="E1140" t="s">
        <v>23</v>
      </c>
      <c r="F1140">
        <v>6408</v>
      </c>
      <c r="G1140">
        <v>102</v>
      </c>
      <c r="H1140">
        <v>52.7</v>
      </c>
      <c r="J1140" t="s">
        <v>24</v>
      </c>
      <c r="L1140" t="s">
        <v>25</v>
      </c>
    </row>
    <row r="1141" spans="1:12" x14ac:dyDescent="0.2">
      <c r="A1141" t="s">
        <v>2367</v>
      </c>
      <c r="B1141" t="s">
        <v>2368</v>
      </c>
      <c r="C1141" s="1">
        <v>45286</v>
      </c>
      <c r="D1141" s="2">
        <v>45303</v>
      </c>
      <c r="E1141" t="s">
        <v>19</v>
      </c>
      <c r="F1141">
        <v>60379</v>
      </c>
      <c r="G1141">
        <v>2662</v>
      </c>
      <c r="H1141">
        <v>4246.58</v>
      </c>
      <c r="I1141">
        <v>237</v>
      </c>
      <c r="J1141">
        <v>0</v>
      </c>
      <c r="L1141" t="s">
        <v>20</v>
      </c>
    </row>
    <row r="1142" spans="1:12" x14ac:dyDescent="0.2">
      <c r="A1142" t="s">
        <v>2369</v>
      </c>
      <c r="B1142" t="s">
        <v>2370</v>
      </c>
      <c r="C1142" t="s">
        <v>2225</v>
      </c>
      <c r="D1142" s="2">
        <v>45246</v>
      </c>
      <c r="E1142" t="s">
        <v>19</v>
      </c>
      <c r="F1142">
        <v>26053</v>
      </c>
      <c r="G1142">
        <v>1001</v>
      </c>
      <c r="H1142" s="3">
        <v>1359.04</v>
      </c>
      <c r="I1142">
        <v>192</v>
      </c>
      <c r="J1142" t="s">
        <v>24</v>
      </c>
      <c r="L1142" t="s">
        <v>20</v>
      </c>
    </row>
    <row r="1143" spans="1:12" x14ac:dyDescent="0.2">
      <c r="A1143" t="s">
        <v>2371</v>
      </c>
      <c r="B1143" t="s">
        <v>2372</v>
      </c>
      <c r="C1143" s="1">
        <v>45235</v>
      </c>
      <c r="D1143" s="2">
        <v>45249</v>
      </c>
      <c r="E1143" t="s">
        <v>41</v>
      </c>
      <c r="F1143">
        <v>10446</v>
      </c>
      <c r="G1143">
        <v>483</v>
      </c>
      <c r="H1143">
        <v>555.97</v>
      </c>
      <c r="J1143">
        <v>1</v>
      </c>
      <c r="L1143" t="s">
        <v>42</v>
      </c>
    </row>
    <row r="1144" spans="1:12" x14ac:dyDescent="0.2">
      <c r="A1144" t="s">
        <v>2373</v>
      </c>
      <c r="B1144" t="s">
        <v>2374</v>
      </c>
      <c r="C1144" s="1">
        <v>45240</v>
      </c>
      <c r="D1144" s="2">
        <v>45261</v>
      </c>
      <c r="E1144" t="s">
        <v>138</v>
      </c>
      <c r="F1144">
        <v>1922</v>
      </c>
      <c r="G1144">
        <v>29</v>
      </c>
      <c r="H1144">
        <v>-20.05</v>
      </c>
      <c r="I1144">
        <v>2</v>
      </c>
      <c r="J1144">
        <v>1</v>
      </c>
      <c r="L1144" t="s">
        <v>139</v>
      </c>
    </row>
    <row r="1145" spans="1:12" x14ac:dyDescent="0.2">
      <c r="A1145" t="s">
        <v>2375</v>
      </c>
      <c r="B1145" t="s">
        <v>2376</v>
      </c>
      <c r="C1145" s="1">
        <v>45181</v>
      </c>
      <c r="D1145" s="2">
        <v>45209</v>
      </c>
      <c r="E1145" t="s">
        <v>23</v>
      </c>
      <c r="F1145">
        <v>99723</v>
      </c>
      <c r="G1145">
        <v>3362</v>
      </c>
      <c r="H1145">
        <v>3744.02</v>
      </c>
      <c r="I1145">
        <v>394</v>
      </c>
      <c r="J1145" t="s">
        <v>30</v>
      </c>
      <c r="L1145" t="s">
        <v>25</v>
      </c>
    </row>
    <row r="1146" spans="1:12" x14ac:dyDescent="0.2">
      <c r="A1146" t="s">
        <v>2377</v>
      </c>
      <c r="B1146" t="s">
        <v>2378</v>
      </c>
      <c r="C1146" s="1">
        <v>45048</v>
      </c>
      <c r="D1146" s="2">
        <v>45073</v>
      </c>
      <c r="E1146" t="s">
        <v>41</v>
      </c>
      <c r="F1146">
        <v>52356</v>
      </c>
      <c r="G1146">
        <v>1778</v>
      </c>
      <c r="H1146">
        <v>1834.12</v>
      </c>
      <c r="I1146">
        <v>301</v>
      </c>
      <c r="J1146" t="s">
        <v>30</v>
      </c>
      <c r="L1146" t="s">
        <v>42</v>
      </c>
    </row>
    <row r="1147" spans="1:12" x14ac:dyDescent="0.2">
      <c r="A1147" t="s">
        <v>2379</v>
      </c>
      <c r="B1147" t="s">
        <v>2380</v>
      </c>
      <c r="C1147" s="2">
        <v>45252</v>
      </c>
      <c r="D1147" s="2">
        <v>45273</v>
      </c>
      <c r="E1147" t="s">
        <v>19</v>
      </c>
      <c r="F1147">
        <v>11789</v>
      </c>
      <c r="G1147">
        <v>284</v>
      </c>
      <c r="H1147">
        <v>271.01</v>
      </c>
      <c r="I1147">
        <v>37</v>
      </c>
      <c r="J1147" t="s">
        <v>30</v>
      </c>
      <c r="L1147" t="s">
        <v>20</v>
      </c>
    </row>
    <row r="1148" spans="1:12" x14ac:dyDescent="0.2">
      <c r="A1148" t="s">
        <v>2381</v>
      </c>
      <c r="B1148" t="s">
        <v>2382</v>
      </c>
      <c r="C1148" s="1">
        <v>45289</v>
      </c>
      <c r="D1148" s="2">
        <v>45295</v>
      </c>
      <c r="E1148" t="s">
        <v>415</v>
      </c>
      <c r="F1148">
        <v>98720</v>
      </c>
      <c r="G1148">
        <v>2797</v>
      </c>
      <c r="H1148">
        <v>4464.91</v>
      </c>
      <c r="I1148">
        <v>412</v>
      </c>
      <c r="J1148" t="s">
        <v>15</v>
      </c>
      <c r="L1148" t="s">
        <v>34</v>
      </c>
    </row>
    <row r="1149" spans="1:12" x14ac:dyDescent="0.2">
      <c r="A1149" t="s">
        <v>2383</v>
      </c>
      <c r="B1149" t="s">
        <v>2384</v>
      </c>
      <c r="C1149" s="1">
        <v>45098</v>
      </c>
      <c r="D1149" s="2">
        <v>45106</v>
      </c>
      <c r="E1149" t="s">
        <v>14</v>
      </c>
      <c r="F1149">
        <v>67656</v>
      </c>
      <c r="G1149">
        <v>779</v>
      </c>
      <c r="H1149">
        <v>1208.3</v>
      </c>
      <c r="I1149">
        <v>127</v>
      </c>
      <c r="J1149" t="b">
        <v>0</v>
      </c>
      <c r="L1149" t="s">
        <v>16</v>
      </c>
    </row>
    <row r="1150" spans="1:12" x14ac:dyDescent="0.2">
      <c r="A1150" t="s">
        <v>2385</v>
      </c>
      <c r="B1150" t="s">
        <v>2386</v>
      </c>
      <c r="C1150" s="1">
        <v>45054</v>
      </c>
      <c r="D1150" s="2">
        <v>45074</v>
      </c>
      <c r="E1150" t="s">
        <v>191</v>
      </c>
      <c r="F1150">
        <v>45028</v>
      </c>
      <c r="G1150">
        <v>1793</v>
      </c>
      <c r="H1150">
        <v>2480.67</v>
      </c>
      <c r="I1150">
        <v>256</v>
      </c>
      <c r="J1150">
        <v>1</v>
      </c>
      <c r="L1150" t="s">
        <v>42</v>
      </c>
    </row>
    <row r="1151" spans="1:12" x14ac:dyDescent="0.2">
      <c r="A1151" t="s">
        <v>2387</v>
      </c>
      <c r="B1151" t="s">
        <v>2388</v>
      </c>
      <c r="C1151" s="2">
        <v>44982</v>
      </c>
      <c r="D1151" s="2">
        <v>44999</v>
      </c>
      <c r="E1151" t="s">
        <v>33</v>
      </c>
      <c r="F1151">
        <v>65484</v>
      </c>
      <c r="G1151">
        <v>2093</v>
      </c>
      <c r="H1151">
        <v>3993.44</v>
      </c>
      <c r="I1151">
        <v>274</v>
      </c>
      <c r="J1151" t="s">
        <v>24</v>
      </c>
      <c r="L1151" t="s">
        <v>34</v>
      </c>
    </row>
    <row r="1152" spans="1:12" x14ac:dyDescent="0.2">
      <c r="A1152" t="s">
        <v>2389</v>
      </c>
      <c r="B1152" t="s">
        <v>2390</v>
      </c>
      <c r="C1152" s="1">
        <v>45151</v>
      </c>
      <c r="D1152" s="2">
        <v>45161</v>
      </c>
      <c r="E1152" t="s">
        <v>23</v>
      </c>
      <c r="F1152">
        <v>33154</v>
      </c>
      <c r="G1152">
        <v>408</v>
      </c>
      <c r="H1152">
        <v>418.11</v>
      </c>
      <c r="J1152">
        <v>1</v>
      </c>
      <c r="L1152" t="s">
        <v>25</v>
      </c>
    </row>
    <row r="1153" spans="1:12" x14ac:dyDescent="0.2">
      <c r="A1153" t="s">
        <v>2391</v>
      </c>
      <c r="B1153" t="s">
        <v>2392</v>
      </c>
      <c r="C1153" s="1">
        <v>45138</v>
      </c>
      <c r="D1153" s="2">
        <v>45154</v>
      </c>
      <c r="E1153" t="s">
        <v>33</v>
      </c>
      <c r="F1153">
        <v>83870</v>
      </c>
      <c r="G1153">
        <v>3122</v>
      </c>
      <c r="H1153">
        <v>2702.72</v>
      </c>
      <c r="J1153" t="s">
        <v>30</v>
      </c>
      <c r="L1153" t="s">
        <v>34</v>
      </c>
    </row>
    <row r="1154" spans="1:12" x14ac:dyDescent="0.2">
      <c r="A1154" t="s">
        <v>2393</v>
      </c>
      <c r="B1154" t="s">
        <v>2394</v>
      </c>
      <c r="C1154" s="1">
        <v>45206</v>
      </c>
      <c r="D1154" s="2">
        <v>45231</v>
      </c>
      <c r="E1154" t="s">
        <v>14</v>
      </c>
      <c r="F1154">
        <v>3336</v>
      </c>
      <c r="G1154">
        <v>95</v>
      </c>
      <c r="H1154">
        <v>140.97</v>
      </c>
      <c r="I1154">
        <v>13</v>
      </c>
      <c r="J1154">
        <v>1</v>
      </c>
      <c r="L1154" t="s">
        <v>16</v>
      </c>
    </row>
    <row r="1155" spans="1:12" x14ac:dyDescent="0.2">
      <c r="A1155" t="s">
        <v>2395</v>
      </c>
      <c r="B1155" t="s">
        <v>2396</v>
      </c>
      <c r="C1155" s="1">
        <v>45222</v>
      </c>
      <c r="D1155" s="2">
        <v>45225</v>
      </c>
      <c r="E1155" t="s">
        <v>33</v>
      </c>
      <c r="F1155">
        <v>68779</v>
      </c>
      <c r="G1155">
        <v>782</v>
      </c>
      <c r="H1155">
        <v>624.21</v>
      </c>
      <c r="I1155">
        <v>81</v>
      </c>
      <c r="J1155">
        <v>0</v>
      </c>
      <c r="K1155">
        <v>68831</v>
      </c>
      <c r="L1155" t="s">
        <v>34</v>
      </c>
    </row>
    <row r="1156" spans="1:12" x14ac:dyDescent="0.2">
      <c r="A1156" t="s">
        <v>2397</v>
      </c>
      <c r="B1156" t="s">
        <v>2398</v>
      </c>
      <c r="C1156" s="1">
        <v>45010</v>
      </c>
      <c r="D1156" s="2">
        <v>45024</v>
      </c>
      <c r="E1156" t="s">
        <v>41</v>
      </c>
      <c r="F1156">
        <v>20029</v>
      </c>
      <c r="G1156">
        <v>977</v>
      </c>
      <c r="H1156">
        <v>950.15</v>
      </c>
      <c r="I1156">
        <v>108</v>
      </c>
      <c r="J1156">
        <v>1</v>
      </c>
      <c r="L1156" t="s">
        <v>42</v>
      </c>
    </row>
    <row r="1157" spans="1:12" x14ac:dyDescent="0.2">
      <c r="A1157" t="s">
        <v>2399</v>
      </c>
      <c r="B1157" t="s">
        <v>2400</v>
      </c>
      <c r="C1157" s="1">
        <v>44944</v>
      </c>
      <c r="D1157" s="2">
        <v>44964</v>
      </c>
      <c r="E1157" t="s">
        <v>266</v>
      </c>
      <c r="F1157">
        <v>60201</v>
      </c>
      <c r="G1157">
        <v>2887</v>
      </c>
      <c r="H1157">
        <v>2416.14</v>
      </c>
      <c r="I1157">
        <v>564</v>
      </c>
      <c r="J1157" t="s">
        <v>24</v>
      </c>
      <c r="L1157" t="s">
        <v>20</v>
      </c>
    </row>
    <row r="1158" spans="1:12" x14ac:dyDescent="0.2">
      <c r="A1158" t="s">
        <v>2401</v>
      </c>
      <c r="B1158" t="s">
        <v>2402</v>
      </c>
      <c r="C1158" t="s">
        <v>2403</v>
      </c>
      <c r="D1158" s="2">
        <v>44981</v>
      </c>
      <c r="E1158" t="s">
        <v>14</v>
      </c>
      <c r="F1158">
        <v>33265</v>
      </c>
      <c r="G1158">
        <v>1015</v>
      </c>
      <c r="H1158">
        <v>612.79</v>
      </c>
      <c r="I1158">
        <v>67</v>
      </c>
      <c r="J1158" t="b">
        <v>1</v>
      </c>
      <c r="L1158" t="s">
        <v>16</v>
      </c>
    </row>
    <row r="1159" spans="1:12" x14ac:dyDescent="0.2">
      <c r="A1159" t="s">
        <v>2404</v>
      </c>
      <c r="B1159" t="s">
        <v>2405</v>
      </c>
      <c r="C1159" s="1">
        <v>45014</v>
      </c>
      <c r="D1159" s="2">
        <v>45028</v>
      </c>
      <c r="E1159" t="s">
        <v>23</v>
      </c>
      <c r="F1159">
        <v>44872</v>
      </c>
      <c r="G1159">
        <v>616</v>
      </c>
      <c r="H1159">
        <v>1072.6099999999999</v>
      </c>
      <c r="J1159">
        <v>0</v>
      </c>
      <c r="L1159" t="s">
        <v>68</v>
      </c>
    </row>
    <row r="1160" spans="1:12" x14ac:dyDescent="0.2">
      <c r="A1160" t="s">
        <v>2406</v>
      </c>
      <c r="B1160" t="s">
        <v>2407</v>
      </c>
      <c r="C1160" s="1">
        <v>44965</v>
      </c>
      <c r="D1160" s="2">
        <v>44968</v>
      </c>
      <c r="E1160" t="s">
        <v>41</v>
      </c>
      <c r="F1160">
        <v>47197</v>
      </c>
      <c r="G1160">
        <v>1896</v>
      </c>
      <c r="H1160">
        <v>1671.91</v>
      </c>
      <c r="I1160">
        <v>234</v>
      </c>
      <c r="J1160">
        <v>0</v>
      </c>
      <c r="L1160" t="s">
        <v>42</v>
      </c>
    </row>
    <row r="1161" spans="1:12" x14ac:dyDescent="0.2">
      <c r="A1161" t="s">
        <v>2408</v>
      </c>
      <c r="B1161" t="s">
        <v>2409</v>
      </c>
      <c r="C1161" s="1">
        <v>44974</v>
      </c>
      <c r="D1161" s="2">
        <v>44992</v>
      </c>
      <c r="E1161" t="s">
        <v>33</v>
      </c>
      <c r="F1161">
        <v>56180</v>
      </c>
      <c r="G1161">
        <v>1667</v>
      </c>
      <c r="H1161">
        <v>2016.31</v>
      </c>
      <c r="I1161">
        <v>292</v>
      </c>
      <c r="J1161">
        <v>1</v>
      </c>
      <c r="L1161" t="s">
        <v>34</v>
      </c>
    </row>
    <row r="1162" spans="1:12" x14ac:dyDescent="0.2">
      <c r="A1162" t="s">
        <v>2410</v>
      </c>
      <c r="B1162" t="s">
        <v>2411</v>
      </c>
      <c r="C1162" s="1">
        <v>45174</v>
      </c>
      <c r="D1162" s="2">
        <v>45177</v>
      </c>
      <c r="E1162" t="s">
        <v>33</v>
      </c>
      <c r="F1162">
        <v>24710</v>
      </c>
      <c r="G1162">
        <v>546</v>
      </c>
      <c r="H1162">
        <v>308.48</v>
      </c>
      <c r="I1162">
        <v>40</v>
      </c>
      <c r="J1162" t="s">
        <v>15</v>
      </c>
      <c r="L1162" t="s">
        <v>34</v>
      </c>
    </row>
    <row r="1163" spans="1:12" x14ac:dyDescent="0.2">
      <c r="A1163" t="s">
        <v>2412</v>
      </c>
      <c r="B1163" t="s">
        <v>2413</v>
      </c>
      <c r="C1163" s="1">
        <v>45261</v>
      </c>
      <c r="D1163" s="2">
        <v>45284</v>
      </c>
      <c r="E1163" t="s">
        <v>19</v>
      </c>
      <c r="F1163">
        <v>30486</v>
      </c>
      <c r="G1163">
        <v>904</v>
      </c>
      <c r="H1163" s="3">
        <v>1400.3</v>
      </c>
      <c r="I1163">
        <v>82</v>
      </c>
      <c r="J1163" t="s">
        <v>30</v>
      </c>
      <c r="L1163" t="s">
        <v>20</v>
      </c>
    </row>
    <row r="1164" spans="1:12" x14ac:dyDescent="0.2">
      <c r="A1164" t="s">
        <v>2414</v>
      </c>
      <c r="B1164" t="s">
        <v>2415</v>
      </c>
      <c r="C1164" t="s">
        <v>722</v>
      </c>
      <c r="D1164" s="2">
        <v>45036</v>
      </c>
      <c r="E1164" t="s">
        <v>23</v>
      </c>
      <c r="F1164">
        <v>72907</v>
      </c>
      <c r="G1164">
        <v>2252</v>
      </c>
      <c r="H1164" s="3">
        <v>2242.64</v>
      </c>
      <c r="J1164" t="b">
        <v>0</v>
      </c>
      <c r="L1164" t="s">
        <v>25</v>
      </c>
    </row>
    <row r="1165" spans="1:12" x14ac:dyDescent="0.2">
      <c r="A1165" t="s">
        <v>2416</v>
      </c>
      <c r="B1165" t="s">
        <v>2417</v>
      </c>
      <c r="C1165" s="1">
        <v>45096</v>
      </c>
      <c r="D1165" s="2">
        <v>45121</v>
      </c>
      <c r="E1165" t="s">
        <v>19</v>
      </c>
      <c r="F1165">
        <v>72895</v>
      </c>
      <c r="G1165">
        <v>2369</v>
      </c>
      <c r="H1165" s="3">
        <v>3830.92</v>
      </c>
      <c r="I1165">
        <v>369</v>
      </c>
      <c r="J1165" t="b">
        <v>0</v>
      </c>
      <c r="L1165" t="s">
        <v>20</v>
      </c>
    </row>
    <row r="1166" spans="1:12" x14ac:dyDescent="0.2">
      <c r="A1166" t="s">
        <v>2418</v>
      </c>
      <c r="B1166" t="s">
        <v>2419</v>
      </c>
      <c r="C1166" s="1">
        <v>45283</v>
      </c>
      <c r="D1166" s="2">
        <v>45288</v>
      </c>
      <c r="E1166" t="s">
        <v>23</v>
      </c>
      <c r="F1166">
        <v>65435</v>
      </c>
      <c r="G1166">
        <v>1809</v>
      </c>
      <c r="H1166">
        <v>2023.56</v>
      </c>
      <c r="I1166">
        <v>155</v>
      </c>
      <c r="J1166" t="b">
        <v>1</v>
      </c>
      <c r="L1166" t="s">
        <v>25</v>
      </c>
    </row>
    <row r="1167" spans="1:12" x14ac:dyDescent="0.2">
      <c r="A1167" t="s">
        <v>2420</v>
      </c>
      <c r="B1167" t="s">
        <v>2421</v>
      </c>
      <c r="C1167" s="1">
        <v>45203</v>
      </c>
      <c r="D1167" s="2">
        <v>45228</v>
      </c>
      <c r="E1167" t="s">
        <v>19</v>
      </c>
      <c r="F1167">
        <v>41631</v>
      </c>
      <c r="G1167">
        <v>1425</v>
      </c>
      <c r="H1167" s="3">
        <v>1130.93</v>
      </c>
      <c r="I1167">
        <v>154</v>
      </c>
      <c r="J1167" t="b">
        <v>0</v>
      </c>
      <c r="L1167" t="s">
        <v>20</v>
      </c>
    </row>
    <row r="1168" spans="1:12" x14ac:dyDescent="0.2">
      <c r="A1168" t="s">
        <v>2422</v>
      </c>
      <c r="B1168" t="s">
        <v>2423</v>
      </c>
      <c r="C1168" s="2">
        <v>44962</v>
      </c>
      <c r="D1168" s="2">
        <v>45069</v>
      </c>
      <c r="E1168" t="s">
        <v>23</v>
      </c>
      <c r="F1168">
        <v>21103</v>
      </c>
      <c r="G1168">
        <v>986</v>
      </c>
      <c r="H1168">
        <v>1251.99</v>
      </c>
      <c r="I1168">
        <v>114</v>
      </c>
      <c r="J1168" t="b">
        <v>0</v>
      </c>
      <c r="L1168" t="s">
        <v>25</v>
      </c>
    </row>
    <row r="1169" spans="1:12" x14ac:dyDescent="0.2">
      <c r="A1169" t="s">
        <v>2424</v>
      </c>
      <c r="B1169" t="s">
        <v>2425</v>
      </c>
      <c r="C1169" s="1">
        <v>45128</v>
      </c>
      <c r="D1169" s="2">
        <v>45130</v>
      </c>
      <c r="E1169" t="s">
        <v>19</v>
      </c>
      <c r="F1169">
        <v>65772</v>
      </c>
      <c r="G1169">
        <v>1610</v>
      </c>
      <c r="H1169">
        <v>1120.17</v>
      </c>
      <c r="I1169">
        <v>295</v>
      </c>
      <c r="J1169" t="s">
        <v>30</v>
      </c>
      <c r="L1169" t="s">
        <v>20</v>
      </c>
    </row>
    <row r="1170" spans="1:12" x14ac:dyDescent="0.2">
      <c r="A1170" t="s">
        <v>2426</v>
      </c>
      <c r="B1170" t="s">
        <v>2427</v>
      </c>
      <c r="C1170" t="s">
        <v>2428</v>
      </c>
      <c r="D1170" s="2">
        <v>45017</v>
      </c>
      <c r="E1170" t="s">
        <v>14</v>
      </c>
      <c r="F1170">
        <v>15382</v>
      </c>
      <c r="G1170">
        <v>600</v>
      </c>
      <c r="H1170">
        <v>696.49</v>
      </c>
      <c r="I1170">
        <v>67</v>
      </c>
      <c r="J1170" t="s">
        <v>30</v>
      </c>
      <c r="L1170" t="s">
        <v>16</v>
      </c>
    </row>
    <row r="1171" spans="1:12" x14ac:dyDescent="0.2">
      <c r="A1171" t="s">
        <v>2429</v>
      </c>
      <c r="B1171" t="s">
        <v>2430</v>
      </c>
      <c r="C1171" s="1">
        <v>44928</v>
      </c>
      <c r="D1171" s="2">
        <v>44937</v>
      </c>
      <c r="E1171" t="s">
        <v>19</v>
      </c>
      <c r="F1171">
        <v>85291</v>
      </c>
      <c r="G1171">
        <v>3904</v>
      </c>
      <c r="H1171">
        <v>3810.14</v>
      </c>
      <c r="I1171">
        <v>280</v>
      </c>
      <c r="J1171" t="s">
        <v>15</v>
      </c>
      <c r="L1171" t="s">
        <v>20</v>
      </c>
    </row>
    <row r="1172" spans="1:12" x14ac:dyDescent="0.2">
      <c r="A1172" t="s">
        <v>2431</v>
      </c>
      <c r="B1172" t="s">
        <v>2432</v>
      </c>
      <c r="C1172" s="1">
        <v>45265</v>
      </c>
      <c r="D1172" s="2">
        <v>45278</v>
      </c>
      <c r="E1172" t="s">
        <v>19</v>
      </c>
      <c r="F1172">
        <v>4756</v>
      </c>
      <c r="G1172">
        <v>134</v>
      </c>
      <c r="H1172">
        <v>250.3</v>
      </c>
      <c r="I1172">
        <v>17</v>
      </c>
      <c r="J1172" t="s">
        <v>24</v>
      </c>
      <c r="L1172" t="s">
        <v>20</v>
      </c>
    </row>
    <row r="1173" spans="1:12" x14ac:dyDescent="0.2">
      <c r="A1173" t="s">
        <v>2433</v>
      </c>
      <c r="B1173" t="s">
        <v>2434</v>
      </c>
      <c r="C1173" t="s">
        <v>1335</v>
      </c>
      <c r="D1173" s="2">
        <v>44985</v>
      </c>
      <c r="E1173" t="s">
        <v>14</v>
      </c>
      <c r="F1173">
        <v>21609</v>
      </c>
      <c r="G1173">
        <v>599</v>
      </c>
      <c r="H1173" s="3">
        <v>354.24</v>
      </c>
      <c r="I1173">
        <v>116</v>
      </c>
      <c r="J1173" t="b">
        <v>1</v>
      </c>
      <c r="L1173" t="s">
        <v>16</v>
      </c>
    </row>
    <row r="1174" spans="1:12" x14ac:dyDescent="0.2">
      <c r="A1174" t="s">
        <v>2435</v>
      </c>
      <c r="B1174" t="s">
        <v>2436</v>
      </c>
      <c r="C1174" s="1">
        <v>45014</v>
      </c>
      <c r="D1174" s="2">
        <v>45029</v>
      </c>
      <c r="E1174" t="s">
        <v>23</v>
      </c>
      <c r="F1174">
        <v>17478</v>
      </c>
      <c r="G1174">
        <v>595</v>
      </c>
      <c r="H1174">
        <v>916.91</v>
      </c>
      <c r="I1174">
        <v>83</v>
      </c>
      <c r="J1174" t="b">
        <v>0</v>
      </c>
      <c r="L1174" t="s">
        <v>25</v>
      </c>
    </row>
    <row r="1175" spans="1:12" x14ac:dyDescent="0.2">
      <c r="A1175" t="s">
        <v>2437</v>
      </c>
      <c r="B1175" t="s">
        <v>2438</v>
      </c>
      <c r="C1175" s="1">
        <v>45169</v>
      </c>
      <c r="D1175" s="2">
        <v>45190</v>
      </c>
      <c r="E1175" t="s">
        <v>19</v>
      </c>
      <c r="F1175">
        <v>40666</v>
      </c>
      <c r="G1175">
        <v>1368</v>
      </c>
      <c r="H1175">
        <v>1059.01</v>
      </c>
      <c r="I1175">
        <v>270</v>
      </c>
      <c r="J1175" t="s">
        <v>15</v>
      </c>
      <c r="L1175" t="s">
        <v>20</v>
      </c>
    </row>
    <row r="1176" spans="1:12" x14ac:dyDescent="0.2">
      <c r="A1176" t="s">
        <v>2439</v>
      </c>
      <c r="B1176" t="s">
        <v>2440</v>
      </c>
      <c r="C1176" s="1">
        <v>45130</v>
      </c>
      <c r="D1176" s="2">
        <v>45156</v>
      </c>
      <c r="E1176" t="s">
        <v>19</v>
      </c>
      <c r="F1176">
        <v>76683</v>
      </c>
      <c r="G1176">
        <v>3240</v>
      </c>
      <c r="H1176">
        <v>3170.56</v>
      </c>
      <c r="I1176">
        <v>570</v>
      </c>
      <c r="J1176" t="b">
        <v>1</v>
      </c>
      <c r="L1176" t="s">
        <v>20</v>
      </c>
    </row>
    <row r="1177" spans="1:12" x14ac:dyDescent="0.2">
      <c r="A1177" t="s">
        <v>2441</v>
      </c>
      <c r="B1177" t="s">
        <v>2442</v>
      </c>
      <c r="C1177" t="s">
        <v>843</v>
      </c>
      <c r="D1177" s="2">
        <v>45092</v>
      </c>
      <c r="E1177" t="s">
        <v>41</v>
      </c>
      <c r="F1177">
        <v>72315</v>
      </c>
      <c r="G1177">
        <v>2101</v>
      </c>
      <c r="H1177">
        <v>2359.9899999999998</v>
      </c>
      <c r="I1177">
        <v>116</v>
      </c>
      <c r="J1177">
        <v>0</v>
      </c>
      <c r="L1177" t="s">
        <v>42</v>
      </c>
    </row>
    <row r="1178" spans="1:12" x14ac:dyDescent="0.2">
      <c r="A1178" t="s">
        <v>2443</v>
      </c>
      <c r="B1178" t="s">
        <v>2444</v>
      </c>
      <c r="C1178" s="1">
        <v>45205</v>
      </c>
      <c r="D1178" s="2">
        <v>45216</v>
      </c>
      <c r="E1178" t="s">
        <v>14</v>
      </c>
      <c r="F1178">
        <v>78834</v>
      </c>
      <c r="G1178">
        <v>3929</v>
      </c>
      <c r="H1178">
        <v>7315.89</v>
      </c>
      <c r="I1178">
        <v>584</v>
      </c>
      <c r="J1178" t="b">
        <v>0</v>
      </c>
      <c r="L1178" t="s">
        <v>16</v>
      </c>
    </row>
    <row r="1179" spans="1:12" x14ac:dyDescent="0.2">
      <c r="A1179" t="s">
        <v>2445</v>
      </c>
      <c r="B1179" t="s">
        <v>2446</v>
      </c>
      <c r="C1179" s="1">
        <v>45122</v>
      </c>
      <c r="D1179" s="2">
        <v>45132</v>
      </c>
      <c r="E1179" t="s">
        <v>14</v>
      </c>
      <c r="F1179">
        <v>15153</v>
      </c>
      <c r="G1179">
        <v>187</v>
      </c>
      <c r="H1179" s="3">
        <v>161.54</v>
      </c>
      <c r="I1179">
        <v>17</v>
      </c>
      <c r="J1179" t="b">
        <v>0</v>
      </c>
      <c r="L1179" t="s">
        <v>16</v>
      </c>
    </row>
    <row r="1180" spans="1:12" x14ac:dyDescent="0.2">
      <c r="A1180" t="s">
        <v>2447</v>
      </c>
      <c r="B1180" t="s">
        <v>2448</v>
      </c>
      <c r="C1180" s="1">
        <v>45061</v>
      </c>
      <c r="D1180" s="2">
        <v>45088</v>
      </c>
      <c r="E1180" t="s">
        <v>23</v>
      </c>
      <c r="F1180">
        <v>77325</v>
      </c>
      <c r="G1180">
        <v>783</v>
      </c>
      <c r="H1180">
        <v>498.74</v>
      </c>
      <c r="I1180">
        <v>104</v>
      </c>
      <c r="J1180" t="s">
        <v>30</v>
      </c>
      <c r="L1180" t="s">
        <v>25</v>
      </c>
    </row>
    <row r="1181" spans="1:12" x14ac:dyDescent="0.2">
      <c r="A1181" t="s">
        <v>2449</v>
      </c>
      <c r="B1181" t="s">
        <v>2450</v>
      </c>
      <c r="C1181" s="1">
        <v>45064</v>
      </c>
      <c r="D1181" s="2">
        <v>45082</v>
      </c>
      <c r="E1181" t="s">
        <v>58</v>
      </c>
      <c r="F1181">
        <v>13999</v>
      </c>
      <c r="G1181">
        <v>498</v>
      </c>
      <c r="H1181">
        <v>487.06</v>
      </c>
      <c r="I1181">
        <v>45</v>
      </c>
      <c r="J1181">
        <v>1</v>
      </c>
      <c r="L1181" t="s">
        <v>59</v>
      </c>
    </row>
    <row r="1182" spans="1:12" x14ac:dyDescent="0.2">
      <c r="A1182" t="s">
        <v>2451</v>
      </c>
      <c r="B1182" t="s">
        <v>2452</v>
      </c>
      <c r="C1182" s="2">
        <v>45283</v>
      </c>
      <c r="D1182" s="2">
        <v>45303</v>
      </c>
      <c r="E1182" t="s">
        <v>14</v>
      </c>
      <c r="F1182">
        <v>56318</v>
      </c>
      <c r="G1182">
        <v>1235</v>
      </c>
      <c r="H1182" s="3">
        <v>811.41</v>
      </c>
      <c r="I1182">
        <v>126</v>
      </c>
      <c r="J1182" t="b">
        <v>1</v>
      </c>
      <c r="L1182" t="s">
        <v>16</v>
      </c>
    </row>
    <row r="1183" spans="1:12" x14ac:dyDescent="0.2">
      <c r="A1183" t="s">
        <v>2453</v>
      </c>
      <c r="B1183" t="s">
        <v>2454</v>
      </c>
      <c r="C1183" s="1">
        <v>45103</v>
      </c>
      <c r="D1183" s="2">
        <v>45114</v>
      </c>
      <c r="E1183" t="s">
        <v>14</v>
      </c>
      <c r="F1183">
        <v>1814</v>
      </c>
      <c r="G1183">
        <v>35</v>
      </c>
      <c r="H1183" s="3">
        <v>24.25</v>
      </c>
      <c r="I1183">
        <v>6</v>
      </c>
      <c r="J1183" t="b">
        <v>0</v>
      </c>
      <c r="L1183" t="s">
        <v>16</v>
      </c>
    </row>
    <row r="1184" spans="1:12" x14ac:dyDescent="0.2">
      <c r="A1184" t="s">
        <v>2455</v>
      </c>
      <c r="B1184" t="s">
        <v>2456</v>
      </c>
      <c r="C1184" s="2">
        <v>45228</v>
      </c>
      <c r="D1184" s="2">
        <v>45258</v>
      </c>
      <c r="E1184" t="s">
        <v>23</v>
      </c>
      <c r="F1184">
        <v>77077</v>
      </c>
      <c r="G1184">
        <v>1732</v>
      </c>
      <c r="H1184">
        <v>2356.86</v>
      </c>
      <c r="I1184">
        <v>140</v>
      </c>
      <c r="J1184" t="b">
        <v>1</v>
      </c>
      <c r="K1184">
        <v>77120</v>
      </c>
      <c r="L1184" t="s">
        <v>25</v>
      </c>
    </row>
    <row r="1185" spans="1:12" x14ac:dyDescent="0.2">
      <c r="A1185" t="s">
        <v>2457</v>
      </c>
      <c r="B1185" t="s">
        <v>2458</v>
      </c>
      <c r="C1185" s="1">
        <v>45125</v>
      </c>
      <c r="D1185" s="2">
        <v>45135</v>
      </c>
      <c r="E1185" t="s">
        <v>19</v>
      </c>
      <c r="F1185">
        <v>91474</v>
      </c>
      <c r="G1185">
        <v>1851</v>
      </c>
      <c r="H1185">
        <v>1094.5899999999999</v>
      </c>
      <c r="J1185" t="s">
        <v>24</v>
      </c>
      <c r="L1185" t="s">
        <v>20</v>
      </c>
    </row>
    <row r="1186" spans="1:12" x14ac:dyDescent="0.2">
      <c r="A1186" t="s">
        <v>2459</v>
      </c>
      <c r="B1186" t="s">
        <v>2460</v>
      </c>
      <c r="C1186" s="1">
        <v>45201</v>
      </c>
      <c r="D1186" s="2">
        <v>45229</v>
      </c>
      <c r="E1186" t="s">
        <v>41</v>
      </c>
      <c r="F1186">
        <v>3443</v>
      </c>
      <c r="G1186">
        <v>38</v>
      </c>
      <c r="H1186">
        <v>20.76</v>
      </c>
      <c r="I1186">
        <v>2</v>
      </c>
      <c r="J1186" t="s">
        <v>15</v>
      </c>
      <c r="L1186" t="s">
        <v>42</v>
      </c>
    </row>
    <row r="1187" spans="1:12" x14ac:dyDescent="0.2">
      <c r="A1187" t="s">
        <v>2461</v>
      </c>
      <c r="B1187" t="s">
        <v>2462</v>
      </c>
      <c r="C1187" s="1">
        <v>45220</v>
      </c>
      <c r="D1187" s="2">
        <v>45215</v>
      </c>
      <c r="E1187" t="s">
        <v>19</v>
      </c>
      <c r="F1187">
        <v>76993</v>
      </c>
      <c r="G1187">
        <v>3761</v>
      </c>
      <c r="H1187">
        <v>5910.87</v>
      </c>
      <c r="I1187">
        <v>239</v>
      </c>
      <c r="J1187" t="s">
        <v>15</v>
      </c>
      <c r="L1187" t="s">
        <v>20</v>
      </c>
    </row>
    <row r="1188" spans="1:12" x14ac:dyDescent="0.2">
      <c r="A1188" t="s">
        <v>2463</v>
      </c>
      <c r="B1188" t="s">
        <v>2464</v>
      </c>
      <c r="C1188" s="1">
        <v>44967</v>
      </c>
      <c r="D1188" s="2">
        <v>44984</v>
      </c>
      <c r="E1188" t="s">
        <v>23</v>
      </c>
      <c r="F1188">
        <v>76916</v>
      </c>
      <c r="G1188">
        <v>1448</v>
      </c>
      <c r="H1188" s="3">
        <v>1509.5</v>
      </c>
      <c r="I1188">
        <v>258</v>
      </c>
      <c r="J1188">
        <v>1</v>
      </c>
      <c r="L1188" t="s">
        <v>25</v>
      </c>
    </row>
    <row r="1189" spans="1:12" x14ac:dyDescent="0.2">
      <c r="A1189" t="s">
        <v>2465</v>
      </c>
      <c r="B1189" t="s">
        <v>2466</v>
      </c>
      <c r="C1189" s="1">
        <v>44944</v>
      </c>
      <c r="D1189" s="2">
        <v>44960</v>
      </c>
      <c r="E1189" t="s">
        <v>23</v>
      </c>
      <c r="F1189">
        <v>74319</v>
      </c>
      <c r="G1189">
        <v>2925</v>
      </c>
      <c r="H1189">
        <v>2012.58</v>
      </c>
      <c r="I1189">
        <v>422</v>
      </c>
      <c r="J1189" t="b">
        <v>0</v>
      </c>
      <c r="L1189" t="s">
        <v>25</v>
      </c>
    </row>
    <row r="1190" spans="1:12" x14ac:dyDescent="0.2">
      <c r="A1190" t="s">
        <v>2467</v>
      </c>
      <c r="B1190" t="s">
        <v>2468</v>
      </c>
      <c r="C1190" s="1">
        <v>45219</v>
      </c>
      <c r="D1190" s="2">
        <v>45232</v>
      </c>
      <c r="E1190" t="s">
        <v>33</v>
      </c>
      <c r="F1190">
        <v>18368</v>
      </c>
      <c r="G1190">
        <v>743</v>
      </c>
      <c r="H1190">
        <v>654.15</v>
      </c>
      <c r="I1190">
        <v>120</v>
      </c>
      <c r="J1190" t="s">
        <v>24</v>
      </c>
      <c r="L1190" t="s">
        <v>34</v>
      </c>
    </row>
    <row r="1191" spans="1:12" x14ac:dyDescent="0.2">
      <c r="A1191" t="s">
        <v>2469</v>
      </c>
      <c r="B1191" t="s">
        <v>2470</v>
      </c>
      <c r="C1191" s="1">
        <v>44988</v>
      </c>
      <c r="D1191" s="2">
        <v>45013</v>
      </c>
      <c r="E1191" t="s">
        <v>138</v>
      </c>
      <c r="F1191">
        <v>16328</v>
      </c>
      <c r="G1191">
        <v>770</v>
      </c>
      <c r="H1191">
        <v>1126.6099999999999</v>
      </c>
      <c r="I1191">
        <v>62</v>
      </c>
      <c r="J1191" t="s">
        <v>30</v>
      </c>
      <c r="L1191" t="s">
        <v>139</v>
      </c>
    </row>
    <row r="1192" spans="1:12" x14ac:dyDescent="0.2">
      <c r="A1192" t="s">
        <v>2471</v>
      </c>
      <c r="B1192" t="s">
        <v>2472</v>
      </c>
      <c r="C1192" s="1">
        <v>45012</v>
      </c>
      <c r="D1192" s="2">
        <v>45040</v>
      </c>
      <c r="E1192" t="s">
        <v>41</v>
      </c>
      <c r="F1192">
        <v>57942</v>
      </c>
      <c r="G1192">
        <v>650</v>
      </c>
      <c r="H1192">
        <v>593.65</v>
      </c>
      <c r="I1192">
        <v>84</v>
      </c>
      <c r="J1192" t="b">
        <v>0</v>
      </c>
      <c r="L1192" t="s">
        <v>42</v>
      </c>
    </row>
    <row r="1193" spans="1:12" x14ac:dyDescent="0.2">
      <c r="A1193" t="s">
        <v>2473</v>
      </c>
      <c r="B1193" t="s">
        <v>2474</v>
      </c>
      <c r="C1193" s="2">
        <v>45080</v>
      </c>
      <c r="D1193" s="2">
        <v>45018</v>
      </c>
      <c r="E1193" t="s">
        <v>14</v>
      </c>
      <c r="F1193">
        <v>92751</v>
      </c>
      <c r="G1193">
        <v>4162</v>
      </c>
      <c r="H1193">
        <v>5168.3</v>
      </c>
      <c r="I1193">
        <v>668</v>
      </c>
      <c r="J1193" t="b">
        <v>1</v>
      </c>
      <c r="L1193" t="s">
        <v>16</v>
      </c>
    </row>
    <row r="1194" spans="1:12" x14ac:dyDescent="0.2">
      <c r="A1194" t="s">
        <v>2475</v>
      </c>
      <c r="B1194" t="s">
        <v>2476</v>
      </c>
      <c r="C1194" s="1">
        <v>44967</v>
      </c>
      <c r="D1194" s="2">
        <v>44990</v>
      </c>
      <c r="E1194" t="s">
        <v>14</v>
      </c>
      <c r="F1194">
        <v>28306</v>
      </c>
      <c r="G1194">
        <v>880</v>
      </c>
      <c r="H1194">
        <v>600.64</v>
      </c>
      <c r="I1194">
        <v>126</v>
      </c>
      <c r="J1194">
        <v>0</v>
      </c>
      <c r="L1194" t="s">
        <v>16</v>
      </c>
    </row>
    <row r="1195" spans="1:12" x14ac:dyDescent="0.2">
      <c r="A1195" t="s">
        <v>2477</v>
      </c>
      <c r="B1195" t="s">
        <v>2478</v>
      </c>
      <c r="C1195" s="1">
        <v>45248</v>
      </c>
      <c r="D1195" s="2">
        <v>45267</v>
      </c>
      <c r="E1195" t="s">
        <v>33</v>
      </c>
      <c r="F1195">
        <v>86451</v>
      </c>
      <c r="G1195">
        <v>3051</v>
      </c>
      <c r="H1195">
        <v>4216.91</v>
      </c>
      <c r="J1195" t="s">
        <v>15</v>
      </c>
      <c r="L1195" t="s">
        <v>34</v>
      </c>
    </row>
    <row r="1196" spans="1:12" x14ac:dyDescent="0.2">
      <c r="A1196" t="s">
        <v>2479</v>
      </c>
      <c r="B1196" t="s">
        <v>2480</v>
      </c>
      <c r="C1196" s="1">
        <v>45090</v>
      </c>
      <c r="D1196" s="2">
        <v>45113</v>
      </c>
      <c r="E1196" t="s">
        <v>19</v>
      </c>
      <c r="F1196">
        <v>40915</v>
      </c>
      <c r="G1196">
        <v>1463</v>
      </c>
      <c r="H1196">
        <v>1425.13</v>
      </c>
      <c r="I1196">
        <v>283</v>
      </c>
      <c r="J1196" t="b">
        <v>1</v>
      </c>
      <c r="L1196" t="s">
        <v>20</v>
      </c>
    </row>
    <row r="1197" spans="1:12" x14ac:dyDescent="0.2">
      <c r="A1197" t="s">
        <v>2481</v>
      </c>
      <c r="B1197" t="s">
        <v>2482</v>
      </c>
      <c r="C1197" s="2">
        <v>45018</v>
      </c>
      <c r="D1197" s="2">
        <v>44979</v>
      </c>
      <c r="E1197" t="s">
        <v>23</v>
      </c>
      <c r="F1197">
        <v>38219</v>
      </c>
      <c r="G1197">
        <v>1635</v>
      </c>
      <c r="H1197">
        <v>2355.14</v>
      </c>
      <c r="I1197">
        <v>247</v>
      </c>
      <c r="J1197">
        <v>1</v>
      </c>
      <c r="L1197" t="s">
        <v>68</v>
      </c>
    </row>
    <row r="1198" spans="1:12" x14ac:dyDescent="0.2">
      <c r="A1198" t="s">
        <v>2483</v>
      </c>
      <c r="B1198" t="s">
        <v>2484</v>
      </c>
      <c r="C1198" s="1">
        <v>45211</v>
      </c>
      <c r="D1198" s="2">
        <v>45241</v>
      </c>
      <c r="E1198" t="s">
        <v>41</v>
      </c>
      <c r="F1198">
        <v>81879</v>
      </c>
      <c r="G1198">
        <v>1910</v>
      </c>
      <c r="H1198">
        <v>3271.05</v>
      </c>
      <c r="I1198">
        <v>355</v>
      </c>
      <c r="J1198" t="s">
        <v>15</v>
      </c>
      <c r="L1198" t="s">
        <v>42</v>
      </c>
    </row>
    <row r="1199" spans="1:12" x14ac:dyDescent="0.2">
      <c r="A1199" t="s">
        <v>2485</v>
      </c>
      <c r="B1199" t="s">
        <v>2486</v>
      </c>
      <c r="C1199" s="1">
        <v>45068</v>
      </c>
      <c r="D1199" s="2">
        <v>45090</v>
      </c>
      <c r="E1199" t="s">
        <v>23</v>
      </c>
      <c r="F1199">
        <v>65644</v>
      </c>
      <c r="G1199">
        <v>2581</v>
      </c>
      <c r="H1199">
        <v>3658.49</v>
      </c>
      <c r="I1199">
        <v>411</v>
      </c>
      <c r="J1199" t="s">
        <v>30</v>
      </c>
      <c r="L1199" t="s">
        <v>25</v>
      </c>
    </row>
    <row r="1200" spans="1:12" x14ac:dyDescent="0.2">
      <c r="A1200" t="s">
        <v>2487</v>
      </c>
      <c r="B1200" t="s">
        <v>2488</v>
      </c>
      <c r="C1200" s="1">
        <v>44933</v>
      </c>
      <c r="D1200" s="2">
        <v>44953</v>
      </c>
      <c r="E1200" t="s">
        <v>33</v>
      </c>
      <c r="F1200">
        <v>61279</v>
      </c>
      <c r="G1200">
        <v>1908</v>
      </c>
      <c r="H1200">
        <v>1800.43</v>
      </c>
      <c r="J1200" t="s">
        <v>15</v>
      </c>
      <c r="L1200" t="s">
        <v>34</v>
      </c>
    </row>
    <row r="1201" spans="1:12" x14ac:dyDescent="0.2">
      <c r="A1201" t="s">
        <v>2489</v>
      </c>
      <c r="B1201" t="s">
        <v>2490</v>
      </c>
      <c r="C1201" s="1">
        <v>45194</v>
      </c>
      <c r="D1201" s="2">
        <v>45214</v>
      </c>
      <c r="E1201" t="s">
        <v>23</v>
      </c>
      <c r="F1201">
        <v>54028</v>
      </c>
      <c r="G1201">
        <v>2254</v>
      </c>
      <c r="H1201">
        <v>1991.67</v>
      </c>
      <c r="I1201">
        <v>139</v>
      </c>
      <c r="J1201">
        <v>0</v>
      </c>
      <c r="L1201" t="s">
        <v>25</v>
      </c>
    </row>
    <row r="1202" spans="1:12" x14ac:dyDescent="0.2">
      <c r="A1202" t="s">
        <v>2491</v>
      </c>
      <c r="B1202" t="s">
        <v>2492</v>
      </c>
      <c r="C1202" s="1">
        <v>45003</v>
      </c>
      <c r="D1202" s="2">
        <v>45025</v>
      </c>
      <c r="E1202" t="s">
        <v>41</v>
      </c>
      <c r="F1202">
        <v>1126</v>
      </c>
      <c r="G1202">
        <v>55</v>
      </c>
      <c r="H1202">
        <v>54.51</v>
      </c>
      <c r="I1202">
        <v>5</v>
      </c>
      <c r="J1202" t="s">
        <v>24</v>
      </c>
      <c r="L1202" t="s">
        <v>42</v>
      </c>
    </row>
    <row r="1203" spans="1:12" x14ac:dyDescent="0.2">
      <c r="A1203" t="s">
        <v>2493</v>
      </c>
      <c r="B1203" t="s">
        <v>2494</v>
      </c>
      <c r="C1203" s="1">
        <v>44978</v>
      </c>
      <c r="D1203" s="2">
        <v>45004</v>
      </c>
      <c r="E1203" t="s">
        <v>23</v>
      </c>
      <c r="F1203">
        <v>53329</v>
      </c>
      <c r="G1203">
        <v>961</v>
      </c>
      <c r="H1203">
        <v>717.8</v>
      </c>
      <c r="I1203">
        <v>171</v>
      </c>
      <c r="J1203" t="b">
        <v>0</v>
      </c>
      <c r="L1203" t="s">
        <v>25</v>
      </c>
    </row>
    <row r="1204" spans="1:12" x14ac:dyDescent="0.2">
      <c r="A1204" t="s">
        <v>2495</v>
      </c>
      <c r="B1204" t="s">
        <v>2496</v>
      </c>
      <c r="C1204" s="1">
        <v>44978</v>
      </c>
      <c r="D1204" s="2">
        <v>44997</v>
      </c>
      <c r="E1204" t="s">
        <v>33</v>
      </c>
      <c r="F1204">
        <v>28632</v>
      </c>
      <c r="G1204">
        <v>1425</v>
      </c>
      <c r="H1204">
        <v>1099.75</v>
      </c>
      <c r="J1204">
        <v>0</v>
      </c>
      <c r="L1204" t="s">
        <v>34</v>
      </c>
    </row>
    <row r="1205" spans="1:12" x14ac:dyDescent="0.2">
      <c r="A1205" t="s">
        <v>2497</v>
      </c>
      <c r="B1205" t="s">
        <v>2498</v>
      </c>
      <c r="C1205" s="1">
        <v>45103</v>
      </c>
      <c r="D1205" s="2">
        <v>45108</v>
      </c>
      <c r="E1205" t="s">
        <v>23</v>
      </c>
      <c r="F1205">
        <v>66310</v>
      </c>
      <c r="G1205">
        <v>901</v>
      </c>
      <c r="H1205">
        <v>1519.12</v>
      </c>
      <c r="I1205">
        <v>60</v>
      </c>
      <c r="J1205" t="s">
        <v>24</v>
      </c>
      <c r="L1205" t="s">
        <v>25</v>
      </c>
    </row>
    <row r="1206" spans="1:12" x14ac:dyDescent="0.2">
      <c r="A1206" t="s">
        <v>2499</v>
      </c>
      <c r="B1206" t="s">
        <v>2500</v>
      </c>
      <c r="C1206" s="1">
        <v>45262</v>
      </c>
      <c r="D1206" s="2">
        <v>45278</v>
      </c>
      <c r="E1206" t="s">
        <v>23</v>
      </c>
      <c r="F1206">
        <v>56176</v>
      </c>
      <c r="G1206">
        <v>566</v>
      </c>
      <c r="H1206" s="3">
        <v>609.64</v>
      </c>
      <c r="I1206">
        <v>55</v>
      </c>
      <c r="J1206">
        <v>0</v>
      </c>
      <c r="L1206" t="s">
        <v>25</v>
      </c>
    </row>
    <row r="1207" spans="1:12" x14ac:dyDescent="0.2">
      <c r="A1207" t="s">
        <v>2501</v>
      </c>
      <c r="B1207" t="s">
        <v>2502</v>
      </c>
      <c r="C1207" s="1">
        <v>44946</v>
      </c>
      <c r="D1207" s="2">
        <v>44957</v>
      </c>
      <c r="E1207" t="s">
        <v>14</v>
      </c>
      <c r="F1207">
        <v>87066</v>
      </c>
      <c r="G1207">
        <v>1024</v>
      </c>
      <c r="H1207" s="3">
        <v>1181.69</v>
      </c>
      <c r="J1207" t="b">
        <v>0</v>
      </c>
      <c r="L1207" t="s">
        <v>16</v>
      </c>
    </row>
    <row r="1208" spans="1:12" x14ac:dyDescent="0.2">
      <c r="A1208" t="s">
        <v>2503</v>
      </c>
      <c r="B1208" t="s">
        <v>2504</v>
      </c>
      <c r="C1208" s="1">
        <v>45243</v>
      </c>
      <c r="D1208" s="2">
        <v>45246</v>
      </c>
      <c r="E1208" t="s">
        <v>33</v>
      </c>
      <c r="F1208">
        <v>45327</v>
      </c>
      <c r="G1208">
        <v>1072</v>
      </c>
      <c r="H1208">
        <v>1491.23</v>
      </c>
      <c r="I1208">
        <v>202</v>
      </c>
      <c r="J1208" t="s">
        <v>15</v>
      </c>
      <c r="L1208" t="s">
        <v>34</v>
      </c>
    </row>
    <row r="1209" spans="1:12" x14ac:dyDescent="0.2">
      <c r="A1209" t="s">
        <v>2505</v>
      </c>
      <c r="B1209" t="s">
        <v>2506</v>
      </c>
      <c r="C1209" s="1">
        <v>44946</v>
      </c>
      <c r="D1209" s="2">
        <v>44969</v>
      </c>
      <c r="E1209" t="s">
        <v>33</v>
      </c>
      <c r="F1209">
        <v>69904</v>
      </c>
      <c r="G1209">
        <v>2468</v>
      </c>
      <c r="H1209">
        <v>3416.9</v>
      </c>
      <c r="I1209">
        <v>444</v>
      </c>
      <c r="J1209">
        <v>1</v>
      </c>
      <c r="L1209" t="s">
        <v>34</v>
      </c>
    </row>
    <row r="1210" spans="1:12" x14ac:dyDescent="0.2">
      <c r="A1210" t="s">
        <v>2507</v>
      </c>
      <c r="B1210" t="s">
        <v>2508</v>
      </c>
      <c r="C1210" s="1">
        <v>45280</v>
      </c>
      <c r="D1210" s="2">
        <v>45296</v>
      </c>
      <c r="E1210" t="s">
        <v>41</v>
      </c>
      <c r="F1210">
        <v>4797</v>
      </c>
      <c r="G1210">
        <v>61</v>
      </c>
      <c r="H1210">
        <v>36.659999999999997</v>
      </c>
      <c r="I1210">
        <v>7</v>
      </c>
      <c r="J1210" t="b">
        <v>0</v>
      </c>
      <c r="L1210" t="s">
        <v>42</v>
      </c>
    </row>
    <row r="1211" spans="1:12" x14ac:dyDescent="0.2">
      <c r="A1211" t="s">
        <v>2509</v>
      </c>
      <c r="B1211" t="s">
        <v>2510</v>
      </c>
      <c r="C1211" s="2">
        <v>45064</v>
      </c>
      <c r="D1211" s="2">
        <v>45075</v>
      </c>
      <c r="E1211" t="s">
        <v>14</v>
      </c>
      <c r="F1211">
        <v>48882</v>
      </c>
      <c r="G1211">
        <v>499</v>
      </c>
      <c r="H1211">
        <v>871.91</v>
      </c>
      <c r="I1211">
        <v>29</v>
      </c>
      <c r="J1211" t="b">
        <v>0</v>
      </c>
      <c r="L1211" t="s">
        <v>16</v>
      </c>
    </row>
    <row r="1212" spans="1:12" x14ac:dyDescent="0.2">
      <c r="A1212" t="s">
        <v>2511</v>
      </c>
      <c r="B1212" t="s">
        <v>2512</v>
      </c>
      <c r="C1212" s="1">
        <v>45082</v>
      </c>
      <c r="D1212" s="2">
        <v>45100</v>
      </c>
      <c r="E1212" t="s">
        <v>14</v>
      </c>
      <c r="F1212">
        <v>14718</v>
      </c>
      <c r="G1212">
        <v>698</v>
      </c>
      <c r="H1212">
        <v>534.66</v>
      </c>
      <c r="I1212">
        <v>109</v>
      </c>
      <c r="J1212" t="s">
        <v>24</v>
      </c>
      <c r="L1212" t="s">
        <v>16</v>
      </c>
    </row>
    <row r="1213" spans="1:12" x14ac:dyDescent="0.2">
      <c r="A1213" t="s">
        <v>2513</v>
      </c>
      <c r="B1213" t="s">
        <v>2514</v>
      </c>
      <c r="C1213" s="1">
        <v>45283</v>
      </c>
      <c r="D1213" s="2">
        <v>45300</v>
      </c>
      <c r="E1213" t="s">
        <v>41</v>
      </c>
      <c r="F1213">
        <v>35560</v>
      </c>
      <c r="G1213">
        <v>1524</v>
      </c>
      <c r="H1213">
        <v>2414.94</v>
      </c>
      <c r="J1213" t="s">
        <v>30</v>
      </c>
      <c r="L1213" t="s">
        <v>42</v>
      </c>
    </row>
    <row r="1214" spans="1:12" x14ac:dyDescent="0.2">
      <c r="A1214" t="s">
        <v>2515</v>
      </c>
      <c r="B1214" t="s">
        <v>2516</v>
      </c>
      <c r="C1214" s="1">
        <v>45043</v>
      </c>
      <c r="D1214" s="2">
        <v>45063</v>
      </c>
      <c r="E1214" t="s">
        <v>23</v>
      </c>
      <c r="F1214">
        <v>77589</v>
      </c>
      <c r="G1214">
        <v>3287</v>
      </c>
      <c r="H1214" s="3">
        <v>5453.15</v>
      </c>
      <c r="I1214">
        <v>642</v>
      </c>
      <c r="J1214" t="s">
        <v>15</v>
      </c>
      <c r="L1214" t="s">
        <v>25</v>
      </c>
    </row>
    <row r="1215" spans="1:12" x14ac:dyDescent="0.2">
      <c r="A1215" t="s">
        <v>2517</v>
      </c>
      <c r="B1215" t="s">
        <v>2518</v>
      </c>
      <c r="C1215" s="1">
        <v>45153</v>
      </c>
      <c r="D1215" s="2">
        <v>45174</v>
      </c>
      <c r="E1215" t="s">
        <v>138</v>
      </c>
      <c r="F1215">
        <v>23116</v>
      </c>
      <c r="G1215">
        <v>1048</v>
      </c>
      <c r="H1215">
        <v>1647.82</v>
      </c>
      <c r="I1215">
        <v>140</v>
      </c>
      <c r="J1215" t="b">
        <v>0</v>
      </c>
      <c r="L1215" t="s">
        <v>139</v>
      </c>
    </row>
    <row r="1216" spans="1:12" x14ac:dyDescent="0.2">
      <c r="A1216" t="s">
        <v>2519</v>
      </c>
      <c r="B1216" t="s">
        <v>2520</v>
      </c>
      <c r="C1216" s="2">
        <v>45140</v>
      </c>
      <c r="D1216" s="2">
        <v>44968</v>
      </c>
      <c r="E1216" t="s">
        <v>41</v>
      </c>
      <c r="F1216">
        <v>37244</v>
      </c>
      <c r="G1216">
        <v>1415</v>
      </c>
      <c r="H1216">
        <v>1936.38</v>
      </c>
      <c r="I1216">
        <v>142</v>
      </c>
      <c r="J1216">
        <v>1</v>
      </c>
      <c r="L1216" t="s">
        <v>42</v>
      </c>
    </row>
    <row r="1217" spans="1:12" x14ac:dyDescent="0.2">
      <c r="A1217" t="s">
        <v>2521</v>
      </c>
      <c r="B1217" t="s">
        <v>2522</v>
      </c>
      <c r="C1217" s="1">
        <v>45153</v>
      </c>
      <c r="D1217" s="2">
        <v>45162</v>
      </c>
      <c r="E1217" t="s">
        <v>14</v>
      </c>
      <c r="F1217">
        <v>2645</v>
      </c>
      <c r="G1217">
        <v>37</v>
      </c>
      <c r="H1217">
        <v>19.309999999999999</v>
      </c>
      <c r="J1217" t="b">
        <v>1</v>
      </c>
      <c r="L1217" t="s">
        <v>16</v>
      </c>
    </row>
    <row r="1218" spans="1:12" x14ac:dyDescent="0.2">
      <c r="A1218" t="s">
        <v>2523</v>
      </c>
      <c r="B1218" t="s">
        <v>2524</v>
      </c>
      <c r="C1218" s="1">
        <v>45175</v>
      </c>
      <c r="D1218" s="2">
        <v>45196</v>
      </c>
      <c r="E1218" t="s">
        <v>19</v>
      </c>
      <c r="F1218">
        <v>48523</v>
      </c>
      <c r="G1218">
        <v>1259</v>
      </c>
      <c r="H1218">
        <v>1310.07</v>
      </c>
      <c r="I1218">
        <v>247</v>
      </c>
      <c r="J1218" t="s">
        <v>15</v>
      </c>
      <c r="L1218" t="s">
        <v>20</v>
      </c>
    </row>
    <row r="1219" spans="1:12" x14ac:dyDescent="0.2">
      <c r="A1219" t="s">
        <v>2525</v>
      </c>
      <c r="B1219" t="s">
        <v>2526</v>
      </c>
      <c r="C1219" s="1">
        <v>44955</v>
      </c>
      <c r="D1219" s="2">
        <v>44964</v>
      </c>
      <c r="E1219" t="s">
        <v>19</v>
      </c>
      <c r="F1219">
        <v>20256</v>
      </c>
      <c r="G1219">
        <v>788</v>
      </c>
      <c r="H1219">
        <v>1108.92</v>
      </c>
      <c r="I1219">
        <v>121</v>
      </c>
      <c r="J1219" t="s">
        <v>30</v>
      </c>
      <c r="L1219" t="s">
        <v>20</v>
      </c>
    </row>
    <row r="1220" spans="1:12" x14ac:dyDescent="0.2">
      <c r="A1220" t="s">
        <v>2527</v>
      </c>
      <c r="B1220" t="s">
        <v>2528</v>
      </c>
      <c r="C1220" s="1">
        <v>45086</v>
      </c>
      <c r="D1220" s="2">
        <v>45116</v>
      </c>
      <c r="E1220" t="s">
        <v>33</v>
      </c>
      <c r="F1220">
        <v>54173</v>
      </c>
      <c r="G1220">
        <v>1149</v>
      </c>
      <c r="H1220">
        <v>1242.27</v>
      </c>
      <c r="I1220">
        <v>173</v>
      </c>
      <c r="J1220">
        <v>0</v>
      </c>
      <c r="L1220" t="s">
        <v>34</v>
      </c>
    </row>
    <row r="1221" spans="1:12" x14ac:dyDescent="0.2">
      <c r="A1221" t="s">
        <v>2529</v>
      </c>
      <c r="B1221" t="s">
        <v>2530</v>
      </c>
      <c r="C1221" s="2">
        <v>45195</v>
      </c>
      <c r="D1221" s="2">
        <v>45204</v>
      </c>
      <c r="E1221" t="s">
        <v>33</v>
      </c>
      <c r="F1221">
        <v>38430</v>
      </c>
      <c r="G1221">
        <v>1440</v>
      </c>
      <c r="H1221">
        <v>2585.12</v>
      </c>
      <c r="I1221">
        <v>123</v>
      </c>
      <c r="J1221" t="b">
        <v>0</v>
      </c>
      <c r="L1221" t="s">
        <v>34</v>
      </c>
    </row>
    <row r="1222" spans="1:12" x14ac:dyDescent="0.2">
      <c r="A1222" t="s">
        <v>2531</v>
      </c>
      <c r="B1222" t="s">
        <v>2532</v>
      </c>
      <c r="C1222" s="1">
        <v>45025</v>
      </c>
      <c r="D1222" s="2">
        <v>45053</v>
      </c>
      <c r="E1222" t="s">
        <v>138</v>
      </c>
      <c r="F1222">
        <v>40282</v>
      </c>
      <c r="G1222">
        <v>442</v>
      </c>
      <c r="H1222">
        <v>425.74</v>
      </c>
      <c r="I1222">
        <v>71</v>
      </c>
      <c r="J1222">
        <v>1</v>
      </c>
      <c r="L1222" t="s">
        <v>139</v>
      </c>
    </row>
    <row r="1223" spans="1:12" x14ac:dyDescent="0.2">
      <c r="A1223" t="s">
        <v>2533</v>
      </c>
      <c r="B1223" t="s">
        <v>2534</v>
      </c>
      <c r="C1223" s="1">
        <v>44956</v>
      </c>
      <c r="D1223" s="2">
        <v>44966</v>
      </c>
      <c r="E1223" t="s">
        <v>14</v>
      </c>
      <c r="F1223">
        <v>64374</v>
      </c>
      <c r="G1223">
        <v>1432</v>
      </c>
      <c r="H1223">
        <v>1346.51</v>
      </c>
      <c r="I1223">
        <v>232</v>
      </c>
      <c r="J1223" t="s">
        <v>15</v>
      </c>
      <c r="L1223" t="s">
        <v>16</v>
      </c>
    </row>
    <row r="1224" spans="1:12" x14ac:dyDescent="0.2">
      <c r="A1224" t="s">
        <v>2535</v>
      </c>
      <c r="B1224" t="s">
        <v>2536</v>
      </c>
      <c r="C1224" s="1">
        <v>45111</v>
      </c>
      <c r="D1224" s="2">
        <v>45131</v>
      </c>
      <c r="E1224" t="s">
        <v>33</v>
      </c>
      <c r="F1224">
        <v>69244</v>
      </c>
      <c r="G1224">
        <v>2213</v>
      </c>
      <c r="H1224">
        <v>1989.48</v>
      </c>
      <c r="I1224">
        <v>215</v>
      </c>
      <c r="J1224">
        <v>1</v>
      </c>
      <c r="L1224" t="s">
        <v>34</v>
      </c>
    </row>
    <row r="1225" spans="1:12" x14ac:dyDescent="0.2">
      <c r="A1225" t="s">
        <v>2537</v>
      </c>
      <c r="B1225" t="s">
        <v>2538</v>
      </c>
      <c r="C1225" s="1">
        <v>45164</v>
      </c>
      <c r="D1225" s="2">
        <v>45181</v>
      </c>
      <c r="E1225" t="s">
        <v>19</v>
      </c>
      <c r="F1225">
        <v>12694</v>
      </c>
      <c r="G1225">
        <v>447</v>
      </c>
      <c r="H1225">
        <v>446.63</v>
      </c>
      <c r="I1225">
        <v>54</v>
      </c>
      <c r="J1225">
        <v>1</v>
      </c>
      <c r="L1225" t="s">
        <v>20</v>
      </c>
    </row>
    <row r="1226" spans="1:12" x14ac:dyDescent="0.2">
      <c r="A1226" t="s">
        <v>2539</v>
      </c>
      <c r="B1226" t="s">
        <v>2540</v>
      </c>
      <c r="C1226" s="1">
        <v>44990</v>
      </c>
      <c r="D1226" s="2">
        <v>44998</v>
      </c>
      <c r="E1226" t="s">
        <v>19</v>
      </c>
      <c r="F1226">
        <v>57264</v>
      </c>
      <c r="G1226">
        <v>1894</v>
      </c>
      <c r="H1226">
        <v>2530.59</v>
      </c>
      <c r="I1226">
        <v>178</v>
      </c>
      <c r="J1226" t="s">
        <v>24</v>
      </c>
      <c r="L1226" t="s">
        <v>20</v>
      </c>
    </row>
    <row r="1227" spans="1:12" x14ac:dyDescent="0.2">
      <c r="A1227" t="s">
        <v>2541</v>
      </c>
      <c r="B1227" t="s">
        <v>2542</v>
      </c>
      <c r="C1227" s="1">
        <v>45177</v>
      </c>
      <c r="D1227" s="2">
        <v>45188</v>
      </c>
      <c r="E1227" t="s">
        <v>23</v>
      </c>
      <c r="F1227">
        <v>76060</v>
      </c>
      <c r="G1227">
        <v>2883</v>
      </c>
      <c r="H1227">
        <v>4498.99</v>
      </c>
      <c r="I1227">
        <v>256</v>
      </c>
      <c r="J1227">
        <v>0</v>
      </c>
      <c r="K1227">
        <v>76115</v>
      </c>
      <c r="L1227" t="s">
        <v>25</v>
      </c>
    </row>
    <row r="1228" spans="1:12" x14ac:dyDescent="0.2">
      <c r="A1228" t="s">
        <v>2543</v>
      </c>
      <c r="B1228" t="s">
        <v>2544</v>
      </c>
      <c r="C1228" s="1">
        <v>45169</v>
      </c>
      <c r="D1228" s="2">
        <v>45199</v>
      </c>
      <c r="E1228" t="s">
        <v>41</v>
      </c>
      <c r="F1228">
        <v>98416</v>
      </c>
      <c r="G1228">
        <v>1008</v>
      </c>
      <c r="H1228">
        <v>1505.8</v>
      </c>
      <c r="J1228" t="s">
        <v>30</v>
      </c>
      <c r="L1228" t="s">
        <v>42</v>
      </c>
    </row>
    <row r="1229" spans="1:12" x14ac:dyDescent="0.2">
      <c r="A1229" t="s">
        <v>2545</v>
      </c>
      <c r="B1229" t="s">
        <v>2546</v>
      </c>
      <c r="C1229" s="1">
        <v>45010</v>
      </c>
      <c r="D1229" s="2">
        <v>45039</v>
      </c>
      <c r="E1229" t="s">
        <v>23</v>
      </c>
      <c r="F1229">
        <v>58545</v>
      </c>
      <c r="G1229">
        <v>821</v>
      </c>
      <c r="H1229">
        <v>1405.2</v>
      </c>
      <c r="I1229">
        <v>76</v>
      </c>
      <c r="J1229" t="s">
        <v>15</v>
      </c>
      <c r="L1229" t="s">
        <v>25</v>
      </c>
    </row>
    <row r="1230" spans="1:12" x14ac:dyDescent="0.2">
      <c r="A1230" t="s">
        <v>2547</v>
      </c>
      <c r="B1230" t="s">
        <v>2548</v>
      </c>
      <c r="C1230" t="s">
        <v>1320</v>
      </c>
      <c r="D1230" s="2">
        <v>45290</v>
      </c>
      <c r="E1230" t="s">
        <v>191</v>
      </c>
      <c r="F1230">
        <v>40224</v>
      </c>
      <c r="G1230">
        <v>1800</v>
      </c>
      <c r="H1230">
        <v>3291.97</v>
      </c>
      <c r="I1230">
        <v>239</v>
      </c>
      <c r="J1230" t="b">
        <v>0</v>
      </c>
      <c r="L1230" t="s">
        <v>42</v>
      </c>
    </row>
    <row r="1231" spans="1:12" x14ac:dyDescent="0.2">
      <c r="A1231" t="s">
        <v>2549</v>
      </c>
      <c r="B1231" t="s">
        <v>2550</v>
      </c>
      <c r="C1231" s="1">
        <v>44941</v>
      </c>
      <c r="D1231" s="2">
        <v>44971</v>
      </c>
      <c r="E1231" t="s">
        <v>19</v>
      </c>
      <c r="F1231">
        <v>98945</v>
      </c>
      <c r="G1231">
        <v>3687</v>
      </c>
      <c r="H1231">
        <v>6356.83</v>
      </c>
      <c r="I1231">
        <v>185</v>
      </c>
      <c r="J1231" t="s">
        <v>30</v>
      </c>
      <c r="L1231" t="s">
        <v>20</v>
      </c>
    </row>
    <row r="1232" spans="1:12" x14ac:dyDescent="0.2">
      <c r="A1232" t="s">
        <v>2551</v>
      </c>
      <c r="B1232" t="s">
        <v>2552</v>
      </c>
      <c r="C1232" s="1">
        <v>45219</v>
      </c>
      <c r="D1232" s="2">
        <v>45227</v>
      </c>
      <c r="E1232" t="s">
        <v>138</v>
      </c>
      <c r="F1232">
        <v>14224</v>
      </c>
      <c r="G1232">
        <v>206</v>
      </c>
      <c r="H1232">
        <v>108.85</v>
      </c>
      <c r="I1232">
        <v>19</v>
      </c>
      <c r="J1232" t="b">
        <v>0</v>
      </c>
      <c r="L1232" t="s">
        <v>139</v>
      </c>
    </row>
    <row r="1233" spans="1:12" x14ac:dyDescent="0.2">
      <c r="A1233" t="s">
        <v>2553</v>
      </c>
      <c r="B1233" t="s">
        <v>2554</v>
      </c>
      <c r="C1233" s="1">
        <v>45040</v>
      </c>
      <c r="D1233" s="2">
        <v>45059</v>
      </c>
      <c r="E1233" t="s">
        <v>41</v>
      </c>
      <c r="F1233">
        <v>41738</v>
      </c>
      <c r="G1233">
        <v>1823</v>
      </c>
      <c r="H1233">
        <v>2923.87</v>
      </c>
      <c r="I1233">
        <v>332</v>
      </c>
      <c r="J1233" t="b">
        <v>1</v>
      </c>
      <c r="L1233" t="s">
        <v>68</v>
      </c>
    </row>
    <row r="1234" spans="1:12" x14ac:dyDescent="0.2">
      <c r="A1234" t="s">
        <v>2555</v>
      </c>
      <c r="B1234" t="s">
        <v>2556</v>
      </c>
      <c r="C1234" s="1">
        <v>45064</v>
      </c>
      <c r="D1234" s="2">
        <v>45071</v>
      </c>
      <c r="E1234" t="s">
        <v>41</v>
      </c>
      <c r="F1234">
        <v>26150</v>
      </c>
      <c r="G1234">
        <v>514</v>
      </c>
      <c r="H1234">
        <v>417.68</v>
      </c>
      <c r="I1234">
        <v>71</v>
      </c>
      <c r="J1234">
        <v>1</v>
      </c>
      <c r="L1234" t="s">
        <v>42</v>
      </c>
    </row>
    <row r="1235" spans="1:12" x14ac:dyDescent="0.2">
      <c r="A1235" t="s">
        <v>2557</v>
      </c>
      <c r="B1235" t="s">
        <v>2558</v>
      </c>
      <c r="C1235" t="s">
        <v>2559</v>
      </c>
      <c r="D1235" s="2">
        <v>45288</v>
      </c>
      <c r="E1235" t="s">
        <v>33</v>
      </c>
      <c r="F1235">
        <v>64731</v>
      </c>
      <c r="G1235">
        <v>1885</v>
      </c>
      <c r="H1235">
        <v>1318.35</v>
      </c>
      <c r="I1235">
        <v>266</v>
      </c>
      <c r="J1235" t="b">
        <v>1</v>
      </c>
      <c r="L1235" t="s">
        <v>34</v>
      </c>
    </row>
    <row r="1236" spans="1:12" x14ac:dyDescent="0.2">
      <c r="A1236" t="s">
        <v>2560</v>
      </c>
      <c r="B1236" t="s">
        <v>2561</v>
      </c>
      <c r="C1236" s="1">
        <v>44994</v>
      </c>
      <c r="D1236" s="2">
        <v>45004</v>
      </c>
      <c r="E1236" t="s">
        <v>19</v>
      </c>
      <c r="F1236">
        <v>50688</v>
      </c>
      <c r="G1236">
        <v>801</v>
      </c>
      <c r="H1236">
        <v>1167.6400000000001</v>
      </c>
      <c r="I1236">
        <v>88</v>
      </c>
      <c r="J1236" t="s">
        <v>24</v>
      </c>
      <c r="L1236" t="s">
        <v>20</v>
      </c>
    </row>
    <row r="1237" spans="1:12" x14ac:dyDescent="0.2">
      <c r="A1237" t="s">
        <v>2562</v>
      </c>
      <c r="B1237" t="s">
        <v>2563</v>
      </c>
      <c r="C1237" s="1">
        <v>44931</v>
      </c>
      <c r="D1237" s="2">
        <v>44938</v>
      </c>
      <c r="E1237" t="s">
        <v>41</v>
      </c>
      <c r="F1237">
        <v>74509</v>
      </c>
      <c r="G1237">
        <v>2861</v>
      </c>
      <c r="H1237" s="3">
        <v>2802.68</v>
      </c>
      <c r="I1237">
        <v>433</v>
      </c>
      <c r="J1237">
        <v>1</v>
      </c>
      <c r="L1237" t="s">
        <v>42</v>
      </c>
    </row>
    <row r="1238" spans="1:12" x14ac:dyDescent="0.2">
      <c r="A1238" t="s">
        <v>2564</v>
      </c>
      <c r="B1238" t="s">
        <v>2565</v>
      </c>
      <c r="C1238" s="1">
        <v>45083</v>
      </c>
      <c r="D1238" s="2">
        <v>45110</v>
      </c>
      <c r="E1238" t="s">
        <v>19</v>
      </c>
      <c r="F1238">
        <v>9577</v>
      </c>
      <c r="G1238">
        <v>351</v>
      </c>
      <c r="H1238">
        <v>205.57</v>
      </c>
      <c r="I1238">
        <v>27</v>
      </c>
      <c r="J1238">
        <v>0</v>
      </c>
      <c r="L1238" t="s">
        <v>20</v>
      </c>
    </row>
    <row r="1239" spans="1:12" x14ac:dyDescent="0.2">
      <c r="A1239" t="s">
        <v>2566</v>
      </c>
      <c r="B1239" t="s">
        <v>2567</v>
      </c>
      <c r="C1239" s="1">
        <v>45067</v>
      </c>
      <c r="D1239" s="2">
        <v>45078</v>
      </c>
      <c r="E1239" t="s">
        <v>33</v>
      </c>
      <c r="F1239">
        <v>9070</v>
      </c>
      <c r="G1239">
        <v>167</v>
      </c>
      <c r="H1239">
        <v>117.98</v>
      </c>
      <c r="I1239">
        <v>28</v>
      </c>
      <c r="J1239" t="s">
        <v>30</v>
      </c>
      <c r="L1239" t="s">
        <v>34</v>
      </c>
    </row>
    <row r="1240" spans="1:12" x14ac:dyDescent="0.2">
      <c r="A1240" t="s">
        <v>2568</v>
      </c>
      <c r="B1240" t="s">
        <v>2569</v>
      </c>
      <c r="C1240" s="1">
        <v>45105</v>
      </c>
      <c r="D1240" s="2">
        <v>45122</v>
      </c>
      <c r="E1240" t="s">
        <v>19</v>
      </c>
      <c r="F1240">
        <v>9666</v>
      </c>
      <c r="G1240">
        <v>430</v>
      </c>
      <c r="H1240" s="3">
        <v>215.6</v>
      </c>
      <c r="I1240">
        <v>29</v>
      </c>
      <c r="J1240" t="b">
        <v>0</v>
      </c>
      <c r="L1240" t="s">
        <v>20</v>
      </c>
    </row>
    <row r="1241" spans="1:12" x14ac:dyDescent="0.2">
      <c r="A1241" t="s">
        <v>2570</v>
      </c>
      <c r="B1241" t="s">
        <v>2571</v>
      </c>
      <c r="C1241" s="1">
        <v>45081</v>
      </c>
      <c r="D1241" s="2">
        <v>45103</v>
      </c>
      <c r="E1241" t="s">
        <v>33</v>
      </c>
      <c r="F1241">
        <v>58761</v>
      </c>
      <c r="G1241">
        <v>1530</v>
      </c>
      <c r="H1241">
        <v>2837.9</v>
      </c>
      <c r="I1241">
        <v>227</v>
      </c>
      <c r="J1241" t="s">
        <v>24</v>
      </c>
      <c r="L1241" t="s">
        <v>34</v>
      </c>
    </row>
    <row r="1242" spans="1:12" x14ac:dyDescent="0.2">
      <c r="A1242" t="s">
        <v>2572</v>
      </c>
      <c r="B1242" t="s">
        <v>2573</v>
      </c>
      <c r="C1242" s="2">
        <v>45130</v>
      </c>
      <c r="D1242" s="2">
        <v>45144</v>
      </c>
      <c r="E1242" t="s">
        <v>33</v>
      </c>
      <c r="F1242">
        <v>37368</v>
      </c>
      <c r="G1242">
        <v>810</v>
      </c>
      <c r="H1242">
        <v>434.91</v>
      </c>
      <c r="I1242">
        <v>81</v>
      </c>
      <c r="J1242">
        <v>0</v>
      </c>
      <c r="L1242" t="s">
        <v>34</v>
      </c>
    </row>
    <row r="1243" spans="1:12" x14ac:dyDescent="0.2">
      <c r="A1243" t="s">
        <v>2574</v>
      </c>
      <c r="B1243" t="s">
        <v>2575</v>
      </c>
      <c r="C1243" s="1">
        <v>45266</v>
      </c>
      <c r="D1243" s="2">
        <v>45275</v>
      </c>
      <c r="E1243" t="s">
        <v>41</v>
      </c>
      <c r="F1243">
        <v>7783</v>
      </c>
      <c r="G1243">
        <v>125</v>
      </c>
      <c r="H1243" s="3">
        <v>101.77</v>
      </c>
      <c r="I1243">
        <v>20</v>
      </c>
      <c r="J1243" t="b">
        <v>0</v>
      </c>
      <c r="L1243" t="s">
        <v>42</v>
      </c>
    </row>
    <row r="1244" spans="1:12" x14ac:dyDescent="0.2">
      <c r="A1244" t="s">
        <v>2576</v>
      </c>
      <c r="B1244" t="s">
        <v>2577</v>
      </c>
      <c r="C1244" s="1">
        <v>45214</v>
      </c>
      <c r="D1244" s="2">
        <v>45223</v>
      </c>
      <c r="E1244" t="s">
        <v>23</v>
      </c>
      <c r="F1244">
        <v>42914</v>
      </c>
      <c r="G1244">
        <v>886</v>
      </c>
      <c r="H1244">
        <v>996.21</v>
      </c>
      <c r="I1244">
        <v>117</v>
      </c>
      <c r="J1244" t="s">
        <v>30</v>
      </c>
      <c r="L1244" t="s">
        <v>25</v>
      </c>
    </row>
    <row r="1245" spans="1:12" x14ac:dyDescent="0.2">
      <c r="A1245" t="s">
        <v>2578</v>
      </c>
      <c r="B1245" t="s">
        <v>2579</v>
      </c>
      <c r="C1245" s="1">
        <v>45079</v>
      </c>
      <c r="D1245" s="2">
        <v>45099</v>
      </c>
      <c r="E1245" t="s">
        <v>23</v>
      </c>
      <c r="F1245">
        <v>71507</v>
      </c>
      <c r="G1245">
        <v>778</v>
      </c>
      <c r="H1245">
        <v>805.12</v>
      </c>
      <c r="I1245">
        <v>91</v>
      </c>
      <c r="J1245" t="s">
        <v>15</v>
      </c>
      <c r="L1245" t="s">
        <v>68</v>
      </c>
    </row>
    <row r="1246" spans="1:12" x14ac:dyDescent="0.2">
      <c r="A1246" t="s">
        <v>2580</v>
      </c>
      <c r="B1246" t="s">
        <v>2581</v>
      </c>
      <c r="C1246" s="1">
        <v>45099</v>
      </c>
      <c r="D1246" s="2">
        <v>45113</v>
      </c>
      <c r="E1246" t="s">
        <v>19</v>
      </c>
      <c r="F1246">
        <v>80026</v>
      </c>
      <c r="G1246">
        <v>2667</v>
      </c>
      <c r="H1246">
        <v>4980.8599999999997</v>
      </c>
      <c r="I1246">
        <v>201</v>
      </c>
      <c r="J1246" t="s">
        <v>24</v>
      </c>
      <c r="L1246" t="s">
        <v>20</v>
      </c>
    </row>
    <row r="1247" spans="1:12" x14ac:dyDescent="0.2">
      <c r="A1247" t="s">
        <v>2582</v>
      </c>
      <c r="B1247" t="s">
        <v>2583</v>
      </c>
      <c r="C1247" s="1">
        <v>45068</v>
      </c>
      <c r="D1247" s="2">
        <v>45090</v>
      </c>
      <c r="E1247" t="s">
        <v>33</v>
      </c>
      <c r="F1247">
        <v>68526</v>
      </c>
      <c r="G1247">
        <v>2993</v>
      </c>
      <c r="H1247">
        <v>1677.38</v>
      </c>
      <c r="I1247">
        <v>435</v>
      </c>
      <c r="J1247" t="b">
        <v>1</v>
      </c>
      <c r="L1247" t="s">
        <v>34</v>
      </c>
    </row>
    <row r="1248" spans="1:12" x14ac:dyDescent="0.2">
      <c r="A1248" t="s">
        <v>2584</v>
      </c>
      <c r="B1248" t="s">
        <v>2585</v>
      </c>
      <c r="C1248" s="1">
        <v>45260</v>
      </c>
      <c r="D1248" s="2">
        <v>45282</v>
      </c>
      <c r="E1248" t="s">
        <v>33</v>
      </c>
      <c r="F1248">
        <v>71835</v>
      </c>
      <c r="G1248">
        <v>2295</v>
      </c>
      <c r="H1248">
        <v>2910.8</v>
      </c>
      <c r="I1248">
        <v>450</v>
      </c>
      <c r="J1248" t="b">
        <v>1</v>
      </c>
      <c r="L1248" t="s">
        <v>34</v>
      </c>
    </row>
    <row r="1249" spans="1:12" x14ac:dyDescent="0.2">
      <c r="A1249" t="s">
        <v>2586</v>
      </c>
      <c r="B1249" t="s">
        <v>2587</v>
      </c>
      <c r="C1249" s="1">
        <v>45050</v>
      </c>
      <c r="D1249" s="2">
        <v>45057</v>
      </c>
      <c r="E1249" t="s">
        <v>41</v>
      </c>
      <c r="F1249">
        <v>46765</v>
      </c>
      <c r="G1249">
        <v>877</v>
      </c>
      <c r="H1249">
        <v>1333.67</v>
      </c>
      <c r="I1249">
        <v>152</v>
      </c>
      <c r="J1249" t="b">
        <v>0</v>
      </c>
      <c r="L1249" t="s">
        <v>42</v>
      </c>
    </row>
    <row r="1250" spans="1:12" x14ac:dyDescent="0.2">
      <c r="A1250" t="s">
        <v>2588</v>
      </c>
      <c r="B1250" t="s">
        <v>2589</v>
      </c>
      <c r="C1250" s="1">
        <v>45234</v>
      </c>
      <c r="D1250" s="2">
        <v>45259</v>
      </c>
      <c r="E1250" t="s">
        <v>14</v>
      </c>
      <c r="F1250">
        <v>20956</v>
      </c>
      <c r="G1250">
        <v>237</v>
      </c>
      <c r="H1250" s="3">
        <v>449.72</v>
      </c>
      <c r="I1250">
        <v>13</v>
      </c>
      <c r="J1250" t="b">
        <v>0</v>
      </c>
      <c r="L1250" t="s">
        <v>16</v>
      </c>
    </row>
    <row r="1251" spans="1:12" x14ac:dyDescent="0.2">
      <c r="A1251" t="s">
        <v>2590</v>
      </c>
      <c r="B1251" t="s">
        <v>2591</v>
      </c>
      <c r="C1251" s="1">
        <v>44998</v>
      </c>
      <c r="D1251" s="2">
        <v>45018</v>
      </c>
      <c r="E1251" t="s">
        <v>33</v>
      </c>
      <c r="F1251">
        <v>88895</v>
      </c>
      <c r="G1251">
        <v>1652</v>
      </c>
      <c r="H1251">
        <v>2363.2800000000002</v>
      </c>
      <c r="I1251">
        <v>175</v>
      </c>
      <c r="J1251" t="b">
        <v>0</v>
      </c>
      <c r="L1251" t="s">
        <v>34</v>
      </c>
    </row>
    <row r="1252" spans="1:12" x14ac:dyDescent="0.2">
      <c r="A1252" t="s">
        <v>2592</v>
      </c>
      <c r="B1252" t="s">
        <v>2593</v>
      </c>
      <c r="C1252" s="1">
        <v>45078</v>
      </c>
      <c r="D1252" s="2">
        <v>45107</v>
      </c>
      <c r="E1252" t="s">
        <v>23</v>
      </c>
      <c r="F1252">
        <v>47240</v>
      </c>
      <c r="G1252">
        <v>1258</v>
      </c>
      <c r="H1252">
        <v>2145.69</v>
      </c>
      <c r="I1252">
        <v>237</v>
      </c>
      <c r="J1252" t="s">
        <v>24</v>
      </c>
      <c r="L1252" t="s">
        <v>25</v>
      </c>
    </row>
    <row r="1253" spans="1:12" x14ac:dyDescent="0.2">
      <c r="A1253" t="s">
        <v>2594</v>
      </c>
      <c r="B1253" t="s">
        <v>2595</v>
      </c>
      <c r="C1253" s="1">
        <v>45125</v>
      </c>
      <c r="D1253" s="2">
        <v>45151</v>
      </c>
      <c r="E1253" t="s">
        <v>23</v>
      </c>
      <c r="F1253">
        <v>38148</v>
      </c>
      <c r="G1253">
        <v>1540</v>
      </c>
      <c r="H1253">
        <v>963.4</v>
      </c>
      <c r="I1253">
        <v>193</v>
      </c>
      <c r="J1253" t="s">
        <v>30</v>
      </c>
      <c r="L1253" t="s">
        <v>25</v>
      </c>
    </row>
    <row r="1254" spans="1:12" x14ac:dyDescent="0.2">
      <c r="A1254" t="s">
        <v>2596</v>
      </c>
      <c r="B1254" t="s">
        <v>2597</v>
      </c>
      <c r="C1254" s="1">
        <v>45219</v>
      </c>
      <c r="D1254" s="2">
        <v>45224</v>
      </c>
      <c r="E1254" t="s">
        <v>33</v>
      </c>
      <c r="F1254">
        <v>95270</v>
      </c>
      <c r="G1254">
        <v>1668</v>
      </c>
      <c r="H1254" s="3">
        <v>1799.62</v>
      </c>
      <c r="I1254">
        <v>249</v>
      </c>
      <c r="J1254" t="s">
        <v>15</v>
      </c>
      <c r="L1254" t="s">
        <v>34</v>
      </c>
    </row>
    <row r="1255" spans="1:12" x14ac:dyDescent="0.2">
      <c r="A1255" t="s">
        <v>2598</v>
      </c>
      <c r="B1255" t="s">
        <v>2599</v>
      </c>
      <c r="C1255" s="1">
        <v>45292</v>
      </c>
      <c r="D1255" s="2">
        <v>45318</v>
      </c>
      <c r="E1255" t="s">
        <v>19</v>
      </c>
      <c r="F1255">
        <v>5757</v>
      </c>
      <c r="G1255">
        <v>223</v>
      </c>
      <c r="H1255">
        <v>236.59</v>
      </c>
      <c r="I1255">
        <v>41</v>
      </c>
      <c r="J1255" t="b">
        <v>1</v>
      </c>
      <c r="L1255" t="s">
        <v>20</v>
      </c>
    </row>
    <row r="1256" spans="1:12" x14ac:dyDescent="0.2">
      <c r="A1256" t="s">
        <v>2600</v>
      </c>
      <c r="B1256" t="s">
        <v>2601</v>
      </c>
      <c r="C1256" s="1">
        <v>45170</v>
      </c>
      <c r="D1256" s="2">
        <v>45195</v>
      </c>
      <c r="E1256" t="s">
        <v>41</v>
      </c>
      <c r="F1256">
        <v>20097</v>
      </c>
      <c r="G1256">
        <v>897</v>
      </c>
      <c r="H1256">
        <v>1641</v>
      </c>
      <c r="I1256">
        <v>162</v>
      </c>
      <c r="J1256">
        <v>0</v>
      </c>
      <c r="L1256" t="s">
        <v>42</v>
      </c>
    </row>
    <row r="1257" spans="1:12" x14ac:dyDescent="0.2">
      <c r="A1257" t="s">
        <v>2602</v>
      </c>
      <c r="B1257" t="s">
        <v>2603</v>
      </c>
      <c r="C1257" s="1">
        <v>45186</v>
      </c>
      <c r="D1257" s="2">
        <v>45209</v>
      </c>
      <c r="E1257" t="s">
        <v>23</v>
      </c>
      <c r="F1257">
        <v>11395</v>
      </c>
      <c r="G1257">
        <v>320</v>
      </c>
      <c r="H1257">
        <v>232.66</v>
      </c>
      <c r="I1257">
        <v>40</v>
      </c>
      <c r="J1257">
        <v>1</v>
      </c>
      <c r="L1257" t="s">
        <v>25</v>
      </c>
    </row>
    <row r="1258" spans="1:12" x14ac:dyDescent="0.2">
      <c r="A1258" t="s">
        <v>2604</v>
      </c>
      <c r="B1258" t="s">
        <v>2605</v>
      </c>
      <c r="C1258" s="1">
        <v>45263</v>
      </c>
      <c r="D1258" s="2">
        <v>45273</v>
      </c>
      <c r="E1258" t="s">
        <v>14</v>
      </c>
      <c r="F1258">
        <v>17241</v>
      </c>
      <c r="G1258">
        <v>738</v>
      </c>
      <c r="H1258" s="3">
        <v>537.14</v>
      </c>
      <c r="J1258" t="s">
        <v>24</v>
      </c>
      <c r="L1258" t="s">
        <v>16</v>
      </c>
    </row>
    <row r="1259" spans="1:12" x14ac:dyDescent="0.2">
      <c r="A1259" t="s">
        <v>2606</v>
      </c>
      <c r="B1259" t="s">
        <v>2607</v>
      </c>
      <c r="C1259" s="1">
        <v>44976</v>
      </c>
      <c r="D1259" s="2">
        <v>44983</v>
      </c>
      <c r="E1259" t="s">
        <v>19</v>
      </c>
      <c r="F1259">
        <v>28696</v>
      </c>
      <c r="G1259">
        <v>923</v>
      </c>
      <c r="H1259">
        <v>916.39</v>
      </c>
      <c r="I1259">
        <v>93</v>
      </c>
      <c r="J1259" t="s">
        <v>24</v>
      </c>
      <c r="L1259" t="s">
        <v>20</v>
      </c>
    </row>
    <row r="1260" spans="1:12" x14ac:dyDescent="0.2">
      <c r="A1260" t="s">
        <v>2608</v>
      </c>
      <c r="B1260" t="s">
        <v>2609</v>
      </c>
      <c r="C1260" s="1">
        <v>45213</v>
      </c>
      <c r="D1260" s="2">
        <v>45235</v>
      </c>
      <c r="E1260" t="s">
        <v>23</v>
      </c>
      <c r="F1260">
        <v>71480</v>
      </c>
      <c r="G1260">
        <v>2536</v>
      </c>
      <c r="H1260">
        <v>1475.19</v>
      </c>
      <c r="I1260">
        <v>400</v>
      </c>
      <c r="J1260" t="s">
        <v>30</v>
      </c>
      <c r="L1260" t="s">
        <v>25</v>
      </c>
    </row>
    <row r="1261" spans="1:12" x14ac:dyDescent="0.2">
      <c r="A1261" t="s">
        <v>2610</v>
      </c>
      <c r="B1261" t="s">
        <v>2611</v>
      </c>
      <c r="C1261" s="1">
        <v>45275</v>
      </c>
      <c r="D1261" s="2">
        <v>45297</v>
      </c>
      <c r="E1261" t="s">
        <v>23</v>
      </c>
      <c r="F1261">
        <v>47163</v>
      </c>
      <c r="G1261">
        <v>1464</v>
      </c>
      <c r="H1261">
        <v>1132.68</v>
      </c>
      <c r="I1261">
        <v>136</v>
      </c>
      <c r="J1261" t="b">
        <v>1</v>
      </c>
      <c r="L1261" t="s">
        <v>25</v>
      </c>
    </row>
    <row r="1262" spans="1:12" x14ac:dyDescent="0.2">
      <c r="A1262" t="s">
        <v>2612</v>
      </c>
      <c r="B1262" t="s">
        <v>2613</v>
      </c>
      <c r="C1262" s="1">
        <v>45040</v>
      </c>
      <c r="D1262" s="2">
        <v>45052</v>
      </c>
      <c r="E1262" t="s">
        <v>23</v>
      </c>
      <c r="F1262">
        <v>20816</v>
      </c>
      <c r="G1262">
        <v>593</v>
      </c>
      <c r="H1262">
        <v>1155.05</v>
      </c>
      <c r="I1262">
        <v>51</v>
      </c>
      <c r="J1262" t="s">
        <v>15</v>
      </c>
      <c r="L1262" t="s">
        <v>25</v>
      </c>
    </row>
    <row r="1263" spans="1:12" x14ac:dyDescent="0.2">
      <c r="A1263" t="s">
        <v>2614</v>
      </c>
      <c r="B1263" t="s">
        <v>2615</v>
      </c>
      <c r="C1263" s="1">
        <v>45084</v>
      </c>
      <c r="D1263" s="2">
        <v>45107</v>
      </c>
      <c r="E1263" t="s">
        <v>23</v>
      </c>
      <c r="F1263">
        <v>50840</v>
      </c>
      <c r="G1263">
        <v>985</v>
      </c>
      <c r="H1263">
        <v>1125.1400000000001</v>
      </c>
      <c r="I1263">
        <v>101</v>
      </c>
      <c r="J1263" t="s">
        <v>30</v>
      </c>
      <c r="L1263" t="s">
        <v>25</v>
      </c>
    </row>
    <row r="1264" spans="1:12" x14ac:dyDescent="0.2">
      <c r="A1264" t="s">
        <v>2616</v>
      </c>
      <c r="B1264" t="s">
        <v>2617</v>
      </c>
      <c r="C1264" s="1">
        <v>45117</v>
      </c>
      <c r="D1264" s="2">
        <v>45135</v>
      </c>
      <c r="E1264" t="s">
        <v>41</v>
      </c>
      <c r="F1264">
        <v>53853</v>
      </c>
      <c r="G1264">
        <v>1191</v>
      </c>
      <c r="H1264">
        <v>1724.6</v>
      </c>
      <c r="I1264">
        <v>91</v>
      </c>
      <c r="J1264">
        <v>0</v>
      </c>
      <c r="L1264" t="s">
        <v>42</v>
      </c>
    </row>
    <row r="1265" spans="1:12" x14ac:dyDescent="0.2">
      <c r="A1265" t="s">
        <v>2618</v>
      </c>
      <c r="B1265" t="s">
        <v>2619</v>
      </c>
      <c r="C1265" s="1">
        <v>44987</v>
      </c>
      <c r="D1265" s="2">
        <v>45005</v>
      </c>
      <c r="E1265" t="s">
        <v>23</v>
      </c>
      <c r="F1265">
        <v>25917</v>
      </c>
      <c r="G1265">
        <v>559</v>
      </c>
      <c r="H1265">
        <v>888.34</v>
      </c>
      <c r="I1265">
        <v>86</v>
      </c>
      <c r="J1265" t="b">
        <v>1</v>
      </c>
      <c r="L1265" t="s">
        <v>25</v>
      </c>
    </row>
    <row r="1266" spans="1:12" x14ac:dyDescent="0.2">
      <c r="A1266" t="s">
        <v>2620</v>
      </c>
      <c r="B1266" t="s">
        <v>2621</v>
      </c>
      <c r="C1266" s="1">
        <v>45225</v>
      </c>
      <c r="D1266" s="2">
        <v>45236</v>
      </c>
      <c r="E1266" t="s">
        <v>14</v>
      </c>
      <c r="F1266">
        <v>97731</v>
      </c>
      <c r="G1266">
        <v>3179</v>
      </c>
      <c r="H1266">
        <v>3339.36</v>
      </c>
      <c r="J1266" t="s">
        <v>30</v>
      </c>
      <c r="L1266" t="s">
        <v>16</v>
      </c>
    </row>
    <row r="1267" spans="1:12" x14ac:dyDescent="0.2">
      <c r="A1267" t="s">
        <v>2622</v>
      </c>
      <c r="B1267" t="s">
        <v>2623</v>
      </c>
      <c r="C1267" s="1">
        <v>45168</v>
      </c>
      <c r="D1267" s="2">
        <v>45175</v>
      </c>
      <c r="E1267" t="s">
        <v>23</v>
      </c>
      <c r="F1267">
        <v>22566</v>
      </c>
      <c r="G1267">
        <v>333</v>
      </c>
      <c r="H1267">
        <v>240.04</v>
      </c>
      <c r="I1267">
        <v>40</v>
      </c>
      <c r="J1267" t="b">
        <v>1</v>
      </c>
      <c r="L1267" t="s">
        <v>25</v>
      </c>
    </row>
    <row r="1268" spans="1:12" x14ac:dyDescent="0.2">
      <c r="A1268" t="s">
        <v>2624</v>
      </c>
      <c r="B1268" t="s">
        <v>2625</v>
      </c>
      <c r="C1268" s="1">
        <v>45275</v>
      </c>
      <c r="D1268" s="2">
        <v>45301</v>
      </c>
      <c r="E1268" t="s">
        <v>23</v>
      </c>
      <c r="F1268">
        <v>76452</v>
      </c>
      <c r="G1268">
        <v>3568</v>
      </c>
      <c r="H1268">
        <v>2889.62</v>
      </c>
      <c r="I1268">
        <v>387</v>
      </c>
      <c r="J1268" t="b">
        <v>1</v>
      </c>
      <c r="L1268" t="s">
        <v>25</v>
      </c>
    </row>
    <row r="1269" spans="1:12" x14ac:dyDescent="0.2">
      <c r="A1269" t="s">
        <v>2626</v>
      </c>
      <c r="B1269" t="s">
        <v>2627</v>
      </c>
      <c r="C1269" s="1">
        <v>44954</v>
      </c>
      <c r="D1269" s="2">
        <v>44969</v>
      </c>
      <c r="E1269" t="s">
        <v>33</v>
      </c>
      <c r="F1269">
        <v>63823</v>
      </c>
      <c r="G1269">
        <v>2478</v>
      </c>
      <c r="H1269">
        <v>2403.41</v>
      </c>
      <c r="I1269">
        <v>461</v>
      </c>
      <c r="J1269" t="s">
        <v>24</v>
      </c>
      <c r="L1269" t="s">
        <v>34</v>
      </c>
    </row>
    <row r="1270" spans="1:12" x14ac:dyDescent="0.2">
      <c r="A1270" t="s">
        <v>2628</v>
      </c>
      <c r="B1270" t="s">
        <v>2629</v>
      </c>
      <c r="C1270" s="1">
        <v>45029</v>
      </c>
      <c r="D1270" s="2">
        <v>45048</v>
      </c>
      <c r="E1270" t="s">
        <v>33</v>
      </c>
      <c r="F1270">
        <v>21806</v>
      </c>
      <c r="G1270">
        <v>568</v>
      </c>
      <c r="H1270" s="3">
        <v>825.93</v>
      </c>
      <c r="I1270">
        <v>30</v>
      </c>
      <c r="J1270" t="s">
        <v>15</v>
      </c>
      <c r="L1270" t="s">
        <v>34</v>
      </c>
    </row>
    <row r="1271" spans="1:12" x14ac:dyDescent="0.2">
      <c r="A1271" t="s">
        <v>2630</v>
      </c>
      <c r="B1271" t="s">
        <v>2631</v>
      </c>
      <c r="C1271" s="1">
        <v>45161</v>
      </c>
      <c r="D1271" s="2">
        <v>45178</v>
      </c>
      <c r="E1271" t="s">
        <v>33</v>
      </c>
      <c r="F1271">
        <v>76520</v>
      </c>
      <c r="G1271">
        <v>1250</v>
      </c>
      <c r="H1271">
        <v>1371.78</v>
      </c>
      <c r="I1271">
        <v>206</v>
      </c>
      <c r="J1271" t="s">
        <v>24</v>
      </c>
      <c r="L1271" t="s">
        <v>34</v>
      </c>
    </row>
    <row r="1272" spans="1:12" x14ac:dyDescent="0.2">
      <c r="A1272" t="s">
        <v>2632</v>
      </c>
      <c r="B1272" t="s">
        <v>2633</v>
      </c>
      <c r="C1272" s="1">
        <v>45019</v>
      </c>
      <c r="D1272" s="2">
        <v>45025</v>
      </c>
      <c r="E1272" t="s">
        <v>41</v>
      </c>
      <c r="F1272">
        <v>2759</v>
      </c>
      <c r="G1272">
        <v>124</v>
      </c>
      <c r="H1272">
        <v>63.27</v>
      </c>
      <c r="I1272">
        <v>22</v>
      </c>
      <c r="J1272">
        <v>1</v>
      </c>
      <c r="L1272" t="s">
        <v>42</v>
      </c>
    </row>
    <row r="1273" spans="1:12" x14ac:dyDescent="0.2">
      <c r="A1273" t="s">
        <v>2634</v>
      </c>
      <c r="B1273" t="s">
        <v>2635</v>
      </c>
      <c r="C1273" s="1">
        <v>45250</v>
      </c>
      <c r="D1273" s="2">
        <v>45254</v>
      </c>
      <c r="E1273" t="s">
        <v>14</v>
      </c>
      <c r="F1273">
        <v>42949</v>
      </c>
      <c r="G1273">
        <v>1844</v>
      </c>
      <c r="H1273">
        <v>2369.7399999999998</v>
      </c>
      <c r="I1273">
        <v>215</v>
      </c>
      <c r="J1273" t="s">
        <v>15</v>
      </c>
      <c r="L1273" t="s">
        <v>16</v>
      </c>
    </row>
    <row r="1274" spans="1:12" x14ac:dyDescent="0.2">
      <c r="A1274" t="s">
        <v>2636</v>
      </c>
      <c r="B1274" t="s">
        <v>2637</v>
      </c>
      <c r="C1274" t="s">
        <v>2638</v>
      </c>
      <c r="D1274" s="2">
        <v>44980</v>
      </c>
      <c r="E1274" t="s">
        <v>41</v>
      </c>
      <c r="F1274">
        <v>93374</v>
      </c>
      <c r="G1274">
        <v>3629</v>
      </c>
      <c r="H1274">
        <v>6830.76</v>
      </c>
      <c r="I1274">
        <v>481</v>
      </c>
      <c r="J1274" t="b">
        <v>1</v>
      </c>
      <c r="L1274" t="s">
        <v>42</v>
      </c>
    </row>
    <row r="1275" spans="1:12" x14ac:dyDescent="0.2">
      <c r="A1275" t="s">
        <v>2639</v>
      </c>
      <c r="B1275" t="s">
        <v>2640</v>
      </c>
      <c r="C1275" s="1">
        <v>45067</v>
      </c>
      <c r="D1275" s="2">
        <v>45091</v>
      </c>
      <c r="E1275" t="s">
        <v>19</v>
      </c>
      <c r="F1275">
        <v>3482</v>
      </c>
      <c r="G1275">
        <v>72</v>
      </c>
      <c r="H1275">
        <v>123.7</v>
      </c>
      <c r="I1275">
        <v>13</v>
      </c>
      <c r="J1275" t="s">
        <v>30</v>
      </c>
      <c r="L1275" t="s">
        <v>20</v>
      </c>
    </row>
    <row r="1276" spans="1:12" x14ac:dyDescent="0.2">
      <c r="A1276" t="s">
        <v>2641</v>
      </c>
      <c r="B1276" t="s">
        <v>2642</v>
      </c>
      <c r="C1276" s="1">
        <v>45222</v>
      </c>
      <c r="D1276" s="2">
        <v>45251</v>
      </c>
      <c r="E1276" t="s">
        <v>19</v>
      </c>
      <c r="F1276">
        <v>25442</v>
      </c>
      <c r="G1276">
        <v>663</v>
      </c>
      <c r="H1276">
        <v>1152.17</v>
      </c>
      <c r="I1276">
        <v>54</v>
      </c>
      <c r="J1276">
        <v>0</v>
      </c>
      <c r="L1276" t="s">
        <v>20</v>
      </c>
    </row>
    <row r="1277" spans="1:12" x14ac:dyDescent="0.2">
      <c r="A1277" t="s">
        <v>2643</v>
      </c>
      <c r="B1277" t="s">
        <v>2644</v>
      </c>
      <c r="C1277" s="1">
        <v>44972</v>
      </c>
      <c r="D1277" s="2">
        <v>44982</v>
      </c>
      <c r="E1277" t="s">
        <v>23</v>
      </c>
      <c r="F1277">
        <v>34719</v>
      </c>
      <c r="G1277">
        <v>489</v>
      </c>
      <c r="H1277">
        <v>827.68</v>
      </c>
      <c r="I1277">
        <v>62</v>
      </c>
      <c r="J1277" t="s">
        <v>15</v>
      </c>
      <c r="L1277" t="s">
        <v>25</v>
      </c>
    </row>
    <row r="1278" spans="1:12" x14ac:dyDescent="0.2">
      <c r="A1278" t="s">
        <v>2645</v>
      </c>
      <c r="B1278" t="s">
        <v>2646</v>
      </c>
      <c r="C1278" s="1">
        <v>45146</v>
      </c>
      <c r="D1278" s="2">
        <v>45167</v>
      </c>
      <c r="E1278" t="s">
        <v>58</v>
      </c>
      <c r="F1278">
        <v>59066</v>
      </c>
      <c r="G1278">
        <v>1037</v>
      </c>
      <c r="H1278">
        <v>1022.06</v>
      </c>
      <c r="I1278">
        <v>125</v>
      </c>
      <c r="J1278">
        <v>1</v>
      </c>
      <c r="L1278" t="s">
        <v>59</v>
      </c>
    </row>
    <row r="1279" spans="1:12" x14ac:dyDescent="0.2">
      <c r="A1279" t="s">
        <v>2647</v>
      </c>
      <c r="B1279" t="s">
        <v>2648</v>
      </c>
      <c r="C1279" t="s">
        <v>2649</v>
      </c>
      <c r="D1279" s="2">
        <v>45131</v>
      </c>
      <c r="E1279" t="s">
        <v>23</v>
      </c>
      <c r="F1279">
        <v>94501</v>
      </c>
      <c r="G1279">
        <v>3904</v>
      </c>
      <c r="H1279">
        <v>6432.98</v>
      </c>
      <c r="I1279">
        <v>346</v>
      </c>
      <c r="J1279" t="b">
        <v>1</v>
      </c>
      <c r="L1279" t="s">
        <v>25</v>
      </c>
    </row>
    <row r="1280" spans="1:12" x14ac:dyDescent="0.2">
      <c r="A1280" t="s">
        <v>2650</v>
      </c>
      <c r="B1280" t="s">
        <v>2651</v>
      </c>
      <c r="C1280" s="1">
        <v>45200</v>
      </c>
      <c r="D1280" s="2">
        <v>45207</v>
      </c>
      <c r="E1280" t="s">
        <v>14</v>
      </c>
      <c r="F1280">
        <v>3079</v>
      </c>
      <c r="G1280">
        <v>118</v>
      </c>
      <c r="H1280">
        <v>84.34</v>
      </c>
      <c r="I1280">
        <v>20</v>
      </c>
      <c r="J1280">
        <v>0</v>
      </c>
      <c r="L1280" t="s">
        <v>16</v>
      </c>
    </row>
    <row r="1281" spans="1:12" x14ac:dyDescent="0.2">
      <c r="A1281" t="s">
        <v>2652</v>
      </c>
      <c r="B1281" t="s">
        <v>2653</v>
      </c>
      <c r="C1281" s="1">
        <v>44934</v>
      </c>
      <c r="D1281" s="2">
        <v>44954</v>
      </c>
      <c r="E1281" t="s">
        <v>14</v>
      </c>
      <c r="F1281">
        <v>3717</v>
      </c>
      <c r="G1281">
        <v>125</v>
      </c>
      <c r="H1281">
        <v>185.82</v>
      </c>
      <c r="I1281">
        <v>23</v>
      </c>
      <c r="J1281" t="s">
        <v>15</v>
      </c>
      <c r="L1281" t="s">
        <v>16</v>
      </c>
    </row>
    <row r="1282" spans="1:12" x14ac:dyDescent="0.2">
      <c r="A1282" t="s">
        <v>2654</v>
      </c>
      <c r="B1282" t="s">
        <v>2655</v>
      </c>
      <c r="C1282" s="1">
        <v>45198</v>
      </c>
      <c r="D1282" s="2">
        <v>45224</v>
      </c>
      <c r="E1282" t="s">
        <v>14</v>
      </c>
      <c r="F1282">
        <v>60676</v>
      </c>
      <c r="G1282">
        <v>2780</v>
      </c>
      <c r="H1282">
        <v>4065.34</v>
      </c>
      <c r="I1282">
        <v>465</v>
      </c>
      <c r="J1282" t="s">
        <v>24</v>
      </c>
      <c r="L1282" t="s">
        <v>16</v>
      </c>
    </row>
    <row r="1283" spans="1:12" x14ac:dyDescent="0.2">
      <c r="A1283" t="s">
        <v>2656</v>
      </c>
      <c r="B1283" t="s">
        <v>2657</v>
      </c>
      <c r="C1283" s="1">
        <v>45247</v>
      </c>
      <c r="D1283" s="2">
        <v>45268</v>
      </c>
      <c r="E1283" t="s">
        <v>234</v>
      </c>
      <c r="F1283">
        <v>28952</v>
      </c>
      <c r="G1283">
        <v>964</v>
      </c>
      <c r="H1283">
        <v>518.97</v>
      </c>
      <c r="I1283">
        <v>76</v>
      </c>
      <c r="J1283" t="s">
        <v>24</v>
      </c>
      <c r="L1283" t="s">
        <v>16</v>
      </c>
    </row>
    <row r="1284" spans="1:12" x14ac:dyDescent="0.2">
      <c r="A1284" t="s">
        <v>2658</v>
      </c>
      <c r="B1284" t="s">
        <v>2659</v>
      </c>
      <c r="C1284" s="1">
        <v>45103</v>
      </c>
      <c r="D1284" s="2">
        <v>45130</v>
      </c>
      <c r="E1284" t="s">
        <v>14</v>
      </c>
      <c r="F1284">
        <v>87444</v>
      </c>
      <c r="G1284">
        <v>2507</v>
      </c>
      <c r="H1284">
        <v>4216.66</v>
      </c>
      <c r="I1284">
        <v>157</v>
      </c>
      <c r="J1284" t="s">
        <v>15</v>
      </c>
      <c r="L1284" t="s">
        <v>16</v>
      </c>
    </row>
    <row r="1285" spans="1:12" x14ac:dyDescent="0.2">
      <c r="A1285" t="s">
        <v>2660</v>
      </c>
      <c r="B1285" t="s">
        <v>2661</v>
      </c>
      <c r="C1285" s="1">
        <v>45184</v>
      </c>
      <c r="D1285" s="2">
        <v>45195</v>
      </c>
      <c r="E1285" t="s">
        <v>19</v>
      </c>
      <c r="F1285">
        <v>43460</v>
      </c>
      <c r="G1285">
        <v>1026</v>
      </c>
      <c r="H1285">
        <v>1903.1</v>
      </c>
      <c r="I1285">
        <v>144</v>
      </c>
      <c r="J1285" t="s">
        <v>15</v>
      </c>
      <c r="L1285" t="s">
        <v>20</v>
      </c>
    </row>
    <row r="1286" spans="1:12" x14ac:dyDescent="0.2">
      <c r="A1286" t="s">
        <v>2662</v>
      </c>
      <c r="B1286" t="s">
        <v>2663</v>
      </c>
      <c r="C1286" s="1">
        <v>44950</v>
      </c>
      <c r="D1286" s="2">
        <v>44956</v>
      </c>
      <c r="E1286" t="s">
        <v>19</v>
      </c>
      <c r="F1286">
        <v>91397</v>
      </c>
      <c r="G1286">
        <v>4352</v>
      </c>
      <c r="H1286">
        <v>3921.69</v>
      </c>
      <c r="I1286">
        <v>254</v>
      </c>
      <c r="J1286" t="s">
        <v>15</v>
      </c>
      <c r="L1286" t="s">
        <v>20</v>
      </c>
    </row>
    <row r="1287" spans="1:12" x14ac:dyDescent="0.2">
      <c r="A1287" t="s">
        <v>2664</v>
      </c>
      <c r="B1287" t="s">
        <v>2665</v>
      </c>
      <c r="C1287" s="1">
        <v>45193</v>
      </c>
      <c r="D1287" s="2">
        <v>45222</v>
      </c>
      <c r="E1287" t="s">
        <v>23</v>
      </c>
      <c r="F1287">
        <v>73847</v>
      </c>
      <c r="G1287">
        <v>982</v>
      </c>
      <c r="H1287">
        <v>1687.65</v>
      </c>
      <c r="I1287">
        <v>148</v>
      </c>
      <c r="J1287">
        <v>0</v>
      </c>
      <c r="L1287" t="s">
        <v>25</v>
      </c>
    </row>
    <row r="1288" spans="1:12" x14ac:dyDescent="0.2">
      <c r="A1288" t="s">
        <v>2666</v>
      </c>
      <c r="B1288" t="s">
        <v>2667</v>
      </c>
      <c r="C1288" s="1">
        <v>45278</v>
      </c>
      <c r="D1288" s="2">
        <v>45299</v>
      </c>
      <c r="E1288" t="s">
        <v>19</v>
      </c>
      <c r="F1288">
        <v>94607</v>
      </c>
      <c r="G1288">
        <v>4468</v>
      </c>
      <c r="H1288">
        <v>2786.28</v>
      </c>
      <c r="I1288">
        <v>578</v>
      </c>
      <c r="J1288" t="s">
        <v>24</v>
      </c>
      <c r="L1288" t="s">
        <v>20</v>
      </c>
    </row>
    <row r="1289" spans="1:12" x14ac:dyDescent="0.2">
      <c r="A1289" t="s">
        <v>2668</v>
      </c>
      <c r="B1289" t="s">
        <v>2669</v>
      </c>
      <c r="C1289" s="1">
        <v>45177</v>
      </c>
      <c r="D1289" s="2">
        <v>45203</v>
      </c>
      <c r="E1289" t="s">
        <v>33</v>
      </c>
      <c r="F1289">
        <v>90106</v>
      </c>
      <c r="G1289">
        <v>3880</v>
      </c>
      <c r="H1289">
        <v>5431.81</v>
      </c>
      <c r="I1289">
        <v>579</v>
      </c>
      <c r="J1289" t="s">
        <v>30</v>
      </c>
      <c r="L1289" t="s">
        <v>34</v>
      </c>
    </row>
    <row r="1290" spans="1:12" x14ac:dyDescent="0.2">
      <c r="A1290" t="s">
        <v>2670</v>
      </c>
      <c r="B1290" t="s">
        <v>2671</v>
      </c>
      <c r="C1290" t="s">
        <v>2672</v>
      </c>
      <c r="D1290" s="2">
        <v>45149</v>
      </c>
      <c r="E1290" t="s">
        <v>19</v>
      </c>
      <c r="F1290">
        <v>19449</v>
      </c>
      <c r="G1290">
        <v>295</v>
      </c>
      <c r="H1290">
        <v>362.4</v>
      </c>
      <c r="I1290">
        <v>40</v>
      </c>
      <c r="J1290">
        <v>1</v>
      </c>
      <c r="L1290" t="s">
        <v>20</v>
      </c>
    </row>
    <row r="1291" spans="1:12" x14ac:dyDescent="0.2">
      <c r="A1291" t="s">
        <v>2673</v>
      </c>
      <c r="B1291" t="s">
        <v>2674</v>
      </c>
      <c r="C1291" s="1">
        <v>45041</v>
      </c>
      <c r="D1291" s="2">
        <v>45053</v>
      </c>
      <c r="E1291" t="s">
        <v>23</v>
      </c>
      <c r="F1291">
        <v>34536</v>
      </c>
      <c r="G1291">
        <v>1125</v>
      </c>
      <c r="H1291">
        <v>1483.75</v>
      </c>
      <c r="I1291">
        <v>127</v>
      </c>
      <c r="J1291">
        <v>1</v>
      </c>
      <c r="L1291" t="s">
        <v>25</v>
      </c>
    </row>
    <row r="1292" spans="1:12" x14ac:dyDescent="0.2">
      <c r="A1292" t="s">
        <v>2675</v>
      </c>
      <c r="B1292" t="s">
        <v>2676</v>
      </c>
      <c r="C1292" s="1">
        <v>44938</v>
      </c>
      <c r="D1292" s="2">
        <v>44946</v>
      </c>
      <c r="E1292" t="s">
        <v>33</v>
      </c>
      <c r="F1292">
        <v>65077</v>
      </c>
      <c r="G1292">
        <v>2906</v>
      </c>
      <c r="H1292">
        <v>5490.33</v>
      </c>
      <c r="I1292">
        <v>232</v>
      </c>
      <c r="J1292" t="b">
        <v>1</v>
      </c>
      <c r="L1292" t="s">
        <v>34</v>
      </c>
    </row>
    <row r="1293" spans="1:12" x14ac:dyDescent="0.2">
      <c r="A1293" t="s">
        <v>2677</v>
      </c>
      <c r="B1293" t="s">
        <v>2678</v>
      </c>
      <c r="C1293" s="1">
        <v>45114</v>
      </c>
      <c r="D1293" s="2">
        <v>45127</v>
      </c>
      <c r="E1293" t="s">
        <v>41</v>
      </c>
      <c r="F1293">
        <v>39258</v>
      </c>
      <c r="G1293">
        <v>1290</v>
      </c>
      <c r="H1293">
        <v>2331</v>
      </c>
      <c r="I1293">
        <v>123</v>
      </c>
      <c r="J1293" t="b">
        <v>0</v>
      </c>
      <c r="L1293" t="s">
        <v>42</v>
      </c>
    </row>
    <row r="1294" spans="1:12" x14ac:dyDescent="0.2">
      <c r="A1294" t="s">
        <v>2679</v>
      </c>
      <c r="B1294" t="s">
        <v>2680</v>
      </c>
      <c r="C1294" s="1">
        <v>45119</v>
      </c>
      <c r="D1294" s="2">
        <v>45135</v>
      </c>
      <c r="E1294" t="s">
        <v>41</v>
      </c>
      <c r="F1294">
        <v>49302</v>
      </c>
      <c r="G1294">
        <v>2282</v>
      </c>
      <c r="H1294">
        <v>3828.34</v>
      </c>
      <c r="I1294">
        <v>293</v>
      </c>
      <c r="J1294" t="s">
        <v>30</v>
      </c>
      <c r="L1294" t="s">
        <v>42</v>
      </c>
    </row>
    <row r="1295" spans="1:12" x14ac:dyDescent="0.2">
      <c r="A1295" t="s">
        <v>2681</v>
      </c>
      <c r="B1295" t="s">
        <v>2682</v>
      </c>
      <c r="C1295" s="1">
        <v>45200</v>
      </c>
      <c r="D1295" s="2">
        <v>45223</v>
      </c>
      <c r="E1295" t="s">
        <v>23</v>
      </c>
      <c r="F1295">
        <v>29865</v>
      </c>
      <c r="G1295">
        <v>1425</v>
      </c>
      <c r="H1295" s="3">
        <v>1297.53</v>
      </c>
      <c r="I1295">
        <v>210</v>
      </c>
      <c r="J1295" t="s">
        <v>24</v>
      </c>
      <c r="L1295" t="s">
        <v>25</v>
      </c>
    </row>
    <row r="1296" spans="1:12" x14ac:dyDescent="0.2">
      <c r="A1296" t="s">
        <v>2683</v>
      </c>
      <c r="B1296" t="s">
        <v>2684</v>
      </c>
      <c r="C1296" s="1">
        <v>44951</v>
      </c>
      <c r="D1296" s="2">
        <v>44960</v>
      </c>
      <c r="E1296" t="s">
        <v>23</v>
      </c>
      <c r="F1296">
        <v>7645</v>
      </c>
      <c r="G1296">
        <v>205</v>
      </c>
      <c r="H1296">
        <v>382.88</v>
      </c>
      <c r="I1296">
        <v>34</v>
      </c>
      <c r="J1296" t="b">
        <v>1</v>
      </c>
      <c r="L1296" t="s">
        <v>25</v>
      </c>
    </row>
    <row r="1297" spans="1:12" x14ac:dyDescent="0.2">
      <c r="A1297" t="s">
        <v>2685</v>
      </c>
      <c r="B1297" t="s">
        <v>2686</v>
      </c>
      <c r="C1297" s="2">
        <v>45231</v>
      </c>
      <c r="D1297" s="2">
        <v>44967</v>
      </c>
      <c r="E1297" t="s">
        <v>19</v>
      </c>
      <c r="F1297">
        <v>39000</v>
      </c>
      <c r="G1297">
        <v>978</v>
      </c>
      <c r="H1297" s="3">
        <v>632.04</v>
      </c>
      <c r="J1297" t="b">
        <v>1</v>
      </c>
      <c r="L1297" t="s">
        <v>20</v>
      </c>
    </row>
    <row r="1298" spans="1:12" x14ac:dyDescent="0.2">
      <c r="A1298" t="s">
        <v>2687</v>
      </c>
      <c r="B1298" t="s">
        <v>2688</v>
      </c>
      <c r="C1298" s="1">
        <v>44986</v>
      </c>
      <c r="D1298" s="2">
        <v>45005</v>
      </c>
      <c r="E1298" t="s">
        <v>41</v>
      </c>
      <c r="F1298">
        <v>27737</v>
      </c>
      <c r="G1298">
        <v>1316</v>
      </c>
      <c r="H1298">
        <v>2342.4699999999998</v>
      </c>
      <c r="I1298">
        <v>257</v>
      </c>
      <c r="J1298" t="s">
        <v>15</v>
      </c>
      <c r="L1298" t="s">
        <v>68</v>
      </c>
    </row>
    <row r="1299" spans="1:12" x14ac:dyDescent="0.2">
      <c r="A1299" t="s">
        <v>2689</v>
      </c>
      <c r="B1299" t="s">
        <v>2690</v>
      </c>
      <c r="C1299" s="1">
        <v>45207</v>
      </c>
      <c r="D1299" s="2">
        <v>45222</v>
      </c>
      <c r="E1299" t="s">
        <v>14</v>
      </c>
      <c r="F1299">
        <v>12485</v>
      </c>
      <c r="G1299">
        <v>462</v>
      </c>
      <c r="H1299">
        <v>458.41</v>
      </c>
      <c r="I1299">
        <v>42</v>
      </c>
      <c r="J1299" t="b">
        <v>0</v>
      </c>
      <c r="L1299" t="s">
        <v>16</v>
      </c>
    </row>
    <row r="1300" spans="1:12" x14ac:dyDescent="0.2">
      <c r="A1300" t="s">
        <v>2691</v>
      </c>
      <c r="B1300" t="s">
        <v>2692</v>
      </c>
      <c r="C1300" s="1">
        <v>45032</v>
      </c>
      <c r="D1300" s="2">
        <v>45050</v>
      </c>
      <c r="E1300" t="s">
        <v>23</v>
      </c>
      <c r="F1300">
        <v>39565</v>
      </c>
      <c r="G1300">
        <v>579</v>
      </c>
      <c r="H1300">
        <v>336.2</v>
      </c>
      <c r="I1300">
        <v>35</v>
      </c>
      <c r="J1300" t="s">
        <v>24</v>
      </c>
      <c r="L1300" t="s">
        <v>25</v>
      </c>
    </row>
    <row r="1301" spans="1:12" x14ac:dyDescent="0.2">
      <c r="A1301" t="s">
        <v>2693</v>
      </c>
      <c r="B1301" t="s">
        <v>2694</v>
      </c>
      <c r="C1301" s="1">
        <v>45081</v>
      </c>
      <c r="D1301" s="2">
        <v>45092</v>
      </c>
      <c r="E1301" t="s">
        <v>19</v>
      </c>
      <c r="F1301">
        <v>26522</v>
      </c>
      <c r="G1301">
        <v>310</v>
      </c>
      <c r="H1301" s="3">
        <v>466.25</v>
      </c>
      <c r="I1301">
        <v>31</v>
      </c>
      <c r="J1301" t="b">
        <v>0</v>
      </c>
      <c r="L1301" t="s">
        <v>20</v>
      </c>
    </row>
    <row r="1302" spans="1:12" x14ac:dyDescent="0.2">
      <c r="A1302" t="s">
        <v>2695</v>
      </c>
      <c r="B1302" t="s">
        <v>2696</v>
      </c>
      <c r="C1302" s="1">
        <v>45193</v>
      </c>
      <c r="D1302" s="2">
        <v>45198</v>
      </c>
      <c r="E1302" t="s">
        <v>23</v>
      </c>
      <c r="F1302">
        <v>66155</v>
      </c>
      <c r="G1302">
        <v>2155</v>
      </c>
      <c r="H1302">
        <v>1825.11</v>
      </c>
      <c r="I1302">
        <v>348</v>
      </c>
      <c r="J1302" t="s">
        <v>30</v>
      </c>
      <c r="L1302" t="s">
        <v>25</v>
      </c>
    </row>
    <row r="1303" spans="1:12" x14ac:dyDescent="0.2">
      <c r="A1303" t="s">
        <v>2697</v>
      </c>
      <c r="B1303" t="s">
        <v>2698</v>
      </c>
      <c r="C1303" s="1">
        <v>44997</v>
      </c>
      <c r="D1303" s="2">
        <v>45006</v>
      </c>
      <c r="E1303" t="s">
        <v>33</v>
      </c>
      <c r="F1303">
        <v>56168</v>
      </c>
      <c r="G1303">
        <v>2651</v>
      </c>
      <c r="H1303">
        <v>2294.06</v>
      </c>
      <c r="I1303">
        <v>306</v>
      </c>
      <c r="J1303" t="b">
        <v>0</v>
      </c>
      <c r="L1303" t="s">
        <v>34</v>
      </c>
    </row>
    <row r="1304" spans="1:12" x14ac:dyDescent="0.2">
      <c r="A1304" t="s">
        <v>2699</v>
      </c>
      <c r="B1304" t="s">
        <v>2700</v>
      </c>
      <c r="C1304" s="1">
        <v>45188</v>
      </c>
      <c r="D1304" s="2">
        <v>45208</v>
      </c>
      <c r="E1304" t="s">
        <v>33</v>
      </c>
      <c r="F1304">
        <v>53487</v>
      </c>
      <c r="G1304">
        <v>2341</v>
      </c>
      <c r="H1304">
        <v>2245.1799999999998</v>
      </c>
      <c r="I1304">
        <v>404</v>
      </c>
      <c r="J1304" t="b">
        <v>1</v>
      </c>
      <c r="L1304" t="s">
        <v>34</v>
      </c>
    </row>
    <row r="1305" spans="1:12" x14ac:dyDescent="0.2">
      <c r="A1305" t="s">
        <v>2701</v>
      </c>
      <c r="B1305" t="s">
        <v>2702</v>
      </c>
      <c r="C1305" s="1">
        <v>44985</v>
      </c>
      <c r="D1305" s="2">
        <v>44988</v>
      </c>
      <c r="E1305" t="s">
        <v>33</v>
      </c>
      <c r="F1305">
        <v>13342</v>
      </c>
      <c r="G1305">
        <v>494</v>
      </c>
      <c r="H1305">
        <v>294.19</v>
      </c>
      <c r="I1305">
        <v>65</v>
      </c>
      <c r="J1305" t="b">
        <v>0</v>
      </c>
      <c r="L1305" t="s">
        <v>34</v>
      </c>
    </row>
    <row r="1306" spans="1:12" x14ac:dyDescent="0.2">
      <c r="A1306" t="s">
        <v>2703</v>
      </c>
      <c r="B1306" t="s">
        <v>2704</v>
      </c>
      <c r="C1306" s="1">
        <v>45238</v>
      </c>
      <c r="D1306" s="2">
        <v>45247</v>
      </c>
      <c r="E1306" t="s">
        <v>23</v>
      </c>
      <c r="F1306">
        <v>41806</v>
      </c>
      <c r="G1306">
        <v>650</v>
      </c>
      <c r="H1306" s="3">
        <v>497.7</v>
      </c>
      <c r="I1306">
        <v>123</v>
      </c>
      <c r="J1306" t="b">
        <v>0</v>
      </c>
      <c r="L1306" t="s">
        <v>25</v>
      </c>
    </row>
    <row r="1307" spans="1:12" x14ac:dyDescent="0.2">
      <c r="A1307" t="s">
        <v>2705</v>
      </c>
      <c r="B1307" t="s">
        <v>2706</v>
      </c>
      <c r="C1307" s="1">
        <v>45194</v>
      </c>
      <c r="D1307" s="2">
        <v>45198</v>
      </c>
      <c r="E1307" t="s">
        <v>23</v>
      </c>
      <c r="F1307">
        <v>49770</v>
      </c>
      <c r="G1307">
        <v>1003</v>
      </c>
      <c r="H1307" s="3">
        <v>509.23</v>
      </c>
      <c r="I1307">
        <v>192</v>
      </c>
      <c r="J1307">
        <v>1</v>
      </c>
      <c r="L1307" t="s">
        <v>25</v>
      </c>
    </row>
    <row r="1308" spans="1:12" x14ac:dyDescent="0.2">
      <c r="A1308" t="s">
        <v>2707</v>
      </c>
      <c r="B1308" t="s">
        <v>2708</v>
      </c>
      <c r="C1308" s="2">
        <v>45136</v>
      </c>
      <c r="D1308" s="2">
        <v>45149</v>
      </c>
      <c r="E1308" t="s">
        <v>14</v>
      </c>
      <c r="F1308">
        <v>79623</v>
      </c>
      <c r="G1308">
        <v>3584</v>
      </c>
      <c r="H1308" s="3">
        <v>4186.5200000000004</v>
      </c>
      <c r="I1308">
        <v>216</v>
      </c>
      <c r="J1308" t="s">
        <v>24</v>
      </c>
      <c r="L1308" t="s">
        <v>16</v>
      </c>
    </row>
    <row r="1309" spans="1:12" x14ac:dyDescent="0.2">
      <c r="A1309" t="s">
        <v>2709</v>
      </c>
      <c r="B1309" t="s">
        <v>2710</v>
      </c>
      <c r="C1309" s="1">
        <v>45181</v>
      </c>
      <c r="D1309" s="2">
        <v>45208</v>
      </c>
      <c r="E1309" t="s">
        <v>19</v>
      </c>
      <c r="F1309">
        <v>76629</v>
      </c>
      <c r="G1309">
        <v>1326</v>
      </c>
      <c r="H1309" s="3">
        <v>830.58</v>
      </c>
      <c r="I1309">
        <v>157</v>
      </c>
      <c r="J1309" t="s">
        <v>24</v>
      </c>
      <c r="L1309" t="s">
        <v>20</v>
      </c>
    </row>
    <row r="1310" spans="1:12" x14ac:dyDescent="0.2">
      <c r="A1310" t="s">
        <v>2711</v>
      </c>
      <c r="B1310" t="s">
        <v>2712</v>
      </c>
      <c r="C1310" s="2">
        <v>45173</v>
      </c>
      <c r="D1310" s="2">
        <v>45043</v>
      </c>
      <c r="E1310" t="s">
        <v>33</v>
      </c>
      <c r="F1310">
        <v>53603</v>
      </c>
      <c r="G1310">
        <v>1133</v>
      </c>
      <c r="H1310">
        <v>1726.67</v>
      </c>
      <c r="I1310">
        <v>160</v>
      </c>
      <c r="J1310" t="b">
        <v>1</v>
      </c>
      <c r="L1310" t="s">
        <v>68</v>
      </c>
    </row>
    <row r="1311" spans="1:12" x14ac:dyDescent="0.2">
      <c r="A1311" t="s">
        <v>2713</v>
      </c>
      <c r="B1311" t="s">
        <v>2714</v>
      </c>
      <c r="C1311" s="2">
        <v>45211</v>
      </c>
      <c r="D1311" s="2">
        <v>45283</v>
      </c>
      <c r="E1311" t="s">
        <v>14</v>
      </c>
      <c r="F1311">
        <v>82974</v>
      </c>
      <c r="G1311">
        <v>1259</v>
      </c>
      <c r="H1311">
        <v>1074.47</v>
      </c>
      <c r="I1311">
        <v>111</v>
      </c>
      <c r="J1311">
        <v>0</v>
      </c>
      <c r="L1311" t="s">
        <v>16</v>
      </c>
    </row>
    <row r="1312" spans="1:12" x14ac:dyDescent="0.2">
      <c r="A1312" t="s">
        <v>2715</v>
      </c>
      <c r="B1312" t="s">
        <v>2716</v>
      </c>
      <c r="C1312" s="1">
        <v>44983</v>
      </c>
      <c r="D1312" s="2">
        <v>44984</v>
      </c>
      <c r="E1312" t="s">
        <v>14</v>
      </c>
      <c r="F1312">
        <v>27399</v>
      </c>
      <c r="G1312">
        <v>1014</v>
      </c>
      <c r="H1312" s="3">
        <v>1942.18</v>
      </c>
      <c r="I1312">
        <v>112</v>
      </c>
      <c r="J1312" t="b">
        <v>0</v>
      </c>
      <c r="L1312" t="s">
        <v>16</v>
      </c>
    </row>
    <row r="1313" spans="1:12" x14ac:dyDescent="0.2">
      <c r="A1313" t="s">
        <v>2717</v>
      </c>
      <c r="B1313" t="s">
        <v>2718</v>
      </c>
      <c r="C1313" s="1">
        <v>45003</v>
      </c>
      <c r="D1313" s="2">
        <v>45006</v>
      </c>
      <c r="E1313" t="s">
        <v>19</v>
      </c>
      <c r="F1313">
        <v>86382</v>
      </c>
      <c r="G1313">
        <v>4125</v>
      </c>
      <c r="H1313">
        <v>7453.37</v>
      </c>
      <c r="I1313">
        <v>625</v>
      </c>
      <c r="J1313" t="b">
        <v>0</v>
      </c>
      <c r="L1313" t="s">
        <v>68</v>
      </c>
    </row>
    <row r="1314" spans="1:12" x14ac:dyDescent="0.2">
      <c r="A1314" t="s">
        <v>2719</v>
      </c>
      <c r="B1314" t="s">
        <v>2720</v>
      </c>
      <c r="C1314" s="1">
        <v>44965</v>
      </c>
      <c r="D1314" s="2">
        <v>44972</v>
      </c>
      <c r="E1314" t="s">
        <v>23</v>
      </c>
      <c r="F1314">
        <v>82244</v>
      </c>
      <c r="G1314">
        <v>1707</v>
      </c>
      <c r="H1314" s="3">
        <v>1594.61</v>
      </c>
      <c r="I1314">
        <v>143</v>
      </c>
      <c r="J1314" t="s">
        <v>15</v>
      </c>
      <c r="L1314" t="s">
        <v>25</v>
      </c>
    </row>
    <row r="1315" spans="1:12" x14ac:dyDescent="0.2">
      <c r="A1315" t="s">
        <v>2721</v>
      </c>
      <c r="B1315" t="s">
        <v>2722</v>
      </c>
      <c r="C1315" s="1">
        <v>45058</v>
      </c>
      <c r="D1315" s="2">
        <v>45084</v>
      </c>
      <c r="E1315" t="s">
        <v>41</v>
      </c>
      <c r="F1315">
        <v>77534</v>
      </c>
      <c r="G1315">
        <v>2249</v>
      </c>
      <c r="H1315" s="3">
        <v>3766.68</v>
      </c>
      <c r="I1315">
        <v>315</v>
      </c>
      <c r="J1315" t="s">
        <v>24</v>
      </c>
      <c r="L1315" t="s">
        <v>42</v>
      </c>
    </row>
    <row r="1316" spans="1:12" x14ac:dyDescent="0.2">
      <c r="A1316" t="s">
        <v>2723</v>
      </c>
      <c r="B1316" t="s">
        <v>2724</v>
      </c>
      <c r="C1316" s="2">
        <v>45078</v>
      </c>
      <c r="D1316" s="2">
        <v>44962</v>
      </c>
      <c r="E1316" t="s">
        <v>19</v>
      </c>
      <c r="F1316">
        <v>56106</v>
      </c>
      <c r="G1316">
        <v>1984</v>
      </c>
      <c r="H1316" s="3">
        <v>3382.46</v>
      </c>
      <c r="I1316">
        <v>306</v>
      </c>
      <c r="J1316" t="b">
        <v>0</v>
      </c>
      <c r="L1316" t="s">
        <v>20</v>
      </c>
    </row>
    <row r="1317" spans="1:12" x14ac:dyDescent="0.2">
      <c r="A1317" t="s">
        <v>2725</v>
      </c>
      <c r="B1317" t="s">
        <v>2726</v>
      </c>
      <c r="C1317" s="1">
        <v>45016</v>
      </c>
      <c r="D1317" s="2">
        <v>45025</v>
      </c>
      <c r="E1317" t="s">
        <v>41</v>
      </c>
      <c r="F1317">
        <v>31678</v>
      </c>
      <c r="G1317">
        <v>1583</v>
      </c>
      <c r="H1317">
        <v>3134.09</v>
      </c>
      <c r="I1317">
        <v>100</v>
      </c>
      <c r="J1317" t="s">
        <v>24</v>
      </c>
      <c r="L1317" t="s">
        <v>42</v>
      </c>
    </row>
    <row r="1318" spans="1:12" x14ac:dyDescent="0.2">
      <c r="A1318" t="s">
        <v>2727</v>
      </c>
      <c r="B1318" t="s">
        <v>2728</v>
      </c>
      <c r="C1318" s="1">
        <v>45111</v>
      </c>
      <c r="D1318" s="2">
        <v>45141</v>
      </c>
      <c r="E1318" t="s">
        <v>138</v>
      </c>
      <c r="F1318">
        <v>77218</v>
      </c>
      <c r="G1318">
        <v>1095</v>
      </c>
      <c r="H1318">
        <v>1529.45</v>
      </c>
      <c r="I1318">
        <v>136</v>
      </c>
      <c r="J1318" t="b">
        <v>0</v>
      </c>
      <c r="L1318" t="s">
        <v>139</v>
      </c>
    </row>
    <row r="1319" spans="1:12" x14ac:dyDescent="0.2">
      <c r="A1319" t="s">
        <v>2729</v>
      </c>
      <c r="B1319" t="s">
        <v>2730</v>
      </c>
      <c r="C1319" s="2">
        <v>44929</v>
      </c>
      <c r="D1319" s="2">
        <v>45002</v>
      </c>
      <c r="E1319" t="s">
        <v>14</v>
      </c>
      <c r="F1319">
        <v>64230</v>
      </c>
      <c r="G1319">
        <v>1923</v>
      </c>
      <c r="H1319">
        <v>-1197.93</v>
      </c>
      <c r="I1319">
        <v>172</v>
      </c>
      <c r="J1319">
        <v>1</v>
      </c>
      <c r="L1319" t="s">
        <v>16</v>
      </c>
    </row>
    <row r="1320" spans="1:12" x14ac:dyDescent="0.2">
      <c r="A1320" t="s">
        <v>2731</v>
      </c>
      <c r="B1320" t="s">
        <v>2732</v>
      </c>
      <c r="C1320" t="s">
        <v>2733</v>
      </c>
      <c r="D1320" s="2">
        <v>44965</v>
      </c>
      <c r="E1320" t="s">
        <v>23</v>
      </c>
      <c r="F1320">
        <v>75055</v>
      </c>
      <c r="G1320">
        <v>1906</v>
      </c>
      <c r="H1320" s="3">
        <v>2802.31</v>
      </c>
      <c r="I1320">
        <v>302</v>
      </c>
      <c r="J1320" t="b">
        <v>1</v>
      </c>
      <c r="L1320" t="s">
        <v>25</v>
      </c>
    </row>
    <row r="1321" spans="1:12" x14ac:dyDescent="0.2">
      <c r="A1321" t="s">
        <v>2734</v>
      </c>
      <c r="B1321" t="s">
        <v>2735</v>
      </c>
      <c r="C1321" s="1">
        <v>44997</v>
      </c>
      <c r="D1321" s="2">
        <v>45027</v>
      </c>
      <c r="E1321" t="s">
        <v>58</v>
      </c>
      <c r="F1321">
        <v>57373</v>
      </c>
      <c r="G1321">
        <v>2560</v>
      </c>
      <c r="H1321">
        <v>3679.92</v>
      </c>
      <c r="I1321">
        <v>200</v>
      </c>
      <c r="J1321" t="s">
        <v>24</v>
      </c>
      <c r="L1321" t="s">
        <v>59</v>
      </c>
    </row>
    <row r="1322" spans="1:12" x14ac:dyDescent="0.2">
      <c r="A1322" t="s">
        <v>2736</v>
      </c>
      <c r="B1322" t="s">
        <v>2737</v>
      </c>
      <c r="C1322" s="1">
        <v>45110</v>
      </c>
      <c r="D1322" s="2">
        <v>45128</v>
      </c>
      <c r="E1322" t="s">
        <v>19</v>
      </c>
      <c r="F1322">
        <v>32480</v>
      </c>
      <c r="G1322">
        <v>943</v>
      </c>
      <c r="H1322">
        <v>1374.45</v>
      </c>
      <c r="I1322">
        <v>173</v>
      </c>
      <c r="J1322" t="s">
        <v>30</v>
      </c>
      <c r="L1322" t="s">
        <v>20</v>
      </c>
    </row>
    <row r="1323" spans="1:12" x14ac:dyDescent="0.2">
      <c r="A1323" t="s">
        <v>2738</v>
      </c>
      <c r="B1323" t="s">
        <v>2739</v>
      </c>
      <c r="C1323" s="2">
        <v>45064</v>
      </c>
      <c r="D1323" s="2">
        <v>45083</v>
      </c>
      <c r="E1323" t="s">
        <v>33</v>
      </c>
      <c r="F1323">
        <v>86230</v>
      </c>
      <c r="G1323">
        <v>1245</v>
      </c>
      <c r="H1323" s="3">
        <v>1196.0899999999999</v>
      </c>
      <c r="I1323">
        <v>142</v>
      </c>
      <c r="J1323" t="b">
        <v>1</v>
      </c>
      <c r="L1323" t="s">
        <v>34</v>
      </c>
    </row>
    <row r="1324" spans="1:12" x14ac:dyDescent="0.2">
      <c r="A1324" t="s">
        <v>2740</v>
      </c>
      <c r="B1324" t="s">
        <v>2741</v>
      </c>
      <c r="C1324" s="1">
        <v>45102</v>
      </c>
      <c r="D1324" s="2">
        <v>45129</v>
      </c>
      <c r="E1324" t="s">
        <v>41</v>
      </c>
      <c r="F1324">
        <v>69836</v>
      </c>
      <c r="G1324">
        <v>2470</v>
      </c>
      <c r="H1324">
        <v>4420.1099999999997</v>
      </c>
      <c r="I1324">
        <v>196</v>
      </c>
      <c r="J1324" t="s">
        <v>15</v>
      </c>
      <c r="L1324" t="s">
        <v>42</v>
      </c>
    </row>
    <row r="1325" spans="1:12" x14ac:dyDescent="0.2">
      <c r="A1325" t="s">
        <v>2742</v>
      </c>
      <c r="B1325" t="s">
        <v>2743</v>
      </c>
      <c r="C1325" s="1">
        <v>45160</v>
      </c>
      <c r="D1325" s="2">
        <v>45169</v>
      </c>
      <c r="E1325" t="s">
        <v>23</v>
      </c>
      <c r="F1325">
        <v>73258</v>
      </c>
      <c r="G1325">
        <v>2991</v>
      </c>
      <c r="H1325">
        <v>5800.17</v>
      </c>
      <c r="I1325">
        <v>346</v>
      </c>
      <c r="J1325" t="b">
        <v>1</v>
      </c>
      <c r="L1325" t="s">
        <v>25</v>
      </c>
    </row>
    <row r="1326" spans="1:12" x14ac:dyDescent="0.2">
      <c r="A1326" t="s">
        <v>2744</v>
      </c>
      <c r="B1326" t="s">
        <v>2745</v>
      </c>
      <c r="C1326" s="1">
        <v>45171</v>
      </c>
      <c r="D1326" s="2">
        <v>45188</v>
      </c>
      <c r="E1326" t="s">
        <v>23</v>
      </c>
      <c r="F1326">
        <v>40986</v>
      </c>
      <c r="G1326">
        <v>414</v>
      </c>
      <c r="H1326">
        <v>342.2</v>
      </c>
      <c r="I1326">
        <v>46</v>
      </c>
      <c r="J1326" t="b">
        <v>0</v>
      </c>
      <c r="L1326" t="s">
        <v>25</v>
      </c>
    </row>
    <row r="1327" spans="1:12" x14ac:dyDescent="0.2">
      <c r="A1327" t="s">
        <v>2746</v>
      </c>
      <c r="B1327" t="s">
        <v>2747</v>
      </c>
      <c r="C1327" s="1">
        <v>45012</v>
      </c>
      <c r="D1327" s="2">
        <v>45031</v>
      </c>
      <c r="E1327" t="s">
        <v>14</v>
      </c>
      <c r="F1327">
        <v>25160</v>
      </c>
      <c r="G1327">
        <v>1116</v>
      </c>
      <c r="H1327">
        <v>705.57</v>
      </c>
      <c r="I1327">
        <v>127</v>
      </c>
      <c r="J1327" t="s">
        <v>15</v>
      </c>
      <c r="L1327" t="s">
        <v>16</v>
      </c>
    </row>
    <row r="1328" spans="1:12" x14ac:dyDescent="0.2">
      <c r="A1328" t="s">
        <v>2748</v>
      </c>
      <c r="B1328" t="s">
        <v>2749</v>
      </c>
      <c r="C1328" s="1">
        <v>44957</v>
      </c>
      <c r="D1328" s="2">
        <v>44971</v>
      </c>
      <c r="E1328" t="s">
        <v>14</v>
      </c>
      <c r="F1328">
        <v>86595</v>
      </c>
      <c r="G1328">
        <v>1510</v>
      </c>
      <c r="H1328" s="3">
        <v>1195.6199999999999</v>
      </c>
      <c r="I1328">
        <v>208</v>
      </c>
      <c r="J1328" t="b">
        <v>1</v>
      </c>
      <c r="L1328" t="s">
        <v>16</v>
      </c>
    </row>
    <row r="1329" spans="1:12" x14ac:dyDescent="0.2">
      <c r="A1329" t="s">
        <v>2750</v>
      </c>
      <c r="B1329" t="s">
        <v>2751</v>
      </c>
      <c r="C1329" s="1">
        <v>44980</v>
      </c>
      <c r="D1329" s="2">
        <v>44987</v>
      </c>
      <c r="E1329" t="s">
        <v>14</v>
      </c>
      <c r="F1329">
        <v>80111</v>
      </c>
      <c r="G1329">
        <v>2570</v>
      </c>
      <c r="H1329">
        <v>4448.2299999999996</v>
      </c>
      <c r="I1329">
        <v>329</v>
      </c>
      <c r="J1329" t="s">
        <v>15</v>
      </c>
      <c r="L1329" t="s">
        <v>68</v>
      </c>
    </row>
    <row r="1330" spans="1:12" x14ac:dyDescent="0.2">
      <c r="A1330" t="s">
        <v>2752</v>
      </c>
      <c r="B1330" t="s">
        <v>2753</v>
      </c>
      <c r="C1330" s="1">
        <v>45218</v>
      </c>
      <c r="D1330" s="2">
        <v>45227</v>
      </c>
      <c r="E1330" t="s">
        <v>19</v>
      </c>
      <c r="F1330">
        <v>65929</v>
      </c>
      <c r="G1330">
        <v>1755</v>
      </c>
      <c r="H1330">
        <v>2658.77</v>
      </c>
      <c r="J1330" t="s">
        <v>30</v>
      </c>
      <c r="L1330" t="s">
        <v>20</v>
      </c>
    </row>
    <row r="1331" spans="1:12" x14ac:dyDescent="0.2">
      <c r="A1331" t="s">
        <v>2754</v>
      </c>
      <c r="B1331" t="s">
        <v>2755</v>
      </c>
      <c r="C1331" s="1">
        <v>45121</v>
      </c>
      <c r="D1331" s="2">
        <v>45123</v>
      </c>
      <c r="E1331" t="s">
        <v>14</v>
      </c>
      <c r="F1331">
        <v>74506</v>
      </c>
      <c r="G1331">
        <v>2889</v>
      </c>
      <c r="H1331">
        <v>4200.8100000000004</v>
      </c>
      <c r="J1331" t="b">
        <v>1</v>
      </c>
      <c r="L1331" t="s">
        <v>16</v>
      </c>
    </row>
    <row r="1332" spans="1:12" x14ac:dyDescent="0.2">
      <c r="A1332" t="s">
        <v>2756</v>
      </c>
      <c r="B1332" t="s">
        <v>2757</v>
      </c>
      <c r="C1332" s="1">
        <v>45277</v>
      </c>
      <c r="D1332" s="2">
        <v>45291</v>
      </c>
      <c r="E1332" t="s">
        <v>41</v>
      </c>
      <c r="F1332">
        <v>35911</v>
      </c>
      <c r="G1332">
        <v>892</v>
      </c>
      <c r="H1332" s="3">
        <v>983.6</v>
      </c>
      <c r="I1332">
        <v>142</v>
      </c>
      <c r="J1332" t="s">
        <v>24</v>
      </c>
      <c r="L1332" t="s">
        <v>42</v>
      </c>
    </row>
    <row r="1333" spans="1:12" x14ac:dyDescent="0.2">
      <c r="A1333" t="s">
        <v>2758</v>
      </c>
      <c r="B1333" t="s">
        <v>2759</v>
      </c>
      <c r="C1333" s="1">
        <v>44993</v>
      </c>
      <c r="D1333" s="2">
        <v>45014</v>
      </c>
      <c r="E1333" t="s">
        <v>19</v>
      </c>
      <c r="F1333">
        <v>88127</v>
      </c>
      <c r="G1333">
        <v>3947</v>
      </c>
      <c r="H1333">
        <v>5394.53</v>
      </c>
      <c r="I1333">
        <v>528</v>
      </c>
      <c r="J1333" t="s">
        <v>24</v>
      </c>
      <c r="L1333" t="s">
        <v>20</v>
      </c>
    </row>
    <row r="1334" spans="1:12" x14ac:dyDescent="0.2">
      <c r="A1334" t="s">
        <v>2760</v>
      </c>
      <c r="B1334" t="s">
        <v>2761</v>
      </c>
      <c r="C1334" s="2">
        <v>45137</v>
      </c>
      <c r="D1334" s="2">
        <v>45153</v>
      </c>
      <c r="E1334" t="s">
        <v>415</v>
      </c>
      <c r="F1334">
        <v>32821</v>
      </c>
      <c r="G1334">
        <v>1287</v>
      </c>
      <c r="H1334">
        <v>1237.8499999999999</v>
      </c>
      <c r="I1334">
        <v>133</v>
      </c>
      <c r="J1334">
        <v>0</v>
      </c>
      <c r="L1334" t="s">
        <v>34</v>
      </c>
    </row>
    <row r="1335" spans="1:12" x14ac:dyDescent="0.2">
      <c r="A1335" t="s">
        <v>2762</v>
      </c>
      <c r="B1335" t="s">
        <v>2763</v>
      </c>
      <c r="C1335" s="1">
        <v>45262</v>
      </c>
      <c r="D1335" s="2">
        <v>45282</v>
      </c>
      <c r="E1335" t="s">
        <v>23</v>
      </c>
      <c r="F1335">
        <v>76039</v>
      </c>
      <c r="G1335">
        <v>2730</v>
      </c>
      <c r="H1335">
        <v>3319.13</v>
      </c>
      <c r="I1335">
        <v>467</v>
      </c>
      <c r="J1335" t="b">
        <v>0</v>
      </c>
      <c r="L1335" t="s">
        <v>25</v>
      </c>
    </row>
    <row r="1336" spans="1:12" x14ac:dyDescent="0.2">
      <c r="A1336" t="s">
        <v>2764</v>
      </c>
      <c r="B1336" t="s">
        <v>2765</v>
      </c>
      <c r="C1336" s="1">
        <v>45274</v>
      </c>
      <c r="D1336" s="2">
        <v>45278</v>
      </c>
      <c r="E1336" t="s">
        <v>33</v>
      </c>
      <c r="F1336">
        <v>61535</v>
      </c>
      <c r="G1336">
        <v>2575</v>
      </c>
      <c r="H1336">
        <v>4350.71</v>
      </c>
      <c r="I1336">
        <v>278</v>
      </c>
      <c r="J1336" t="s">
        <v>15</v>
      </c>
      <c r="L1336" t="s">
        <v>34</v>
      </c>
    </row>
    <row r="1337" spans="1:12" x14ac:dyDescent="0.2">
      <c r="A1337" t="s">
        <v>2766</v>
      </c>
      <c r="B1337" t="s">
        <v>2767</v>
      </c>
      <c r="C1337" s="1">
        <v>45216</v>
      </c>
      <c r="D1337" s="2">
        <v>45232</v>
      </c>
      <c r="E1337" t="s">
        <v>14</v>
      </c>
      <c r="F1337">
        <v>85458</v>
      </c>
      <c r="G1337">
        <v>3432</v>
      </c>
      <c r="H1337">
        <v>6767.43</v>
      </c>
      <c r="I1337">
        <v>581</v>
      </c>
      <c r="J1337">
        <v>0</v>
      </c>
      <c r="L1337" t="s">
        <v>16</v>
      </c>
    </row>
    <row r="1338" spans="1:12" x14ac:dyDescent="0.2">
      <c r="A1338" t="s">
        <v>2768</v>
      </c>
      <c r="B1338" t="s">
        <v>2769</v>
      </c>
      <c r="C1338" s="1">
        <v>45100</v>
      </c>
      <c r="D1338" s="2">
        <v>45114</v>
      </c>
      <c r="E1338" t="s">
        <v>33</v>
      </c>
      <c r="F1338">
        <v>13175</v>
      </c>
      <c r="G1338">
        <v>150</v>
      </c>
      <c r="H1338">
        <v>284.81</v>
      </c>
      <c r="J1338">
        <v>0</v>
      </c>
      <c r="L1338" t="s">
        <v>34</v>
      </c>
    </row>
    <row r="1339" spans="1:12" x14ac:dyDescent="0.2">
      <c r="A1339" t="s">
        <v>2770</v>
      </c>
      <c r="B1339" t="s">
        <v>2771</v>
      </c>
      <c r="C1339" t="s">
        <v>2772</v>
      </c>
      <c r="D1339" s="2">
        <v>45256</v>
      </c>
      <c r="E1339" t="s">
        <v>23</v>
      </c>
      <c r="F1339">
        <v>55771</v>
      </c>
      <c r="G1339">
        <v>1438</v>
      </c>
      <c r="H1339" s="3">
        <v>2733.35</v>
      </c>
      <c r="I1339">
        <v>87</v>
      </c>
      <c r="J1339">
        <v>1</v>
      </c>
      <c r="L1339" t="s">
        <v>25</v>
      </c>
    </row>
    <row r="1340" spans="1:12" x14ac:dyDescent="0.2">
      <c r="A1340" t="s">
        <v>2773</v>
      </c>
      <c r="B1340" t="s">
        <v>2774</v>
      </c>
      <c r="C1340" s="1">
        <v>45265</v>
      </c>
      <c r="D1340" s="2">
        <v>45276</v>
      </c>
      <c r="E1340" t="s">
        <v>19</v>
      </c>
      <c r="F1340">
        <v>87925</v>
      </c>
      <c r="G1340">
        <v>4152</v>
      </c>
      <c r="H1340">
        <v>4581.05</v>
      </c>
      <c r="I1340">
        <v>788</v>
      </c>
      <c r="J1340" t="s">
        <v>15</v>
      </c>
      <c r="L1340" t="s">
        <v>20</v>
      </c>
    </row>
    <row r="1341" spans="1:12" x14ac:dyDescent="0.2">
      <c r="A1341" t="s">
        <v>2775</v>
      </c>
      <c r="B1341" t="s">
        <v>2776</v>
      </c>
      <c r="C1341" s="1">
        <v>45266</v>
      </c>
      <c r="D1341" s="2">
        <v>45261</v>
      </c>
      <c r="E1341" t="s">
        <v>19</v>
      </c>
      <c r="F1341">
        <v>67358</v>
      </c>
      <c r="G1341">
        <v>1012</v>
      </c>
      <c r="H1341">
        <v>1217.6199999999999</v>
      </c>
      <c r="I1341">
        <v>110</v>
      </c>
      <c r="J1341">
        <v>0</v>
      </c>
      <c r="L1341" t="s">
        <v>20</v>
      </c>
    </row>
    <row r="1342" spans="1:12" x14ac:dyDescent="0.2">
      <c r="A1342" t="s">
        <v>2777</v>
      </c>
      <c r="B1342" t="s">
        <v>2778</v>
      </c>
      <c r="C1342" s="1">
        <v>45212</v>
      </c>
      <c r="D1342" s="2">
        <v>45217</v>
      </c>
      <c r="E1342" t="s">
        <v>14</v>
      </c>
      <c r="F1342">
        <v>18327</v>
      </c>
      <c r="G1342">
        <v>723</v>
      </c>
      <c r="H1342">
        <v>1126.76</v>
      </c>
      <c r="I1342">
        <v>122</v>
      </c>
      <c r="J1342">
        <v>1</v>
      </c>
      <c r="L1342" t="s">
        <v>16</v>
      </c>
    </row>
    <row r="1343" spans="1:12" x14ac:dyDescent="0.2">
      <c r="A1343" t="s">
        <v>2779</v>
      </c>
      <c r="B1343" t="s">
        <v>2780</v>
      </c>
      <c r="C1343" s="1">
        <v>44932</v>
      </c>
      <c r="D1343" s="2">
        <v>44938</v>
      </c>
      <c r="E1343" t="s">
        <v>19</v>
      </c>
      <c r="F1343">
        <v>48057</v>
      </c>
      <c r="G1343">
        <v>2354</v>
      </c>
      <c r="H1343">
        <v>4433.26</v>
      </c>
      <c r="I1343">
        <v>216</v>
      </c>
      <c r="J1343">
        <v>0</v>
      </c>
      <c r="L1343" t="s">
        <v>20</v>
      </c>
    </row>
    <row r="1344" spans="1:12" x14ac:dyDescent="0.2">
      <c r="A1344" t="s">
        <v>2781</v>
      </c>
      <c r="B1344" t="s">
        <v>2782</v>
      </c>
      <c r="C1344" s="1">
        <v>45167</v>
      </c>
      <c r="D1344" s="2">
        <v>45171</v>
      </c>
      <c r="E1344" t="s">
        <v>14</v>
      </c>
      <c r="F1344">
        <v>7150</v>
      </c>
      <c r="G1344">
        <v>86</v>
      </c>
      <c r="H1344">
        <v>61.32</v>
      </c>
      <c r="I1344">
        <v>12</v>
      </c>
      <c r="J1344" t="b">
        <v>0</v>
      </c>
      <c r="L1344" t="s">
        <v>16</v>
      </c>
    </row>
    <row r="1345" spans="1:12" x14ac:dyDescent="0.2">
      <c r="A1345" t="s">
        <v>2783</v>
      </c>
      <c r="B1345" t="s">
        <v>2784</v>
      </c>
      <c r="C1345" s="1">
        <v>44965</v>
      </c>
      <c r="D1345" s="2">
        <v>44977</v>
      </c>
      <c r="E1345" t="s">
        <v>19</v>
      </c>
      <c r="F1345">
        <v>5425</v>
      </c>
      <c r="G1345">
        <v>202</v>
      </c>
      <c r="H1345">
        <v>193.19</v>
      </c>
      <c r="I1345">
        <v>36</v>
      </c>
      <c r="J1345" t="s">
        <v>30</v>
      </c>
      <c r="L1345" t="s">
        <v>20</v>
      </c>
    </row>
    <row r="1346" spans="1:12" x14ac:dyDescent="0.2">
      <c r="A1346" t="s">
        <v>2785</v>
      </c>
      <c r="B1346" t="s">
        <v>2786</v>
      </c>
      <c r="C1346" s="2">
        <v>45096</v>
      </c>
      <c r="D1346" s="2">
        <v>45121</v>
      </c>
      <c r="E1346" t="s">
        <v>33</v>
      </c>
      <c r="F1346">
        <v>17032</v>
      </c>
      <c r="G1346">
        <v>489</v>
      </c>
      <c r="H1346">
        <v>346.64</v>
      </c>
      <c r="I1346">
        <v>27</v>
      </c>
      <c r="J1346">
        <v>1</v>
      </c>
      <c r="L1346" t="s">
        <v>34</v>
      </c>
    </row>
    <row r="1347" spans="1:12" x14ac:dyDescent="0.2">
      <c r="A1347" t="s">
        <v>2787</v>
      </c>
      <c r="B1347" t="s">
        <v>2788</v>
      </c>
      <c r="C1347" s="1">
        <v>45041</v>
      </c>
      <c r="D1347" s="2">
        <v>45067</v>
      </c>
      <c r="E1347" t="s">
        <v>33</v>
      </c>
      <c r="F1347">
        <v>3198</v>
      </c>
      <c r="G1347">
        <v>106</v>
      </c>
      <c r="H1347">
        <v>150.31</v>
      </c>
      <c r="I1347">
        <v>18</v>
      </c>
      <c r="J1347" t="s">
        <v>30</v>
      </c>
      <c r="L1347" t="s">
        <v>34</v>
      </c>
    </row>
    <row r="1348" spans="1:12" x14ac:dyDescent="0.2">
      <c r="A1348" t="s">
        <v>2789</v>
      </c>
      <c r="B1348" t="s">
        <v>2790</v>
      </c>
      <c r="C1348" s="2">
        <v>44931</v>
      </c>
      <c r="D1348" s="2">
        <v>44926</v>
      </c>
      <c r="E1348" t="s">
        <v>14</v>
      </c>
      <c r="F1348">
        <v>61500</v>
      </c>
      <c r="G1348">
        <v>824</v>
      </c>
      <c r="H1348" s="3">
        <v>790.59</v>
      </c>
      <c r="I1348">
        <v>111</v>
      </c>
      <c r="J1348" t="s">
        <v>15</v>
      </c>
      <c r="L1348" t="s">
        <v>16</v>
      </c>
    </row>
    <row r="1349" spans="1:12" x14ac:dyDescent="0.2">
      <c r="A1349" t="s">
        <v>2791</v>
      </c>
      <c r="B1349" t="s">
        <v>2792</v>
      </c>
      <c r="C1349" s="1">
        <v>45154</v>
      </c>
      <c r="D1349" s="2">
        <v>45156</v>
      </c>
      <c r="E1349" t="s">
        <v>23</v>
      </c>
      <c r="F1349">
        <v>54394</v>
      </c>
      <c r="G1349">
        <v>637</v>
      </c>
      <c r="H1349">
        <v>630.1</v>
      </c>
      <c r="I1349">
        <v>89</v>
      </c>
      <c r="J1349" t="b">
        <v>0</v>
      </c>
      <c r="L1349" t="s">
        <v>25</v>
      </c>
    </row>
    <row r="1350" spans="1:12" x14ac:dyDescent="0.2">
      <c r="A1350" t="s">
        <v>2793</v>
      </c>
      <c r="B1350" t="s">
        <v>2794</v>
      </c>
      <c r="C1350" s="1">
        <v>45182</v>
      </c>
      <c r="D1350" s="2">
        <v>45210</v>
      </c>
      <c r="E1350" t="s">
        <v>23</v>
      </c>
      <c r="F1350">
        <v>21079</v>
      </c>
      <c r="G1350">
        <v>773</v>
      </c>
      <c r="H1350">
        <v>468.73</v>
      </c>
      <c r="I1350">
        <v>99</v>
      </c>
      <c r="J1350">
        <v>1</v>
      </c>
      <c r="L1350" t="s">
        <v>25</v>
      </c>
    </row>
    <row r="1351" spans="1:12" x14ac:dyDescent="0.2">
      <c r="A1351" t="s">
        <v>2795</v>
      </c>
      <c r="B1351" t="s">
        <v>2796</v>
      </c>
      <c r="C1351" s="2">
        <v>45181</v>
      </c>
      <c r="D1351" s="2">
        <v>45272</v>
      </c>
      <c r="E1351" t="s">
        <v>14</v>
      </c>
      <c r="F1351">
        <v>37220</v>
      </c>
      <c r="G1351">
        <v>1597</v>
      </c>
      <c r="H1351">
        <v>1636.44</v>
      </c>
      <c r="I1351">
        <v>289</v>
      </c>
      <c r="J1351" t="s">
        <v>15</v>
      </c>
      <c r="L1351" t="s">
        <v>16</v>
      </c>
    </row>
    <row r="1352" spans="1:12" x14ac:dyDescent="0.2">
      <c r="A1352" t="s">
        <v>2797</v>
      </c>
      <c r="B1352" t="s">
        <v>2798</v>
      </c>
      <c r="C1352" s="1">
        <v>45133</v>
      </c>
      <c r="D1352" s="2">
        <v>45142</v>
      </c>
      <c r="E1352" t="s">
        <v>19</v>
      </c>
      <c r="F1352">
        <v>42874</v>
      </c>
      <c r="G1352">
        <v>1769</v>
      </c>
      <c r="H1352">
        <v>3173.13</v>
      </c>
      <c r="J1352">
        <v>0</v>
      </c>
      <c r="L1352" t="s">
        <v>20</v>
      </c>
    </row>
    <row r="1353" spans="1:12" x14ac:dyDescent="0.2">
      <c r="A1353" t="s">
        <v>2799</v>
      </c>
      <c r="B1353" t="s">
        <v>2800</v>
      </c>
      <c r="C1353" s="1">
        <v>44927</v>
      </c>
      <c r="D1353" s="2">
        <v>44931</v>
      </c>
      <c r="E1353" t="s">
        <v>14</v>
      </c>
      <c r="F1353">
        <v>14859</v>
      </c>
      <c r="G1353">
        <v>471</v>
      </c>
      <c r="H1353">
        <v>400.17</v>
      </c>
      <c r="I1353">
        <v>41</v>
      </c>
      <c r="J1353" t="s">
        <v>24</v>
      </c>
      <c r="L1353" t="s">
        <v>16</v>
      </c>
    </row>
    <row r="1354" spans="1:12" x14ac:dyDescent="0.2">
      <c r="A1354" t="s">
        <v>2801</v>
      </c>
      <c r="B1354" t="s">
        <v>2802</v>
      </c>
      <c r="C1354" s="1">
        <v>45243</v>
      </c>
      <c r="D1354" s="2">
        <v>45261</v>
      </c>
      <c r="E1354" t="s">
        <v>14</v>
      </c>
      <c r="F1354">
        <v>51460</v>
      </c>
      <c r="G1354">
        <v>720</v>
      </c>
      <c r="H1354">
        <v>1110.8</v>
      </c>
      <c r="I1354">
        <v>130</v>
      </c>
      <c r="J1354" t="b">
        <v>1</v>
      </c>
      <c r="L1354" t="s">
        <v>16</v>
      </c>
    </row>
    <row r="1355" spans="1:12" x14ac:dyDescent="0.2">
      <c r="A1355" t="s">
        <v>2803</v>
      </c>
      <c r="B1355" t="s">
        <v>2804</v>
      </c>
      <c r="C1355" s="1">
        <v>45214</v>
      </c>
      <c r="D1355" s="2">
        <v>45232</v>
      </c>
      <c r="E1355" t="s">
        <v>33</v>
      </c>
      <c r="F1355">
        <v>32419</v>
      </c>
      <c r="G1355">
        <v>1216</v>
      </c>
      <c r="H1355">
        <v>1756.44</v>
      </c>
      <c r="I1355">
        <v>198</v>
      </c>
      <c r="J1355" t="s">
        <v>15</v>
      </c>
      <c r="L1355" t="s">
        <v>68</v>
      </c>
    </row>
    <row r="1356" spans="1:12" x14ac:dyDescent="0.2">
      <c r="A1356" t="s">
        <v>2805</v>
      </c>
      <c r="B1356" t="s">
        <v>2806</v>
      </c>
      <c r="C1356" s="2">
        <v>45101</v>
      </c>
      <c r="D1356" s="2">
        <v>45110</v>
      </c>
      <c r="E1356" t="s">
        <v>23</v>
      </c>
      <c r="F1356">
        <v>9705</v>
      </c>
      <c r="G1356">
        <v>190</v>
      </c>
      <c r="H1356">
        <v>341.09</v>
      </c>
      <c r="I1356">
        <v>10</v>
      </c>
      <c r="J1356" t="s">
        <v>30</v>
      </c>
      <c r="L1356" t="s">
        <v>25</v>
      </c>
    </row>
    <row r="1357" spans="1:12" x14ac:dyDescent="0.2">
      <c r="A1357" t="s">
        <v>2807</v>
      </c>
      <c r="B1357" t="s">
        <v>2808</v>
      </c>
      <c r="C1357" s="1">
        <v>45041</v>
      </c>
      <c r="D1357" s="2">
        <v>45046</v>
      </c>
      <c r="E1357" t="s">
        <v>14</v>
      </c>
      <c r="F1357">
        <v>43880</v>
      </c>
      <c r="G1357">
        <v>2037</v>
      </c>
      <c r="H1357">
        <v>1422.71</v>
      </c>
      <c r="J1357" t="b">
        <v>0</v>
      </c>
      <c r="L1357" t="s">
        <v>16</v>
      </c>
    </row>
    <row r="1358" spans="1:12" x14ac:dyDescent="0.2">
      <c r="A1358" t="s">
        <v>2809</v>
      </c>
      <c r="B1358" t="s">
        <v>2810</v>
      </c>
      <c r="C1358" s="1">
        <v>45244</v>
      </c>
      <c r="D1358" s="2">
        <v>45270</v>
      </c>
      <c r="E1358" t="s">
        <v>19</v>
      </c>
      <c r="F1358">
        <v>24236</v>
      </c>
      <c r="G1358">
        <v>1055</v>
      </c>
      <c r="H1358">
        <v>2074.54</v>
      </c>
      <c r="J1358" t="b">
        <v>0</v>
      </c>
      <c r="L1358" t="s">
        <v>20</v>
      </c>
    </row>
    <row r="1359" spans="1:12" x14ac:dyDescent="0.2">
      <c r="A1359" t="s">
        <v>2811</v>
      </c>
      <c r="B1359" t="s">
        <v>2812</v>
      </c>
      <c r="C1359" s="1">
        <v>45113</v>
      </c>
      <c r="D1359" s="2">
        <v>45117</v>
      </c>
      <c r="E1359" t="s">
        <v>41</v>
      </c>
      <c r="F1359">
        <v>88955</v>
      </c>
      <c r="G1359">
        <v>3413</v>
      </c>
      <c r="H1359">
        <v>4689.2700000000004</v>
      </c>
      <c r="I1359">
        <v>375</v>
      </c>
      <c r="J1359" t="s">
        <v>15</v>
      </c>
      <c r="L1359" t="s">
        <v>42</v>
      </c>
    </row>
    <row r="1360" spans="1:12" x14ac:dyDescent="0.2">
      <c r="A1360" t="s">
        <v>2813</v>
      </c>
      <c r="B1360" t="s">
        <v>2814</v>
      </c>
      <c r="C1360" s="1">
        <v>45264</v>
      </c>
      <c r="D1360" s="2">
        <v>45294</v>
      </c>
      <c r="E1360" t="s">
        <v>14</v>
      </c>
      <c r="F1360">
        <v>86514</v>
      </c>
      <c r="G1360">
        <v>4148</v>
      </c>
      <c r="H1360">
        <v>8267.84</v>
      </c>
      <c r="J1360">
        <v>0</v>
      </c>
      <c r="L1360" t="s">
        <v>16</v>
      </c>
    </row>
    <row r="1361" spans="1:12" x14ac:dyDescent="0.2">
      <c r="A1361" t="s">
        <v>2815</v>
      </c>
      <c r="B1361" t="s">
        <v>2816</v>
      </c>
      <c r="C1361" s="1">
        <v>45251</v>
      </c>
      <c r="D1361" s="2">
        <v>45275</v>
      </c>
      <c r="E1361" t="s">
        <v>41</v>
      </c>
      <c r="F1361">
        <v>16358</v>
      </c>
      <c r="G1361">
        <v>184</v>
      </c>
      <c r="H1361">
        <v>343.58</v>
      </c>
      <c r="I1361">
        <v>28</v>
      </c>
      <c r="J1361" t="b">
        <v>1</v>
      </c>
      <c r="L1361" t="s">
        <v>42</v>
      </c>
    </row>
    <row r="1362" spans="1:12" x14ac:dyDescent="0.2">
      <c r="A1362" t="s">
        <v>2817</v>
      </c>
      <c r="B1362" t="s">
        <v>2818</v>
      </c>
      <c r="C1362" s="1">
        <v>45194</v>
      </c>
      <c r="D1362" s="2">
        <v>45189</v>
      </c>
      <c r="E1362" t="s">
        <v>33</v>
      </c>
      <c r="F1362">
        <v>95914</v>
      </c>
      <c r="G1362">
        <v>3783</v>
      </c>
      <c r="H1362">
        <v>3148.5</v>
      </c>
      <c r="I1362">
        <v>307</v>
      </c>
      <c r="J1362" t="s">
        <v>30</v>
      </c>
      <c r="L1362" t="s">
        <v>34</v>
      </c>
    </row>
    <row r="1363" spans="1:12" x14ac:dyDescent="0.2">
      <c r="A1363" t="s">
        <v>2819</v>
      </c>
      <c r="B1363" t="s">
        <v>2820</v>
      </c>
      <c r="C1363" s="1">
        <v>45011</v>
      </c>
      <c r="D1363" s="2">
        <v>45025</v>
      </c>
      <c r="E1363" t="s">
        <v>138</v>
      </c>
      <c r="F1363">
        <v>77918</v>
      </c>
      <c r="G1363">
        <v>1808</v>
      </c>
      <c r="H1363">
        <v>1056.31</v>
      </c>
      <c r="I1363">
        <v>307</v>
      </c>
      <c r="J1363" t="s">
        <v>15</v>
      </c>
      <c r="L1363" t="s">
        <v>139</v>
      </c>
    </row>
    <row r="1364" spans="1:12" x14ac:dyDescent="0.2">
      <c r="A1364" t="s">
        <v>2821</v>
      </c>
      <c r="B1364" t="s">
        <v>2822</v>
      </c>
      <c r="C1364" s="1">
        <v>45136</v>
      </c>
      <c r="D1364" s="2">
        <v>45143</v>
      </c>
      <c r="E1364" t="s">
        <v>14</v>
      </c>
      <c r="F1364">
        <v>15596</v>
      </c>
      <c r="G1364">
        <v>721</v>
      </c>
      <c r="H1364">
        <v>636.97</v>
      </c>
      <c r="I1364">
        <v>122</v>
      </c>
      <c r="J1364" t="s">
        <v>15</v>
      </c>
      <c r="L1364" t="s">
        <v>16</v>
      </c>
    </row>
    <row r="1365" spans="1:12" x14ac:dyDescent="0.2">
      <c r="A1365" t="s">
        <v>2823</v>
      </c>
      <c r="B1365" t="s">
        <v>2824</v>
      </c>
      <c r="C1365" s="1">
        <v>45023</v>
      </c>
      <c r="D1365" s="2">
        <v>45025</v>
      </c>
      <c r="E1365" t="s">
        <v>33</v>
      </c>
      <c r="F1365">
        <v>34572</v>
      </c>
      <c r="G1365">
        <v>714</v>
      </c>
      <c r="H1365">
        <v>922.02</v>
      </c>
      <c r="I1365">
        <v>80</v>
      </c>
      <c r="J1365" t="s">
        <v>24</v>
      </c>
      <c r="L1365" t="s">
        <v>34</v>
      </c>
    </row>
    <row r="1366" spans="1:12" x14ac:dyDescent="0.2">
      <c r="A1366" t="s">
        <v>2825</v>
      </c>
      <c r="B1366" t="s">
        <v>2826</v>
      </c>
      <c r="C1366" s="1">
        <v>45037</v>
      </c>
      <c r="D1366" s="2">
        <v>45066</v>
      </c>
      <c r="E1366" t="s">
        <v>19</v>
      </c>
      <c r="F1366">
        <v>79757</v>
      </c>
      <c r="G1366">
        <v>3110</v>
      </c>
      <c r="H1366">
        <v>2355.5</v>
      </c>
      <c r="I1366">
        <v>287</v>
      </c>
      <c r="J1366" t="b">
        <v>0</v>
      </c>
      <c r="L1366" t="s">
        <v>20</v>
      </c>
    </row>
    <row r="1367" spans="1:12" x14ac:dyDescent="0.2">
      <c r="A1367" t="s">
        <v>2827</v>
      </c>
      <c r="B1367" t="s">
        <v>2828</v>
      </c>
      <c r="C1367" s="1">
        <v>45100</v>
      </c>
      <c r="D1367" s="2">
        <v>45122</v>
      </c>
      <c r="E1367" t="s">
        <v>19</v>
      </c>
      <c r="F1367">
        <v>2279</v>
      </c>
      <c r="G1367">
        <v>102</v>
      </c>
      <c r="H1367">
        <v>76.62</v>
      </c>
      <c r="I1367">
        <v>9</v>
      </c>
      <c r="J1367" t="s">
        <v>30</v>
      </c>
      <c r="L1367" t="s">
        <v>20</v>
      </c>
    </row>
    <row r="1368" spans="1:12" x14ac:dyDescent="0.2">
      <c r="A1368" t="s">
        <v>2829</v>
      </c>
      <c r="B1368" t="s">
        <v>2830</v>
      </c>
      <c r="C1368" s="1">
        <v>45251</v>
      </c>
      <c r="D1368" s="2">
        <v>45270</v>
      </c>
      <c r="E1368" t="s">
        <v>138</v>
      </c>
      <c r="F1368">
        <v>64197</v>
      </c>
      <c r="G1368">
        <v>748</v>
      </c>
      <c r="H1368">
        <v>893.03</v>
      </c>
      <c r="I1368">
        <v>91</v>
      </c>
      <c r="J1368" t="b">
        <v>1</v>
      </c>
      <c r="L1368" t="s">
        <v>139</v>
      </c>
    </row>
    <row r="1369" spans="1:12" x14ac:dyDescent="0.2">
      <c r="A1369" t="s">
        <v>2831</v>
      </c>
      <c r="B1369" t="s">
        <v>2832</v>
      </c>
      <c r="C1369" s="1">
        <v>45157</v>
      </c>
      <c r="D1369" s="2">
        <v>45159</v>
      </c>
      <c r="E1369" t="s">
        <v>23</v>
      </c>
      <c r="F1369">
        <v>63516</v>
      </c>
      <c r="G1369">
        <v>1645</v>
      </c>
      <c r="H1369">
        <v>904.59</v>
      </c>
      <c r="I1369">
        <v>259</v>
      </c>
      <c r="J1369" t="b">
        <v>0</v>
      </c>
      <c r="L1369" t="s">
        <v>25</v>
      </c>
    </row>
    <row r="1370" spans="1:12" x14ac:dyDescent="0.2">
      <c r="A1370" t="s">
        <v>2833</v>
      </c>
      <c r="B1370" t="s">
        <v>2834</v>
      </c>
      <c r="C1370" s="1">
        <v>45185</v>
      </c>
      <c r="D1370" s="2">
        <v>45186</v>
      </c>
      <c r="E1370" t="s">
        <v>19</v>
      </c>
      <c r="F1370">
        <v>8083</v>
      </c>
      <c r="G1370">
        <v>327</v>
      </c>
      <c r="H1370">
        <v>223.29</v>
      </c>
      <c r="I1370">
        <v>33</v>
      </c>
      <c r="J1370" t="s">
        <v>15</v>
      </c>
      <c r="L1370" t="s">
        <v>20</v>
      </c>
    </row>
    <row r="1371" spans="1:12" x14ac:dyDescent="0.2">
      <c r="A1371" t="s">
        <v>2835</v>
      </c>
      <c r="B1371" t="s">
        <v>2836</v>
      </c>
      <c r="C1371" s="1">
        <v>45198</v>
      </c>
      <c r="D1371" s="2">
        <v>45202</v>
      </c>
      <c r="E1371" t="s">
        <v>33</v>
      </c>
      <c r="F1371">
        <v>18771</v>
      </c>
      <c r="G1371">
        <v>529</v>
      </c>
      <c r="H1371">
        <v>594.49</v>
      </c>
      <c r="I1371">
        <v>74</v>
      </c>
      <c r="J1371" t="b">
        <v>0</v>
      </c>
      <c r="L1371" t="s">
        <v>34</v>
      </c>
    </row>
    <row r="1372" spans="1:12" x14ac:dyDescent="0.2">
      <c r="A1372" t="s">
        <v>2837</v>
      </c>
      <c r="B1372" t="s">
        <v>2838</v>
      </c>
      <c r="C1372" s="1">
        <v>45148</v>
      </c>
      <c r="D1372" s="2">
        <v>45159</v>
      </c>
      <c r="E1372" t="s">
        <v>14</v>
      </c>
      <c r="F1372">
        <v>30975</v>
      </c>
      <c r="G1372">
        <v>640</v>
      </c>
      <c r="H1372">
        <v>380.6</v>
      </c>
      <c r="I1372">
        <v>68</v>
      </c>
      <c r="J1372" t="b">
        <v>0</v>
      </c>
      <c r="L1372" t="s">
        <v>16</v>
      </c>
    </row>
    <row r="1373" spans="1:12" x14ac:dyDescent="0.2">
      <c r="A1373" t="s">
        <v>2839</v>
      </c>
      <c r="B1373" t="s">
        <v>2840</v>
      </c>
      <c r="C1373" s="1">
        <v>45187</v>
      </c>
      <c r="D1373" s="2">
        <v>45207</v>
      </c>
      <c r="E1373" t="s">
        <v>23</v>
      </c>
      <c r="F1373">
        <v>46648</v>
      </c>
      <c r="G1373">
        <v>876</v>
      </c>
      <c r="H1373">
        <v>959.34</v>
      </c>
      <c r="I1373">
        <v>83</v>
      </c>
      <c r="J1373">
        <v>1</v>
      </c>
      <c r="L1373" t="s">
        <v>25</v>
      </c>
    </row>
    <row r="1374" spans="1:12" x14ac:dyDescent="0.2">
      <c r="A1374" t="s">
        <v>2841</v>
      </c>
      <c r="B1374" t="s">
        <v>2842</v>
      </c>
      <c r="C1374" s="1">
        <v>45281</v>
      </c>
      <c r="D1374" s="2">
        <v>45305</v>
      </c>
      <c r="E1374" t="s">
        <v>41</v>
      </c>
      <c r="F1374">
        <v>49285</v>
      </c>
      <c r="G1374">
        <v>752</v>
      </c>
      <c r="H1374">
        <v>910.68</v>
      </c>
      <c r="I1374">
        <v>40</v>
      </c>
      <c r="J1374" t="b">
        <v>0</v>
      </c>
      <c r="L1374" t="s">
        <v>42</v>
      </c>
    </row>
    <row r="1375" spans="1:12" x14ac:dyDescent="0.2">
      <c r="A1375" t="s">
        <v>2843</v>
      </c>
      <c r="B1375" t="s">
        <v>2844</v>
      </c>
      <c r="C1375" s="1">
        <v>44992</v>
      </c>
      <c r="D1375" s="2">
        <v>45001</v>
      </c>
      <c r="E1375" t="s">
        <v>19</v>
      </c>
      <c r="F1375">
        <v>20063</v>
      </c>
      <c r="G1375">
        <v>888</v>
      </c>
      <c r="H1375">
        <v>1045.0899999999999</v>
      </c>
      <c r="I1375">
        <v>44</v>
      </c>
      <c r="J1375">
        <v>0</v>
      </c>
      <c r="L1375" t="s">
        <v>20</v>
      </c>
    </row>
    <row r="1376" spans="1:12" x14ac:dyDescent="0.2">
      <c r="A1376" t="s">
        <v>2845</v>
      </c>
      <c r="B1376" t="s">
        <v>2846</v>
      </c>
      <c r="C1376" s="1">
        <v>45237</v>
      </c>
      <c r="D1376" s="2">
        <v>45247</v>
      </c>
      <c r="E1376" t="s">
        <v>41</v>
      </c>
      <c r="F1376">
        <v>68642</v>
      </c>
      <c r="G1376">
        <v>2266</v>
      </c>
      <c r="H1376">
        <v>4087.33</v>
      </c>
      <c r="I1376">
        <v>190</v>
      </c>
      <c r="J1376" t="b">
        <v>0</v>
      </c>
      <c r="L1376" t="s">
        <v>42</v>
      </c>
    </row>
    <row r="1377" spans="1:12" x14ac:dyDescent="0.2">
      <c r="A1377" t="s">
        <v>2847</v>
      </c>
      <c r="B1377" t="s">
        <v>2848</v>
      </c>
      <c r="C1377" s="1">
        <v>45123</v>
      </c>
      <c r="D1377" s="2">
        <v>45137</v>
      </c>
      <c r="E1377" t="s">
        <v>33</v>
      </c>
      <c r="F1377">
        <v>91093</v>
      </c>
      <c r="G1377">
        <v>1189</v>
      </c>
      <c r="H1377" s="3">
        <v>1539.87</v>
      </c>
      <c r="I1377">
        <v>131</v>
      </c>
      <c r="J1377">
        <v>0</v>
      </c>
      <c r="L1377" t="s">
        <v>34</v>
      </c>
    </row>
    <row r="1378" spans="1:12" x14ac:dyDescent="0.2">
      <c r="A1378" t="s">
        <v>2849</v>
      </c>
      <c r="B1378" t="s">
        <v>2850</v>
      </c>
      <c r="C1378" s="1">
        <v>45281</v>
      </c>
      <c r="D1378" s="2">
        <v>45289</v>
      </c>
      <c r="E1378" t="s">
        <v>58</v>
      </c>
      <c r="F1378">
        <v>87143</v>
      </c>
      <c r="G1378">
        <v>2204</v>
      </c>
      <c r="H1378">
        <v>2649.14</v>
      </c>
      <c r="I1378">
        <v>391</v>
      </c>
      <c r="J1378" t="s">
        <v>30</v>
      </c>
      <c r="L1378" t="s">
        <v>68</v>
      </c>
    </row>
    <row r="1379" spans="1:12" x14ac:dyDescent="0.2">
      <c r="A1379" t="s">
        <v>2851</v>
      </c>
      <c r="B1379" t="s">
        <v>2852</v>
      </c>
      <c r="C1379" s="1">
        <v>45102</v>
      </c>
      <c r="D1379" s="2">
        <v>45110</v>
      </c>
      <c r="E1379" t="s">
        <v>19</v>
      </c>
      <c r="F1379">
        <v>38599</v>
      </c>
      <c r="G1379">
        <v>953</v>
      </c>
      <c r="H1379" s="3">
        <v>1063.6099999999999</v>
      </c>
      <c r="J1379" t="b">
        <v>0</v>
      </c>
      <c r="L1379" t="s">
        <v>20</v>
      </c>
    </row>
    <row r="1380" spans="1:12" x14ac:dyDescent="0.2">
      <c r="A1380" t="s">
        <v>2853</v>
      </c>
      <c r="B1380" t="s">
        <v>2854</v>
      </c>
      <c r="C1380" s="1">
        <v>44995</v>
      </c>
      <c r="D1380" s="2">
        <v>45003</v>
      </c>
      <c r="E1380" t="s">
        <v>14</v>
      </c>
      <c r="F1380">
        <v>52920</v>
      </c>
      <c r="G1380">
        <v>913</v>
      </c>
      <c r="H1380">
        <v>1576.24</v>
      </c>
      <c r="I1380">
        <v>82</v>
      </c>
      <c r="J1380" t="b">
        <v>1</v>
      </c>
      <c r="L1380" t="s">
        <v>16</v>
      </c>
    </row>
    <row r="1381" spans="1:12" x14ac:dyDescent="0.2">
      <c r="A1381" t="s">
        <v>2855</v>
      </c>
      <c r="B1381" t="s">
        <v>2856</v>
      </c>
      <c r="C1381" s="1">
        <v>45189</v>
      </c>
      <c r="D1381" s="2">
        <v>45209</v>
      </c>
      <c r="E1381" t="s">
        <v>14</v>
      </c>
      <c r="F1381">
        <v>29529</v>
      </c>
      <c r="G1381">
        <v>809</v>
      </c>
      <c r="H1381">
        <v>1490.65</v>
      </c>
      <c r="I1381">
        <v>70</v>
      </c>
      <c r="J1381">
        <v>0</v>
      </c>
      <c r="L1381" t="s">
        <v>16</v>
      </c>
    </row>
    <row r="1382" spans="1:12" x14ac:dyDescent="0.2">
      <c r="A1382" t="s">
        <v>2857</v>
      </c>
      <c r="B1382" t="s">
        <v>2858</v>
      </c>
      <c r="C1382" s="1">
        <v>45087</v>
      </c>
      <c r="D1382" s="2">
        <v>45107</v>
      </c>
      <c r="E1382" t="s">
        <v>234</v>
      </c>
      <c r="F1382">
        <v>36954</v>
      </c>
      <c r="G1382">
        <v>860</v>
      </c>
      <c r="H1382" s="3">
        <v>1530.68</v>
      </c>
      <c r="I1382">
        <v>72</v>
      </c>
      <c r="J1382">
        <v>0</v>
      </c>
      <c r="K1382">
        <v>37008</v>
      </c>
      <c r="L1382" t="s">
        <v>16</v>
      </c>
    </row>
    <row r="1383" spans="1:12" x14ac:dyDescent="0.2">
      <c r="A1383" t="s">
        <v>2859</v>
      </c>
      <c r="B1383" t="s">
        <v>2860</v>
      </c>
      <c r="C1383" s="1">
        <v>45250</v>
      </c>
      <c r="D1383" s="2">
        <v>45269</v>
      </c>
      <c r="E1383" t="s">
        <v>41</v>
      </c>
      <c r="F1383">
        <v>28856</v>
      </c>
      <c r="G1383">
        <v>683</v>
      </c>
      <c r="H1383">
        <v>1031.55</v>
      </c>
      <c r="I1383">
        <v>68</v>
      </c>
      <c r="J1383" t="s">
        <v>15</v>
      </c>
      <c r="L1383" t="s">
        <v>42</v>
      </c>
    </row>
    <row r="1384" spans="1:12" x14ac:dyDescent="0.2">
      <c r="A1384" t="s">
        <v>2861</v>
      </c>
      <c r="B1384" t="s">
        <v>2862</v>
      </c>
      <c r="C1384" s="1">
        <v>45292</v>
      </c>
      <c r="D1384" s="2">
        <v>45317</v>
      </c>
      <c r="E1384" t="s">
        <v>33</v>
      </c>
      <c r="F1384">
        <v>3573</v>
      </c>
      <c r="G1384">
        <v>141</v>
      </c>
      <c r="H1384">
        <v>99.55</v>
      </c>
      <c r="I1384">
        <v>17</v>
      </c>
      <c r="J1384" t="s">
        <v>30</v>
      </c>
      <c r="L1384" t="s">
        <v>34</v>
      </c>
    </row>
    <row r="1385" spans="1:12" x14ac:dyDescent="0.2">
      <c r="A1385" t="s">
        <v>2863</v>
      </c>
      <c r="B1385" t="s">
        <v>2864</v>
      </c>
      <c r="C1385" s="1">
        <v>45271</v>
      </c>
      <c r="D1385" s="2">
        <v>45280</v>
      </c>
      <c r="E1385" t="s">
        <v>14</v>
      </c>
      <c r="F1385">
        <v>79344</v>
      </c>
      <c r="G1385">
        <v>1502</v>
      </c>
      <c r="H1385">
        <v>1374.79</v>
      </c>
      <c r="I1385">
        <v>173</v>
      </c>
      <c r="J1385" t="b">
        <v>0</v>
      </c>
      <c r="L1385" t="s">
        <v>16</v>
      </c>
    </row>
    <row r="1386" spans="1:12" x14ac:dyDescent="0.2">
      <c r="A1386" t="s">
        <v>2865</v>
      </c>
      <c r="B1386" t="s">
        <v>2866</v>
      </c>
      <c r="C1386" s="1">
        <v>45018</v>
      </c>
      <c r="D1386" s="2">
        <v>45048</v>
      </c>
      <c r="E1386" t="s">
        <v>19</v>
      </c>
      <c r="F1386">
        <v>36367</v>
      </c>
      <c r="G1386">
        <v>1297</v>
      </c>
      <c r="H1386">
        <v>738.12</v>
      </c>
      <c r="I1386">
        <v>107</v>
      </c>
      <c r="J1386" t="s">
        <v>24</v>
      </c>
      <c r="L1386" t="s">
        <v>20</v>
      </c>
    </row>
    <row r="1387" spans="1:12" x14ac:dyDescent="0.2">
      <c r="A1387" t="s">
        <v>2867</v>
      </c>
      <c r="B1387" t="s">
        <v>2868</v>
      </c>
      <c r="C1387" s="1">
        <v>45092</v>
      </c>
      <c r="D1387" s="2">
        <v>45110</v>
      </c>
      <c r="E1387" t="s">
        <v>33</v>
      </c>
      <c r="F1387">
        <v>61774</v>
      </c>
      <c r="G1387">
        <v>2027</v>
      </c>
      <c r="H1387">
        <v>3843.67</v>
      </c>
      <c r="I1387">
        <v>141</v>
      </c>
      <c r="J1387" t="b">
        <v>1</v>
      </c>
      <c r="L1387" t="s">
        <v>34</v>
      </c>
    </row>
    <row r="1388" spans="1:12" x14ac:dyDescent="0.2">
      <c r="A1388" t="s">
        <v>2869</v>
      </c>
      <c r="B1388" t="s">
        <v>2870</v>
      </c>
      <c r="C1388" s="1">
        <v>45214</v>
      </c>
      <c r="D1388" s="2">
        <v>45226</v>
      </c>
      <c r="E1388" t="s">
        <v>14</v>
      </c>
      <c r="F1388">
        <v>24752</v>
      </c>
      <c r="G1388">
        <v>809</v>
      </c>
      <c r="H1388">
        <v>1206.3800000000001</v>
      </c>
      <c r="I1388">
        <v>41</v>
      </c>
      <c r="J1388" t="s">
        <v>15</v>
      </c>
      <c r="L1388" t="s">
        <v>16</v>
      </c>
    </row>
    <row r="1389" spans="1:12" x14ac:dyDescent="0.2">
      <c r="A1389" t="s">
        <v>2871</v>
      </c>
      <c r="B1389" t="s">
        <v>2872</v>
      </c>
      <c r="C1389" s="1">
        <v>45268</v>
      </c>
      <c r="D1389" s="2">
        <v>45295</v>
      </c>
      <c r="E1389" t="s">
        <v>138</v>
      </c>
      <c r="F1389">
        <v>56029</v>
      </c>
      <c r="G1389">
        <v>2046</v>
      </c>
      <c r="H1389">
        <v>3313.59</v>
      </c>
      <c r="I1389">
        <v>149</v>
      </c>
      <c r="J1389" t="s">
        <v>30</v>
      </c>
      <c r="L1389" t="s">
        <v>139</v>
      </c>
    </row>
    <row r="1390" spans="1:12" x14ac:dyDescent="0.2">
      <c r="A1390" t="s">
        <v>2873</v>
      </c>
      <c r="B1390" t="s">
        <v>2874</v>
      </c>
      <c r="C1390" s="1">
        <v>45200</v>
      </c>
      <c r="D1390" s="2">
        <v>45208</v>
      </c>
      <c r="E1390" t="s">
        <v>33</v>
      </c>
      <c r="F1390">
        <v>18685</v>
      </c>
      <c r="G1390">
        <v>596</v>
      </c>
      <c r="H1390">
        <v>576.54999999999995</v>
      </c>
      <c r="I1390">
        <v>92</v>
      </c>
      <c r="J1390">
        <v>0</v>
      </c>
      <c r="L1390" t="s">
        <v>34</v>
      </c>
    </row>
    <row r="1391" spans="1:12" x14ac:dyDescent="0.2">
      <c r="A1391" t="s">
        <v>2875</v>
      </c>
      <c r="B1391" t="s">
        <v>2876</v>
      </c>
      <c r="C1391" s="2">
        <v>44933</v>
      </c>
      <c r="D1391" s="2">
        <v>45113</v>
      </c>
      <c r="E1391" t="s">
        <v>23</v>
      </c>
      <c r="F1391">
        <v>52693</v>
      </c>
      <c r="G1391">
        <v>2380</v>
      </c>
      <c r="H1391">
        <v>4208.9799999999996</v>
      </c>
      <c r="I1391">
        <v>205</v>
      </c>
      <c r="J1391" t="b">
        <v>1</v>
      </c>
      <c r="L1391" t="s">
        <v>25</v>
      </c>
    </row>
    <row r="1392" spans="1:12" x14ac:dyDescent="0.2">
      <c r="A1392" t="s">
        <v>2877</v>
      </c>
      <c r="B1392" t="s">
        <v>2878</v>
      </c>
      <c r="C1392" t="s">
        <v>2879</v>
      </c>
      <c r="D1392" s="2">
        <v>45002</v>
      </c>
      <c r="E1392" t="s">
        <v>41</v>
      </c>
      <c r="F1392">
        <v>56961</v>
      </c>
      <c r="G1392">
        <v>2108</v>
      </c>
      <c r="H1392">
        <v>1874.87</v>
      </c>
      <c r="I1392">
        <v>253</v>
      </c>
      <c r="J1392" t="b">
        <v>0</v>
      </c>
      <c r="L1392" t="s">
        <v>68</v>
      </c>
    </row>
    <row r="1393" spans="1:12" x14ac:dyDescent="0.2">
      <c r="A1393" t="s">
        <v>2880</v>
      </c>
      <c r="B1393" t="s">
        <v>2881</v>
      </c>
      <c r="C1393" s="1">
        <v>44955</v>
      </c>
      <c r="D1393" s="2">
        <v>44973</v>
      </c>
      <c r="E1393" t="s">
        <v>14</v>
      </c>
      <c r="F1393">
        <v>77908</v>
      </c>
      <c r="G1393">
        <v>2483</v>
      </c>
      <c r="H1393">
        <v>1247.6199999999999</v>
      </c>
      <c r="J1393" t="s">
        <v>24</v>
      </c>
      <c r="L1393" t="s">
        <v>16</v>
      </c>
    </row>
    <row r="1394" spans="1:12" x14ac:dyDescent="0.2">
      <c r="A1394" t="s">
        <v>2882</v>
      </c>
      <c r="B1394" t="s">
        <v>2883</v>
      </c>
      <c r="C1394" s="1">
        <v>45009</v>
      </c>
      <c r="D1394" s="2">
        <v>45028</v>
      </c>
      <c r="E1394" t="s">
        <v>19</v>
      </c>
      <c r="F1394">
        <v>75532</v>
      </c>
      <c r="G1394">
        <v>3262</v>
      </c>
      <c r="H1394">
        <v>3472.8</v>
      </c>
      <c r="I1394">
        <v>597</v>
      </c>
      <c r="J1394">
        <v>1</v>
      </c>
      <c r="L1394" t="s">
        <v>20</v>
      </c>
    </row>
    <row r="1395" spans="1:12" x14ac:dyDescent="0.2">
      <c r="A1395" t="s">
        <v>2884</v>
      </c>
      <c r="B1395" t="s">
        <v>2885</v>
      </c>
      <c r="C1395" s="1">
        <v>45001</v>
      </c>
      <c r="D1395" s="2">
        <v>45012</v>
      </c>
      <c r="E1395" t="s">
        <v>33</v>
      </c>
      <c r="F1395">
        <v>82994</v>
      </c>
      <c r="G1395">
        <v>2842</v>
      </c>
      <c r="H1395">
        <v>3854.16</v>
      </c>
      <c r="I1395">
        <v>521</v>
      </c>
      <c r="J1395">
        <v>1</v>
      </c>
      <c r="L1395" t="s">
        <v>34</v>
      </c>
    </row>
    <row r="1396" spans="1:12" x14ac:dyDescent="0.2">
      <c r="A1396" t="s">
        <v>2886</v>
      </c>
      <c r="B1396" t="s">
        <v>2887</v>
      </c>
      <c r="C1396" s="1">
        <v>45078</v>
      </c>
      <c r="D1396" s="2">
        <v>45103</v>
      </c>
      <c r="E1396" t="s">
        <v>33</v>
      </c>
      <c r="F1396">
        <v>57133</v>
      </c>
      <c r="G1396">
        <v>1236</v>
      </c>
      <c r="H1396">
        <v>1505.52</v>
      </c>
      <c r="I1396">
        <v>200</v>
      </c>
      <c r="J1396" t="s">
        <v>30</v>
      </c>
      <c r="L1396" t="s">
        <v>34</v>
      </c>
    </row>
    <row r="1397" spans="1:12" x14ac:dyDescent="0.2">
      <c r="A1397" t="s">
        <v>2888</v>
      </c>
      <c r="B1397" t="s">
        <v>2889</v>
      </c>
      <c r="C1397" s="1">
        <v>45110</v>
      </c>
      <c r="D1397" s="2">
        <v>45118</v>
      </c>
      <c r="E1397" t="s">
        <v>19</v>
      </c>
      <c r="F1397">
        <v>98425</v>
      </c>
      <c r="G1397">
        <v>1799</v>
      </c>
      <c r="H1397">
        <v>3225.81</v>
      </c>
      <c r="J1397" t="s">
        <v>24</v>
      </c>
      <c r="L1397" t="s">
        <v>20</v>
      </c>
    </row>
    <row r="1398" spans="1:12" x14ac:dyDescent="0.2">
      <c r="A1398" t="s">
        <v>2890</v>
      </c>
      <c r="B1398" t="s">
        <v>2891</v>
      </c>
      <c r="C1398" s="1">
        <v>45272</v>
      </c>
      <c r="D1398" s="2">
        <v>45278</v>
      </c>
      <c r="E1398" t="s">
        <v>23</v>
      </c>
      <c r="F1398">
        <v>62268</v>
      </c>
      <c r="G1398">
        <v>1002</v>
      </c>
      <c r="H1398">
        <v>659.42</v>
      </c>
      <c r="I1398">
        <v>136</v>
      </c>
      <c r="J1398" t="b">
        <v>1</v>
      </c>
      <c r="L1398" t="s">
        <v>25</v>
      </c>
    </row>
    <row r="1399" spans="1:12" x14ac:dyDescent="0.2">
      <c r="A1399" t="s">
        <v>2892</v>
      </c>
      <c r="B1399" t="s">
        <v>2893</v>
      </c>
      <c r="C1399" s="1">
        <v>45258</v>
      </c>
      <c r="D1399" s="2">
        <v>45284</v>
      </c>
      <c r="E1399" t="s">
        <v>19</v>
      </c>
      <c r="F1399">
        <v>93201</v>
      </c>
      <c r="G1399">
        <v>4285</v>
      </c>
      <c r="H1399">
        <v>5702.2</v>
      </c>
      <c r="J1399" t="s">
        <v>15</v>
      </c>
      <c r="L1399" t="s">
        <v>20</v>
      </c>
    </row>
    <row r="1400" spans="1:12" x14ac:dyDescent="0.2">
      <c r="A1400" t="s">
        <v>2894</v>
      </c>
      <c r="B1400" t="s">
        <v>2895</v>
      </c>
      <c r="C1400" s="1">
        <v>45283</v>
      </c>
      <c r="D1400" s="2">
        <v>45310</v>
      </c>
      <c r="E1400" t="s">
        <v>23</v>
      </c>
      <c r="F1400">
        <v>39243</v>
      </c>
      <c r="G1400">
        <v>1507</v>
      </c>
      <c r="H1400">
        <v>1913.09</v>
      </c>
      <c r="I1400">
        <v>79</v>
      </c>
      <c r="J1400" t="b">
        <v>1</v>
      </c>
      <c r="L1400" t="s">
        <v>68</v>
      </c>
    </row>
    <row r="1401" spans="1:12" x14ac:dyDescent="0.2">
      <c r="A1401" t="s">
        <v>2896</v>
      </c>
      <c r="B1401" t="s">
        <v>2897</v>
      </c>
      <c r="C1401" s="1">
        <v>45122</v>
      </c>
      <c r="D1401" s="2">
        <v>45135</v>
      </c>
      <c r="E1401" t="s">
        <v>19</v>
      </c>
      <c r="F1401">
        <v>58384</v>
      </c>
      <c r="G1401">
        <v>2772</v>
      </c>
      <c r="H1401">
        <v>2556.0300000000002</v>
      </c>
      <c r="I1401">
        <v>367</v>
      </c>
      <c r="J1401" t="s">
        <v>24</v>
      </c>
      <c r="L1401" t="s">
        <v>20</v>
      </c>
    </row>
    <row r="1402" spans="1:12" x14ac:dyDescent="0.2">
      <c r="A1402" t="s">
        <v>2898</v>
      </c>
      <c r="B1402" t="s">
        <v>2899</v>
      </c>
      <c r="C1402" s="1">
        <v>45277</v>
      </c>
      <c r="D1402" s="2">
        <v>45284</v>
      </c>
      <c r="E1402" t="s">
        <v>41</v>
      </c>
      <c r="F1402">
        <v>32653</v>
      </c>
      <c r="G1402">
        <v>1114</v>
      </c>
      <c r="H1402">
        <v>1930.94</v>
      </c>
      <c r="I1402">
        <v>199</v>
      </c>
      <c r="J1402">
        <v>0</v>
      </c>
      <c r="L1402" t="s">
        <v>42</v>
      </c>
    </row>
    <row r="1403" spans="1:12" x14ac:dyDescent="0.2">
      <c r="A1403" t="s">
        <v>2900</v>
      </c>
      <c r="B1403" t="s">
        <v>2901</v>
      </c>
      <c r="C1403" s="1">
        <v>44933</v>
      </c>
      <c r="D1403" s="2">
        <v>44951</v>
      </c>
      <c r="E1403" t="s">
        <v>58</v>
      </c>
      <c r="F1403">
        <v>27657</v>
      </c>
      <c r="G1403">
        <v>800</v>
      </c>
      <c r="H1403">
        <v>1303.42</v>
      </c>
      <c r="I1403">
        <v>96</v>
      </c>
      <c r="J1403">
        <v>1</v>
      </c>
      <c r="L1403" t="s">
        <v>59</v>
      </c>
    </row>
    <row r="1404" spans="1:12" x14ac:dyDescent="0.2">
      <c r="A1404" t="s">
        <v>2902</v>
      </c>
      <c r="B1404" t="s">
        <v>2903</v>
      </c>
      <c r="C1404" s="1">
        <v>45153</v>
      </c>
      <c r="D1404" s="2">
        <v>45173</v>
      </c>
      <c r="E1404" t="s">
        <v>14</v>
      </c>
      <c r="F1404">
        <v>40952</v>
      </c>
      <c r="G1404">
        <v>507</v>
      </c>
      <c r="H1404">
        <v>810.84</v>
      </c>
      <c r="I1404">
        <v>25</v>
      </c>
      <c r="J1404" t="s">
        <v>30</v>
      </c>
      <c r="L1404" t="s">
        <v>16</v>
      </c>
    </row>
    <row r="1405" spans="1:12" x14ac:dyDescent="0.2">
      <c r="A1405" t="s">
        <v>2904</v>
      </c>
      <c r="B1405" t="s">
        <v>2905</v>
      </c>
      <c r="C1405" s="1">
        <v>45287</v>
      </c>
      <c r="D1405" s="2">
        <v>45288</v>
      </c>
      <c r="E1405" t="s">
        <v>33</v>
      </c>
      <c r="F1405">
        <v>23180</v>
      </c>
      <c r="G1405">
        <v>854</v>
      </c>
      <c r="H1405">
        <v>1549.4</v>
      </c>
      <c r="I1405">
        <v>44</v>
      </c>
      <c r="J1405" t="b">
        <v>0</v>
      </c>
      <c r="L1405" t="s">
        <v>34</v>
      </c>
    </row>
    <row r="1406" spans="1:12" x14ac:dyDescent="0.2">
      <c r="A1406" t="s">
        <v>2906</v>
      </c>
      <c r="B1406" t="s">
        <v>2907</v>
      </c>
      <c r="C1406" s="1">
        <v>45228</v>
      </c>
      <c r="D1406" s="2">
        <v>45234</v>
      </c>
      <c r="E1406" t="s">
        <v>33</v>
      </c>
      <c r="F1406">
        <v>98432</v>
      </c>
      <c r="G1406">
        <v>3276</v>
      </c>
      <c r="H1406">
        <v>5189.76</v>
      </c>
      <c r="J1406" t="b">
        <v>1</v>
      </c>
      <c r="L1406" t="s">
        <v>34</v>
      </c>
    </row>
    <row r="1407" spans="1:12" x14ac:dyDescent="0.2">
      <c r="A1407" t="s">
        <v>2908</v>
      </c>
      <c r="B1407" t="s">
        <v>2909</v>
      </c>
      <c r="C1407" s="1">
        <v>45026</v>
      </c>
      <c r="D1407" s="2">
        <v>45029</v>
      </c>
      <c r="E1407" t="s">
        <v>19</v>
      </c>
      <c r="F1407">
        <v>79411</v>
      </c>
      <c r="G1407">
        <v>3939</v>
      </c>
      <c r="H1407">
        <v>3339.33</v>
      </c>
      <c r="I1407">
        <v>288</v>
      </c>
      <c r="J1407">
        <v>1</v>
      </c>
      <c r="L1407" t="s">
        <v>20</v>
      </c>
    </row>
    <row r="1408" spans="1:12" x14ac:dyDescent="0.2">
      <c r="A1408" t="s">
        <v>2910</v>
      </c>
      <c r="B1408" t="s">
        <v>2911</v>
      </c>
      <c r="C1408" t="s">
        <v>2559</v>
      </c>
      <c r="D1408" s="2">
        <v>45295</v>
      </c>
      <c r="E1408" t="s">
        <v>19</v>
      </c>
      <c r="F1408">
        <v>2622</v>
      </c>
      <c r="G1408">
        <v>51</v>
      </c>
      <c r="H1408">
        <v>79.48</v>
      </c>
      <c r="I1408">
        <v>7</v>
      </c>
      <c r="J1408" t="s">
        <v>15</v>
      </c>
      <c r="L1408" t="s">
        <v>20</v>
      </c>
    </row>
    <row r="1409" spans="1:12" x14ac:dyDescent="0.2">
      <c r="A1409" t="s">
        <v>2912</v>
      </c>
      <c r="B1409" t="s">
        <v>2913</v>
      </c>
      <c r="C1409" s="1">
        <v>45015</v>
      </c>
      <c r="D1409" s="2">
        <v>45039</v>
      </c>
      <c r="E1409" t="s">
        <v>33</v>
      </c>
      <c r="F1409">
        <v>49756</v>
      </c>
      <c r="G1409">
        <v>1553</v>
      </c>
      <c r="H1409">
        <v>1493.29</v>
      </c>
      <c r="I1409">
        <v>242</v>
      </c>
      <c r="J1409" t="s">
        <v>30</v>
      </c>
      <c r="L1409" t="s">
        <v>34</v>
      </c>
    </row>
    <row r="1410" spans="1:12" x14ac:dyDescent="0.2">
      <c r="A1410" t="s">
        <v>2914</v>
      </c>
      <c r="B1410" t="s">
        <v>2915</v>
      </c>
      <c r="C1410" s="1">
        <v>44947</v>
      </c>
      <c r="D1410" s="2">
        <v>44967</v>
      </c>
      <c r="E1410" t="s">
        <v>19</v>
      </c>
      <c r="F1410">
        <v>41809</v>
      </c>
      <c r="G1410">
        <v>1506</v>
      </c>
      <c r="H1410">
        <v>1300.07</v>
      </c>
      <c r="I1410">
        <v>115</v>
      </c>
      <c r="J1410" t="b">
        <v>0</v>
      </c>
      <c r="L1410" t="s">
        <v>20</v>
      </c>
    </row>
    <row r="1411" spans="1:12" x14ac:dyDescent="0.2">
      <c r="A1411" t="s">
        <v>2916</v>
      </c>
      <c r="B1411" t="s">
        <v>2917</v>
      </c>
      <c r="C1411" s="1">
        <v>44993</v>
      </c>
      <c r="D1411" s="2">
        <v>45002</v>
      </c>
      <c r="E1411" t="s">
        <v>19</v>
      </c>
      <c r="F1411">
        <v>17725</v>
      </c>
      <c r="G1411">
        <v>634</v>
      </c>
      <c r="H1411">
        <v>-386.43</v>
      </c>
      <c r="I1411">
        <v>116</v>
      </c>
      <c r="J1411" t="b">
        <v>1</v>
      </c>
      <c r="L1411" t="s">
        <v>20</v>
      </c>
    </row>
    <row r="1412" spans="1:12" x14ac:dyDescent="0.2">
      <c r="A1412" t="s">
        <v>2918</v>
      </c>
      <c r="B1412" t="s">
        <v>2919</v>
      </c>
      <c r="C1412" s="1">
        <v>44929</v>
      </c>
      <c r="D1412" s="2">
        <v>44955</v>
      </c>
      <c r="E1412" t="s">
        <v>33</v>
      </c>
      <c r="F1412">
        <v>62396</v>
      </c>
      <c r="G1412">
        <v>2024</v>
      </c>
      <c r="H1412" s="3">
        <v>3270.87</v>
      </c>
      <c r="I1412">
        <v>235</v>
      </c>
      <c r="J1412" t="s">
        <v>15</v>
      </c>
      <c r="L1412" t="s">
        <v>34</v>
      </c>
    </row>
    <row r="1413" spans="1:12" x14ac:dyDescent="0.2">
      <c r="A1413" t="s">
        <v>2920</v>
      </c>
      <c r="B1413" t="s">
        <v>2921</v>
      </c>
      <c r="C1413" t="s">
        <v>682</v>
      </c>
      <c r="D1413" s="2">
        <v>45022</v>
      </c>
      <c r="E1413" t="s">
        <v>19</v>
      </c>
      <c r="F1413">
        <v>52226</v>
      </c>
      <c r="G1413">
        <v>2145</v>
      </c>
      <c r="H1413" s="3">
        <v>3360.15</v>
      </c>
      <c r="I1413">
        <v>153</v>
      </c>
      <c r="J1413" t="b">
        <v>0</v>
      </c>
      <c r="L1413" t="s">
        <v>20</v>
      </c>
    </row>
    <row r="1414" spans="1:12" x14ac:dyDescent="0.2">
      <c r="A1414" t="s">
        <v>2922</v>
      </c>
      <c r="B1414" t="s">
        <v>2923</v>
      </c>
      <c r="C1414" s="1">
        <v>45092</v>
      </c>
      <c r="D1414" s="2">
        <v>45096</v>
      </c>
      <c r="E1414" t="s">
        <v>19</v>
      </c>
      <c r="F1414">
        <v>82182</v>
      </c>
      <c r="G1414">
        <v>1495</v>
      </c>
      <c r="H1414">
        <v>1273.3699999999999</v>
      </c>
      <c r="I1414">
        <v>246</v>
      </c>
      <c r="J1414">
        <v>0</v>
      </c>
      <c r="L1414" t="s">
        <v>20</v>
      </c>
    </row>
    <row r="1415" spans="1:12" x14ac:dyDescent="0.2">
      <c r="A1415" t="s">
        <v>2924</v>
      </c>
      <c r="B1415" t="s">
        <v>2925</v>
      </c>
      <c r="C1415" s="1">
        <v>45247</v>
      </c>
      <c r="D1415" s="2">
        <v>45251</v>
      </c>
      <c r="E1415" t="s">
        <v>41</v>
      </c>
      <c r="F1415">
        <v>83565</v>
      </c>
      <c r="G1415">
        <v>3261</v>
      </c>
      <c r="H1415">
        <v>5296.09</v>
      </c>
      <c r="I1415">
        <v>549</v>
      </c>
      <c r="J1415">
        <v>1</v>
      </c>
      <c r="L1415" t="s">
        <v>42</v>
      </c>
    </row>
    <row r="1416" spans="1:12" x14ac:dyDescent="0.2">
      <c r="A1416" t="s">
        <v>2926</v>
      </c>
      <c r="B1416" t="s">
        <v>2927</v>
      </c>
      <c r="C1416" s="1">
        <v>45178</v>
      </c>
      <c r="D1416" s="2">
        <v>45186</v>
      </c>
      <c r="E1416" t="s">
        <v>33</v>
      </c>
      <c r="F1416">
        <v>30402</v>
      </c>
      <c r="G1416">
        <v>1057</v>
      </c>
      <c r="H1416">
        <v>1983.74</v>
      </c>
      <c r="I1416">
        <v>154</v>
      </c>
      <c r="J1416">
        <v>0</v>
      </c>
      <c r="L1416" t="s">
        <v>34</v>
      </c>
    </row>
    <row r="1417" spans="1:12" x14ac:dyDescent="0.2">
      <c r="A1417" t="s">
        <v>2928</v>
      </c>
      <c r="B1417" t="s">
        <v>2929</v>
      </c>
      <c r="C1417" s="1">
        <v>44964</v>
      </c>
      <c r="D1417" s="2">
        <v>44992</v>
      </c>
      <c r="E1417" t="s">
        <v>23</v>
      </c>
      <c r="F1417">
        <v>5263</v>
      </c>
      <c r="G1417">
        <v>241</v>
      </c>
      <c r="H1417">
        <v>159.55000000000001</v>
      </c>
      <c r="I1417">
        <v>42</v>
      </c>
      <c r="J1417">
        <v>1</v>
      </c>
      <c r="L1417" t="s">
        <v>25</v>
      </c>
    </row>
    <row r="1418" spans="1:12" x14ac:dyDescent="0.2">
      <c r="A1418" t="s">
        <v>2930</v>
      </c>
      <c r="B1418" t="s">
        <v>2931</v>
      </c>
      <c r="C1418" s="1">
        <v>45039</v>
      </c>
      <c r="D1418" s="2">
        <v>45053</v>
      </c>
      <c r="E1418" t="s">
        <v>14</v>
      </c>
      <c r="F1418">
        <v>97523</v>
      </c>
      <c r="G1418">
        <v>4280</v>
      </c>
      <c r="H1418">
        <v>3633.53</v>
      </c>
      <c r="I1418">
        <v>687</v>
      </c>
      <c r="J1418" t="s">
        <v>15</v>
      </c>
      <c r="L1418" t="s">
        <v>16</v>
      </c>
    </row>
    <row r="1419" spans="1:12" x14ac:dyDescent="0.2">
      <c r="A1419" t="s">
        <v>2932</v>
      </c>
      <c r="B1419" t="s">
        <v>2933</v>
      </c>
      <c r="C1419" s="1">
        <v>45185</v>
      </c>
      <c r="D1419" s="2">
        <v>45193</v>
      </c>
      <c r="E1419" t="s">
        <v>33</v>
      </c>
      <c r="F1419">
        <v>47828</v>
      </c>
      <c r="G1419">
        <v>1081</v>
      </c>
      <c r="H1419">
        <v>1757.05</v>
      </c>
      <c r="I1419">
        <v>197</v>
      </c>
      <c r="J1419">
        <v>0</v>
      </c>
      <c r="L1419" t="s">
        <v>34</v>
      </c>
    </row>
    <row r="1420" spans="1:12" x14ac:dyDescent="0.2">
      <c r="A1420" t="s">
        <v>2934</v>
      </c>
      <c r="B1420" t="s">
        <v>2935</v>
      </c>
      <c r="C1420" t="s">
        <v>2672</v>
      </c>
      <c r="D1420" s="2">
        <v>45141</v>
      </c>
      <c r="E1420" t="s">
        <v>41</v>
      </c>
      <c r="F1420">
        <v>48924</v>
      </c>
      <c r="G1420">
        <v>1029</v>
      </c>
      <c r="H1420">
        <v>-938.2</v>
      </c>
      <c r="I1420">
        <v>118</v>
      </c>
      <c r="J1420">
        <v>1</v>
      </c>
      <c r="L1420" t="s">
        <v>42</v>
      </c>
    </row>
    <row r="1421" spans="1:12" x14ac:dyDescent="0.2">
      <c r="A1421" t="s">
        <v>2936</v>
      </c>
      <c r="B1421" t="s">
        <v>2937</v>
      </c>
      <c r="C1421" s="1">
        <v>45040</v>
      </c>
      <c r="D1421" s="2">
        <v>45055</v>
      </c>
      <c r="E1421" t="s">
        <v>14</v>
      </c>
      <c r="F1421">
        <v>75182</v>
      </c>
      <c r="G1421">
        <v>3703</v>
      </c>
      <c r="H1421">
        <v>5321.2</v>
      </c>
      <c r="I1421">
        <v>600</v>
      </c>
      <c r="J1421" t="s">
        <v>30</v>
      </c>
      <c r="L1421" t="s">
        <v>16</v>
      </c>
    </row>
    <row r="1422" spans="1:12" x14ac:dyDescent="0.2">
      <c r="A1422" t="s">
        <v>2938</v>
      </c>
      <c r="B1422" t="s">
        <v>2939</v>
      </c>
      <c r="C1422" s="1">
        <v>45096</v>
      </c>
      <c r="D1422" s="2">
        <v>45116</v>
      </c>
      <c r="E1422" t="s">
        <v>19</v>
      </c>
      <c r="F1422">
        <v>94065</v>
      </c>
      <c r="G1422">
        <v>2924</v>
      </c>
      <c r="H1422" s="3">
        <v>1817.99</v>
      </c>
      <c r="I1422">
        <v>584</v>
      </c>
      <c r="J1422" t="s">
        <v>15</v>
      </c>
      <c r="L1422" t="s">
        <v>20</v>
      </c>
    </row>
    <row r="1423" spans="1:12" x14ac:dyDescent="0.2">
      <c r="A1423" t="s">
        <v>2940</v>
      </c>
      <c r="B1423" t="s">
        <v>2941</v>
      </c>
      <c r="C1423" s="1">
        <v>45243</v>
      </c>
      <c r="D1423" s="2">
        <v>45249</v>
      </c>
      <c r="E1423" t="s">
        <v>14</v>
      </c>
      <c r="F1423">
        <v>60052</v>
      </c>
      <c r="G1423">
        <v>2777</v>
      </c>
      <c r="H1423">
        <v>3272.15</v>
      </c>
      <c r="I1423">
        <v>440</v>
      </c>
      <c r="J1423">
        <v>1</v>
      </c>
      <c r="L1423" t="s">
        <v>16</v>
      </c>
    </row>
    <row r="1424" spans="1:12" x14ac:dyDescent="0.2">
      <c r="A1424" t="s">
        <v>2942</v>
      </c>
      <c r="B1424" t="s">
        <v>2943</v>
      </c>
      <c r="C1424" t="s">
        <v>687</v>
      </c>
      <c r="D1424" s="2">
        <v>45288</v>
      </c>
      <c r="E1424" t="s">
        <v>41</v>
      </c>
      <c r="F1424">
        <v>12664</v>
      </c>
      <c r="G1424">
        <v>209</v>
      </c>
      <c r="H1424">
        <v>336.21</v>
      </c>
      <c r="I1424">
        <v>14</v>
      </c>
      <c r="J1424" t="b">
        <v>1</v>
      </c>
      <c r="L1424" t="s">
        <v>42</v>
      </c>
    </row>
    <row r="1425" spans="1:12" x14ac:dyDescent="0.2">
      <c r="A1425" t="s">
        <v>2944</v>
      </c>
      <c r="B1425" t="s">
        <v>2945</v>
      </c>
      <c r="C1425" s="1">
        <v>45269</v>
      </c>
      <c r="D1425" s="2">
        <v>45275</v>
      </c>
      <c r="E1425" t="s">
        <v>191</v>
      </c>
      <c r="F1425">
        <v>36737</v>
      </c>
      <c r="G1425">
        <v>1311</v>
      </c>
      <c r="H1425" s="3">
        <v>2005.53</v>
      </c>
      <c r="I1425">
        <v>167</v>
      </c>
      <c r="J1425">
        <v>1</v>
      </c>
      <c r="L1425" t="s">
        <v>68</v>
      </c>
    </row>
    <row r="1426" spans="1:12" x14ac:dyDescent="0.2">
      <c r="A1426" t="s">
        <v>2946</v>
      </c>
      <c r="B1426" t="s">
        <v>2947</v>
      </c>
      <c r="C1426" s="1">
        <v>45255</v>
      </c>
      <c r="D1426" s="2">
        <v>45285</v>
      </c>
      <c r="E1426" t="s">
        <v>33</v>
      </c>
      <c r="F1426">
        <v>90563</v>
      </c>
      <c r="G1426">
        <v>3839</v>
      </c>
      <c r="H1426">
        <v>6613.09</v>
      </c>
      <c r="J1426">
        <v>0</v>
      </c>
      <c r="L1426" t="s">
        <v>34</v>
      </c>
    </row>
    <row r="1427" spans="1:12" x14ac:dyDescent="0.2">
      <c r="A1427" t="s">
        <v>2948</v>
      </c>
      <c r="B1427" t="s">
        <v>2949</v>
      </c>
      <c r="C1427" s="1">
        <v>44947</v>
      </c>
      <c r="D1427" s="2">
        <v>44955</v>
      </c>
      <c r="E1427" t="s">
        <v>23</v>
      </c>
      <c r="F1427">
        <v>30373</v>
      </c>
      <c r="G1427">
        <v>1454</v>
      </c>
      <c r="H1427" s="3">
        <v>2640.72</v>
      </c>
      <c r="I1427">
        <v>110</v>
      </c>
      <c r="J1427" t="s">
        <v>30</v>
      </c>
      <c r="L1427" t="s">
        <v>25</v>
      </c>
    </row>
    <row r="1428" spans="1:12" x14ac:dyDescent="0.2">
      <c r="A1428" t="s">
        <v>2950</v>
      </c>
      <c r="B1428" t="s">
        <v>2951</v>
      </c>
      <c r="C1428" s="1">
        <v>44985</v>
      </c>
      <c r="D1428" s="2">
        <v>44994</v>
      </c>
      <c r="E1428" t="s">
        <v>19</v>
      </c>
      <c r="F1428">
        <v>37397</v>
      </c>
      <c r="G1428">
        <v>878</v>
      </c>
      <c r="H1428">
        <v>1457.28</v>
      </c>
      <c r="I1428">
        <v>170</v>
      </c>
      <c r="J1428" t="b">
        <v>0</v>
      </c>
      <c r="L1428" t="s">
        <v>20</v>
      </c>
    </row>
    <row r="1429" spans="1:12" x14ac:dyDescent="0.2">
      <c r="A1429" t="s">
        <v>2952</v>
      </c>
      <c r="B1429" t="s">
        <v>2953</v>
      </c>
      <c r="C1429" t="s">
        <v>2954</v>
      </c>
      <c r="D1429" s="2">
        <v>45075</v>
      </c>
      <c r="E1429" t="s">
        <v>23</v>
      </c>
      <c r="F1429">
        <v>87145</v>
      </c>
      <c r="G1429">
        <v>3398</v>
      </c>
      <c r="H1429">
        <v>5122.08</v>
      </c>
      <c r="I1429">
        <v>259</v>
      </c>
      <c r="J1429" t="b">
        <v>0</v>
      </c>
      <c r="L1429" t="s">
        <v>25</v>
      </c>
    </row>
    <row r="1430" spans="1:12" x14ac:dyDescent="0.2">
      <c r="A1430" t="s">
        <v>2955</v>
      </c>
      <c r="B1430" t="s">
        <v>2956</v>
      </c>
      <c r="C1430" s="1">
        <v>45191</v>
      </c>
      <c r="D1430" s="2">
        <v>45192</v>
      </c>
      <c r="E1430" t="s">
        <v>19</v>
      </c>
      <c r="F1430">
        <v>39709</v>
      </c>
      <c r="G1430">
        <v>1252</v>
      </c>
      <c r="H1430">
        <v>685.57</v>
      </c>
      <c r="J1430">
        <v>1</v>
      </c>
      <c r="L1430" t="s">
        <v>20</v>
      </c>
    </row>
    <row r="1431" spans="1:12" x14ac:dyDescent="0.2">
      <c r="A1431" t="s">
        <v>2957</v>
      </c>
      <c r="B1431" t="s">
        <v>2958</v>
      </c>
      <c r="C1431" s="2">
        <v>45187</v>
      </c>
      <c r="D1431" s="2">
        <v>45195</v>
      </c>
      <c r="E1431" t="s">
        <v>14</v>
      </c>
      <c r="F1431">
        <v>62120</v>
      </c>
      <c r="G1431">
        <v>771</v>
      </c>
      <c r="H1431">
        <v>1004.19</v>
      </c>
      <c r="I1431">
        <v>144</v>
      </c>
      <c r="J1431" t="b">
        <v>0</v>
      </c>
      <c r="L1431" t="s">
        <v>68</v>
      </c>
    </row>
    <row r="1432" spans="1:12" x14ac:dyDescent="0.2">
      <c r="A1432" t="s">
        <v>2959</v>
      </c>
      <c r="B1432" t="s">
        <v>2960</v>
      </c>
      <c r="C1432" s="1">
        <v>45260</v>
      </c>
      <c r="D1432" s="2">
        <v>45282</v>
      </c>
      <c r="E1432" t="s">
        <v>33</v>
      </c>
      <c r="F1432">
        <v>20250</v>
      </c>
      <c r="G1432">
        <v>761</v>
      </c>
      <c r="H1432">
        <v>423.53</v>
      </c>
      <c r="I1432">
        <v>91</v>
      </c>
      <c r="J1432">
        <v>1</v>
      </c>
      <c r="L1432" t="s">
        <v>34</v>
      </c>
    </row>
    <row r="1433" spans="1:12" x14ac:dyDescent="0.2">
      <c r="A1433" t="s">
        <v>2961</v>
      </c>
      <c r="B1433" t="s">
        <v>2962</v>
      </c>
      <c r="C1433" s="1">
        <v>44976</v>
      </c>
      <c r="D1433" s="2">
        <v>44986</v>
      </c>
      <c r="E1433" t="s">
        <v>41</v>
      </c>
      <c r="F1433">
        <v>22172</v>
      </c>
      <c r="G1433">
        <v>833</v>
      </c>
      <c r="H1433">
        <v>1426.18</v>
      </c>
      <c r="J1433" t="s">
        <v>30</v>
      </c>
      <c r="L1433" t="s">
        <v>42</v>
      </c>
    </row>
    <row r="1434" spans="1:12" x14ac:dyDescent="0.2">
      <c r="A1434" t="s">
        <v>2963</v>
      </c>
      <c r="B1434" t="s">
        <v>2964</v>
      </c>
      <c r="C1434" s="1">
        <v>45202</v>
      </c>
      <c r="D1434" s="2">
        <v>45216</v>
      </c>
      <c r="E1434" t="s">
        <v>138</v>
      </c>
      <c r="F1434">
        <v>12555</v>
      </c>
      <c r="G1434">
        <v>592</v>
      </c>
      <c r="H1434">
        <v>580.79999999999995</v>
      </c>
      <c r="I1434">
        <v>82</v>
      </c>
      <c r="J1434" t="b">
        <v>0</v>
      </c>
      <c r="L1434" t="s">
        <v>139</v>
      </c>
    </row>
    <row r="1435" spans="1:12" x14ac:dyDescent="0.2">
      <c r="A1435" t="s">
        <v>2965</v>
      </c>
      <c r="B1435" t="s">
        <v>2966</v>
      </c>
      <c r="C1435" s="1">
        <v>45034</v>
      </c>
      <c r="D1435" s="2">
        <v>45053</v>
      </c>
      <c r="E1435" t="s">
        <v>19</v>
      </c>
      <c r="F1435">
        <v>88410</v>
      </c>
      <c r="G1435">
        <v>2642</v>
      </c>
      <c r="H1435">
        <v>3549.91</v>
      </c>
      <c r="I1435">
        <v>370</v>
      </c>
      <c r="J1435">
        <v>0</v>
      </c>
      <c r="L1435" t="s">
        <v>20</v>
      </c>
    </row>
    <row r="1436" spans="1:12" x14ac:dyDescent="0.2">
      <c r="A1436" t="s">
        <v>2967</v>
      </c>
      <c r="B1436" t="s">
        <v>2968</v>
      </c>
      <c r="C1436" s="1">
        <v>45277</v>
      </c>
      <c r="D1436" s="2">
        <v>45305</v>
      </c>
      <c r="E1436" t="s">
        <v>23</v>
      </c>
      <c r="F1436">
        <v>79617</v>
      </c>
      <c r="G1436">
        <v>1529</v>
      </c>
      <c r="H1436" s="3">
        <v>1405.41</v>
      </c>
      <c r="I1436">
        <v>91</v>
      </c>
      <c r="J1436">
        <v>0</v>
      </c>
      <c r="L1436" t="s">
        <v>25</v>
      </c>
    </row>
    <row r="1437" spans="1:12" x14ac:dyDescent="0.2">
      <c r="A1437" t="s">
        <v>2969</v>
      </c>
      <c r="B1437" t="s">
        <v>2970</v>
      </c>
      <c r="C1437" s="1">
        <v>45202</v>
      </c>
      <c r="D1437" s="2">
        <v>45222</v>
      </c>
      <c r="E1437" t="s">
        <v>23</v>
      </c>
      <c r="F1437">
        <v>54276</v>
      </c>
      <c r="G1437">
        <v>639</v>
      </c>
      <c r="H1437">
        <v>1069.53</v>
      </c>
      <c r="I1437">
        <v>125</v>
      </c>
      <c r="J1437" t="b">
        <v>1</v>
      </c>
      <c r="L1437" t="s">
        <v>25</v>
      </c>
    </row>
    <row r="1438" spans="1:12" x14ac:dyDescent="0.2">
      <c r="A1438" t="s">
        <v>2971</v>
      </c>
      <c r="B1438" t="s">
        <v>2972</v>
      </c>
      <c r="C1438" s="1">
        <v>45149</v>
      </c>
      <c r="D1438" s="2">
        <v>45177</v>
      </c>
      <c r="E1438" t="s">
        <v>33</v>
      </c>
      <c r="F1438">
        <v>58492</v>
      </c>
      <c r="G1438">
        <v>1557</v>
      </c>
      <c r="H1438">
        <v>2848.93</v>
      </c>
      <c r="I1438">
        <v>204</v>
      </c>
      <c r="J1438">
        <v>1</v>
      </c>
      <c r="L1438" t="s">
        <v>34</v>
      </c>
    </row>
    <row r="1439" spans="1:12" x14ac:dyDescent="0.2">
      <c r="A1439" t="s">
        <v>2973</v>
      </c>
      <c r="B1439" t="s">
        <v>2974</v>
      </c>
      <c r="C1439" s="1">
        <v>45278</v>
      </c>
      <c r="D1439" s="2">
        <v>45291</v>
      </c>
      <c r="E1439" t="s">
        <v>19</v>
      </c>
      <c r="F1439">
        <v>54002</v>
      </c>
      <c r="G1439">
        <v>1192</v>
      </c>
      <c r="H1439">
        <v>1308.77</v>
      </c>
      <c r="I1439">
        <v>159</v>
      </c>
      <c r="J1439" t="b">
        <v>0</v>
      </c>
      <c r="L1439" t="s">
        <v>20</v>
      </c>
    </row>
    <row r="1440" spans="1:12" x14ac:dyDescent="0.2">
      <c r="A1440" t="s">
        <v>2975</v>
      </c>
      <c r="B1440" t="s">
        <v>2976</v>
      </c>
      <c r="C1440" t="s">
        <v>2977</v>
      </c>
      <c r="D1440" s="2">
        <v>45111</v>
      </c>
      <c r="E1440" t="s">
        <v>23</v>
      </c>
      <c r="F1440">
        <v>90599</v>
      </c>
      <c r="G1440">
        <v>3664</v>
      </c>
      <c r="H1440">
        <v>6574.62</v>
      </c>
      <c r="I1440">
        <v>469</v>
      </c>
      <c r="J1440">
        <v>0</v>
      </c>
      <c r="L1440" t="s">
        <v>25</v>
      </c>
    </row>
    <row r="1441" spans="1:12" x14ac:dyDescent="0.2">
      <c r="A1441" t="s">
        <v>2978</v>
      </c>
      <c r="B1441" t="s">
        <v>2979</v>
      </c>
      <c r="C1441" s="2">
        <v>45109</v>
      </c>
      <c r="D1441" s="2">
        <v>44971</v>
      </c>
      <c r="E1441" t="s">
        <v>19</v>
      </c>
      <c r="F1441">
        <v>73355</v>
      </c>
      <c r="G1441">
        <v>1773</v>
      </c>
      <c r="H1441" s="3">
        <v>1596.79</v>
      </c>
      <c r="I1441">
        <v>251</v>
      </c>
      <c r="J1441" t="s">
        <v>24</v>
      </c>
      <c r="L1441" t="s">
        <v>20</v>
      </c>
    </row>
    <row r="1442" spans="1:12" x14ac:dyDescent="0.2">
      <c r="A1442" t="s">
        <v>2980</v>
      </c>
      <c r="B1442" t="s">
        <v>2981</v>
      </c>
      <c r="C1442" s="1">
        <v>45055</v>
      </c>
      <c r="D1442" s="2">
        <v>45063</v>
      </c>
      <c r="E1442" t="s">
        <v>14</v>
      </c>
      <c r="F1442">
        <v>92248</v>
      </c>
      <c r="G1442">
        <v>4424</v>
      </c>
      <c r="H1442">
        <v>5760.01</v>
      </c>
      <c r="I1442">
        <v>396</v>
      </c>
      <c r="J1442" t="s">
        <v>30</v>
      </c>
      <c r="L1442" t="s">
        <v>16</v>
      </c>
    </row>
    <row r="1443" spans="1:12" x14ac:dyDescent="0.2">
      <c r="A1443" t="s">
        <v>2982</v>
      </c>
      <c r="B1443" t="s">
        <v>2983</v>
      </c>
      <c r="C1443" s="1">
        <v>45043</v>
      </c>
      <c r="D1443" s="2">
        <v>45047</v>
      </c>
      <c r="E1443" t="s">
        <v>23</v>
      </c>
      <c r="F1443">
        <v>25762</v>
      </c>
      <c r="G1443">
        <v>1249</v>
      </c>
      <c r="H1443">
        <v>2233.39</v>
      </c>
      <c r="I1443">
        <v>116</v>
      </c>
      <c r="J1443" t="s">
        <v>30</v>
      </c>
      <c r="L1443" t="s">
        <v>25</v>
      </c>
    </row>
    <row r="1444" spans="1:12" x14ac:dyDescent="0.2">
      <c r="A1444" t="s">
        <v>2984</v>
      </c>
      <c r="B1444" t="s">
        <v>2985</v>
      </c>
      <c r="C1444" s="1">
        <v>45157</v>
      </c>
      <c r="D1444" s="2">
        <v>45185</v>
      </c>
      <c r="E1444" t="s">
        <v>33</v>
      </c>
      <c r="F1444">
        <v>12046</v>
      </c>
      <c r="G1444">
        <v>419</v>
      </c>
      <c r="H1444">
        <v>414.32</v>
      </c>
      <c r="I1444">
        <v>53</v>
      </c>
      <c r="J1444" t="s">
        <v>24</v>
      </c>
      <c r="L1444" t="s">
        <v>34</v>
      </c>
    </row>
    <row r="1445" spans="1:12" x14ac:dyDescent="0.2">
      <c r="A1445" t="s">
        <v>2986</v>
      </c>
      <c r="B1445" t="s">
        <v>2987</v>
      </c>
      <c r="C1445" s="1">
        <v>44935</v>
      </c>
      <c r="D1445" s="2">
        <v>44938</v>
      </c>
      <c r="E1445" t="s">
        <v>41</v>
      </c>
      <c r="F1445">
        <v>97999</v>
      </c>
      <c r="G1445">
        <v>4620</v>
      </c>
      <c r="H1445">
        <v>8921.51</v>
      </c>
      <c r="I1445">
        <v>790</v>
      </c>
      <c r="J1445" t="s">
        <v>24</v>
      </c>
      <c r="L1445" t="s">
        <v>42</v>
      </c>
    </row>
    <row r="1446" spans="1:12" x14ac:dyDescent="0.2">
      <c r="A1446" t="s">
        <v>2988</v>
      </c>
      <c r="B1446" t="s">
        <v>2989</v>
      </c>
      <c r="C1446" s="1">
        <v>44930</v>
      </c>
      <c r="D1446" s="2">
        <v>44944</v>
      </c>
      <c r="E1446" t="s">
        <v>14</v>
      </c>
      <c r="F1446">
        <v>29769</v>
      </c>
      <c r="G1446">
        <v>1203</v>
      </c>
      <c r="H1446">
        <v>821.43</v>
      </c>
      <c r="I1446">
        <v>69</v>
      </c>
      <c r="J1446" t="b">
        <v>1</v>
      </c>
      <c r="L1446" t="s">
        <v>16</v>
      </c>
    </row>
    <row r="1447" spans="1:12" x14ac:dyDescent="0.2">
      <c r="A1447" t="s">
        <v>2990</v>
      </c>
      <c r="B1447" t="s">
        <v>2991</v>
      </c>
      <c r="C1447" t="s">
        <v>2992</v>
      </c>
      <c r="D1447" s="2">
        <v>45249</v>
      </c>
      <c r="E1447" t="s">
        <v>19</v>
      </c>
      <c r="F1447">
        <v>54302</v>
      </c>
      <c r="G1447">
        <v>1730</v>
      </c>
      <c r="H1447" s="3">
        <v>912.42</v>
      </c>
      <c r="I1447">
        <v>243</v>
      </c>
      <c r="J1447" t="s">
        <v>30</v>
      </c>
      <c r="L1447" t="s">
        <v>20</v>
      </c>
    </row>
    <row r="1448" spans="1:12" x14ac:dyDescent="0.2">
      <c r="A1448" t="s">
        <v>2993</v>
      </c>
      <c r="B1448" t="s">
        <v>2994</v>
      </c>
      <c r="C1448" s="1">
        <v>44964</v>
      </c>
      <c r="D1448" s="2">
        <v>44979</v>
      </c>
      <c r="E1448" t="s">
        <v>23</v>
      </c>
      <c r="F1448">
        <v>24150</v>
      </c>
      <c r="G1448">
        <v>415</v>
      </c>
      <c r="H1448">
        <v>770.32</v>
      </c>
      <c r="I1448">
        <v>70</v>
      </c>
      <c r="J1448" t="s">
        <v>30</v>
      </c>
      <c r="L1448" t="s">
        <v>25</v>
      </c>
    </row>
    <row r="1449" spans="1:12" x14ac:dyDescent="0.2">
      <c r="A1449" t="s">
        <v>2995</v>
      </c>
      <c r="B1449" t="s">
        <v>2996</v>
      </c>
      <c r="C1449" s="1">
        <v>45075</v>
      </c>
      <c r="D1449" s="2">
        <v>45090</v>
      </c>
      <c r="E1449" t="s">
        <v>14</v>
      </c>
      <c r="F1449">
        <v>69247</v>
      </c>
      <c r="G1449">
        <v>1962</v>
      </c>
      <c r="H1449">
        <v>1183.03</v>
      </c>
      <c r="I1449">
        <v>144</v>
      </c>
      <c r="J1449" t="b">
        <v>0</v>
      </c>
      <c r="L1449" t="s">
        <v>16</v>
      </c>
    </row>
    <row r="1450" spans="1:12" x14ac:dyDescent="0.2">
      <c r="A1450" t="s">
        <v>2997</v>
      </c>
      <c r="B1450" t="s">
        <v>2998</v>
      </c>
      <c r="C1450" s="1">
        <v>44971</v>
      </c>
      <c r="D1450" s="2">
        <v>44976</v>
      </c>
      <c r="E1450" t="s">
        <v>41</v>
      </c>
      <c r="F1450">
        <v>5853</v>
      </c>
      <c r="G1450">
        <v>189</v>
      </c>
      <c r="H1450">
        <v>375.7</v>
      </c>
      <c r="I1450">
        <v>9</v>
      </c>
      <c r="J1450">
        <v>1</v>
      </c>
      <c r="L1450" t="s">
        <v>42</v>
      </c>
    </row>
    <row r="1451" spans="1:12" x14ac:dyDescent="0.2">
      <c r="A1451" t="s">
        <v>2999</v>
      </c>
      <c r="B1451" t="s">
        <v>3000</v>
      </c>
      <c r="C1451" s="1">
        <v>45122</v>
      </c>
      <c r="D1451" s="2">
        <v>45146</v>
      </c>
      <c r="E1451" t="s">
        <v>41</v>
      </c>
      <c r="F1451">
        <v>95613</v>
      </c>
      <c r="G1451">
        <v>4260</v>
      </c>
      <c r="H1451">
        <v>8209.43</v>
      </c>
      <c r="I1451">
        <v>412</v>
      </c>
      <c r="J1451" t="s">
        <v>15</v>
      </c>
      <c r="L1451" t="s">
        <v>42</v>
      </c>
    </row>
    <row r="1452" spans="1:12" x14ac:dyDescent="0.2">
      <c r="A1452" t="s">
        <v>3001</v>
      </c>
      <c r="B1452" t="s">
        <v>3002</v>
      </c>
      <c r="C1452" s="1">
        <v>45169</v>
      </c>
      <c r="D1452" s="2">
        <v>45198</v>
      </c>
      <c r="E1452" t="s">
        <v>19</v>
      </c>
      <c r="F1452">
        <v>90399</v>
      </c>
      <c r="G1452">
        <v>2644</v>
      </c>
      <c r="H1452">
        <v>1865.42</v>
      </c>
      <c r="I1452">
        <v>365</v>
      </c>
      <c r="J1452" t="s">
        <v>30</v>
      </c>
      <c r="L1452" t="s">
        <v>20</v>
      </c>
    </row>
    <row r="1453" spans="1:12" x14ac:dyDescent="0.2">
      <c r="A1453" t="s">
        <v>3003</v>
      </c>
      <c r="B1453" t="s">
        <v>3004</v>
      </c>
      <c r="C1453" s="1">
        <v>45127</v>
      </c>
      <c r="D1453" s="2">
        <v>45140</v>
      </c>
      <c r="E1453" t="s">
        <v>14</v>
      </c>
      <c r="F1453">
        <v>22792</v>
      </c>
      <c r="G1453">
        <v>1046</v>
      </c>
      <c r="H1453">
        <v>1366.47</v>
      </c>
      <c r="I1453">
        <v>73</v>
      </c>
      <c r="J1453" t="s">
        <v>30</v>
      </c>
      <c r="L1453" t="s">
        <v>16</v>
      </c>
    </row>
    <row r="1454" spans="1:12" x14ac:dyDescent="0.2">
      <c r="A1454" t="s">
        <v>3005</v>
      </c>
      <c r="B1454" t="s">
        <v>3006</v>
      </c>
      <c r="C1454" s="1">
        <v>45078</v>
      </c>
      <c r="D1454" s="2">
        <v>45106</v>
      </c>
      <c r="E1454" t="s">
        <v>41</v>
      </c>
      <c r="F1454">
        <v>60129</v>
      </c>
      <c r="G1454">
        <v>2223</v>
      </c>
      <c r="H1454">
        <v>1728.12</v>
      </c>
      <c r="I1454">
        <v>253</v>
      </c>
      <c r="J1454" t="s">
        <v>15</v>
      </c>
      <c r="L1454" t="s">
        <v>42</v>
      </c>
    </row>
    <row r="1455" spans="1:12" x14ac:dyDescent="0.2">
      <c r="A1455" t="s">
        <v>3007</v>
      </c>
      <c r="B1455" t="s">
        <v>3008</v>
      </c>
      <c r="C1455" s="1">
        <v>45273</v>
      </c>
      <c r="D1455" s="2">
        <v>45293</v>
      </c>
      <c r="E1455" t="s">
        <v>33</v>
      </c>
      <c r="F1455">
        <v>75478</v>
      </c>
      <c r="G1455">
        <v>1168</v>
      </c>
      <c r="H1455" s="3">
        <v>1334.13</v>
      </c>
      <c r="I1455">
        <v>155</v>
      </c>
      <c r="J1455" t="s">
        <v>30</v>
      </c>
      <c r="L1455" t="s">
        <v>34</v>
      </c>
    </row>
    <row r="1456" spans="1:12" x14ac:dyDescent="0.2">
      <c r="A1456" t="s">
        <v>3009</v>
      </c>
      <c r="B1456" t="s">
        <v>3010</v>
      </c>
      <c r="C1456" s="1">
        <v>45258</v>
      </c>
      <c r="D1456" s="2">
        <v>45283</v>
      </c>
      <c r="E1456" t="s">
        <v>41</v>
      </c>
      <c r="F1456">
        <v>68298</v>
      </c>
      <c r="G1456">
        <v>3401</v>
      </c>
      <c r="H1456" s="3">
        <v>2013.86</v>
      </c>
      <c r="I1456">
        <v>475</v>
      </c>
      <c r="J1456" t="b">
        <v>0</v>
      </c>
      <c r="L1456" t="s">
        <v>68</v>
      </c>
    </row>
    <row r="1457" spans="1:12" x14ac:dyDescent="0.2">
      <c r="A1457" t="s">
        <v>3011</v>
      </c>
      <c r="B1457" t="s">
        <v>3012</v>
      </c>
      <c r="C1457" s="1">
        <v>45210</v>
      </c>
      <c r="D1457" s="2">
        <v>45223</v>
      </c>
      <c r="E1457" t="s">
        <v>33</v>
      </c>
      <c r="F1457">
        <v>32987</v>
      </c>
      <c r="G1457">
        <v>1025</v>
      </c>
      <c r="H1457">
        <v>856.78</v>
      </c>
      <c r="I1457">
        <v>93</v>
      </c>
      <c r="J1457" t="b">
        <v>0</v>
      </c>
      <c r="L1457" t="s">
        <v>34</v>
      </c>
    </row>
    <row r="1458" spans="1:12" x14ac:dyDescent="0.2">
      <c r="A1458" t="s">
        <v>3013</v>
      </c>
      <c r="B1458" t="s">
        <v>3014</v>
      </c>
      <c r="C1458" t="s">
        <v>3015</v>
      </c>
      <c r="D1458" s="2">
        <v>44949</v>
      </c>
      <c r="E1458" t="s">
        <v>33</v>
      </c>
      <c r="F1458">
        <v>16850</v>
      </c>
      <c r="G1458">
        <v>432</v>
      </c>
      <c r="H1458">
        <v>451.4</v>
      </c>
      <c r="J1458" t="s">
        <v>15</v>
      </c>
      <c r="L1458" t="s">
        <v>34</v>
      </c>
    </row>
    <row r="1459" spans="1:12" x14ac:dyDescent="0.2">
      <c r="A1459" t="s">
        <v>3016</v>
      </c>
      <c r="B1459" t="s">
        <v>3017</v>
      </c>
      <c r="C1459" s="1">
        <v>45232</v>
      </c>
      <c r="D1459" s="2">
        <v>45250</v>
      </c>
      <c r="E1459" t="s">
        <v>33</v>
      </c>
      <c r="F1459">
        <v>13112</v>
      </c>
      <c r="G1459">
        <v>476</v>
      </c>
      <c r="H1459">
        <v>-551.19000000000005</v>
      </c>
      <c r="I1459">
        <v>79</v>
      </c>
      <c r="J1459">
        <v>0</v>
      </c>
      <c r="L1459" t="s">
        <v>34</v>
      </c>
    </row>
    <row r="1460" spans="1:12" x14ac:dyDescent="0.2">
      <c r="A1460" t="s">
        <v>3018</v>
      </c>
      <c r="B1460" t="s">
        <v>3019</v>
      </c>
      <c r="C1460" s="1">
        <v>44970</v>
      </c>
      <c r="D1460" s="2">
        <v>44995</v>
      </c>
      <c r="E1460" t="s">
        <v>14</v>
      </c>
      <c r="F1460">
        <v>25058</v>
      </c>
      <c r="G1460">
        <v>359</v>
      </c>
      <c r="H1460" s="3">
        <v>705.88</v>
      </c>
      <c r="I1460">
        <v>68</v>
      </c>
      <c r="J1460" t="s">
        <v>30</v>
      </c>
      <c r="L1460" t="s">
        <v>16</v>
      </c>
    </row>
    <row r="1461" spans="1:12" x14ac:dyDescent="0.2">
      <c r="A1461" t="s">
        <v>3020</v>
      </c>
      <c r="B1461" t="s">
        <v>3021</v>
      </c>
      <c r="C1461" s="1">
        <v>45103</v>
      </c>
      <c r="D1461" s="2">
        <v>45112</v>
      </c>
      <c r="E1461" t="s">
        <v>33</v>
      </c>
      <c r="F1461">
        <v>46420</v>
      </c>
      <c r="G1461">
        <v>1646</v>
      </c>
      <c r="H1461">
        <v>2817.62</v>
      </c>
      <c r="J1461">
        <v>0</v>
      </c>
      <c r="K1461">
        <v>46444</v>
      </c>
      <c r="L1461" t="s">
        <v>34</v>
      </c>
    </row>
    <row r="1462" spans="1:12" x14ac:dyDescent="0.2">
      <c r="A1462" t="s">
        <v>3022</v>
      </c>
      <c r="B1462" t="s">
        <v>3023</v>
      </c>
      <c r="C1462" s="1">
        <v>45189</v>
      </c>
      <c r="D1462" s="2">
        <v>45196</v>
      </c>
      <c r="E1462" t="s">
        <v>19</v>
      </c>
      <c r="F1462">
        <v>39890</v>
      </c>
      <c r="G1462">
        <v>1193</v>
      </c>
      <c r="H1462">
        <v>500000</v>
      </c>
      <c r="I1462">
        <v>160</v>
      </c>
      <c r="J1462" t="s">
        <v>30</v>
      </c>
      <c r="L1462" t="s">
        <v>20</v>
      </c>
    </row>
    <row r="1463" spans="1:12" x14ac:dyDescent="0.2">
      <c r="A1463" t="s">
        <v>3024</v>
      </c>
      <c r="B1463" t="s">
        <v>3025</v>
      </c>
      <c r="C1463" s="1">
        <v>45242</v>
      </c>
      <c r="D1463" s="2">
        <v>45271</v>
      </c>
      <c r="E1463" t="s">
        <v>14</v>
      </c>
      <c r="F1463">
        <v>67017</v>
      </c>
      <c r="G1463">
        <v>1760</v>
      </c>
      <c r="H1463">
        <v>2297.79</v>
      </c>
      <c r="J1463">
        <v>1</v>
      </c>
      <c r="L1463" t="s">
        <v>16</v>
      </c>
    </row>
    <row r="1464" spans="1:12" x14ac:dyDescent="0.2">
      <c r="A1464" t="s">
        <v>3026</v>
      </c>
      <c r="B1464" t="s">
        <v>3027</v>
      </c>
      <c r="C1464" s="1">
        <v>45019</v>
      </c>
      <c r="D1464" s="2">
        <v>45014</v>
      </c>
      <c r="E1464" t="s">
        <v>33</v>
      </c>
      <c r="F1464">
        <v>48304</v>
      </c>
      <c r="G1464">
        <v>2324</v>
      </c>
      <c r="H1464">
        <v>4090.23</v>
      </c>
      <c r="J1464" t="s">
        <v>30</v>
      </c>
      <c r="L1464" t="s">
        <v>34</v>
      </c>
    </row>
    <row r="1465" spans="1:12" x14ac:dyDescent="0.2">
      <c r="A1465" t="s">
        <v>3028</v>
      </c>
      <c r="B1465" t="s">
        <v>3029</v>
      </c>
      <c r="C1465" s="1">
        <v>44954</v>
      </c>
      <c r="D1465" s="2">
        <v>44970</v>
      </c>
      <c r="E1465" t="s">
        <v>33</v>
      </c>
      <c r="F1465">
        <v>33921</v>
      </c>
      <c r="G1465">
        <v>1048</v>
      </c>
      <c r="H1465">
        <v>1057.42</v>
      </c>
      <c r="I1465">
        <v>72</v>
      </c>
      <c r="J1465" t="b">
        <v>0</v>
      </c>
      <c r="L1465" t="s">
        <v>34</v>
      </c>
    </row>
    <row r="1466" spans="1:12" x14ac:dyDescent="0.2">
      <c r="A1466" t="s">
        <v>3030</v>
      </c>
      <c r="B1466" t="s">
        <v>3031</v>
      </c>
      <c r="C1466" s="1">
        <v>45208</v>
      </c>
      <c r="D1466" s="2">
        <v>45222</v>
      </c>
      <c r="E1466" t="s">
        <v>33</v>
      </c>
      <c r="F1466">
        <v>2524</v>
      </c>
      <c r="G1466">
        <v>47</v>
      </c>
      <c r="H1466">
        <v>73.48</v>
      </c>
      <c r="I1466">
        <v>3</v>
      </c>
      <c r="J1466" t="b">
        <v>1</v>
      </c>
      <c r="L1466" t="s">
        <v>34</v>
      </c>
    </row>
    <row r="1467" spans="1:12" x14ac:dyDescent="0.2">
      <c r="A1467" t="s">
        <v>3032</v>
      </c>
      <c r="B1467" t="s">
        <v>3033</v>
      </c>
      <c r="C1467" s="1">
        <v>45075</v>
      </c>
      <c r="D1467" s="2">
        <v>45101</v>
      </c>
      <c r="E1467" t="s">
        <v>23</v>
      </c>
      <c r="F1467">
        <v>16048</v>
      </c>
      <c r="G1467">
        <v>455</v>
      </c>
      <c r="H1467">
        <v>905.76</v>
      </c>
      <c r="I1467">
        <v>69</v>
      </c>
      <c r="J1467" t="s">
        <v>24</v>
      </c>
      <c r="L1467" t="s">
        <v>25</v>
      </c>
    </row>
    <row r="1468" spans="1:12" x14ac:dyDescent="0.2">
      <c r="A1468" t="s">
        <v>3034</v>
      </c>
      <c r="B1468" t="s">
        <v>3035</v>
      </c>
      <c r="C1468" s="1">
        <v>45028</v>
      </c>
      <c r="D1468" s="2">
        <v>45057</v>
      </c>
      <c r="E1468" t="s">
        <v>33</v>
      </c>
      <c r="F1468">
        <v>36111</v>
      </c>
      <c r="G1468">
        <v>1689</v>
      </c>
      <c r="H1468">
        <v>1641.61</v>
      </c>
      <c r="I1468">
        <v>150</v>
      </c>
      <c r="J1468" t="b">
        <v>1</v>
      </c>
      <c r="L1468" t="s">
        <v>34</v>
      </c>
    </row>
    <row r="1469" spans="1:12" x14ac:dyDescent="0.2">
      <c r="A1469" t="s">
        <v>3036</v>
      </c>
      <c r="B1469" t="s">
        <v>3037</v>
      </c>
      <c r="C1469" s="1">
        <v>45096</v>
      </c>
      <c r="D1469" s="2">
        <v>45113</v>
      </c>
      <c r="E1469" t="s">
        <v>19</v>
      </c>
      <c r="F1469">
        <v>38904</v>
      </c>
      <c r="G1469">
        <v>663</v>
      </c>
      <c r="H1469" s="3">
        <v>1001.81</v>
      </c>
      <c r="I1469">
        <v>58</v>
      </c>
      <c r="J1469" t="b">
        <v>1</v>
      </c>
      <c r="L1469" t="s">
        <v>20</v>
      </c>
    </row>
    <row r="1470" spans="1:12" x14ac:dyDescent="0.2">
      <c r="A1470" t="s">
        <v>3038</v>
      </c>
      <c r="B1470" t="s">
        <v>3039</v>
      </c>
      <c r="C1470" s="1">
        <v>45047</v>
      </c>
      <c r="D1470" s="2">
        <v>45058</v>
      </c>
      <c r="E1470" t="s">
        <v>138</v>
      </c>
      <c r="F1470">
        <v>55912</v>
      </c>
      <c r="G1470">
        <v>1037</v>
      </c>
      <c r="H1470">
        <v>1831.83</v>
      </c>
      <c r="I1470">
        <v>207</v>
      </c>
      <c r="J1470" t="b">
        <v>1</v>
      </c>
      <c r="L1470" t="s">
        <v>139</v>
      </c>
    </row>
    <row r="1471" spans="1:12" x14ac:dyDescent="0.2">
      <c r="A1471" t="s">
        <v>3040</v>
      </c>
      <c r="B1471" t="s">
        <v>3041</v>
      </c>
      <c r="C1471" s="1">
        <v>45026</v>
      </c>
      <c r="D1471" s="2">
        <v>45037</v>
      </c>
      <c r="E1471" t="s">
        <v>33</v>
      </c>
      <c r="F1471">
        <v>35008</v>
      </c>
      <c r="G1471">
        <v>368</v>
      </c>
      <c r="H1471" s="3">
        <v>689.53</v>
      </c>
      <c r="I1471">
        <v>28</v>
      </c>
      <c r="J1471" t="s">
        <v>24</v>
      </c>
      <c r="L1471" t="s">
        <v>34</v>
      </c>
    </row>
    <row r="1472" spans="1:12" x14ac:dyDescent="0.2">
      <c r="A1472" t="s">
        <v>3042</v>
      </c>
      <c r="B1472" t="s">
        <v>3043</v>
      </c>
      <c r="C1472" s="1">
        <v>45242</v>
      </c>
      <c r="D1472" s="2">
        <v>45243</v>
      </c>
      <c r="E1472" t="s">
        <v>138</v>
      </c>
      <c r="F1472">
        <v>1060</v>
      </c>
      <c r="G1472">
        <v>11</v>
      </c>
      <c r="H1472">
        <v>17.350000000000001</v>
      </c>
      <c r="I1472">
        <v>0</v>
      </c>
      <c r="J1472">
        <v>0</v>
      </c>
      <c r="L1472" t="s">
        <v>139</v>
      </c>
    </row>
    <row r="1473" spans="1:12" x14ac:dyDescent="0.2">
      <c r="A1473" t="s">
        <v>3044</v>
      </c>
      <c r="B1473" t="s">
        <v>3045</v>
      </c>
      <c r="C1473" s="1">
        <v>45005</v>
      </c>
      <c r="D1473" s="2">
        <v>45021</v>
      </c>
      <c r="E1473" t="s">
        <v>41</v>
      </c>
      <c r="F1473">
        <v>75666</v>
      </c>
      <c r="G1473">
        <v>3266</v>
      </c>
      <c r="H1473">
        <v>3022.4</v>
      </c>
      <c r="I1473">
        <v>211</v>
      </c>
      <c r="J1473" t="s">
        <v>24</v>
      </c>
      <c r="L1473" t="s">
        <v>42</v>
      </c>
    </row>
    <row r="1474" spans="1:12" x14ac:dyDescent="0.2">
      <c r="A1474" t="s">
        <v>3046</v>
      </c>
      <c r="B1474" t="s">
        <v>3047</v>
      </c>
      <c r="C1474" s="1">
        <v>45088</v>
      </c>
      <c r="D1474" s="2">
        <v>45105</v>
      </c>
      <c r="E1474" t="s">
        <v>14</v>
      </c>
      <c r="F1474">
        <v>84559</v>
      </c>
      <c r="G1474">
        <v>3321</v>
      </c>
      <c r="H1474">
        <v>3285.87</v>
      </c>
      <c r="I1474">
        <v>454</v>
      </c>
      <c r="J1474">
        <v>0</v>
      </c>
      <c r="L1474" t="s">
        <v>16</v>
      </c>
    </row>
    <row r="1475" spans="1:12" x14ac:dyDescent="0.2">
      <c r="A1475" t="s">
        <v>3048</v>
      </c>
      <c r="B1475" t="s">
        <v>3049</v>
      </c>
      <c r="C1475" s="1">
        <v>45087</v>
      </c>
      <c r="D1475" s="2">
        <v>45107</v>
      </c>
      <c r="E1475" t="s">
        <v>33</v>
      </c>
      <c r="F1475">
        <v>56337</v>
      </c>
      <c r="G1475">
        <v>1363</v>
      </c>
      <c r="H1475">
        <v>723.94</v>
      </c>
      <c r="I1475">
        <v>196</v>
      </c>
      <c r="J1475" t="s">
        <v>24</v>
      </c>
      <c r="L1475" t="s">
        <v>34</v>
      </c>
    </row>
    <row r="1476" spans="1:12" x14ac:dyDescent="0.2">
      <c r="A1476" t="s">
        <v>3050</v>
      </c>
      <c r="B1476" t="s">
        <v>3051</v>
      </c>
      <c r="C1476" s="1">
        <v>45255</v>
      </c>
      <c r="D1476" s="2">
        <v>45268</v>
      </c>
      <c r="E1476" t="s">
        <v>138</v>
      </c>
      <c r="F1476">
        <v>14350</v>
      </c>
      <c r="G1476">
        <v>544</v>
      </c>
      <c r="H1476" s="3">
        <v>892.88</v>
      </c>
      <c r="I1476">
        <v>57</v>
      </c>
      <c r="J1476" t="s">
        <v>24</v>
      </c>
      <c r="L1476" t="s">
        <v>139</v>
      </c>
    </row>
    <row r="1477" spans="1:12" x14ac:dyDescent="0.2">
      <c r="A1477" t="s">
        <v>3052</v>
      </c>
      <c r="B1477" t="s">
        <v>3053</v>
      </c>
      <c r="C1477" s="1">
        <v>44995</v>
      </c>
      <c r="D1477" s="2">
        <v>45022</v>
      </c>
      <c r="E1477" t="s">
        <v>41</v>
      </c>
      <c r="F1477">
        <v>25354</v>
      </c>
      <c r="G1477">
        <v>654</v>
      </c>
      <c r="H1477">
        <v>368.93</v>
      </c>
      <c r="I1477">
        <v>85</v>
      </c>
      <c r="J1477" t="s">
        <v>30</v>
      </c>
      <c r="L1477" t="s">
        <v>42</v>
      </c>
    </row>
    <row r="1478" spans="1:12" x14ac:dyDescent="0.2">
      <c r="A1478" t="s">
        <v>3054</v>
      </c>
      <c r="B1478" t="s">
        <v>3055</v>
      </c>
      <c r="C1478" s="1">
        <v>45172</v>
      </c>
      <c r="D1478" s="2">
        <v>45187</v>
      </c>
      <c r="E1478" t="s">
        <v>33</v>
      </c>
      <c r="F1478">
        <v>46186</v>
      </c>
      <c r="G1478">
        <v>2222</v>
      </c>
      <c r="H1478">
        <v>3992.89</v>
      </c>
      <c r="I1478">
        <v>373</v>
      </c>
      <c r="J1478">
        <v>0</v>
      </c>
      <c r="L1478" t="s">
        <v>34</v>
      </c>
    </row>
    <row r="1479" spans="1:12" x14ac:dyDescent="0.2">
      <c r="A1479" t="s">
        <v>3056</v>
      </c>
      <c r="B1479" t="s">
        <v>3057</v>
      </c>
      <c r="C1479" s="1">
        <v>45083</v>
      </c>
      <c r="D1479" s="2">
        <v>45103</v>
      </c>
      <c r="E1479" t="s">
        <v>14</v>
      </c>
      <c r="F1479">
        <v>29145</v>
      </c>
      <c r="G1479">
        <v>1418</v>
      </c>
      <c r="H1479">
        <v>961.39</v>
      </c>
      <c r="J1479" t="s">
        <v>30</v>
      </c>
      <c r="L1479" t="s">
        <v>16</v>
      </c>
    </row>
    <row r="1480" spans="1:12" x14ac:dyDescent="0.2">
      <c r="A1480" t="s">
        <v>3058</v>
      </c>
      <c r="B1480" t="s">
        <v>3059</v>
      </c>
      <c r="C1480" s="1">
        <v>45257</v>
      </c>
      <c r="D1480" s="2">
        <v>45264</v>
      </c>
      <c r="E1480" t="s">
        <v>14</v>
      </c>
      <c r="F1480">
        <v>35020</v>
      </c>
      <c r="G1480">
        <v>900</v>
      </c>
      <c r="H1480">
        <v>682.03</v>
      </c>
      <c r="J1480">
        <v>1</v>
      </c>
      <c r="L1480" t="s">
        <v>16</v>
      </c>
    </row>
    <row r="1481" spans="1:12" x14ac:dyDescent="0.2">
      <c r="A1481" t="s">
        <v>3060</v>
      </c>
      <c r="B1481" t="s">
        <v>3061</v>
      </c>
      <c r="C1481" s="1">
        <v>44998</v>
      </c>
      <c r="D1481" s="2">
        <v>45010</v>
      </c>
      <c r="E1481" t="s">
        <v>234</v>
      </c>
      <c r="F1481">
        <v>87123</v>
      </c>
      <c r="G1481">
        <v>3848</v>
      </c>
      <c r="H1481">
        <v>4674.51</v>
      </c>
      <c r="I1481">
        <v>668</v>
      </c>
      <c r="J1481" t="s">
        <v>30</v>
      </c>
      <c r="L1481" t="s">
        <v>16</v>
      </c>
    </row>
    <row r="1482" spans="1:12" x14ac:dyDescent="0.2">
      <c r="A1482" t="s">
        <v>3062</v>
      </c>
      <c r="B1482" t="s">
        <v>3063</v>
      </c>
      <c r="C1482" t="s">
        <v>3064</v>
      </c>
      <c r="D1482" s="2">
        <v>45252</v>
      </c>
      <c r="E1482" t="s">
        <v>14</v>
      </c>
      <c r="F1482">
        <v>76186</v>
      </c>
      <c r="G1482">
        <v>3117</v>
      </c>
      <c r="H1482" s="3">
        <v>5008.46</v>
      </c>
      <c r="I1482">
        <v>419</v>
      </c>
      <c r="J1482" t="b">
        <v>1</v>
      </c>
      <c r="L1482" t="s">
        <v>68</v>
      </c>
    </row>
    <row r="1483" spans="1:12" x14ac:dyDescent="0.2">
      <c r="A1483" t="s">
        <v>3065</v>
      </c>
      <c r="B1483" t="s">
        <v>3066</v>
      </c>
      <c r="C1483" s="1">
        <v>44965</v>
      </c>
      <c r="D1483" s="2">
        <v>44988</v>
      </c>
      <c r="E1483" t="s">
        <v>19</v>
      </c>
      <c r="F1483">
        <v>86469</v>
      </c>
      <c r="G1483">
        <v>1936</v>
      </c>
      <c r="H1483">
        <v>1371.66</v>
      </c>
      <c r="I1483">
        <v>148</v>
      </c>
      <c r="J1483" t="s">
        <v>15</v>
      </c>
      <c r="L1483" t="s">
        <v>20</v>
      </c>
    </row>
    <row r="1484" spans="1:12" x14ac:dyDescent="0.2">
      <c r="A1484" t="s">
        <v>3067</v>
      </c>
      <c r="B1484" t="s">
        <v>3068</v>
      </c>
      <c r="C1484" t="s">
        <v>3069</v>
      </c>
      <c r="D1484" s="2">
        <v>45253</v>
      </c>
      <c r="E1484" t="s">
        <v>41</v>
      </c>
      <c r="F1484">
        <v>21581</v>
      </c>
      <c r="G1484">
        <v>416</v>
      </c>
      <c r="H1484" s="3">
        <v>482.6</v>
      </c>
      <c r="I1484">
        <v>27</v>
      </c>
      <c r="J1484" t="s">
        <v>15</v>
      </c>
      <c r="L1484" t="s">
        <v>42</v>
      </c>
    </row>
    <row r="1485" spans="1:12" x14ac:dyDescent="0.2">
      <c r="A1485" t="s">
        <v>3070</v>
      </c>
      <c r="B1485" t="s">
        <v>3071</v>
      </c>
      <c r="C1485" s="1">
        <v>45224</v>
      </c>
      <c r="D1485" s="2">
        <v>45244</v>
      </c>
      <c r="E1485" t="s">
        <v>33</v>
      </c>
      <c r="F1485">
        <v>89929</v>
      </c>
      <c r="G1485">
        <v>2547</v>
      </c>
      <c r="H1485">
        <v>3118.23</v>
      </c>
      <c r="I1485">
        <v>148</v>
      </c>
      <c r="J1485" t="b">
        <v>0</v>
      </c>
      <c r="L1485" t="s">
        <v>34</v>
      </c>
    </row>
    <row r="1486" spans="1:12" x14ac:dyDescent="0.2">
      <c r="A1486" t="s">
        <v>3072</v>
      </c>
      <c r="B1486" t="s">
        <v>3073</v>
      </c>
      <c r="C1486" s="1">
        <v>45035</v>
      </c>
      <c r="D1486" s="2">
        <v>45062</v>
      </c>
      <c r="E1486" t="s">
        <v>33</v>
      </c>
      <c r="F1486">
        <v>24051</v>
      </c>
      <c r="G1486">
        <v>992</v>
      </c>
      <c r="H1486">
        <v>811.88</v>
      </c>
      <c r="I1486">
        <v>148</v>
      </c>
      <c r="J1486" t="b">
        <v>0</v>
      </c>
      <c r="L1486" t="s">
        <v>34</v>
      </c>
    </row>
    <row r="1487" spans="1:12" x14ac:dyDescent="0.2">
      <c r="A1487" t="s">
        <v>3074</v>
      </c>
      <c r="B1487" t="s">
        <v>3075</v>
      </c>
      <c r="C1487" s="1">
        <v>45205</v>
      </c>
      <c r="D1487" s="2">
        <v>45228</v>
      </c>
      <c r="E1487" t="s">
        <v>14</v>
      </c>
      <c r="F1487">
        <v>52474</v>
      </c>
      <c r="G1487">
        <v>2540</v>
      </c>
      <c r="H1487">
        <v>1710.28</v>
      </c>
      <c r="I1487">
        <v>434</v>
      </c>
      <c r="J1487" t="s">
        <v>30</v>
      </c>
      <c r="L1487" t="s">
        <v>16</v>
      </c>
    </row>
    <row r="1488" spans="1:12" x14ac:dyDescent="0.2">
      <c r="A1488" t="s">
        <v>3076</v>
      </c>
      <c r="B1488" t="s">
        <v>3077</v>
      </c>
      <c r="C1488" s="1">
        <v>45261</v>
      </c>
      <c r="D1488" s="2">
        <v>45283</v>
      </c>
      <c r="E1488" t="s">
        <v>41</v>
      </c>
      <c r="F1488">
        <v>92748</v>
      </c>
      <c r="G1488">
        <v>3760</v>
      </c>
      <c r="H1488">
        <v>6597.41</v>
      </c>
      <c r="I1488">
        <v>474</v>
      </c>
      <c r="J1488" t="s">
        <v>24</v>
      </c>
      <c r="L1488" t="s">
        <v>42</v>
      </c>
    </row>
    <row r="1489" spans="1:12" x14ac:dyDescent="0.2">
      <c r="A1489" t="s">
        <v>3078</v>
      </c>
      <c r="B1489" t="s">
        <v>3079</v>
      </c>
      <c r="C1489" s="1">
        <v>45041</v>
      </c>
      <c r="D1489" s="2">
        <v>45054</v>
      </c>
      <c r="E1489" t="s">
        <v>23</v>
      </c>
      <c r="F1489">
        <v>70626</v>
      </c>
      <c r="G1489">
        <v>3122</v>
      </c>
      <c r="H1489">
        <v>3914.05</v>
      </c>
      <c r="I1489">
        <v>181</v>
      </c>
      <c r="J1489" t="s">
        <v>24</v>
      </c>
      <c r="L1489" t="s">
        <v>25</v>
      </c>
    </row>
    <row r="1490" spans="1:12" x14ac:dyDescent="0.2">
      <c r="A1490" t="s">
        <v>3080</v>
      </c>
      <c r="B1490" t="s">
        <v>3081</v>
      </c>
      <c r="C1490" s="1">
        <v>45075</v>
      </c>
      <c r="D1490" s="2">
        <v>45081</v>
      </c>
      <c r="E1490" t="s">
        <v>138</v>
      </c>
      <c r="F1490">
        <v>7960</v>
      </c>
      <c r="G1490">
        <v>271</v>
      </c>
      <c r="H1490">
        <v>141.35</v>
      </c>
      <c r="I1490">
        <v>35</v>
      </c>
      <c r="J1490" t="s">
        <v>15</v>
      </c>
      <c r="L1490" t="s">
        <v>139</v>
      </c>
    </row>
    <row r="1491" spans="1:12" x14ac:dyDescent="0.2">
      <c r="A1491" t="s">
        <v>3082</v>
      </c>
      <c r="B1491" t="s">
        <v>3083</v>
      </c>
      <c r="C1491" s="1">
        <v>44973</v>
      </c>
      <c r="D1491" s="2">
        <v>44999</v>
      </c>
      <c r="E1491" t="s">
        <v>14</v>
      </c>
      <c r="F1491">
        <v>36772</v>
      </c>
      <c r="G1491">
        <v>1596</v>
      </c>
      <c r="H1491">
        <v>2720.34</v>
      </c>
      <c r="J1491" t="b">
        <v>1</v>
      </c>
      <c r="L1491" t="s">
        <v>16</v>
      </c>
    </row>
    <row r="1492" spans="1:12" x14ac:dyDescent="0.2">
      <c r="A1492" t="s">
        <v>3084</v>
      </c>
      <c r="B1492" t="s">
        <v>3085</v>
      </c>
      <c r="C1492" s="1">
        <v>45266</v>
      </c>
      <c r="D1492" s="2">
        <v>45279</v>
      </c>
      <c r="E1492" t="s">
        <v>415</v>
      </c>
      <c r="F1492">
        <v>22520</v>
      </c>
      <c r="G1492">
        <v>931</v>
      </c>
      <c r="H1492">
        <v>1835.18</v>
      </c>
      <c r="I1492">
        <v>130</v>
      </c>
      <c r="J1492">
        <v>0</v>
      </c>
      <c r="L1492" t="s">
        <v>34</v>
      </c>
    </row>
    <row r="1493" spans="1:12" x14ac:dyDescent="0.2">
      <c r="A1493" t="s">
        <v>3086</v>
      </c>
      <c r="B1493" t="s">
        <v>3087</v>
      </c>
      <c r="C1493" s="1">
        <v>45241</v>
      </c>
      <c r="D1493" s="2">
        <v>45248</v>
      </c>
      <c r="E1493" t="s">
        <v>23</v>
      </c>
      <c r="F1493">
        <v>50481</v>
      </c>
      <c r="G1493">
        <v>1266</v>
      </c>
      <c r="H1493" s="3">
        <v>1783.65</v>
      </c>
      <c r="I1493">
        <v>217</v>
      </c>
      <c r="J1493" t="b">
        <v>1</v>
      </c>
      <c r="L1493" t="s">
        <v>25</v>
      </c>
    </row>
    <row r="1494" spans="1:12" x14ac:dyDescent="0.2">
      <c r="A1494" t="s">
        <v>3088</v>
      </c>
      <c r="B1494" t="s">
        <v>3089</v>
      </c>
      <c r="C1494" s="1">
        <v>44998</v>
      </c>
      <c r="D1494" s="2">
        <v>45005</v>
      </c>
      <c r="E1494" t="s">
        <v>41</v>
      </c>
      <c r="F1494">
        <v>37408</v>
      </c>
      <c r="G1494">
        <v>1200</v>
      </c>
      <c r="H1494">
        <v>1506.68</v>
      </c>
      <c r="I1494">
        <v>204</v>
      </c>
      <c r="J1494" t="b">
        <v>1</v>
      </c>
      <c r="L1494" t="s">
        <v>42</v>
      </c>
    </row>
    <row r="1495" spans="1:12" x14ac:dyDescent="0.2">
      <c r="A1495" t="s">
        <v>3090</v>
      </c>
      <c r="B1495" t="s">
        <v>3091</v>
      </c>
      <c r="C1495" s="1">
        <v>45216</v>
      </c>
      <c r="D1495" s="2">
        <v>45227</v>
      </c>
      <c r="E1495" t="s">
        <v>14</v>
      </c>
      <c r="F1495">
        <v>95006</v>
      </c>
      <c r="G1495">
        <v>4008</v>
      </c>
      <c r="H1495">
        <v>7285.04</v>
      </c>
      <c r="I1495">
        <v>760</v>
      </c>
      <c r="J1495" t="s">
        <v>30</v>
      </c>
      <c r="L1495" t="s">
        <v>16</v>
      </c>
    </row>
    <row r="1496" spans="1:12" x14ac:dyDescent="0.2">
      <c r="A1496" t="s">
        <v>3092</v>
      </c>
      <c r="B1496" t="s">
        <v>3093</v>
      </c>
      <c r="C1496" s="2">
        <v>45174</v>
      </c>
      <c r="D1496" s="2">
        <v>45067</v>
      </c>
      <c r="E1496" t="s">
        <v>41</v>
      </c>
      <c r="F1496">
        <v>58134</v>
      </c>
      <c r="G1496">
        <v>688</v>
      </c>
      <c r="H1496">
        <v>1327</v>
      </c>
      <c r="I1496">
        <v>113</v>
      </c>
      <c r="J1496" t="s">
        <v>30</v>
      </c>
      <c r="L1496" t="s">
        <v>42</v>
      </c>
    </row>
    <row r="1497" spans="1:12" x14ac:dyDescent="0.2">
      <c r="A1497" t="s">
        <v>3094</v>
      </c>
      <c r="B1497" t="s">
        <v>3095</v>
      </c>
      <c r="C1497" s="1">
        <v>45176</v>
      </c>
      <c r="D1497" s="2">
        <v>45189</v>
      </c>
      <c r="E1497" t="s">
        <v>41</v>
      </c>
      <c r="F1497">
        <v>21491</v>
      </c>
      <c r="G1497">
        <v>909</v>
      </c>
      <c r="H1497">
        <v>1483.31</v>
      </c>
      <c r="J1497">
        <v>1</v>
      </c>
      <c r="L1497" t="s">
        <v>68</v>
      </c>
    </row>
    <row r="1498" spans="1:12" x14ac:dyDescent="0.2">
      <c r="A1498" t="s">
        <v>3096</v>
      </c>
      <c r="B1498" t="s">
        <v>3097</v>
      </c>
      <c r="C1498" t="s">
        <v>3098</v>
      </c>
      <c r="D1498" s="2">
        <v>45055</v>
      </c>
      <c r="E1498" t="s">
        <v>23</v>
      </c>
      <c r="F1498">
        <v>2341</v>
      </c>
      <c r="G1498">
        <v>40</v>
      </c>
      <c r="H1498" s="3">
        <v>46.73</v>
      </c>
      <c r="I1498">
        <v>3</v>
      </c>
      <c r="J1498" t="b">
        <v>1</v>
      </c>
      <c r="L1498" t="s">
        <v>25</v>
      </c>
    </row>
    <row r="1499" spans="1:12" x14ac:dyDescent="0.2">
      <c r="A1499" t="s">
        <v>3099</v>
      </c>
      <c r="B1499" t="s">
        <v>3100</v>
      </c>
      <c r="C1499" s="1">
        <v>45032</v>
      </c>
      <c r="D1499" s="2">
        <v>45027</v>
      </c>
      <c r="E1499" t="s">
        <v>19</v>
      </c>
      <c r="F1499">
        <v>45623</v>
      </c>
      <c r="G1499">
        <v>1395</v>
      </c>
      <c r="H1499">
        <v>1936.72</v>
      </c>
      <c r="I1499">
        <v>82</v>
      </c>
      <c r="J1499" t="s">
        <v>24</v>
      </c>
      <c r="L1499" t="s">
        <v>20</v>
      </c>
    </row>
    <row r="1500" spans="1:12" x14ac:dyDescent="0.2">
      <c r="A1500" t="s">
        <v>3101</v>
      </c>
      <c r="B1500" t="s">
        <v>3102</v>
      </c>
      <c r="C1500" s="1">
        <v>45125</v>
      </c>
      <c r="D1500" s="2">
        <v>45148</v>
      </c>
      <c r="E1500" t="s">
        <v>19</v>
      </c>
      <c r="F1500">
        <v>91327</v>
      </c>
      <c r="G1500">
        <v>3865</v>
      </c>
      <c r="H1500">
        <v>5996.17</v>
      </c>
      <c r="I1500">
        <v>493</v>
      </c>
      <c r="J1500" t="s">
        <v>24</v>
      </c>
      <c r="L1500" t="s">
        <v>20</v>
      </c>
    </row>
    <row r="1501" spans="1:12" x14ac:dyDescent="0.2">
      <c r="A1501" t="s">
        <v>3103</v>
      </c>
      <c r="B1501" t="s">
        <v>3104</v>
      </c>
      <c r="C1501" t="s">
        <v>2733</v>
      </c>
      <c r="D1501" s="2">
        <v>44960</v>
      </c>
      <c r="E1501" t="s">
        <v>23</v>
      </c>
      <c r="F1501">
        <v>1338</v>
      </c>
      <c r="G1501">
        <v>26</v>
      </c>
      <c r="H1501">
        <v>20.58</v>
      </c>
      <c r="J1501" t="b">
        <v>1</v>
      </c>
      <c r="L1501" t="s">
        <v>25</v>
      </c>
    </row>
    <row r="1502" spans="1:12" x14ac:dyDescent="0.2">
      <c r="A1502" t="s">
        <v>3105</v>
      </c>
      <c r="B1502" t="s">
        <v>3106</v>
      </c>
      <c r="C1502" s="1">
        <v>45259</v>
      </c>
      <c r="D1502" s="2">
        <v>45288</v>
      </c>
      <c r="E1502" t="s">
        <v>14</v>
      </c>
      <c r="F1502">
        <v>72431</v>
      </c>
      <c r="G1502">
        <v>1436</v>
      </c>
      <c r="H1502">
        <v>1681.27</v>
      </c>
      <c r="I1502">
        <v>279</v>
      </c>
      <c r="J1502" t="s">
        <v>30</v>
      </c>
      <c r="L1502" t="s">
        <v>16</v>
      </c>
    </row>
    <row r="1503" spans="1:12" x14ac:dyDescent="0.2">
      <c r="A1503" t="s">
        <v>3107</v>
      </c>
      <c r="B1503" t="s">
        <v>3108</v>
      </c>
      <c r="C1503" s="1">
        <v>45193</v>
      </c>
      <c r="D1503" s="2">
        <v>45201</v>
      </c>
      <c r="E1503" t="s">
        <v>138</v>
      </c>
      <c r="F1503">
        <v>13254</v>
      </c>
      <c r="G1503">
        <v>346</v>
      </c>
      <c r="H1503">
        <v>603.67999999999995</v>
      </c>
      <c r="I1503">
        <v>32</v>
      </c>
      <c r="J1503" t="s">
        <v>30</v>
      </c>
      <c r="L1503" t="s">
        <v>139</v>
      </c>
    </row>
    <row r="1504" spans="1:12" x14ac:dyDescent="0.2">
      <c r="A1504" t="s">
        <v>3109</v>
      </c>
      <c r="B1504" t="s">
        <v>3110</v>
      </c>
      <c r="C1504" s="1">
        <v>45061</v>
      </c>
      <c r="D1504" s="2">
        <v>45074</v>
      </c>
      <c r="E1504" t="s">
        <v>14</v>
      </c>
      <c r="F1504">
        <v>52860</v>
      </c>
      <c r="G1504">
        <v>2420</v>
      </c>
      <c r="H1504">
        <v>3586.65</v>
      </c>
      <c r="I1504">
        <v>430</v>
      </c>
      <c r="J1504">
        <v>1</v>
      </c>
      <c r="L1504" t="s">
        <v>16</v>
      </c>
    </row>
    <row r="1505" spans="1:12" x14ac:dyDescent="0.2">
      <c r="A1505" t="s">
        <v>3111</v>
      </c>
      <c r="B1505" t="s">
        <v>3112</v>
      </c>
      <c r="C1505" s="1">
        <v>45119</v>
      </c>
      <c r="D1505" s="2">
        <v>45139</v>
      </c>
      <c r="E1505" t="s">
        <v>41</v>
      </c>
      <c r="F1505">
        <v>12344</v>
      </c>
      <c r="G1505">
        <v>123</v>
      </c>
      <c r="H1505">
        <v>137.37</v>
      </c>
      <c r="I1505">
        <v>13</v>
      </c>
      <c r="J1505">
        <v>1</v>
      </c>
      <c r="L1505" t="s">
        <v>42</v>
      </c>
    </row>
    <row r="1506" spans="1:12" x14ac:dyDescent="0.2">
      <c r="A1506" t="s">
        <v>3113</v>
      </c>
      <c r="B1506" t="s">
        <v>3114</v>
      </c>
      <c r="C1506" s="2">
        <v>45261</v>
      </c>
      <c r="D1506" s="2">
        <v>44967</v>
      </c>
      <c r="E1506" t="s">
        <v>14</v>
      </c>
      <c r="F1506">
        <v>2750</v>
      </c>
      <c r="G1506">
        <v>126</v>
      </c>
      <c r="H1506">
        <v>188.38</v>
      </c>
      <c r="I1506">
        <v>12</v>
      </c>
      <c r="J1506" t="b">
        <v>0</v>
      </c>
      <c r="L1506" t="s">
        <v>16</v>
      </c>
    </row>
    <row r="1507" spans="1:12" x14ac:dyDescent="0.2">
      <c r="A1507" t="s">
        <v>3115</v>
      </c>
      <c r="B1507" t="s">
        <v>3116</v>
      </c>
      <c r="C1507" s="1">
        <v>45055</v>
      </c>
      <c r="D1507" s="2">
        <v>45071</v>
      </c>
      <c r="E1507" t="s">
        <v>33</v>
      </c>
      <c r="F1507">
        <v>55756</v>
      </c>
      <c r="G1507">
        <v>900</v>
      </c>
      <c r="H1507">
        <v>609.6</v>
      </c>
      <c r="I1507">
        <v>171</v>
      </c>
      <c r="J1507" t="s">
        <v>15</v>
      </c>
      <c r="L1507" t="s">
        <v>68</v>
      </c>
    </row>
    <row r="1508" spans="1:12" x14ac:dyDescent="0.2">
      <c r="A1508" t="s">
        <v>3117</v>
      </c>
      <c r="B1508" t="s">
        <v>3118</v>
      </c>
      <c r="C1508" s="1">
        <v>45191</v>
      </c>
      <c r="D1508" s="2">
        <v>45192</v>
      </c>
      <c r="E1508" t="s">
        <v>19</v>
      </c>
      <c r="F1508">
        <v>68957</v>
      </c>
      <c r="G1508">
        <v>3420</v>
      </c>
      <c r="H1508" s="3">
        <v>3769.68</v>
      </c>
      <c r="I1508">
        <v>357</v>
      </c>
      <c r="J1508" t="b">
        <v>1</v>
      </c>
      <c r="L1508" t="s">
        <v>20</v>
      </c>
    </row>
    <row r="1509" spans="1:12" x14ac:dyDescent="0.2">
      <c r="A1509" t="s">
        <v>3119</v>
      </c>
      <c r="B1509" t="s">
        <v>3120</v>
      </c>
      <c r="C1509" s="1">
        <v>45103</v>
      </c>
      <c r="D1509" s="2">
        <v>45125</v>
      </c>
      <c r="E1509" t="s">
        <v>41</v>
      </c>
      <c r="F1509">
        <v>59053</v>
      </c>
      <c r="G1509">
        <v>2845</v>
      </c>
      <c r="H1509">
        <v>4807.18</v>
      </c>
      <c r="I1509">
        <v>308</v>
      </c>
      <c r="J1509" t="s">
        <v>24</v>
      </c>
      <c r="L1509" t="s">
        <v>42</v>
      </c>
    </row>
    <row r="1510" spans="1:12" x14ac:dyDescent="0.2">
      <c r="A1510" t="s">
        <v>3121</v>
      </c>
      <c r="B1510" t="s">
        <v>3122</v>
      </c>
      <c r="C1510" s="2">
        <v>45088</v>
      </c>
      <c r="D1510" s="2">
        <v>45266</v>
      </c>
      <c r="E1510" t="s">
        <v>19</v>
      </c>
      <c r="F1510">
        <v>71855</v>
      </c>
      <c r="G1510">
        <v>2140</v>
      </c>
      <c r="H1510">
        <v>1777.83</v>
      </c>
      <c r="I1510">
        <v>141</v>
      </c>
      <c r="J1510" t="b">
        <v>1</v>
      </c>
      <c r="L1510" t="s">
        <v>20</v>
      </c>
    </row>
    <row r="1511" spans="1:12" x14ac:dyDescent="0.2">
      <c r="A1511" t="s">
        <v>3123</v>
      </c>
      <c r="B1511" t="s">
        <v>3124</v>
      </c>
      <c r="C1511" s="1">
        <v>44998</v>
      </c>
      <c r="D1511" s="2">
        <v>45017</v>
      </c>
      <c r="E1511" t="s">
        <v>138</v>
      </c>
      <c r="F1511">
        <v>16896</v>
      </c>
      <c r="G1511">
        <v>515</v>
      </c>
      <c r="H1511">
        <v>401.16</v>
      </c>
      <c r="I1511">
        <v>77</v>
      </c>
      <c r="J1511">
        <v>1</v>
      </c>
      <c r="L1511" t="s">
        <v>139</v>
      </c>
    </row>
    <row r="1512" spans="1:12" x14ac:dyDescent="0.2">
      <c r="A1512" t="s">
        <v>3125</v>
      </c>
      <c r="B1512" t="s">
        <v>3126</v>
      </c>
      <c r="C1512" s="1">
        <v>45190</v>
      </c>
      <c r="D1512" s="2">
        <v>45198</v>
      </c>
      <c r="E1512" t="s">
        <v>138</v>
      </c>
      <c r="F1512">
        <v>56761</v>
      </c>
      <c r="G1512">
        <v>1660</v>
      </c>
      <c r="H1512" s="3">
        <v>3197.54</v>
      </c>
      <c r="I1512">
        <v>154</v>
      </c>
      <c r="J1512">
        <v>1</v>
      </c>
      <c r="L1512" t="s">
        <v>139</v>
      </c>
    </row>
    <row r="1513" spans="1:12" x14ac:dyDescent="0.2">
      <c r="A1513" t="s">
        <v>3127</v>
      </c>
      <c r="B1513" t="s">
        <v>3128</v>
      </c>
      <c r="C1513" s="1">
        <v>45022</v>
      </c>
      <c r="D1513" s="2">
        <v>45043</v>
      </c>
      <c r="E1513" t="s">
        <v>33</v>
      </c>
      <c r="F1513">
        <v>63552</v>
      </c>
      <c r="G1513">
        <v>2250</v>
      </c>
      <c r="H1513">
        <v>1833.4</v>
      </c>
      <c r="I1513">
        <v>310</v>
      </c>
      <c r="J1513" t="b">
        <v>0</v>
      </c>
      <c r="L1513" t="s">
        <v>34</v>
      </c>
    </row>
    <row r="1514" spans="1:12" x14ac:dyDescent="0.2">
      <c r="A1514" t="s">
        <v>3129</v>
      </c>
      <c r="B1514" t="s">
        <v>3130</v>
      </c>
      <c r="C1514" s="1">
        <v>44987</v>
      </c>
      <c r="D1514" s="2">
        <v>45010</v>
      </c>
      <c r="E1514" t="s">
        <v>23</v>
      </c>
      <c r="F1514">
        <v>78454</v>
      </c>
      <c r="G1514">
        <v>1069</v>
      </c>
      <c r="H1514">
        <v>952.88</v>
      </c>
      <c r="I1514">
        <v>148</v>
      </c>
      <c r="J1514" t="s">
        <v>15</v>
      </c>
      <c r="L1514" t="s">
        <v>25</v>
      </c>
    </row>
    <row r="1515" spans="1:12" x14ac:dyDescent="0.2">
      <c r="A1515" t="s">
        <v>3131</v>
      </c>
      <c r="B1515" t="s">
        <v>3132</v>
      </c>
      <c r="C1515" s="1">
        <v>45096</v>
      </c>
      <c r="D1515" s="2">
        <v>45099</v>
      </c>
      <c r="E1515" t="s">
        <v>415</v>
      </c>
      <c r="F1515">
        <v>91600</v>
      </c>
      <c r="G1515">
        <v>1035</v>
      </c>
      <c r="H1515">
        <v>2022.83</v>
      </c>
      <c r="I1515">
        <v>163</v>
      </c>
      <c r="J1515" t="b">
        <v>0</v>
      </c>
      <c r="L1515" t="s">
        <v>34</v>
      </c>
    </row>
    <row r="1516" spans="1:12" x14ac:dyDescent="0.2">
      <c r="A1516" t="s">
        <v>3133</v>
      </c>
      <c r="B1516" t="s">
        <v>3134</v>
      </c>
      <c r="C1516" s="1">
        <v>45172</v>
      </c>
      <c r="D1516" s="2">
        <v>45187</v>
      </c>
      <c r="E1516" t="s">
        <v>19</v>
      </c>
      <c r="F1516">
        <v>28935</v>
      </c>
      <c r="G1516">
        <v>356</v>
      </c>
      <c r="H1516">
        <v>570.33000000000004</v>
      </c>
      <c r="I1516">
        <v>57</v>
      </c>
      <c r="J1516" t="s">
        <v>24</v>
      </c>
      <c r="L1516" t="s">
        <v>20</v>
      </c>
    </row>
    <row r="1517" spans="1:12" x14ac:dyDescent="0.2">
      <c r="A1517" t="s">
        <v>3135</v>
      </c>
      <c r="B1517" t="s">
        <v>3136</v>
      </c>
      <c r="C1517" s="2">
        <v>45258</v>
      </c>
      <c r="D1517" s="2">
        <v>45281</v>
      </c>
      <c r="E1517" t="s">
        <v>14</v>
      </c>
      <c r="F1517">
        <v>38641</v>
      </c>
      <c r="G1517">
        <v>1073</v>
      </c>
      <c r="H1517">
        <v>1662.5</v>
      </c>
      <c r="I1517">
        <v>136</v>
      </c>
      <c r="J1517" t="s">
        <v>15</v>
      </c>
      <c r="L1517" t="s">
        <v>16</v>
      </c>
    </row>
    <row r="1518" spans="1:12" x14ac:dyDescent="0.2">
      <c r="A1518" t="s">
        <v>3137</v>
      </c>
      <c r="B1518" t="s">
        <v>3138</v>
      </c>
      <c r="C1518" s="1">
        <v>44949</v>
      </c>
      <c r="D1518" s="2">
        <v>44975</v>
      </c>
      <c r="E1518" t="s">
        <v>23</v>
      </c>
      <c r="F1518">
        <v>30711</v>
      </c>
      <c r="G1518">
        <v>645</v>
      </c>
      <c r="H1518">
        <v>1147.71</v>
      </c>
      <c r="I1518">
        <v>64</v>
      </c>
      <c r="J1518">
        <v>0</v>
      </c>
      <c r="L1518" t="s">
        <v>25</v>
      </c>
    </row>
    <row r="1519" spans="1:12" x14ac:dyDescent="0.2">
      <c r="A1519" t="s">
        <v>3139</v>
      </c>
      <c r="B1519" t="s">
        <v>3140</v>
      </c>
      <c r="C1519" s="2">
        <v>44995</v>
      </c>
      <c r="D1519" s="2">
        <v>45203</v>
      </c>
      <c r="E1519" t="s">
        <v>19</v>
      </c>
      <c r="F1519">
        <v>71342</v>
      </c>
      <c r="G1519">
        <v>2488</v>
      </c>
      <c r="H1519">
        <v>1676.25</v>
      </c>
      <c r="I1519">
        <v>436</v>
      </c>
      <c r="J1519" t="b">
        <v>1</v>
      </c>
      <c r="L1519" t="s">
        <v>20</v>
      </c>
    </row>
    <row r="1520" spans="1:12" x14ac:dyDescent="0.2">
      <c r="A1520" t="s">
        <v>3141</v>
      </c>
      <c r="B1520" t="s">
        <v>3142</v>
      </c>
      <c r="C1520" s="1">
        <v>45220</v>
      </c>
      <c r="D1520" s="2">
        <v>45233</v>
      </c>
      <c r="E1520" t="s">
        <v>138</v>
      </c>
      <c r="F1520">
        <v>13182</v>
      </c>
      <c r="G1520">
        <v>655</v>
      </c>
      <c r="H1520">
        <v>1021.1</v>
      </c>
      <c r="I1520">
        <v>63</v>
      </c>
      <c r="J1520" t="b">
        <v>0</v>
      </c>
      <c r="L1520" t="s">
        <v>139</v>
      </c>
    </row>
    <row r="1521" spans="1:12" x14ac:dyDescent="0.2">
      <c r="A1521" t="s">
        <v>3143</v>
      </c>
      <c r="B1521" t="s">
        <v>3144</v>
      </c>
      <c r="C1521" s="1">
        <v>45019</v>
      </c>
      <c r="D1521" s="2">
        <v>45038</v>
      </c>
      <c r="E1521" t="s">
        <v>33</v>
      </c>
      <c r="F1521">
        <v>88833</v>
      </c>
      <c r="G1521">
        <v>2261</v>
      </c>
      <c r="H1521">
        <v>2838.76</v>
      </c>
      <c r="I1521">
        <v>285</v>
      </c>
      <c r="J1521">
        <v>1</v>
      </c>
      <c r="L1521" t="s">
        <v>34</v>
      </c>
    </row>
    <row r="1522" spans="1:12" x14ac:dyDescent="0.2">
      <c r="A1522" t="s">
        <v>3145</v>
      </c>
      <c r="B1522" t="s">
        <v>3146</v>
      </c>
      <c r="C1522" s="1">
        <v>45215</v>
      </c>
      <c r="D1522" s="2">
        <v>45227</v>
      </c>
      <c r="E1522" t="s">
        <v>41</v>
      </c>
      <c r="F1522">
        <v>57276</v>
      </c>
      <c r="G1522">
        <v>1887</v>
      </c>
      <c r="H1522">
        <v>3290.41</v>
      </c>
      <c r="I1522">
        <v>207</v>
      </c>
      <c r="J1522" t="b">
        <v>0</v>
      </c>
      <c r="L1522" t="s">
        <v>42</v>
      </c>
    </row>
    <row r="1523" spans="1:12" x14ac:dyDescent="0.2">
      <c r="A1523" t="s">
        <v>3147</v>
      </c>
      <c r="B1523" t="s">
        <v>3148</v>
      </c>
      <c r="C1523" s="1">
        <v>45265</v>
      </c>
      <c r="D1523" s="2">
        <v>45277</v>
      </c>
      <c r="E1523" t="s">
        <v>23</v>
      </c>
      <c r="F1523">
        <v>20541</v>
      </c>
      <c r="G1523">
        <v>546</v>
      </c>
      <c r="H1523">
        <v>689.17</v>
      </c>
      <c r="I1523">
        <v>97</v>
      </c>
      <c r="J1523">
        <v>0</v>
      </c>
      <c r="L1523" t="s">
        <v>25</v>
      </c>
    </row>
    <row r="1524" spans="1:12" x14ac:dyDescent="0.2">
      <c r="A1524" t="s">
        <v>3149</v>
      </c>
      <c r="B1524" t="s">
        <v>3150</v>
      </c>
      <c r="C1524" s="1">
        <v>45037</v>
      </c>
      <c r="D1524" s="2">
        <v>45050</v>
      </c>
      <c r="E1524" t="s">
        <v>14</v>
      </c>
      <c r="F1524">
        <v>95457</v>
      </c>
      <c r="G1524">
        <v>4189</v>
      </c>
      <c r="H1524">
        <v>5991.79</v>
      </c>
      <c r="I1524">
        <v>480</v>
      </c>
      <c r="J1524" t="b">
        <v>0</v>
      </c>
      <c r="L1524" t="s">
        <v>16</v>
      </c>
    </row>
    <row r="1525" spans="1:12" x14ac:dyDescent="0.2">
      <c r="A1525" t="s">
        <v>3151</v>
      </c>
      <c r="B1525" t="s">
        <v>3152</v>
      </c>
      <c r="C1525" s="1">
        <v>45173</v>
      </c>
      <c r="D1525" s="2">
        <v>45174</v>
      </c>
      <c r="E1525" t="s">
        <v>14</v>
      </c>
      <c r="F1525">
        <v>83310</v>
      </c>
      <c r="G1525">
        <v>3839</v>
      </c>
      <c r="H1525">
        <v>4670.58</v>
      </c>
      <c r="I1525">
        <v>414</v>
      </c>
      <c r="J1525" t="b">
        <v>1</v>
      </c>
      <c r="L1525" t="s">
        <v>16</v>
      </c>
    </row>
    <row r="1526" spans="1:12" x14ac:dyDescent="0.2">
      <c r="A1526" t="s">
        <v>3153</v>
      </c>
      <c r="B1526" t="s">
        <v>3154</v>
      </c>
      <c r="C1526" s="1">
        <v>45234</v>
      </c>
      <c r="D1526" s="2">
        <v>45250</v>
      </c>
      <c r="E1526" t="s">
        <v>19</v>
      </c>
      <c r="F1526">
        <v>45813</v>
      </c>
      <c r="G1526">
        <v>2065</v>
      </c>
      <c r="H1526">
        <v>2513.6</v>
      </c>
      <c r="I1526">
        <v>316</v>
      </c>
      <c r="J1526">
        <v>0</v>
      </c>
      <c r="L1526" t="s">
        <v>20</v>
      </c>
    </row>
    <row r="1527" spans="1:12" x14ac:dyDescent="0.2">
      <c r="A1527" t="s">
        <v>3155</v>
      </c>
      <c r="B1527" t="s">
        <v>3156</v>
      </c>
      <c r="C1527" s="1">
        <v>45020</v>
      </c>
      <c r="D1527" s="2">
        <v>45034</v>
      </c>
      <c r="E1527" t="s">
        <v>23</v>
      </c>
      <c r="F1527">
        <v>38198</v>
      </c>
      <c r="G1527">
        <v>1870</v>
      </c>
      <c r="H1527">
        <v>3089.16</v>
      </c>
      <c r="I1527">
        <v>262</v>
      </c>
      <c r="J1527">
        <v>1</v>
      </c>
      <c r="L1527" t="s">
        <v>25</v>
      </c>
    </row>
    <row r="1528" spans="1:12" x14ac:dyDescent="0.2">
      <c r="A1528" t="s">
        <v>3157</v>
      </c>
      <c r="B1528" t="s">
        <v>3158</v>
      </c>
      <c r="C1528" s="1">
        <v>45012</v>
      </c>
      <c r="D1528" s="2">
        <v>45036</v>
      </c>
      <c r="E1528" t="s">
        <v>41</v>
      </c>
      <c r="F1528">
        <v>9820</v>
      </c>
      <c r="G1528">
        <v>109</v>
      </c>
      <c r="H1528">
        <v>157.27000000000001</v>
      </c>
      <c r="I1528">
        <v>7</v>
      </c>
      <c r="J1528">
        <v>1</v>
      </c>
      <c r="L1528" t="s">
        <v>42</v>
      </c>
    </row>
    <row r="1529" spans="1:12" x14ac:dyDescent="0.2">
      <c r="A1529" t="s">
        <v>3159</v>
      </c>
      <c r="B1529" t="s">
        <v>3160</v>
      </c>
      <c r="C1529" s="2">
        <v>45159</v>
      </c>
      <c r="D1529" s="2">
        <v>45174</v>
      </c>
      <c r="E1529" t="s">
        <v>41</v>
      </c>
      <c r="F1529">
        <v>25070</v>
      </c>
      <c r="G1529">
        <v>1092</v>
      </c>
      <c r="H1529">
        <v>1583.29</v>
      </c>
      <c r="I1529">
        <v>137</v>
      </c>
      <c r="J1529" t="s">
        <v>30</v>
      </c>
      <c r="L1529" t="s">
        <v>42</v>
      </c>
    </row>
    <row r="1530" spans="1:12" x14ac:dyDescent="0.2">
      <c r="A1530" t="s">
        <v>3161</v>
      </c>
      <c r="B1530" t="s">
        <v>3162</v>
      </c>
      <c r="C1530" s="1">
        <v>45120</v>
      </c>
      <c r="D1530" s="2">
        <v>45150</v>
      </c>
      <c r="E1530" t="s">
        <v>14</v>
      </c>
      <c r="F1530">
        <v>70768</v>
      </c>
      <c r="G1530">
        <v>2835</v>
      </c>
      <c r="H1530">
        <v>3332.33</v>
      </c>
      <c r="I1530">
        <v>454</v>
      </c>
      <c r="J1530">
        <v>0</v>
      </c>
      <c r="L1530" t="s">
        <v>16</v>
      </c>
    </row>
    <row r="1531" spans="1:12" x14ac:dyDescent="0.2">
      <c r="A1531" t="s">
        <v>3163</v>
      </c>
      <c r="B1531" t="s">
        <v>3164</v>
      </c>
      <c r="C1531" s="1">
        <v>45030</v>
      </c>
      <c r="D1531" s="2">
        <v>45044</v>
      </c>
      <c r="E1531" t="s">
        <v>19</v>
      </c>
      <c r="F1531">
        <v>12122</v>
      </c>
      <c r="G1531">
        <v>232</v>
      </c>
      <c r="H1531">
        <v>300.83</v>
      </c>
      <c r="I1531">
        <v>46</v>
      </c>
      <c r="J1531" t="s">
        <v>30</v>
      </c>
      <c r="L1531" t="s">
        <v>20</v>
      </c>
    </row>
    <row r="1532" spans="1:12" x14ac:dyDescent="0.2">
      <c r="A1532" t="s">
        <v>3165</v>
      </c>
      <c r="B1532" t="s">
        <v>3166</v>
      </c>
      <c r="C1532" s="1">
        <v>45277</v>
      </c>
      <c r="D1532" s="2">
        <v>45280</v>
      </c>
      <c r="E1532" t="s">
        <v>234</v>
      </c>
      <c r="F1532">
        <v>81559</v>
      </c>
      <c r="G1532">
        <v>3935</v>
      </c>
      <c r="H1532">
        <v>6369.1</v>
      </c>
      <c r="I1532">
        <v>568</v>
      </c>
      <c r="J1532" t="s">
        <v>30</v>
      </c>
      <c r="L1532" t="s">
        <v>16</v>
      </c>
    </row>
    <row r="1533" spans="1:12" x14ac:dyDescent="0.2">
      <c r="A1533" t="s">
        <v>3167</v>
      </c>
      <c r="B1533" t="s">
        <v>3168</v>
      </c>
      <c r="C1533" s="1">
        <v>44976</v>
      </c>
      <c r="D1533" s="2">
        <v>44990</v>
      </c>
      <c r="E1533" t="s">
        <v>19</v>
      </c>
      <c r="F1533">
        <v>74543</v>
      </c>
      <c r="G1533">
        <v>1187</v>
      </c>
      <c r="H1533">
        <v>2064.09</v>
      </c>
      <c r="I1533">
        <v>125</v>
      </c>
      <c r="J1533" t="b">
        <v>1</v>
      </c>
      <c r="L1533" t="s">
        <v>20</v>
      </c>
    </row>
    <row r="1534" spans="1:12" x14ac:dyDescent="0.2">
      <c r="A1534" t="s">
        <v>3169</v>
      </c>
      <c r="B1534" t="s">
        <v>3170</v>
      </c>
      <c r="C1534" s="2">
        <v>45027</v>
      </c>
      <c r="D1534" s="2">
        <v>45243</v>
      </c>
      <c r="E1534" t="s">
        <v>14</v>
      </c>
      <c r="F1534">
        <v>84441</v>
      </c>
      <c r="G1534">
        <v>3139</v>
      </c>
      <c r="H1534">
        <v>4849.26</v>
      </c>
      <c r="I1534">
        <v>263</v>
      </c>
      <c r="J1534" t="b">
        <v>0</v>
      </c>
      <c r="L1534" t="s">
        <v>16</v>
      </c>
    </row>
    <row r="1535" spans="1:12" x14ac:dyDescent="0.2">
      <c r="A1535" t="s">
        <v>3171</v>
      </c>
      <c r="B1535" t="s">
        <v>3172</v>
      </c>
      <c r="C1535" s="1">
        <v>45199</v>
      </c>
      <c r="D1535" s="2">
        <v>45211</v>
      </c>
      <c r="E1535" t="s">
        <v>41</v>
      </c>
      <c r="F1535">
        <v>42786</v>
      </c>
      <c r="G1535">
        <v>812</v>
      </c>
      <c r="H1535">
        <v>1531.52</v>
      </c>
      <c r="I1535">
        <v>146</v>
      </c>
      <c r="J1535">
        <v>1</v>
      </c>
      <c r="K1535">
        <v>42843</v>
      </c>
      <c r="L1535" t="s">
        <v>42</v>
      </c>
    </row>
    <row r="1536" spans="1:12" x14ac:dyDescent="0.2">
      <c r="A1536" t="s">
        <v>3173</v>
      </c>
      <c r="B1536" t="s">
        <v>3174</v>
      </c>
      <c r="C1536" s="1">
        <v>45173</v>
      </c>
      <c r="D1536" s="2">
        <v>45181</v>
      </c>
      <c r="E1536" t="s">
        <v>33</v>
      </c>
      <c r="F1536">
        <v>95934</v>
      </c>
      <c r="G1536">
        <v>2614</v>
      </c>
      <c r="H1536">
        <v>4523.49</v>
      </c>
      <c r="I1536">
        <v>450</v>
      </c>
      <c r="J1536">
        <v>1</v>
      </c>
      <c r="L1536" t="s">
        <v>34</v>
      </c>
    </row>
    <row r="1537" spans="1:12" x14ac:dyDescent="0.2">
      <c r="A1537" t="s">
        <v>3175</v>
      </c>
      <c r="B1537" t="s">
        <v>3176</v>
      </c>
      <c r="C1537" s="1">
        <v>45203</v>
      </c>
      <c r="D1537" s="2">
        <v>45212</v>
      </c>
      <c r="E1537" t="s">
        <v>33</v>
      </c>
      <c r="F1537">
        <v>7737</v>
      </c>
      <c r="G1537">
        <v>299</v>
      </c>
      <c r="H1537">
        <v>401.5</v>
      </c>
      <c r="I1537">
        <v>25</v>
      </c>
      <c r="J1537" t="b">
        <v>0</v>
      </c>
      <c r="L1537" t="s">
        <v>34</v>
      </c>
    </row>
    <row r="1538" spans="1:12" x14ac:dyDescent="0.2">
      <c r="A1538" t="s">
        <v>3177</v>
      </c>
      <c r="B1538" t="s">
        <v>3178</v>
      </c>
      <c r="C1538" s="1">
        <v>45274</v>
      </c>
      <c r="D1538" s="2">
        <v>45286</v>
      </c>
      <c r="E1538" t="s">
        <v>33</v>
      </c>
      <c r="F1538">
        <v>37062</v>
      </c>
      <c r="G1538">
        <v>1205</v>
      </c>
      <c r="H1538">
        <v>1816.07</v>
      </c>
      <c r="I1538">
        <v>96</v>
      </c>
      <c r="J1538">
        <v>1</v>
      </c>
      <c r="L1538" t="s">
        <v>34</v>
      </c>
    </row>
    <row r="1539" spans="1:12" x14ac:dyDescent="0.2">
      <c r="A1539" t="s">
        <v>3179</v>
      </c>
      <c r="B1539" t="s">
        <v>3180</v>
      </c>
      <c r="C1539" s="1">
        <v>45116</v>
      </c>
      <c r="D1539" s="2">
        <v>45146</v>
      </c>
      <c r="E1539" t="s">
        <v>23</v>
      </c>
      <c r="F1539">
        <v>55237</v>
      </c>
      <c r="G1539">
        <v>1496</v>
      </c>
      <c r="H1539" s="3">
        <v>2826.64</v>
      </c>
      <c r="I1539">
        <v>235</v>
      </c>
      <c r="J1539" t="b">
        <v>0</v>
      </c>
      <c r="L1539" t="s">
        <v>25</v>
      </c>
    </row>
    <row r="1540" spans="1:12" x14ac:dyDescent="0.2">
      <c r="A1540" t="s">
        <v>3181</v>
      </c>
      <c r="B1540" t="s">
        <v>3182</v>
      </c>
      <c r="C1540" s="1">
        <v>45146</v>
      </c>
      <c r="D1540" s="2">
        <v>45155</v>
      </c>
      <c r="E1540" t="s">
        <v>14</v>
      </c>
      <c r="F1540">
        <v>52571</v>
      </c>
      <c r="G1540">
        <v>1211</v>
      </c>
      <c r="H1540">
        <v>1730.22</v>
      </c>
      <c r="I1540">
        <v>117</v>
      </c>
      <c r="J1540">
        <v>0</v>
      </c>
      <c r="L1540" t="s">
        <v>16</v>
      </c>
    </row>
    <row r="1541" spans="1:12" x14ac:dyDescent="0.2">
      <c r="A1541" t="s">
        <v>3183</v>
      </c>
      <c r="B1541" t="s">
        <v>3184</v>
      </c>
      <c r="C1541" s="1">
        <v>45122</v>
      </c>
      <c r="D1541" s="2">
        <v>45138</v>
      </c>
      <c r="E1541" t="s">
        <v>33</v>
      </c>
      <c r="F1541">
        <v>26510</v>
      </c>
      <c r="G1541">
        <v>1155</v>
      </c>
      <c r="H1541">
        <v>2006.48</v>
      </c>
      <c r="I1541">
        <v>110</v>
      </c>
      <c r="J1541" t="b">
        <v>1</v>
      </c>
      <c r="L1541" t="s">
        <v>34</v>
      </c>
    </row>
    <row r="1542" spans="1:12" x14ac:dyDescent="0.2">
      <c r="A1542" t="s">
        <v>3185</v>
      </c>
      <c r="B1542" t="s">
        <v>3186</v>
      </c>
      <c r="C1542" s="1">
        <v>45283</v>
      </c>
      <c r="D1542" s="2">
        <v>45289</v>
      </c>
      <c r="E1542" t="s">
        <v>19</v>
      </c>
      <c r="F1542">
        <v>20426</v>
      </c>
      <c r="G1542">
        <v>321</v>
      </c>
      <c r="H1542">
        <v>492.16</v>
      </c>
      <c r="I1542">
        <v>23</v>
      </c>
      <c r="J1542" t="b">
        <v>1</v>
      </c>
      <c r="L1542" t="s">
        <v>20</v>
      </c>
    </row>
    <row r="1543" spans="1:12" x14ac:dyDescent="0.2">
      <c r="A1543" t="s">
        <v>3187</v>
      </c>
      <c r="B1543" t="s">
        <v>3188</v>
      </c>
      <c r="C1543" s="1">
        <v>45057</v>
      </c>
      <c r="D1543" s="2">
        <v>45063</v>
      </c>
      <c r="E1543" t="s">
        <v>33</v>
      </c>
      <c r="F1543">
        <v>38265</v>
      </c>
      <c r="G1543">
        <v>1040</v>
      </c>
      <c r="H1543" s="3">
        <v>1381.02</v>
      </c>
      <c r="I1543">
        <v>93</v>
      </c>
      <c r="J1543" t="s">
        <v>24</v>
      </c>
      <c r="L1543" t="s">
        <v>34</v>
      </c>
    </row>
    <row r="1544" spans="1:12" x14ac:dyDescent="0.2">
      <c r="A1544" t="s">
        <v>3189</v>
      </c>
      <c r="B1544" t="s">
        <v>3190</v>
      </c>
      <c r="C1544" s="1">
        <v>44969</v>
      </c>
      <c r="D1544" s="2">
        <v>44977</v>
      </c>
      <c r="E1544" t="s">
        <v>14</v>
      </c>
      <c r="F1544">
        <v>18850</v>
      </c>
      <c r="G1544">
        <v>869</v>
      </c>
      <c r="H1544" s="3">
        <v>749.74</v>
      </c>
      <c r="I1544">
        <v>99</v>
      </c>
      <c r="J1544" t="b">
        <v>1</v>
      </c>
      <c r="L1544" t="s">
        <v>16</v>
      </c>
    </row>
    <row r="1545" spans="1:12" x14ac:dyDescent="0.2">
      <c r="A1545" t="s">
        <v>3191</v>
      </c>
      <c r="B1545" t="s">
        <v>3192</v>
      </c>
      <c r="C1545" s="2">
        <v>45136</v>
      </c>
      <c r="D1545" s="2">
        <v>45164</v>
      </c>
      <c r="E1545" t="s">
        <v>23</v>
      </c>
      <c r="F1545">
        <v>67150</v>
      </c>
      <c r="G1545">
        <v>2943</v>
      </c>
      <c r="H1545">
        <v>3352.07</v>
      </c>
      <c r="I1545">
        <v>470</v>
      </c>
      <c r="J1545" t="b">
        <v>0</v>
      </c>
      <c r="L1545" t="s">
        <v>25</v>
      </c>
    </row>
    <row r="1546" spans="1:12" x14ac:dyDescent="0.2">
      <c r="A1546" t="s">
        <v>3193</v>
      </c>
      <c r="B1546" t="s">
        <v>3194</v>
      </c>
      <c r="C1546" s="1">
        <v>44930</v>
      </c>
      <c r="D1546" s="2">
        <v>44949</v>
      </c>
      <c r="E1546" t="s">
        <v>33</v>
      </c>
      <c r="F1546">
        <v>88312</v>
      </c>
      <c r="G1546">
        <v>2299</v>
      </c>
      <c r="H1546">
        <v>4486.76</v>
      </c>
      <c r="J1546" t="s">
        <v>24</v>
      </c>
      <c r="L1546" t="s">
        <v>34</v>
      </c>
    </row>
    <row r="1547" spans="1:12" x14ac:dyDescent="0.2">
      <c r="A1547" t="s">
        <v>3195</v>
      </c>
      <c r="B1547" t="s">
        <v>3196</v>
      </c>
      <c r="C1547" s="1">
        <v>44930</v>
      </c>
      <c r="D1547" s="2">
        <v>44951</v>
      </c>
      <c r="E1547" t="s">
        <v>19</v>
      </c>
      <c r="F1547">
        <v>90613</v>
      </c>
      <c r="G1547">
        <v>3672</v>
      </c>
      <c r="H1547">
        <v>5458.97</v>
      </c>
      <c r="I1547">
        <v>364</v>
      </c>
      <c r="J1547" t="b">
        <v>0</v>
      </c>
      <c r="L1547" t="s">
        <v>20</v>
      </c>
    </row>
    <row r="1548" spans="1:12" x14ac:dyDescent="0.2">
      <c r="A1548" t="s">
        <v>3197</v>
      </c>
      <c r="B1548" t="s">
        <v>3198</v>
      </c>
      <c r="C1548" s="1">
        <v>45088</v>
      </c>
      <c r="D1548" s="2">
        <v>45105</v>
      </c>
      <c r="E1548" t="s">
        <v>138</v>
      </c>
      <c r="F1548">
        <v>75910</v>
      </c>
      <c r="G1548">
        <v>3258</v>
      </c>
      <c r="H1548">
        <v>4387.2</v>
      </c>
      <c r="I1548">
        <v>302</v>
      </c>
      <c r="J1548" t="s">
        <v>15</v>
      </c>
      <c r="L1548" t="s">
        <v>139</v>
      </c>
    </row>
    <row r="1549" spans="1:12" x14ac:dyDescent="0.2">
      <c r="A1549" t="s">
        <v>3199</v>
      </c>
      <c r="B1549" t="s">
        <v>3200</v>
      </c>
      <c r="C1549" s="1">
        <v>45145</v>
      </c>
      <c r="D1549" s="2">
        <v>45165</v>
      </c>
      <c r="E1549" t="s">
        <v>19</v>
      </c>
      <c r="F1549">
        <v>53375</v>
      </c>
      <c r="G1549">
        <v>2431</v>
      </c>
      <c r="H1549">
        <v>4617.53</v>
      </c>
      <c r="I1549">
        <v>295</v>
      </c>
      <c r="J1549" t="s">
        <v>24</v>
      </c>
      <c r="L1549" t="s">
        <v>20</v>
      </c>
    </row>
    <row r="1550" spans="1:12" x14ac:dyDescent="0.2">
      <c r="A1550" t="s">
        <v>3201</v>
      </c>
      <c r="B1550" t="s">
        <v>3202</v>
      </c>
      <c r="C1550" s="1">
        <v>45201</v>
      </c>
      <c r="D1550" s="2">
        <v>45218</v>
      </c>
      <c r="E1550" t="s">
        <v>14</v>
      </c>
      <c r="F1550">
        <v>36435</v>
      </c>
      <c r="G1550">
        <v>1157</v>
      </c>
      <c r="H1550">
        <v>1596.39</v>
      </c>
      <c r="I1550">
        <v>89</v>
      </c>
      <c r="J1550">
        <v>1</v>
      </c>
      <c r="L1550" t="s">
        <v>16</v>
      </c>
    </row>
    <row r="1551" spans="1:12" x14ac:dyDescent="0.2">
      <c r="A1551" t="s">
        <v>3203</v>
      </c>
      <c r="B1551" t="s">
        <v>3204</v>
      </c>
      <c r="C1551" s="1">
        <v>45068</v>
      </c>
      <c r="D1551" s="2">
        <v>45094</v>
      </c>
      <c r="E1551" t="s">
        <v>266</v>
      </c>
      <c r="F1551">
        <v>97443</v>
      </c>
      <c r="G1551">
        <v>1771</v>
      </c>
      <c r="H1551">
        <v>2283.04</v>
      </c>
      <c r="I1551">
        <v>217</v>
      </c>
      <c r="J1551">
        <v>1</v>
      </c>
      <c r="L1551" t="s">
        <v>20</v>
      </c>
    </row>
    <row r="1552" spans="1:12" x14ac:dyDescent="0.2">
      <c r="A1552" t="s">
        <v>3205</v>
      </c>
      <c r="B1552" t="s">
        <v>3206</v>
      </c>
      <c r="C1552" s="1">
        <v>45031</v>
      </c>
      <c r="D1552" s="2">
        <v>45038</v>
      </c>
      <c r="E1552" t="s">
        <v>41</v>
      </c>
      <c r="F1552">
        <v>58132</v>
      </c>
      <c r="G1552">
        <v>1174</v>
      </c>
      <c r="H1552">
        <v>1924.15</v>
      </c>
      <c r="I1552">
        <v>182</v>
      </c>
      <c r="J1552" t="s">
        <v>15</v>
      </c>
      <c r="L1552" t="s">
        <v>68</v>
      </c>
    </row>
    <row r="1553" spans="1:12" x14ac:dyDescent="0.2">
      <c r="A1553" t="s">
        <v>3207</v>
      </c>
      <c r="B1553" t="s">
        <v>3208</v>
      </c>
      <c r="C1553" s="1">
        <v>45174</v>
      </c>
      <c r="D1553" s="2">
        <v>45202</v>
      </c>
      <c r="E1553" t="s">
        <v>19</v>
      </c>
      <c r="F1553">
        <v>79945</v>
      </c>
      <c r="G1553">
        <v>1745</v>
      </c>
      <c r="H1553">
        <v>2737.9</v>
      </c>
      <c r="I1553">
        <v>95</v>
      </c>
      <c r="J1553" t="s">
        <v>15</v>
      </c>
      <c r="L1553" t="s">
        <v>20</v>
      </c>
    </row>
    <row r="1554" spans="1:12" x14ac:dyDescent="0.2">
      <c r="A1554" t="s">
        <v>3209</v>
      </c>
      <c r="B1554" t="s">
        <v>3210</v>
      </c>
      <c r="C1554" s="1">
        <v>45174</v>
      </c>
      <c r="D1554" s="2">
        <v>45176</v>
      </c>
      <c r="E1554" t="s">
        <v>19</v>
      </c>
      <c r="F1554">
        <v>83050</v>
      </c>
      <c r="G1554">
        <v>2803</v>
      </c>
      <c r="H1554" s="3">
        <v>2213.64</v>
      </c>
      <c r="I1554">
        <v>144</v>
      </c>
      <c r="J1554" t="b">
        <v>1</v>
      </c>
      <c r="L1554" t="s">
        <v>20</v>
      </c>
    </row>
    <row r="1555" spans="1:12" x14ac:dyDescent="0.2">
      <c r="A1555" t="s">
        <v>3211</v>
      </c>
      <c r="B1555" t="s">
        <v>3212</v>
      </c>
      <c r="C1555" s="1">
        <v>45103</v>
      </c>
      <c r="D1555" s="2">
        <v>45116</v>
      </c>
      <c r="E1555" t="s">
        <v>23</v>
      </c>
      <c r="F1555">
        <v>96402</v>
      </c>
      <c r="G1555">
        <v>1090</v>
      </c>
      <c r="H1555">
        <v>1315.59</v>
      </c>
      <c r="I1555">
        <v>66</v>
      </c>
      <c r="J1555" t="s">
        <v>15</v>
      </c>
      <c r="L1555" t="s">
        <v>25</v>
      </c>
    </row>
    <row r="1556" spans="1:12" x14ac:dyDescent="0.2">
      <c r="A1556" t="s">
        <v>3213</v>
      </c>
      <c r="B1556" t="s">
        <v>3214</v>
      </c>
      <c r="C1556" s="1">
        <v>44997</v>
      </c>
      <c r="D1556" s="2">
        <v>45009</v>
      </c>
      <c r="E1556" t="s">
        <v>14</v>
      </c>
      <c r="F1556">
        <v>3983</v>
      </c>
      <c r="G1556">
        <v>141</v>
      </c>
      <c r="H1556">
        <v>170.44</v>
      </c>
      <c r="I1556">
        <v>18</v>
      </c>
      <c r="J1556" t="b">
        <v>0</v>
      </c>
      <c r="L1556" t="s">
        <v>16</v>
      </c>
    </row>
    <row r="1557" spans="1:12" x14ac:dyDescent="0.2">
      <c r="A1557" t="s">
        <v>3215</v>
      </c>
      <c r="B1557" t="s">
        <v>3216</v>
      </c>
      <c r="C1557" s="1">
        <v>45044</v>
      </c>
      <c r="D1557" s="2">
        <v>45046</v>
      </c>
      <c r="E1557" t="s">
        <v>41</v>
      </c>
      <c r="F1557">
        <v>98241</v>
      </c>
      <c r="G1557">
        <v>2414</v>
      </c>
      <c r="H1557">
        <v>2576.5500000000002</v>
      </c>
      <c r="I1557">
        <v>430</v>
      </c>
      <c r="J1557" t="s">
        <v>30</v>
      </c>
      <c r="L1557" t="s">
        <v>42</v>
      </c>
    </row>
    <row r="1558" spans="1:12" x14ac:dyDescent="0.2">
      <c r="A1558" t="s">
        <v>3217</v>
      </c>
      <c r="B1558" t="s">
        <v>3218</v>
      </c>
      <c r="C1558" s="1">
        <v>45009</v>
      </c>
      <c r="D1558" s="2">
        <v>45034</v>
      </c>
      <c r="E1558" t="s">
        <v>14</v>
      </c>
      <c r="F1558">
        <v>21662</v>
      </c>
      <c r="G1558">
        <v>472</v>
      </c>
      <c r="H1558" s="3">
        <v>602.24</v>
      </c>
      <c r="I1558">
        <v>23</v>
      </c>
      <c r="J1558" t="b">
        <v>0</v>
      </c>
      <c r="L1558" t="s">
        <v>16</v>
      </c>
    </row>
    <row r="1559" spans="1:12" x14ac:dyDescent="0.2">
      <c r="A1559" t="s">
        <v>3219</v>
      </c>
      <c r="B1559" t="s">
        <v>3220</v>
      </c>
      <c r="C1559" s="1">
        <v>45100</v>
      </c>
      <c r="D1559" s="2">
        <v>45108</v>
      </c>
      <c r="E1559" t="s">
        <v>23</v>
      </c>
      <c r="F1559">
        <v>24510</v>
      </c>
      <c r="G1559">
        <v>1107</v>
      </c>
      <c r="H1559">
        <v>1239.46</v>
      </c>
      <c r="J1559" t="s">
        <v>24</v>
      </c>
      <c r="L1559" t="s">
        <v>25</v>
      </c>
    </row>
    <row r="1560" spans="1:12" x14ac:dyDescent="0.2">
      <c r="A1560" t="s">
        <v>3221</v>
      </c>
      <c r="B1560" t="s">
        <v>3222</v>
      </c>
      <c r="C1560" s="1">
        <v>45277</v>
      </c>
      <c r="D1560" s="2">
        <v>45280</v>
      </c>
      <c r="E1560" t="s">
        <v>41</v>
      </c>
      <c r="F1560">
        <v>79187</v>
      </c>
      <c r="G1560">
        <v>2248</v>
      </c>
      <c r="H1560">
        <v>1796.19</v>
      </c>
      <c r="I1560">
        <v>148</v>
      </c>
      <c r="J1560" t="s">
        <v>15</v>
      </c>
      <c r="L1560" t="s">
        <v>42</v>
      </c>
    </row>
    <row r="1561" spans="1:12" x14ac:dyDescent="0.2">
      <c r="A1561" t="s">
        <v>3223</v>
      </c>
      <c r="B1561" t="s">
        <v>3224</v>
      </c>
      <c r="C1561" t="s">
        <v>3225</v>
      </c>
      <c r="D1561" s="2">
        <v>45275</v>
      </c>
      <c r="E1561" t="s">
        <v>41</v>
      </c>
      <c r="F1561">
        <v>41998</v>
      </c>
      <c r="G1561">
        <v>579</v>
      </c>
      <c r="H1561">
        <v>-647.64</v>
      </c>
      <c r="I1561">
        <v>102</v>
      </c>
      <c r="J1561">
        <v>1</v>
      </c>
      <c r="L1561" t="s">
        <v>42</v>
      </c>
    </row>
    <row r="1562" spans="1:12" x14ac:dyDescent="0.2">
      <c r="A1562" t="s">
        <v>3226</v>
      </c>
      <c r="B1562" t="s">
        <v>3227</v>
      </c>
      <c r="C1562" s="1">
        <v>44973</v>
      </c>
      <c r="D1562" s="2">
        <v>45003</v>
      </c>
      <c r="E1562" t="s">
        <v>33</v>
      </c>
      <c r="F1562">
        <v>57846</v>
      </c>
      <c r="G1562">
        <v>2491</v>
      </c>
      <c r="H1562">
        <v>1515.56</v>
      </c>
      <c r="I1562">
        <v>304</v>
      </c>
      <c r="J1562" t="b">
        <v>0</v>
      </c>
      <c r="L1562" t="s">
        <v>34</v>
      </c>
    </row>
    <row r="1563" spans="1:12" x14ac:dyDescent="0.2">
      <c r="A1563" t="s">
        <v>3228</v>
      </c>
      <c r="B1563" t="s">
        <v>3229</v>
      </c>
      <c r="C1563" s="2">
        <v>45234</v>
      </c>
      <c r="D1563" s="2">
        <v>45033</v>
      </c>
      <c r="E1563" t="s">
        <v>14</v>
      </c>
      <c r="F1563">
        <v>95071</v>
      </c>
      <c r="G1563">
        <v>1131</v>
      </c>
      <c r="H1563">
        <v>1542.32</v>
      </c>
      <c r="I1563">
        <v>168</v>
      </c>
      <c r="J1563">
        <v>1</v>
      </c>
      <c r="L1563" t="s">
        <v>16</v>
      </c>
    </row>
    <row r="1564" spans="1:12" x14ac:dyDescent="0.2">
      <c r="A1564" t="s">
        <v>3230</v>
      </c>
      <c r="B1564" t="s">
        <v>3231</v>
      </c>
      <c r="C1564" s="1">
        <v>45040</v>
      </c>
      <c r="D1564" s="2">
        <v>45043</v>
      </c>
      <c r="E1564" t="s">
        <v>19</v>
      </c>
      <c r="F1564">
        <v>7640</v>
      </c>
      <c r="G1564">
        <v>298</v>
      </c>
      <c r="H1564" s="3">
        <v>530.58000000000004</v>
      </c>
      <c r="I1564">
        <v>37</v>
      </c>
      <c r="J1564" t="b">
        <v>0</v>
      </c>
      <c r="L1564" t="s">
        <v>20</v>
      </c>
    </row>
    <row r="1565" spans="1:12" x14ac:dyDescent="0.2">
      <c r="A1565" t="s">
        <v>3232</v>
      </c>
      <c r="B1565" t="s">
        <v>3233</v>
      </c>
      <c r="C1565" s="1">
        <v>45123</v>
      </c>
      <c r="D1565" s="2">
        <v>45143</v>
      </c>
      <c r="E1565" t="s">
        <v>41</v>
      </c>
      <c r="F1565">
        <v>45547</v>
      </c>
      <c r="G1565">
        <v>1865</v>
      </c>
      <c r="H1565">
        <v>2961.49</v>
      </c>
      <c r="I1565">
        <v>226</v>
      </c>
      <c r="J1565">
        <v>1</v>
      </c>
      <c r="L1565" t="s">
        <v>42</v>
      </c>
    </row>
    <row r="1566" spans="1:12" x14ac:dyDescent="0.2">
      <c r="A1566" t="s">
        <v>3234</v>
      </c>
      <c r="B1566" t="s">
        <v>3235</v>
      </c>
      <c r="C1566" s="1">
        <v>45262</v>
      </c>
      <c r="D1566" s="2">
        <v>45285</v>
      </c>
      <c r="E1566" t="s">
        <v>19</v>
      </c>
      <c r="F1566">
        <v>55620</v>
      </c>
      <c r="G1566">
        <v>1340</v>
      </c>
      <c r="H1566">
        <v>1394.39</v>
      </c>
      <c r="I1566">
        <v>234</v>
      </c>
      <c r="J1566">
        <v>0</v>
      </c>
      <c r="L1566" t="s">
        <v>20</v>
      </c>
    </row>
    <row r="1567" spans="1:12" x14ac:dyDescent="0.2">
      <c r="A1567" t="s">
        <v>3236</v>
      </c>
      <c r="B1567" t="s">
        <v>3237</v>
      </c>
      <c r="C1567" s="2">
        <v>44968</v>
      </c>
      <c r="D1567" s="2">
        <v>45250</v>
      </c>
      <c r="E1567" t="s">
        <v>14</v>
      </c>
      <c r="F1567">
        <v>16317</v>
      </c>
      <c r="G1567">
        <v>701</v>
      </c>
      <c r="H1567">
        <v>442.06</v>
      </c>
      <c r="I1567">
        <v>114</v>
      </c>
      <c r="J1567" t="b">
        <v>0</v>
      </c>
      <c r="L1567" t="s">
        <v>16</v>
      </c>
    </row>
    <row r="1568" spans="1:12" x14ac:dyDescent="0.2">
      <c r="A1568" t="s">
        <v>3238</v>
      </c>
      <c r="B1568" t="s">
        <v>3239</v>
      </c>
      <c r="C1568" s="1">
        <v>45016</v>
      </c>
      <c r="D1568" s="2">
        <v>45018</v>
      </c>
      <c r="E1568" t="s">
        <v>415</v>
      </c>
      <c r="F1568">
        <v>8564</v>
      </c>
      <c r="G1568">
        <v>262</v>
      </c>
      <c r="H1568">
        <v>210.44</v>
      </c>
      <c r="I1568">
        <v>32</v>
      </c>
      <c r="J1568" t="s">
        <v>24</v>
      </c>
      <c r="L1568" t="s">
        <v>34</v>
      </c>
    </row>
    <row r="1569" spans="1:12" x14ac:dyDescent="0.2">
      <c r="A1569" t="s">
        <v>3240</v>
      </c>
      <c r="B1569" t="s">
        <v>3241</v>
      </c>
      <c r="C1569" s="1">
        <v>45030</v>
      </c>
      <c r="D1569" s="2">
        <v>45039</v>
      </c>
      <c r="E1569" t="s">
        <v>19</v>
      </c>
      <c r="F1569">
        <v>28345</v>
      </c>
      <c r="G1569">
        <v>808</v>
      </c>
      <c r="H1569">
        <v>1065.1300000000001</v>
      </c>
      <c r="I1569">
        <v>53</v>
      </c>
      <c r="J1569">
        <v>1</v>
      </c>
      <c r="L1569" t="s">
        <v>20</v>
      </c>
    </row>
    <row r="1570" spans="1:12" x14ac:dyDescent="0.2">
      <c r="A1570" t="s">
        <v>3242</v>
      </c>
      <c r="B1570" t="s">
        <v>3243</v>
      </c>
      <c r="C1570" s="2">
        <v>45192</v>
      </c>
      <c r="D1570" s="2">
        <v>45195</v>
      </c>
      <c r="E1570" t="s">
        <v>41</v>
      </c>
      <c r="F1570">
        <v>95223</v>
      </c>
      <c r="G1570">
        <v>1125</v>
      </c>
      <c r="H1570">
        <v>911.91</v>
      </c>
      <c r="I1570">
        <v>75</v>
      </c>
      <c r="J1570" t="s">
        <v>30</v>
      </c>
      <c r="L1570" t="s">
        <v>42</v>
      </c>
    </row>
    <row r="1571" spans="1:12" x14ac:dyDescent="0.2">
      <c r="A1571" t="s">
        <v>3244</v>
      </c>
      <c r="B1571" t="s">
        <v>3245</v>
      </c>
      <c r="C1571" s="1">
        <v>45233</v>
      </c>
      <c r="D1571" s="2">
        <v>45250</v>
      </c>
      <c r="E1571" t="s">
        <v>33</v>
      </c>
      <c r="F1571">
        <v>80273</v>
      </c>
      <c r="G1571">
        <v>1733</v>
      </c>
      <c r="H1571">
        <v>2280.56</v>
      </c>
      <c r="I1571">
        <v>295</v>
      </c>
      <c r="J1571" t="s">
        <v>24</v>
      </c>
      <c r="L1571" t="s">
        <v>34</v>
      </c>
    </row>
    <row r="1572" spans="1:12" x14ac:dyDescent="0.2">
      <c r="A1572" t="s">
        <v>3246</v>
      </c>
      <c r="B1572" t="s">
        <v>3247</v>
      </c>
      <c r="C1572" s="2">
        <v>45241</v>
      </c>
      <c r="D1572" s="2">
        <v>45271</v>
      </c>
      <c r="E1572" t="s">
        <v>23</v>
      </c>
      <c r="F1572">
        <v>75859</v>
      </c>
      <c r="G1572">
        <v>3583</v>
      </c>
      <c r="H1572">
        <v>3036.23</v>
      </c>
      <c r="J1572" t="b">
        <v>1</v>
      </c>
      <c r="L1572" t="s">
        <v>25</v>
      </c>
    </row>
    <row r="1573" spans="1:12" x14ac:dyDescent="0.2">
      <c r="A1573" t="s">
        <v>3248</v>
      </c>
      <c r="B1573" t="s">
        <v>3249</v>
      </c>
      <c r="C1573" s="1">
        <v>45049</v>
      </c>
      <c r="D1573" s="2">
        <v>45058</v>
      </c>
      <c r="E1573" t="s">
        <v>14</v>
      </c>
      <c r="F1573">
        <v>81765</v>
      </c>
      <c r="G1573">
        <v>2099</v>
      </c>
      <c r="H1573">
        <v>3722.34</v>
      </c>
      <c r="J1573" t="b">
        <v>0</v>
      </c>
      <c r="L1573" t="s">
        <v>16</v>
      </c>
    </row>
    <row r="1574" spans="1:12" x14ac:dyDescent="0.2">
      <c r="A1574" t="s">
        <v>3250</v>
      </c>
      <c r="B1574" t="s">
        <v>3251</v>
      </c>
      <c r="C1574" s="1">
        <v>44971</v>
      </c>
      <c r="D1574" s="2">
        <v>44986</v>
      </c>
      <c r="E1574" t="s">
        <v>415</v>
      </c>
      <c r="F1574">
        <v>75038</v>
      </c>
      <c r="G1574">
        <v>2391</v>
      </c>
      <c r="H1574">
        <v>2620.31</v>
      </c>
      <c r="I1574">
        <v>363</v>
      </c>
      <c r="J1574" t="s">
        <v>30</v>
      </c>
      <c r="K1574">
        <v>75079</v>
      </c>
      <c r="L1574" t="s">
        <v>34</v>
      </c>
    </row>
    <row r="1575" spans="1:12" x14ac:dyDescent="0.2">
      <c r="A1575" t="s">
        <v>3252</v>
      </c>
      <c r="B1575" t="s">
        <v>3253</v>
      </c>
      <c r="C1575" s="1">
        <v>45107</v>
      </c>
      <c r="D1575" s="2">
        <v>45112</v>
      </c>
      <c r="E1575" t="s">
        <v>191</v>
      </c>
      <c r="F1575">
        <v>53393</v>
      </c>
      <c r="G1575">
        <v>1670</v>
      </c>
      <c r="H1575" s="3">
        <v>1450.1</v>
      </c>
      <c r="J1575" t="b">
        <v>1</v>
      </c>
      <c r="L1575" t="s">
        <v>42</v>
      </c>
    </row>
    <row r="1576" spans="1:12" x14ac:dyDescent="0.2">
      <c r="A1576" t="s">
        <v>3254</v>
      </c>
      <c r="B1576" t="s">
        <v>3255</v>
      </c>
      <c r="C1576" s="1">
        <v>45029</v>
      </c>
      <c r="D1576" s="2">
        <v>45039</v>
      </c>
      <c r="E1576" t="s">
        <v>41</v>
      </c>
      <c r="F1576">
        <v>67081</v>
      </c>
      <c r="G1576">
        <v>2255</v>
      </c>
      <c r="H1576">
        <v>3875.19</v>
      </c>
      <c r="I1576">
        <v>325</v>
      </c>
      <c r="J1576" t="b">
        <v>0</v>
      </c>
      <c r="L1576" t="s">
        <v>42</v>
      </c>
    </row>
    <row r="1577" spans="1:12" x14ac:dyDescent="0.2">
      <c r="A1577" t="s">
        <v>3256</v>
      </c>
      <c r="B1577" t="s">
        <v>3257</v>
      </c>
      <c r="C1577" s="1">
        <v>44962</v>
      </c>
      <c r="D1577" s="2">
        <v>44967</v>
      </c>
      <c r="E1577" t="s">
        <v>41</v>
      </c>
      <c r="F1577">
        <v>30430</v>
      </c>
      <c r="G1577">
        <v>378</v>
      </c>
      <c r="H1577">
        <v>383.39</v>
      </c>
      <c r="I1577">
        <v>62</v>
      </c>
      <c r="J1577" t="s">
        <v>30</v>
      </c>
      <c r="L1577" t="s">
        <v>42</v>
      </c>
    </row>
    <row r="1578" spans="1:12" x14ac:dyDescent="0.2">
      <c r="A1578" t="s">
        <v>3258</v>
      </c>
      <c r="B1578" t="s">
        <v>3259</v>
      </c>
      <c r="C1578" s="1">
        <v>45213</v>
      </c>
      <c r="D1578" s="2">
        <v>45241</v>
      </c>
      <c r="E1578" t="s">
        <v>33</v>
      </c>
      <c r="F1578">
        <v>76532</v>
      </c>
      <c r="G1578">
        <v>1874</v>
      </c>
      <c r="H1578">
        <v>1250.3900000000001</v>
      </c>
      <c r="I1578">
        <v>308</v>
      </c>
      <c r="J1578" t="s">
        <v>30</v>
      </c>
      <c r="L1578" t="s">
        <v>34</v>
      </c>
    </row>
    <row r="1579" spans="1:12" x14ac:dyDescent="0.2">
      <c r="A1579" t="s">
        <v>3260</v>
      </c>
      <c r="B1579" t="s">
        <v>3261</v>
      </c>
      <c r="C1579" s="1">
        <v>45068</v>
      </c>
      <c r="D1579" s="2">
        <v>45082</v>
      </c>
      <c r="E1579" t="s">
        <v>14</v>
      </c>
      <c r="F1579">
        <v>28788</v>
      </c>
      <c r="G1579">
        <v>1120</v>
      </c>
      <c r="H1579">
        <v>1518.29</v>
      </c>
      <c r="I1579">
        <v>115</v>
      </c>
      <c r="J1579" t="s">
        <v>24</v>
      </c>
      <c r="L1579" t="s">
        <v>16</v>
      </c>
    </row>
    <row r="1580" spans="1:12" x14ac:dyDescent="0.2">
      <c r="A1580" t="s">
        <v>3262</v>
      </c>
      <c r="B1580" t="s">
        <v>3263</v>
      </c>
      <c r="C1580" s="1">
        <v>45159</v>
      </c>
      <c r="D1580" s="2">
        <v>45168</v>
      </c>
      <c r="E1580" t="s">
        <v>19</v>
      </c>
      <c r="F1580">
        <v>96505</v>
      </c>
      <c r="G1580">
        <v>1739</v>
      </c>
      <c r="H1580">
        <v>2386.5100000000002</v>
      </c>
      <c r="I1580">
        <v>158</v>
      </c>
      <c r="J1580">
        <v>0</v>
      </c>
      <c r="L1580" t="s">
        <v>20</v>
      </c>
    </row>
    <row r="1581" spans="1:12" x14ac:dyDescent="0.2">
      <c r="A1581" t="s">
        <v>3264</v>
      </c>
      <c r="B1581" t="s">
        <v>3265</v>
      </c>
      <c r="C1581" s="1">
        <v>45060</v>
      </c>
      <c r="D1581" s="2">
        <v>45088</v>
      </c>
      <c r="E1581" t="s">
        <v>14</v>
      </c>
      <c r="F1581">
        <v>49543</v>
      </c>
      <c r="G1581">
        <v>898</v>
      </c>
      <c r="H1581">
        <v>1411.7</v>
      </c>
      <c r="J1581" t="s">
        <v>30</v>
      </c>
      <c r="L1581" t="s">
        <v>16</v>
      </c>
    </row>
    <row r="1582" spans="1:12" x14ac:dyDescent="0.2">
      <c r="A1582" t="s">
        <v>3266</v>
      </c>
      <c r="B1582" t="s">
        <v>3267</v>
      </c>
      <c r="C1582" t="s">
        <v>3268</v>
      </c>
      <c r="D1582" s="2">
        <v>45243</v>
      </c>
      <c r="E1582" t="s">
        <v>19</v>
      </c>
      <c r="F1582">
        <v>14919</v>
      </c>
      <c r="G1582">
        <v>155</v>
      </c>
      <c r="H1582">
        <v>133.35</v>
      </c>
      <c r="I1582">
        <v>16</v>
      </c>
      <c r="J1582">
        <v>0</v>
      </c>
      <c r="L1582" t="s">
        <v>20</v>
      </c>
    </row>
    <row r="1583" spans="1:12" x14ac:dyDescent="0.2">
      <c r="A1583" t="s">
        <v>3269</v>
      </c>
      <c r="B1583" t="s">
        <v>3270</v>
      </c>
      <c r="C1583" s="1">
        <v>45077</v>
      </c>
      <c r="D1583" s="2">
        <v>45083</v>
      </c>
      <c r="E1583" t="s">
        <v>41</v>
      </c>
      <c r="F1583">
        <v>70346</v>
      </c>
      <c r="G1583">
        <v>1934</v>
      </c>
      <c r="H1583" s="3">
        <v>2254.38</v>
      </c>
      <c r="I1583">
        <v>358</v>
      </c>
      <c r="J1583" t="s">
        <v>15</v>
      </c>
      <c r="L1583" t="s">
        <v>42</v>
      </c>
    </row>
    <row r="1584" spans="1:12" x14ac:dyDescent="0.2">
      <c r="A1584" t="s">
        <v>3271</v>
      </c>
      <c r="B1584" t="s">
        <v>3272</v>
      </c>
      <c r="C1584" s="1">
        <v>45189</v>
      </c>
      <c r="D1584" s="2">
        <v>45197</v>
      </c>
      <c r="E1584" t="s">
        <v>33</v>
      </c>
      <c r="F1584">
        <v>97122</v>
      </c>
      <c r="G1584">
        <v>4400</v>
      </c>
      <c r="H1584">
        <v>4063.63</v>
      </c>
      <c r="I1584">
        <v>265</v>
      </c>
      <c r="J1584" t="s">
        <v>24</v>
      </c>
      <c r="L1584" t="s">
        <v>34</v>
      </c>
    </row>
    <row r="1585" spans="1:12" x14ac:dyDescent="0.2">
      <c r="A1585" t="s">
        <v>3273</v>
      </c>
      <c r="B1585" t="s">
        <v>3274</v>
      </c>
      <c r="C1585" s="1">
        <v>45221</v>
      </c>
      <c r="D1585" s="2">
        <v>45235</v>
      </c>
      <c r="E1585" t="s">
        <v>23</v>
      </c>
      <c r="F1585">
        <v>40974</v>
      </c>
      <c r="G1585">
        <v>494</v>
      </c>
      <c r="H1585">
        <v>306.99</v>
      </c>
      <c r="I1585">
        <v>29</v>
      </c>
      <c r="J1585">
        <v>1</v>
      </c>
      <c r="L1585" t="s">
        <v>25</v>
      </c>
    </row>
    <row r="1586" spans="1:12" x14ac:dyDescent="0.2">
      <c r="A1586" t="s">
        <v>3275</v>
      </c>
      <c r="B1586" t="s">
        <v>3276</v>
      </c>
      <c r="C1586" s="1">
        <v>45120</v>
      </c>
      <c r="D1586" s="2">
        <v>45130</v>
      </c>
      <c r="E1586" t="s">
        <v>58</v>
      </c>
      <c r="F1586">
        <v>17371</v>
      </c>
      <c r="G1586">
        <v>306</v>
      </c>
      <c r="H1586">
        <v>555.37</v>
      </c>
      <c r="I1586">
        <v>57</v>
      </c>
      <c r="J1586" t="s">
        <v>24</v>
      </c>
      <c r="L1586" t="s">
        <v>59</v>
      </c>
    </row>
    <row r="1587" spans="1:12" x14ac:dyDescent="0.2">
      <c r="A1587" t="s">
        <v>3277</v>
      </c>
      <c r="B1587" t="s">
        <v>3278</v>
      </c>
      <c r="C1587" s="1">
        <v>45100</v>
      </c>
      <c r="D1587" s="2">
        <v>45106</v>
      </c>
      <c r="E1587" t="s">
        <v>14</v>
      </c>
      <c r="F1587">
        <v>46084</v>
      </c>
      <c r="G1587">
        <v>1032</v>
      </c>
      <c r="H1587">
        <v>1644.29</v>
      </c>
      <c r="I1587">
        <v>151</v>
      </c>
      <c r="J1587" t="b">
        <v>1</v>
      </c>
      <c r="L1587" t="s">
        <v>16</v>
      </c>
    </row>
    <row r="1588" spans="1:12" x14ac:dyDescent="0.2">
      <c r="A1588" t="s">
        <v>3279</v>
      </c>
      <c r="B1588" t="s">
        <v>3280</v>
      </c>
      <c r="C1588" s="1">
        <v>45162</v>
      </c>
      <c r="D1588" s="2">
        <v>45179</v>
      </c>
      <c r="E1588" t="s">
        <v>41</v>
      </c>
      <c r="F1588">
        <v>30629</v>
      </c>
      <c r="G1588">
        <v>1202</v>
      </c>
      <c r="H1588">
        <v>1144.54</v>
      </c>
      <c r="J1588">
        <v>1</v>
      </c>
      <c r="L1588" t="s">
        <v>42</v>
      </c>
    </row>
    <row r="1589" spans="1:12" x14ac:dyDescent="0.2">
      <c r="A1589" t="s">
        <v>3281</v>
      </c>
      <c r="B1589" t="s">
        <v>3282</v>
      </c>
      <c r="C1589" s="2">
        <v>45173</v>
      </c>
      <c r="D1589" s="2">
        <v>45028</v>
      </c>
      <c r="E1589" t="s">
        <v>23</v>
      </c>
      <c r="F1589">
        <v>52184</v>
      </c>
      <c r="G1589">
        <v>1859</v>
      </c>
      <c r="H1589">
        <v>2600.85</v>
      </c>
      <c r="I1589">
        <v>303</v>
      </c>
      <c r="J1589">
        <v>1</v>
      </c>
      <c r="L1589" t="s">
        <v>25</v>
      </c>
    </row>
    <row r="1590" spans="1:12" x14ac:dyDescent="0.2">
      <c r="A1590" t="s">
        <v>3283</v>
      </c>
      <c r="B1590" t="s">
        <v>3284</v>
      </c>
      <c r="C1590" s="1">
        <v>45251</v>
      </c>
      <c r="D1590" s="2">
        <v>45259</v>
      </c>
      <c r="E1590" t="s">
        <v>14</v>
      </c>
      <c r="F1590">
        <v>62916</v>
      </c>
      <c r="G1590">
        <v>1675</v>
      </c>
      <c r="H1590">
        <v>1343.18</v>
      </c>
      <c r="I1590">
        <v>252</v>
      </c>
      <c r="J1590">
        <v>0</v>
      </c>
      <c r="L1590" t="s">
        <v>16</v>
      </c>
    </row>
    <row r="1591" spans="1:12" x14ac:dyDescent="0.2">
      <c r="A1591" t="s">
        <v>3285</v>
      </c>
      <c r="B1591" t="s">
        <v>3286</v>
      </c>
      <c r="C1591" s="1">
        <v>45286</v>
      </c>
      <c r="D1591" s="2">
        <v>45314</v>
      </c>
      <c r="E1591" t="s">
        <v>14</v>
      </c>
      <c r="F1591">
        <v>74972</v>
      </c>
      <c r="G1591">
        <v>3026</v>
      </c>
      <c r="H1591" s="3">
        <v>5553.78</v>
      </c>
      <c r="I1591">
        <v>392</v>
      </c>
      <c r="J1591">
        <v>1</v>
      </c>
      <c r="L1591" t="s">
        <v>16</v>
      </c>
    </row>
    <row r="1592" spans="1:12" x14ac:dyDescent="0.2">
      <c r="A1592" t="s">
        <v>3287</v>
      </c>
      <c r="B1592" t="s">
        <v>3288</v>
      </c>
      <c r="C1592" s="2">
        <v>45107</v>
      </c>
      <c r="D1592" s="2">
        <v>45110</v>
      </c>
      <c r="E1592" t="s">
        <v>14</v>
      </c>
      <c r="F1592">
        <v>63187</v>
      </c>
      <c r="G1592">
        <v>2172</v>
      </c>
      <c r="H1592">
        <v>1460.36</v>
      </c>
      <c r="I1592">
        <v>140</v>
      </c>
      <c r="J1592" t="s">
        <v>30</v>
      </c>
      <c r="L1592" t="s">
        <v>16</v>
      </c>
    </row>
    <row r="1593" spans="1:12" x14ac:dyDescent="0.2">
      <c r="A1593" t="s">
        <v>3289</v>
      </c>
      <c r="B1593" t="s">
        <v>3290</v>
      </c>
      <c r="C1593" s="2">
        <v>45061</v>
      </c>
      <c r="D1593" s="2">
        <v>45081</v>
      </c>
      <c r="E1593" t="s">
        <v>138</v>
      </c>
      <c r="F1593">
        <v>13984</v>
      </c>
      <c r="G1593">
        <v>641</v>
      </c>
      <c r="H1593">
        <v>324.19</v>
      </c>
      <c r="I1593">
        <v>110</v>
      </c>
      <c r="J1593">
        <v>0</v>
      </c>
      <c r="L1593" t="s">
        <v>139</v>
      </c>
    </row>
    <row r="1594" spans="1:12" x14ac:dyDescent="0.2">
      <c r="A1594" t="s">
        <v>3291</v>
      </c>
      <c r="B1594" t="s">
        <v>3292</v>
      </c>
      <c r="C1594" s="1">
        <v>45271</v>
      </c>
      <c r="D1594" s="2">
        <v>45273</v>
      </c>
      <c r="E1594" t="s">
        <v>33</v>
      </c>
      <c r="F1594">
        <v>34039</v>
      </c>
      <c r="G1594">
        <v>1454</v>
      </c>
      <c r="H1594">
        <v>1821.88</v>
      </c>
      <c r="I1594">
        <v>261</v>
      </c>
      <c r="J1594">
        <v>1</v>
      </c>
      <c r="L1594" t="s">
        <v>34</v>
      </c>
    </row>
    <row r="1595" spans="1:12" x14ac:dyDescent="0.2">
      <c r="A1595" t="s">
        <v>3293</v>
      </c>
      <c r="B1595" t="s">
        <v>3294</v>
      </c>
      <c r="C1595" s="1">
        <v>45210</v>
      </c>
      <c r="D1595" s="2">
        <v>45229</v>
      </c>
      <c r="E1595" t="s">
        <v>19</v>
      </c>
      <c r="F1595">
        <v>86431</v>
      </c>
      <c r="G1595">
        <v>1738</v>
      </c>
      <c r="H1595">
        <v>2389.21</v>
      </c>
      <c r="J1595">
        <v>0</v>
      </c>
      <c r="L1595" t="s">
        <v>20</v>
      </c>
    </row>
    <row r="1596" spans="1:12" x14ac:dyDescent="0.2">
      <c r="A1596" t="s">
        <v>3295</v>
      </c>
      <c r="B1596" t="s">
        <v>3296</v>
      </c>
      <c r="C1596" s="1">
        <v>45108</v>
      </c>
      <c r="D1596" s="2">
        <v>45129</v>
      </c>
      <c r="E1596" t="s">
        <v>19</v>
      </c>
      <c r="F1596">
        <v>84691</v>
      </c>
      <c r="G1596">
        <v>1766</v>
      </c>
      <c r="H1596">
        <v>2416.6799999999998</v>
      </c>
      <c r="I1596">
        <v>313</v>
      </c>
      <c r="J1596" t="s">
        <v>15</v>
      </c>
      <c r="L1596" t="s">
        <v>20</v>
      </c>
    </row>
    <row r="1597" spans="1:12" x14ac:dyDescent="0.2">
      <c r="A1597" t="s">
        <v>3297</v>
      </c>
      <c r="B1597" t="s">
        <v>3298</v>
      </c>
      <c r="C1597" s="1">
        <v>45020</v>
      </c>
      <c r="D1597" s="2">
        <v>45046</v>
      </c>
      <c r="E1597" t="s">
        <v>41</v>
      </c>
      <c r="F1597">
        <v>59606</v>
      </c>
      <c r="G1597">
        <v>894</v>
      </c>
      <c r="H1597">
        <v>520.1</v>
      </c>
      <c r="I1597">
        <v>162</v>
      </c>
      <c r="J1597">
        <v>0</v>
      </c>
      <c r="L1597" t="s">
        <v>42</v>
      </c>
    </row>
    <row r="1598" spans="1:12" x14ac:dyDescent="0.2">
      <c r="A1598" t="s">
        <v>3299</v>
      </c>
      <c r="B1598" t="s">
        <v>3300</v>
      </c>
      <c r="C1598" s="1">
        <v>45024</v>
      </c>
      <c r="D1598" s="2">
        <v>45050</v>
      </c>
      <c r="E1598" t="s">
        <v>41</v>
      </c>
      <c r="F1598">
        <v>11616</v>
      </c>
      <c r="G1598">
        <v>272</v>
      </c>
      <c r="H1598">
        <v>264.13</v>
      </c>
      <c r="I1598">
        <v>36</v>
      </c>
      <c r="J1598" t="b">
        <v>0</v>
      </c>
      <c r="L1598" t="s">
        <v>42</v>
      </c>
    </row>
    <row r="1599" spans="1:12" x14ac:dyDescent="0.2">
      <c r="A1599" t="s">
        <v>3301</v>
      </c>
      <c r="B1599" t="s">
        <v>3302</v>
      </c>
      <c r="C1599" s="1">
        <v>45050</v>
      </c>
      <c r="D1599" s="2">
        <v>45078</v>
      </c>
      <c r="E1599" t="s">
        <v>41</v>
      </c>
      <c r="F1599">
        <v>51072</v>
      </c>
      <c r="G1599">
        <v>2552</v>
      </c>
      <c r="H1599">
        <v>3186.93</v>
      </c>
      <c r="I1599">
        <v>378</v>
      </c>
      <c r="J1599" t="s">
        <v>30</v>
      </c>
      <c r="L1599" t="s">
        <v>42</v>
      </c>
    </row>
    <row r="1600" spans="1:12" x14ac:dyDescent="0.2">
      <c r="A1600" t="s">
        <v>3303</v>
      </c>
      <c r="B1600" t="s">
        <v>3304</v>
      </c>
      <c r="C1600" s="1">
        <v>45030</v>
      </c>
      <c r="D1600" s="2">
        <v>45058</v>
      </c>
      <c r="E1600" t="s">
        <v>19</v>
      </c>
      <c r="F1600">
        <v>25574</v>
      </c>
      <c r="G1600">
        <v>670</v>
      </c>
      <c r="H1600" s="3">
        <v>552.66</v>
      </c>
      <c r="J1600" t="b">
        <v>1</v>
      </c>
      <c r="L1600" t="s">
        <v>20</v>
      </c>
    </row>
    <row r="1601" spans="1:12" x14ac:dyDescent="0.2">
      <c r="A1601" t="s">
        <v>3305</v>
      </c>
      <c r="B1601" t="s">
        <v>3306</v>
      </c>
      <c r="C1601" s="1">
        <v>45109</v>
      </c>
      <c r="D1601" s="2">
        <v>45133</v>
      </c>
      <c r="E1601" t="s">
        <v>23</v>
      </c>
      <c r="F1601">
        <v>4430</v>
      </c>
      <c r="G1601">
        <v>83</v>
      </c>
      <c r="H1601">
        <v>150.13999999999999</v>
      </c>
      <c r="I1601">
        <v>7</v>
      </c>
      <c r="J1601" t="b">
        <v>0</v>
      </c>
      <c r="L1601" t="s">
        <v>25</v>
      </c>
    </row>
    <row r="1602" spans="1:12" x14ac:dyDescent="0.2">
      <c r="A1602" t="s">
        <v>3307</v>
      </c>
      <c r="B1602" t="s">
        <v>3308</v>
      </c>
      <c r="C1602" s="1">
        <v>44967</v>
      </c>
      <c r="D1602" s="2">
        <v>44973</v>
      </c>
      <c r="E1602" t="s">
        <v>14</v>
      </c>
      <c r="F1602">
        <v>13676</v>
      </c>
      <c r="G1602">
        <v>553</v>
      </c>
      <c r="H1602" s="3">
        <v>348.76</v>
      </c>
      <c r="I1602">
        <v>87</v>
      </c>
      <c r="J1602" t="b">
        <v>0</v>
      </c>
      <c r="L1602" t="s">
        <v>16</v>
      </c>
    </row>
    <row r="1603" spans="1:12" x14ac:dyDescent="0.2">
      <c r="A1603" t="s">
        <v>3309</v>
      </c>
      <c r="B1603" t="s">
        <v>3310</v>
      </c>
      <c r="C1603" s="2">
        <v>45241</v>
      </c>
      <c r="D1603" s="2">
        <v>45251</v>
      </c>
      <c r="E1603" t="s">
        <v>41</v>
      </c>
      <c r="F1603">
        <v>11816</v>
      </c>
      <c r="G1603">
        <v>374</v>
      </c>
      <c r="H1603">
        <v>460.42</v>
      </c>
      <c r="I1603">
        <v>67</v>
      </c>
      <c r="J1603" t="b">
        <v>0</v>
      </c>
      <c r="L1603" t="s">
        <v>42</v>
      </c>
    </row>
    <row r="1604" spans="1:12" x14ac:dyDescent="0.2">
      <c r="A1604" t="s">
        <v>3311</v>
      </c>
      <c r="B1604" t="s">
        <v>3312</v>
      </c>
      <c r="C1604" s="1">
        <v>45204</v>
      </c>
      <c r="D1604" s="2">
        <v>45222</v>
      </c>
      <c r="E1604" t="s">
        <v>23</v>
      </c>
      <c r="F1604">
        <v>33733</v>
      </c>
      <c r="G1604">
        <v>539</v>
      </c>
      <c r="H1604">
        <v>828.51</v>
      </c>
      <c r="I1604">
        <v>79</v>
      </c>
      <c r="J1604">
        <v>1</v>
      </c>
      <c r="L1604" t="s">
        <v>25</v>
      </c>
    </row>
    <row r="1605" spans="1:12" x14ac:dyDescent="0.2">
      <c r="A1605" t="s">
        <v>3313</v>
      </c>
      <c r="B1605" t="s">
        <v>3314</v>
      </c>
      <c r="C1605" s="1">
        <v>45117</v>
      </c>
      <c r="D1605" s="2">
        <v>45133</v>
      </c>
      <c r="E1605" t="s">
        <v>23</v>
      </c>
      <c r="F1605">
        <v>86680</v>
      </c>
      <c r="G1605">
        <v>2186</v>
      </c>
      <c r="H1605" s="3">
        <v>1951.28</v>
      </c>
      <c r="I1605">
        <v>277</v>
      </c>
      <c r="J1605">
        <v>0</v>
      </c>
      <c r="L1605" t="s">
        <v>25</v>
      </c>
    </row>
    <row r="1606" spans="1:12" x14ac:dyDescent="0.2">
      <c r="A1606" t="s">
        <v>3315</v>
      </c>
      <c r="B1606" t="s">
        <v>3316</v>
      </c>
      <c r="C1606" s="1">
        <v>45221</v>
      </c>
      <c r="D1606" s="2">
        <v>45235</v>
      </c>
      <c r="E1606" t="s">
        <v>41</v>
      </c>
      <c r="F1606">
        <v>3050</v>
      </c>
      <c r="G1606">
        <v>81</v>
      </c>
      <c r="H1606">
        <v>116.35</v>
      </c>
      <c r="J1606">
        <v>0</v>
      </c>
      <c r="L1606" t="s">
        <v>42</v>
      </c>
    </row>
    <row r="1607" spans="1:12" x14ac:dyDescent="0.2">
      <c r="A1607" t="s">
        <v>3317</v>
      </c>
      <c r="B1607" t="s">
        <v>3318</v>
      </c>
      <c r="C1607" s="1">
        <v>45188</v>
      </c>
      <c r="D1607" s="2">
        <v>45217</v>
      </c>
      <c r="E1607" t="s">
        <v>14</v>
      </c>
      <c r="F1607">
        <v>34933</v>
      </c>
      <c r="G1607">
        <v>1402</v>
      </c>
      <c r="H1607">
        <v>2445.1999999999998</v>
      </c>
      <c r="I1607">
        <v>81</v>
      </c>
      <c r="J1607" t="s">
        <v>24</v>
      </c>
      <c r="L1607" t="s">
        <v>16</v>
      </c>
    </row>
    <row r="1608" spans="1:12" x14ac:dyDescent="0.2">
      <c r="A1608" t="s">
        <v>3319</v>
      </c>
      <c r="B1608" t="s">
        <v>3320</v>
      </c>
      <c r="C1608" s="1">
        <v>45222</v>
      </c>
      <c r="D1608" s="2">
        <v>45228</v>
      </c>
      <c r="E1608" t="s">
        <v>23</v>
      </c>
      <c r="F1608">
        <v>25951</v>
      </c>
      <c r="G1608">
        <v>280</v>
      </c>
      <c r="H1608">
        <v>219.94</v>
      </c>
      <c r="I1608">
        <v>32</v>
      </c>
      <c r="J1608">
        <v>1</v>
      </c>
      <c r="L1608" t="s">
        <v>25</v>
      </c>
    </row>
    <row r="1609" spans="1:12" x14ac:dyDescent="0.2">
      <c r="A1609" t="s">
        <v>3321</v>
      </c>
      <c r="B1609" t="s">
        <v>3322</v>
      </c>
      <c r="C1609" s="1">
        <v>45143</v>
      </c>
      <c r="D1609" s="2">
        <v>45151</v>
      </c>
      <c r="E1609" t="s">
        <v>14</v>
      </c>
      <c r="F1609">
        <v>33413</v>
      </c>
      <c r="G1609">
        <v>693</v>
      </c>
      <c r="H1609">
        <v>1299.95</v>
      </c>
      <c r="I1609">
        <v>39</v>
      </c>
      <c r="J1609" t="s">
        <v>30</v>
      </c>
      <c r="L1609" t="s">
        <v>16</v>
      </c>
    </row>
    <row r="1610" spans="1:12" x14ac:dyDescent="0.2">
      <c r="A1610" t="s">
        <v>3323</v>
      </c>
      <c r="B1610" t="s">
        <v>3324</v>
      </c>
      <c r="C1610" s="1">
        <v>45184</v>
      </c>
      <c r="D1610" s="2">
        <v>45185</v>
      </c>
      <c r="E1610" t="s">
        <v>33</v>
      </c>
      <c r="F1610">
        <v>35801</v>
      </c>
      <c r="G1610">
        <v>1099</v>
      </c>
      <c r="H1610">
        <v>1462.04</v>
      </c>
      <c r="I1610">
        <v>148</v>
      </c>
      <c r="J1610">
        <v>1</v>
      </c>
      <c r="L1610" t="s">
        <v>34</v>
      </c>
    </row>
    <row r="1611" spans="1:12" x14ac:dyDescent="0.2">
      <c r="A1611" t="s">
        <v>3325</v>
      </c>
      <c r="B1611" t="s">
        <v>3326</v>
      </c>
      <c r="C1611" s="1">
        <v>45016</v>
      </c>
      <c r="D1611" s="2">
        <v>45042</v>
      </c>
      <c r="E1611" t="s">
        <v>41</v>
      </c>
      <c r="F1611">
        <v>56619</v>
      </c>
      <c r="G1611">
        <v>1175</v>
      </c>
      <c r="H1611">
        <v>1114.9000000000001</v>
      </c>
      <c r="I1611">
        <v>126</v>
      </c>
      <c r="J1611">
        <v>1</v>
      </c>
      <c r="L1611" t="s">
        <v>42</v>
      </c>
    </row>
    <row r="1612" spans="1:12" x14ac:dyDescent="0.2">
      <c r="A1612" t="s">
        <v>3327</v>
      </c>
      <c r="B1612" t="s">
        <v>3328</v>
      </c>
      <c r="C1612" s="1">
        <v>45192</v>
      </c>
      <c r="D1612" s="2">
        <v>45199</v>
      </c>
      <c r="E1612" t="s">
        <v>19</v>
      </c>
      <c r="F1612">
        <v>33913</v>
      </c>
      <c r="G1612">
        <v>1191</v>
      </c>
      <c r="H1612" s="3">
        <v>1365.23</v>
      </c>
      <c r="I1612">
        <v>194</v>
      </c>
      <c r="J1612">
        <v>1</v>
      </c>
      <c r="L1612" t="s">
        <v>20</v>
      </c>
    </row>
    <row r="1613" spans="1:12" x14ac:dyDescent="0.2">
      <c r="A1613" t="s">
        <v>3329</v>
      </c>
      <c r="B1613" t="s">
        <v>3330</v>
      </c>
      <c r="C1613" s="1">
        <v>44933</v>
      </c>
      <c r="D1613" s="2">
        <v>44953</v>
      </c>
      <c r="E1613" t="s">
        <v>23</v>
      </c>
      <c r="F1613">
        <v>41600</v>
      </c>
      <c r="G1613">
        <v>1217</v>
      </c>
      <c r="H1613">
        <v>1178.4100000000001</v>
      </c>
      <c r="I1613">
        <v>116</v>
      </c>
      <c r="J1613" t="s">
        <v>30</v>
      </c>
      <c r="L1613" t="s">
        <v>25</v>
      </c>
    </row>
    <row r="1614" spans="1:12" x14ac:dyDescent="0.2">
      <c r="A1614" t="s">
        <v>3331</v>
      </c>
      <c r="B1614" t="s">
        <v>3332</v>
      </c>
      <c r="C1614" s="1">
        <v>44978</v>
      </c>
      <c r="D1614" s="2">
        <v>45001</v>
      </c>
      <c r="E1614" t="s">
        <v>19</v>
      </c>
      <c r="F1614">
        <v>58775</v>
      </c>
      <c r="G1614">
        <v>1438</v>
      </c>
      <c r="H1614" s="3">
        <v>2283.06</v>
      </c>
      <c r="I1614">
        <v>199</v>
      </c>
      <c r="J1614" t="s">
        <v>24</v>
      </c>
      <c r="L1614" t="s">
        <v>20</v>
      </c>
    </row>
    <row r="1615" spans="1:12" x14ac:dyDescent="0.2">
      <c r="A1615" t="s">
        <v>3333</v>
      </c>
      <c r="B1615" t="s">
        <v>3334</v>
      </c>
      <c r="C1615" s="1">
        <v>45059</v>
      </c>
      <c r="D1615" s="2">
        <v>45062</v>
      </c>
      <c r="E1615" t="s">
        <v>33</v>
      </c>
      <c r="F1615">
        <v>91816</v>
      </c>
      <c r="G1615">
        <v>4404</v>
      </c>
      <c r="H1615">
        <v>7462.36</v>
      </c>
      <c r="I1615">
        <v>575</v>
      </c>
      <c r="J1615" t="s">
        <v>30</v>
      </c>
      <c r="L1615" t="s">
        <v>34</v>
      </c>
    </row>
    <row r="1616" spans="1:12" x14ac:dyDescent="0.2">
      <c r="A1616" t="s">
        <v>3335</v>
      </c>
      <c r="B1616" t="s">
        <v>3336</v>
      </c>
      <c r="C1616" s="1">
        <v>45064</v>
      </c>
      <c r="D1616" s="2">
        <v>45067</v>
      </c>
      <c r="E1616" t="s">
        <v>14</v>
      </c>
      <c r="F1616">
        <v>91093</v>
      </c>
      <c r="G1616">
        <v>3214</v>
      </c>
      <c r="H1616">
        <v>5622.59</v>
      </c>
      <c r="I1616">
        <v>162</v>
      </c>
      <c r="J1616" t="s">
        <v>15</v>
      </c>
      <c r="L1616" t="s">
        <v>68</v>
      </c>
    </row>
    <row r="1617" spans="1:12" x14ac:dyDescent="0.2">
      <c r="A1617" t="s">
        <v>3337</v>
      </c>
      <c r="B1617" t="s">
        <v>3338</v>
      </c>
      <c r="C1617" s="1">
        <v>45114</v>
      </c>
      <c r="D1617" s="2">
        <v>45139</v>
      </c>
      <c r="E1617" t="s">
        <v>138</v>
      </c>
      <c r="F1617">
        <v>36400</v>
      </c>
      <c r="G1617">
        <v>553</v>
      </c>
      <c r="H1617">
        <v>1094.19</v>
      </c>
      <c r="I1617">
        <v>33</v>
      </c>
      <c r="J1617" t="s">
        <v>24</v>
      </c>
      <c r="L1617" t="s">
        <v>139</v>
      </c>
    </row>
    <row r="1618" spans="1:12" x14ac:dyDescent="0.2">
      <c r="A1618" t="s">
        <v>3339</v>
      </c>
      <c r="B1618" t="s">
        <v>3340</v>
      </c>
      <c r="C1618" s="1">
        <v>45141</v>
      </c>
      <c r="D1618" s="2">
        <v>45145</v>
      </c>
      <c r="E1618" t="s">
        <v>23</v>
      </c>
      <c r="F1618">
        <v>5494</v>
      </c>
      <c r="G1618">
        <v>178</v>
      </c>
      <c r="H1618">
        <v>300.27</v>
      </c>
      <c r="I1618">
        <v>16</v>
      </c>
      <c r="J1618" t="s">
        <v>15</v>
      </c>
      <c r="L1618" t="s">
        <v>68</v>
      </c>
    </row>
    <row r="1619" spans="1:12" x14ac:dyDescent="0.2">
      <c r="A1619" t="s">
        <v>3341</v>
      </c>
      <c r="B1619" t="s">
        <v>3342</v>
      </c>
      <c r="C1619" s="1">
        <v>45132</v>
      </c>
      <c r="D1619" s="2">
        <v>45141</v>
      </c>
      <c r="E1619" t="s">
        <v>138</v>
      </c>
      <c r="F1619">
        <v>81688</v>
      </c>
      <c r="G1619">
        <v>3367</v>
      </c>
      <c r="H1619">
        <v>4720.79</v>
      </c>
      <c r="I1619">
        <v>613</v>
      </c>
      <c r="J1619" t="s">
        <v>15</v>
      </c>
      <c r="L1619" t="s">
        <v>139</v>
      </c>
    </row>
    <row r="1620" spans="1:12" x14ac:dyDescent="0.2">
      <c r="A1620" t="s">
        <v>3343</v>
      </c>
      <c r="B1620" t="s">
        <v>3344</v>
      </c>
      <c r="C1620" s="1">
        <v>44994</v>
      </c>
      <c r="D1620" s="2">
        <v>45021</v>
      </c>
      <c r="E1620" t="s">
        <v>41</v>
      </c>
      <c r="F1620">
        <v>90431</v>
      </c>
      <c r="G1620">
        <v>3467</v>
      </c>
      <c r="H1620">
        <v>3497.62</v>
      </c>
      <c r="I1620">
        <v>249</v>
      </c>
      <c r="J1620" t="s">
        <v>15</v>
      </c>
      <c r="L1620" t="s">
        <v>42</v>
      </c>
    </row>
    <row r="1621" spans="1:12" x14ac:dyDescent="0.2">
      <c r="A1621" t="s">
        <v>3345</v>
      </c>
      <c r="B1621" t="s">
        <v>3346</v>
      </c>
      <c r="C1621" s="1">
        <v>44978</v>
      </c>
      <c r="D1621" s="2">
        <v>45004</v>
      </c>
      <c r="E1621" t="s">
        <v>33</v>
      </c>
      <c r="F1621">
        <v>75691</v>
      </c>
      <c r="G1621">
        <v>1277</v>
      </c>
      <c r="H1621">
        <v>1681.67</v>
      </c>
      <c r="I1621">
        <v>200</v>
      </c>
      <c r="J1621">
        <v>0</v>
      </c>
      <c r="L1621" t="s">
        <v>34</v>
      </c>
    </row>
    <row r="1622" spans="1:12" x14ac:dyDescent="0.2">
      <c r="A1622" t="s">
        <v>3347</v>
      </c>
      <c r="B1622" t="s">
        <v>3348</v>
      </c>
      <c r="C1622" s="1">
        <v>45211</v>
      </c>
      <c r="D1622" s="2">
        <v>45217</v>
      </c>
      <c r="E1622" t="s">
        <v>23</v>
      </c>
      <c r="F1622">
        <v>98419</v>
      </c>
      <c r="G1622">
        <v>4812</v>
      </c>
      <c r="H1622" s="3">
        <v>2702.43</v>
      </c>
      <c r="I1622">
        <v>943</v>
      </c>
      <c r="J1622" t="b">
        <v>0</v>
      </c>
      <c r="L1622" t="s">
        <v>25</v>
      </c>
    </row>
    <row r="1623" spans="1:12" x14ac:dyDescent="0.2">
      <c r="A1623" t="s">
        <v>3349</v>
      </c>
      <c r="B1623" t="s">
        <v>3350</v>
      </c>
      <c r="C1623" s="1">
        <v>45001</v>
      </c>
      <c r="D1623" s="2">
        <v>45019</v>
      </c>
      <c r="E1623" t="s">
        <v>19</v>
      </c>
      <c r="F1623">
        <v>44001</v>
      </c>
      <c r="G1623">
        <v>1229</v>
      </c>
      <c r="H1623">
        <v>1987.59</v>
      </c>
      <c r="I1623">
        <v>207</v>
      </c>
      <c r="J1623" t="b">
        <v>0</v>
      </c>
      <c r="L1623" t="s">
        <v>20</v>
      </c>
    </row>
    <row r="1624" spans="1:12" x14ac:dyDescent="0.2">
      <c r="A1624" t="s">
        <v>3351</v>
      </c>
      <c r="B1624" t="s">
        <v>3352</v>
      </c>
      <c r="C1624" s="1">
        <v>45169</v>
      </c>
      <c r="D1624" s="2">
        <v>45173</v>
      </c>
      <c r="E1624" t="s">
        <v>23</v>
      </c>
      <c r="F1624">
        <v>68364</v>
      </c>
      <c r="G1624">
        <v>1118</v>
      </c>
      <c r="H1624">
        <v>1306.8699999999999</v>
      </c>
      <c r="I1624">
        <v>96</v>
      </c>
      <c r="J1624" t="s">
        <v>15</v>
      </c>
      <c r="L1624" t="s">
        <v>25</v>
      </c>
    </row>
    <row r="1625" spans="1:12" x14ac:dyDescent="0.2">
      <c r="A1625" t="s">
        <v>3353</v>
      </c>
      <c r="B1625" t="s">
        <v>3354</v>
      </c>
      <c r="C1625" s="1">
        <v>45182</v>
      </c>
      <c r="D1625" s="2">
        <v>45207</v>
      </c>
      <c r="E1625" t="s">
        <v>41</v>
      </c>
      <c r="F1625">
        <v>46028</v>
      </c>
      <c r="G1625">
        <v>792</v>
      </c>
      <c r="H1625" s="3">
        <v>419.79</v>
      </c>
      <c r="I1625">
        <v>147</v>
      </c>
      <c r="J1625" t="s">
        <v>15</v>
      </c>
      <c r="L1625" t="s">
        <v>42</v>
      </c>
    </row>
    <row r="1626" spans="1:12" x14ac:dyDescent="0.2">
      <c r="A1626" t="s">
        <v>3355</v>
      </c>
      <c r="B1626" t="s">
        <v>3356</v>
      </c>
      <c r="C1626" s="1">
        <v>45249</v>
      </c>
      <c r="D1626" s="2">
        <v>45264</v>
      </c>
      <c r="E1626" t="s">
        <v>41</v>
      </c>
      <c r="F1626">
        <v>98659</v>
      </c>
      <c r="G1626">
        <v>1374</v>
      </c>
      <c r="H1626">
        <v>815.83</v>
      </c>
      <c r="I1626">
        <v>87</v>
      </c>
      <c r="J1626" t="b">
        <v>1</v>
      </c>
      <c r="L1626" t="s">
        <v>42</v>
      </c>
    </row>
    <row r="1627" spans="1:12" x14ac:dyDescent="0.2">
      <c r="A1627" t="s">
        <v>3357</v>
      </c>
      <c r="B1627" t="s">
        <v>3358</v>
      </c>
      <c r="C1627" s="1">
        <v>45176</v>
      </c>
      <c r="D1627" s="2">
        <v>45194</v>
      </c>
      <c r="E1627" t="s">
        <v>14</v>
      </c>
      <c r="F1627">
        <v>38573</v>
      </c>
      <c r="G1627">
        <v>1625</v>
      </c>
      <c r="H1627" s="3">
        <v>1756.95</v>
      </c>
      <c r="J1627" t="b">
        <v>0</v>
      </c>
      <c r="L1627" t="s">
        <v>16</v>
      </c>
    </row>
    <row r="1628" spans="1:12" x14ac:dyDescent="0.2">
      <c r="A1628" t="s">
        <v>3359</v>
      </c>
      <c r="B1628" t="s">
        <v>3360</v>
      </c>
      <c r="C1628" t="s">
        <v>2225</v>
      </c>
      <c r="D1628" s="2">
        <v>45242</v>
      </c>
      <c r="E1628" t="s">
        <v>33</v>
      </c>
      <c r="F1628">
        <v>1806</v>
      </c>
      <c r="G1628">
        <v>26</v>
      </c>
      <c r="H1628">
        <v>35.75</v>
      </c>
      <c r="I1628">
        <v>4</v>
      </c>
      <c r="J1628" t="b">
        <v>1</v>
      </c>
      <c r="L1628" t="s">
        <v>34</v>
      </c>
    </row>
    <row r="1629" spans="1:12" x14ac:dyDescent="0.2">
      <c r="A1629" t="s">
        <v>3361</v>
      </c>
      <c r="B1629" t="s">
        <v>3362</v>
      </c>
      <c r="C1629" s="2">
        <v>44977</v>
      </c>
      <c r="D1629" s="2">
        <v>44989</v>
      </c>
      <c r="E1629" t="s">
        <v>33</v>
      </c>
      <c r="F1629">
        <v>57638</v>
      </c>
      <c r="G1629">
        <v>864</v>
      </c>
      <c r="H1629">
        <v>1033.6099999999999</v>
      </c>
      <c r="I1629">
        <v>126</v>
      </c>
      <c r="J1629" t="s">
        <v>24</v>
      </c>
      <c r="L1629" t="s">
        <v>34</v>
      </c>
    </row>
    <row r="1630" spans="1:12" x14ac:dyDescent="0.2">
      <c r="A1630" t="s">
        <v>3363</v>
      </c>
      <c r="B1630" t="s">
        <v>3364</v>
      </c>
      <c r="C1630" s="1">
        <v>45057</v>
      </c>
      <c r="D1630" s="2">
        <v>45081</v>
      </c>
      <c r="E1630" t="s">
        <v>19</v>
      </c>
      <c r="F1630">
        <v>30757</v>
      </c>
      <c r="G1630">
        <v>1353</v>
      </c>
      <c r="H1630">
        <v>1933.18</v>
      </c>
      <c r="I1630">
        <v>151</v>
      </c>
      <c r="J1630" t="b">
        <v>1</v>
      </c>
      <c r="K1630">
        <v>30769</v>
      </c>
      <c r="L1630" t="s">
        <v>20</v>
      </c>
    </row>
    <row r="1631" spans="1:12" x14ac:dyDescent="0.2">
      <c r="A1631" t="s">
        <v>3365</v>
      </c>
      <c r="B1631" t="s">
        <v>3366</v>
      </c>
      <c r="C1631" s="1">
        <v>45157</v>
      </c>
      <c r="D1631" s="2">
        <v>45163</v>
      </c>
      <c r="E1631" t="s">
        <v>41</v>
      </c>
      <c r="F1631">
        <v>35636</v>
      </c>
      <c r="G1631">
        <v>847</v>
      </c>
      <c r="H1631">
        <v>1033.71</v>
      </c>
      <c r="I1631">
        <v>79</v>
      </c>
      <c r="J1631">
        <v>1</v>
      </c>
      <c r="L1631" t="s">
        <v>42</v>
      </c>
    </row>
    <row r="1632" spans="1:12" x14ac:dyDescent="0.2">
      <c r="A1632" t="s">
        <v>3367</v>
      </c>
      <c r="B1632" t="s">
        <v>3368</v>
      </c>
      <c r="C1632" s="1">
        <v>45111</v>
      </c>
      <c r="D1632" s="2">
        <v>45116</v>
      </c>
      <c r="E1632" t="s">
        <v>19</v>
      </c>
      <c r="F1632">
        <v>81097</v>
      </c>
      <c r="G1632">
        <v>911</v>
      </c>
      <c r="H1632">
        <v>1359.72</v>
      </c>
      <c r="I1632">
        <v>96</v>
      </c>
      <c r="J1632">
        <v>0</v>
      </c>
      <c r="L1632" t="s">
        <v>68</v>
      </c>
    </row>
    <row r="1633" spans="1:12" x14ac:dyDescent="0.2">
      <c r="A1633" t="s">
        <v>3369</v>
      </c>
      <c r="B1633" t="s">
        <v>3370</v>
      </c>
      <c r="C1633" s="1">
        <v>45058</v>
      </c>
      <c r="D1633" s="2">
        <v>45076</v>
      </c>
      <c r="E1633" t="s">
        <v>23</v>
      </c>
      <c r="F1633">
        <v>49280</v>
      </c>
      <c r="G1633">
        <v>595</v>
      </c>
      <c r="H1633">
        <v>493.07</v>
      </c>
      <c r="I1633">
        <v>75</v>
      </c>
      <c r="J1633" t="s">
        <v>24</v>
      </c>
      <c r="L1633" t="s">
        <v>25</v>
      </c>
    </row>
    <row r="1634" spans="1:12" x14ac:dyDescent="0.2">
      <c r="A1634" t="s">
        <v>3371</v>
      </c>
      <c r="B1634" t="s">
        <v>3372</v>
      </c>
      <c r="C1634" s="1">
        <v>45106</v>
      </c>
      <c r="D1634" s="2">
        <v>45136</v>
      </c>
      <c r="E1634" t="s">
        <v>33</v>
      </c>
      <c r="F1634">
        <v>25262</v>
      </c>
      <c r="G1634">
        <v>396</v>
      </c>
      <c r="H1634" s="3">
        <v>265.02999999999997</v>
      </c>
      <c r="I1634">
        <v>38</v>
      </c>
      <c r="J1634" t="s">
        <v>30</v>
      </c>
      <c r="L1634" t="s">
        <v>34</v>
      </c>
    </row>
    <row r="1635" spans="1:12" x14ac:dyDescent="0.2">
      <c r="A1635" t="s">
        <v>3373</v>
      </c>
      <c r="B1635" t="s">
        <v>3374</v>
      </c>
      <c r="C1635" s="1">
        <v>45028</v>
      </c>
      <c r="D1635" s="2">
        <v>45023</v>
      </c>
      <c r="E1635" t="s">
        <v>138</v>
      </c>
      <c r="F1635">
        <v>81435</v>
      </c>
      <c r="G1635">
        <v>1509</v>
      </c>
      <c r="H1635">
        <v>2104.5300000000002</v>
      </c>
      <c r="I1635">
        <v>294</v>
      </c>
      <c r="J1635" t="b">
        <v>0</v>
      </c>
      <c r="L1635" t="s">
        <v>139</v>
      </c>
    </row>
    <row r="1636" spans="1:12" x14ac:dyDescent="0.2">
      <c r="A1636" t="s">
        <v>3375</v>
      </c>
      <c r="B1636" t="s">
        <v>3376</v>
      </c>
      <c r="C1636" s="1">
        <v>45202</v>
      </c>
      <c r="D1636" s="2">
        <v>45210</v>
      </c>
      <c r="E1636" t="s">
        <v>41</v>
      </c>
      <c r="F1636">
        <v>63211</v>
      </c>
      <c r="G1636">
        <v>2313</v>
      </c>
      <c r="H1636" s="3">
        <v>2838.13</v>
      </c>
      <c r="I1636">
        <v>439</v>
      </c>
      <c r="J1636" t="s">
        <v>15</v>
      </c>
      <c r="L1636" t="s">
        <v>42</v>
      </c>
    </row>
    <row r="1637" spans="1:12" x14ac:dyDescent="0.2">
      <c r="A1637" t="s">
        <v>3377</v>
      </c>
      <c r="B1637" t="s">
        <v>3378</v>
      </c>
      <c r="C1637" s="1">
        <v>45108</v>
      </c>
      <c r="D1637" s="2">
        <v>45134</v>
      </c>
      <c r="E1637" t="s">
        <v>33</v>
      </c>
      <c r="F1637">
        <v>55842</v>
      </c>
      <c r="G1637">
        <v>909</v>
      </c>
      <c r="H1637">
        <v>491.13</v>
      </c>
      <c r="I1637">
        <v>164</v>
      </c>
      <c r="J1637" t="s">
        <v>24</v>
      </c>
      <c r="L1637" t="s">
        <v>68</v>
      </c>
    </row>
    <row r="1638" spans="1:12" x14ac:dyDescent="0.2">
      <c r="A1638" t="s">
        <v>3379</v>
      </c>
      <c r="B1638" t="s">
        <v>3380</v>
      </c>
      <c r="C1638" s="1">
        <v>45155</v>
      </c>
      <c r="D1638" s="2">
        <v>45156</v>
      </c>
      <c r="E1638" t="s">
        <v>33</v>
      </c>
      <c r="F1638">
        <v>57979</v>
      </c>
      <c r="G1638">
        <v>855</v>
      </c>
      <c r="H1638">
        <v>915.47</v>
      </c>
      <c r="I1638">
        <v>96</v>
      </c>
      <c r="J1638" t="s">
        <v>15</v>
      </c>
      <c r="L1638" t="s">
        <v>34</v>
      </c>
    </row>
    <row r="1639" spans="1:12" x14ac:dyDescent="0.2">
      <c r="A1639" t="s">
        <v>3381</v>
      </c>
      <c r="B1639" t="s">
        <v>3382</v>
      </c>
      <c r="C1639" s="1">
        <v>45073</v>
      </c>
      <c r="D1639" s="2">
        <v>45084</v>
      </c>
      <c r="E1639" t="s">
        <v>138</v>
      </c>
      <c r="F1639">
        <v>82470</v>
      </c>
      <c r="G1639">
        <v>3347</v>
      </c>
      <c r="H1639">
        <v>2206.3000000000002</v>
      </c>
      <c r="I1639">
        <v>514</v>
      </c>
      <c r="J1639" t="s">
        <v>30</v>
      </c>
      <c r="L1639" t="s">
        <v>139</v>
      </c>
    </row>
    <row r="1640" spans="1:12" x14ac:dyDescent="0.2">
      <c r="A1640" t="s">
        <v>3383</v>
      </c>
      <c r="B1640" t="s">
        <v>3384</v>
      </c>
      <c r="C1640" s="1">
        <v>45012</v>
      </c>
      <c r="D1640" s="2">
        <v>45040</v>
      </c>
      <c r="E1640" t="s">
        <v>33</v>
      </c>
      <c r="F1640">
        <v>39197</v>
      </c>
      <c r="G1640">
        <v>1444</v>
      </c>
      <c r="H1640">
        <v>1872.92</v>
      </c>
      <c r="I1640">
        <v>267</v>
      </c>
      <c r="J1640" t="s">
        <v>24</v>
      </c>
      <c r="L1640" t="s">
        <v>68</v>
      </c>
    </row>
    <row r="1641" spans="1:12" x14ac:dyDescent="0.2">
      <c r="A1641" t="s">
        <v>3385</v>
      </c>
      <c r="B1641" t="s">
        <v>3386</v>
      </c>
      <c r="C1641" s="1">
        <v>45142</v>
      </c>
      <c r="D1641" s="2">
        <v>45148</v>
      </c>
      <c r="E1641" t="s">
        <v>14</v>
      </c>
      <c r="F1641">
        <v>42844</v>
      </c>
      <c r="G1641">
        <v>1174</v>
      </c>
      <c r="H1641">
        <v>1283.96</v>
      </c>
      <c r="I1641">
        <v>208</v>
      </c>
      <c r="J1641" t="b">
        <v>0</v>
      </c>
      <c r="L1641" t="s">
        <v>16</v>
      </c>
    </row>
    <row r="1642" spans="1:12" x14ac:dyDescent="0.2">
      <c r="A1642" t="s">
        <v>3387</v>
      </c>
      <c r="B1642" t="s">
        <v>3388</v>
      </c>
      <c r="C1642" s="2">
        <v>45079</v>
      </c>
      <c r="D1642" s="2">
        <v>44988</v>
      </c>
      <c r="E1642" t="s">
        <v>33</v>
      </c>
      <c r="F1642">
        <v>65754</v>
      </c>
      <c r="G1642">
        <v>2102</v>
      </c>
      <c r="H1642">
        <v>2984.27</v>
      </c>
      <c r="I1642">
        <v>235</v>
      </c>
      <c r="J1642" t="s">
        <v>24</v>
      </c>
      <c r="L1642" t="s">
        <v>34</v>
      </c>
    </row>
    <row r="1643" spans="1:12" x14ac:dyDescent="0.2">
      <c r="A1643" t="s">
        <v>3389</v>
      </c>
      <c r="B1643" t="s">
        <v>3390</v>
      </c>
      <c r="C1643" s="1">
        <v>45102</v>
      </c>
      <c r="D1643" s="2">
        <v>45111</v>
      </c>
      <c r="E1643" t="s">
        <v>23</v>
      </c>
      <c r="F1643">
        <v>35157</v>
      </c>
      <c r="G1643">
        <v>790</v>
      </c>
      <c r="H1643">
        <v>1349.64</v>
      </c>
      <c r="J1643" t="s">
        <v>15</v>
      </c>
      <c r="L1643" t="s">
        <v>68</v>
      </c>
    </row>
    <row r="1644" spans="1:12" x14ac:dyDescent="0.2">
      <c r="A1644" t="s">
        <v>3391</v>
      </c>
      <c r="B1644" t="s">
        <v>3392</v>
      </c>
      <c r="C1644" s="1">
        <v>45076</v>
      </c>
      <c r="D1644" s="2">
        <v>45093</v>
      </c>
      <c r="E1644" t="s">
        <v>14</v>
      </c>
      <c r="F1644">
        <v>78129</v>
      </c>
      <c r="G1644">
        <v>2289</v>
      </c>
      <c r="H1644">
        <v>2173.41</v>
      </c>
      <c r="I1644">
        <v>140</v>
      </c>
      <c r="J1644" t="s">
        <v>15</v>
      </c>
      <c r="L1644" t="s">
        <v>16</v>
      </c>
    </row>
    <row r="1645" spans="1:12" x14ac:dyDescent="0.2">
      <c r="A1645" t="s">
        <v>3393</v>
      </c>
      <c r="B1645" t="s">
        <v>3394</v>
      </c>
      <c r="C1645" s="1">
        <v>45129</v>
      </c>
      <c r="D1645" s="2">
        <v>45156</v>
      </c>
      <c r="E1645" t="s">
        <v>41</v>
      </c>
      <c r="F1645">
        <v>41042</v>
      </c>
      <c r="G1645">
        <v>1242</v>
      </c>
      <c r="H1645">
        <v>2413.4</v>
      </c>
      <c r="I1645">
        <v>169</v>
      </c>
      <c r="J1645">
        <v>1</v>
      </c>
      <c r="L1645" t="s">
        <v>42</v>
      </c>
    </row>
    <row r="1646" spans="1:12" x14ac:dyDescent="0.2">
      <c r="A1646" t="s">
        <v>3395</v>
      </c>
      <c r="B1646" t="s">
        <v>3396</v>
      </c>
      <c r="C1646" s="1">
        <v>45112</v>
      </c>
      <c r="D1646" s="2">
        <v>45113</v>
      </c>
      <c r="E1646" t="s">
        <v>14</v>
      </c>
      <c r="F1646">
        <v>62665</v>
      </c>
      <c r="G1646">
        <v>1597</v>
      </c>
      <c r="H1646">
        <v>2081.61</v>
      </c>
      <c r="I1646">
        <v>233</v>
      </c>
      <c r="J1646" t="b">
        <v>1</v>
      </c>
      <c r="L1646" t="s">
        <v>16</v>
      </c>
    </row>
    <row r="1647" spans="1:12" x14ac:dyDescent="0.2">
      <c r="A1647" t="s">
        <v>3397</v>
      </c>
      <c r="B1647" t="s">
        <v>3398</v>
      </c>
      <c r="C1647" s="1">
        <v>45157</v>
      </c>
      <c r="D1647" s="2">
        <v>45174</v>
      </c>
      <c r="E1647" t="s">
        <v>41</v>
      </c>
      <c r="F1647">
        <v>83856</v>
      </c>
      <c r="G1647">
        <v>3879</v>
      </c>
      <c r="H1647" s="3">
        <v>5537.03</v>
      </c>
      <c r="I1647">
        <v>688</v>
      </c>
      <c r="J1647" t="s">
        <v>24</v>
      </c>
      <c r="L1647" t="s">
        <v>68</v>
      </c>
    </row>
    <row r="1648" spans="1:12" x14ac:dyDescent="0.2">
      <c r="A1648" t="s">
        <v>3399</v>
      </c>
      <c r="B1648" t="s">
        <v>3400</v>
      </c>
      <c r="C1648" s="1">
        <v>44938</v>
      </c>
      <c r="D1648" s="2">
        <v>44955</v>
      </c>
      <c r="E1648" t="s">
        <v>33</v>
      </c>
      <c r="F1648">
        <v>28376</v>
      </c>
      <c r="G1648">
        <v>301</v>
      </c>
      <c r="H1648">
        <v>457.82</v>
      </c>
      <c r="I1648">
        <v>28</v>
      </c>
      <c r="J1648" t="s">
        <v>15</v>
      </c>
      <c r="L1648" t="s">
        <v>34</v>
      </c>
    </row>
    <row r="1649" spans="1:12" x14ac:dyDescent="0.2">
      <c r="A1649" t="s">
        <v>3401</v>
      </c>
      <c r="B1649" t="s">
        <v>3402</v>
      </c>
      <c r="C1649" s="1">
        <v>45055</v>
      </c>
      <c r="D1649" s="2">
        <v>45084</v>
      </c>
      <c r="E1649" t="s">
        <v>23</v>
      </c>
      <c r="F1649">
        <v>56554</v>
      </c>
      <c r="G1649">
        <v>2334</v>
      </c>
      <c r="H1649">
        <v>3501.23</v>
      </c>
      <c r="I1649">
        <v>175</v>
      </c>
      <c r="J1649">
        <v>0</v>
      </c>
      <c r="L1649" t="s">
        <v>25</v>
      </c>
    </row>
    <row r="1650" spans="1:12" x14ac:dyDescent="0.2">
      <c r="A1650" t="s">
        <v>3403</v>
      </c>
      <c r="B1650" t="s">
        <v>3404</v>
      </c>
      <c r="C1650" s="1">
        <v>44967</v>
      </c>
      <c r="D1650" s="2">
        <v>44969</v>
      </c>
      <c r="E1650" t="s">
        <v>33</v>
      </c>
      <c r="F1650">
        <v>15199</v>
      </c>
      <c r="G1650">
        <v>227</v>
      </c>
      <c r="H1650">
        <v>287.49</v>
      </c>
      <c r="I1650">
        <v>24</v>
      </c>
      <c r="J1650" t="b">
        <v>0</v>
      </c>
      <c r="L1650" t="s">
        <v>34</v>
      </c>
    </row>
    <row r="1651" spans="1:12" x14ac:dyDescent="0.2">
      <c r="A1651" t="s">
        <v>3405</v>
      </c>
      <c r="B1651" t="s">
        <v>3406</v>
      </c>
      <c r="C1651" t="s">
        <v>3407</v>
      </c>
      <c r="D1651" s="2">
        <v>44988</v>
      </c>
      <c r="E1651" t="s">
        <v>23</v>
      </c>
      <c r="F1651">
        <v>82412</v>
      </c>
      <c r="G1651">
        <v>3453</v>
      </c>
      <c r="H1651">
        <v>3947.28</v>
      </c>
      <c r="I1651">
        <v>355</v>
      </c>
      <c r="J1651">
        <v>0</v>
      </c>
      <c r="L1651" t="s">
        <v>25</v>
      </c>
    </row>
    <row r="1652" spans="1:12" x14ac:dyDescent="0.2">
      <c r="A1652" t="s">
        <v>3408</v>
      </c>
      <c r="B1652" t="s">
        <v>3409</v>
      </c>
      <c r="C1652" s="2">
        <v>45169</v>
      </c>
      <c r="D1652" s="2">
        <v>45174</v>
      </c>
      <c r="E1652" t="s">
        <v>19</v>
      </c>
      <c r="F1652">
        <v>51948</v>
      </c>
      <c r="G1652">
        <v>1799</v>
      </c>
      <c r="H1652">
        <v>1044.6300000000001</v>
      </c>
      <c r="I1652">
        <v>125</v>
      </c>
      <c r="J1652" t="s">
        <v>30</v>
      </c>
      <c r="L1652" t="s">
        <v>20</v>
      </c>
    </row>
    <row r="1653" spans="1:12" x14ac:dyDescent="0.2">
      <c r="A1653" t="s">
        <v>3410</v>
      </c>
      <c r="B1653" t="s">
        <v>3411</v>
      </c>
      <c r="C1653" s="1">
        <v>45130</v>
      </c>
      <c r="D1653" s="2">
        <v>45136</v>
      </c>
      <c r="E1653" t="s">
        <v>41</v>
      </c>
      <c r="F1653">
        <v>74781</v>
      </c>
      <c r="G1653">
        <v>3270</v>
      </c>
      <c r="H1653">
        <v>1743.33</v>
      </c>
      <c r="I1653">
        <v>493</v>
      </c>
      <c r="J1653" t="s">
        <v>24</v>
      </c>
      <c r="L1653" t="s">
        <v>42</v>
      </c>
    </row>
    <row r="1654" spans="1:12" x14ac:dyDescent="0.2">
      <c r="A1654" t="s">
        <v>3412</v>
      </c>
      <c r="B1654" t="s">
        <v>3413</v>
      </c>
      <c r="C1654" s="1">
        <v>44980</v>
      </c>
      <c r="D1654" s="2">
        <v>44982</v>
      </c>
      <c r="E1654" t="s">
        <v>33</v>
      </c>
      <c r="F1654">
        <v>73750</v>
      </c>
      <c r="G1654">
        <v>1025</v>
      </c>
      <c r="H1654">
        <v>1062.8699999999999</v>
      </c>
      <c r="I1654">
        <v>129</v>
      </c>
      <c r="J1654">
        <v>1</v>
      </c>
      <c r="L1654" t="s">
        <v>34</v>
      </c>
    </row>
    <row r="1655" spans="1:12" x14ac:dyDescent="0.2">
      <c r="A1655" t="s">
        <v>3414</v>
      </c>
      <c r="B1655" t="s">
        <v>3415</v>
      </c>
      <c r="C1655" s="1">
        <v>45262</v>
      </c>
      <c r="D1655" s="2">
        <v>45278</v>
      </c>
      <c r="E1655" t="s">
        <v>14</v>
      </c>
      <c r="F1655">
        <v>67262</v>
      </c>
      <c r="G1655">
        <v>2176</v>
      </c>
      <c r="H1655">
        <v>2177.0700000000002</v>
      </c>
      <c r="I1655">
        <v>344</v>
      </c>
      <c r="J1655" t="b">
        <v>0</v>
      </c>
      <c r="L1655" t="s">
        <v>16</v>
      </c>
    </row>
    <row r="1656" spans="1:12" x14ac:dyDescent="0.2">
      <c r="A1656" t="s">
        <v>3416</v>
      </c>
      <c r="B1656" t="s">
        <v>3417</v>
      </c>
      <c r="C1656" s="1">
        <v>45044</v>
      </c>
      <c r="D1656" s="2">
        <v>45049</v>
      </c>
      <c r="E1656" t="s">
        <v>41</v>
      </c>
      <c r="F1656">
        <v>47600</v>
      </c>
      <c r="G1656">
        <v>1430</v>
      </c>
      <c r="H1656">
        <v>1546.61</v>
      </c>
      <c r="I1656">
        <v>147</v>
      </c>
      <c r="J1656">
        <v>1</v>
      </c>
      <c r="L1656" t="s">
        <v>68</v>
      </c>
    </row>
    <row r="1657" spans="1:12" x14ac:dyDescent="0.2">
      <c r="A1657" t="s">
        <v>3418</v>
      </c>
      <c r="B1657" t="s">
        <v>3419</v>
      </c>
      <c r="C1657" s="1">
        <v>45247</v>
      </c>
      <c r="D1657" s="2">
        <v>45275</v>
      </c>
      <c r="E1657" t="s">
        <v>33</v>
      </c>
      <c r="F1657">
        <v>77898</v>
      </c>
      <c r="G1657">
        <v>2979</v>
      </c>
      <c r="H1657">
        <v>2107.8000000000002</v>
      </c>
      <c r="I1657">
        <v>294</v>
      </c>
      <c r="J1657" t="b">
        <v>1</v>
      </c>
      <c r="L1657" t="s">
        <v>34</v>
      </c>
    </row>
    <row r="1658" spans="1:12" x14ac:dyDescent="0.2">
      <c r="A1658" t="s">
        <v>3420</v>
      </c>
      <c r="B1658" t="s">
        <v>3421</v>
      </c>
      <c r="C1658" t="s">
        <v>1741</v>
      </c>
      <c r="D1658" s="2">
        <v>45019</v>
      </c>
      <c r="E1658" t="s">
        <v>33</v>
      </c>
      <c r="F1658">
        <v>63483</v>
      </c>
      <c r="G1658">
        <v>1991</v>
      </c>
      <c r="H1658" s="3">
        <v>3200.04</v>
      </c>
      <c r="J1658" t="s">
        <v>15</v>
      </c>
      <c r="L1658" t="s">
        <v>34</v>
      </c>
    </row>
    <row r="1659" spans="1:12" x14ac:dyDescent="0.2">
      <c r="A1659" t="s">
        <v>3422</v>
      </c>
      <c r="B1659" t="s">
        <v>3423</v>
      </c>
      <c r="C1659" s="1">
        <v>45266</v>
      </c>
      <c r="D1659" s="2">
        <v>45274</v>
      </c>
      <c r="E1659" t="s">
        <v>19</v>
      </c>
      <c r="F1659">
        <v>19297</v>
      </c>
      <c r="G1659">
        <v>610</v>
      </c>
      <c r="H1659">
        <v>1089.1199999999999</v>
      </c>
      <c r="J1659" t="b">
        <v>0</v>
      </c>
      <c r="L1659" t="s">
        <v>20</v>
      </c>
    </row>
    <row r="1660" spans="1:12" x14ac:dyDescent="0.2">
      <c r="A1660" t="s">
        <v>3424</v>
      </c>
      <c r="B1660" t="s">
        <v>3425</v>
      </c>
      <c r="C1660" s="1">
        <v>45170</v>
      </c>
      <c r="D1660" s="2">
        <v>45198</v>
      </c>
      <c r="E1660" t="s">
        <v>23</v>
      </c>
      <c r="F1660">
        <v>31448</v>
      </c>
      <c r="G1660">
        <v>854</v>
      </c>
      <c r="H1660">
        <v>1629.49</v>
      </c>
      <c r="I1660">
        <v>47</v>
      </c>
      <c r="J1660" t="s">
        <v>30</v>
      </c>
      <c r="L1660" t="s">
        <v>25</v>
      </c>
    </row>
    <row r="1661" spans="1:12" x14ac:dyDescent="0.2">
      <c r="A1661" t="s">
        <v>3426</v>
      </c>
      <c r="B1661" t="s">
        <v>3427</v>
      </c>
      <c r="C1661" s="1">
        <v>45066</v>
      </c>
      <c r="D1661" s="2">
        <v>45086</v>
      </c>
      <c r="E1661" t="s">
        <v>138</v>
      </c>
      <c r="F1661">
        <v>27172</v>
      </c>
      <c r="G1661">
        <v>607</v>
      </c>
      <c r="H1661">
        <v>751.8</v>
      </c>
      <c r="I1661">
        <v>103</v>
      </c>
      <c r="J1661" t="s">
        <v>24</v>
      </c>
      <c r="L1661" t="s">
        <v>139</v>
      </c>
    </row>
    <row r="1662" spans="1:12" x14ac:dyDescent="0.2">
      <c r="A1662" t="s">
        <v>3428</v>
      </c>
      <c r="B1662" t="s">
        <v>3429</v>
      </c>
      <c r="C1662" s="1">
        <v>45284</v>
      </c>
      <c r="D1662" s="2">
        <v>45311</v>
      </c>
      <c r="E1662" t="s">
        <v>14</v>
      </c>
      <c r="F1662">
        <v>43874</v>
      </c>
      <c r="G1662">
        <v>1285</v>
      </c>
      <c r="H1662">
        <v>1993.42</v>
      </c>
      <c r="I1662">
        <v>135</v>
      </c>
      <c r="J1662" t="b">
        <v>1</v>
      </c>
      <c r="L1662" t="s">
        <v>16</v>
      </c>
    </row>
    <row r="1663" spans="1:12" x14ac:dyDescent="0.2">
      <c r="A1663" t="s">
        <v>3430</v>
      </c>
      <c r="B1663" t="s">
        <v>3431</v>
      </c>
      <c r="C1663" s="1">
        <v>45160</v>
      </c>
      <c r="D1663" s="2">
        <v>45172</v>
      </c>
      <c r="E1663" t="s">
        <v>33</v>
      </c>
      <c r="F1663">
        <v>8657</v>
      </c>
      <c r="G1663">
        <v>127</v>
      </c>
      <c r="H1663">
        <v>226.48</v>
      </c>
      <c r="I1663">
        <v>22</v>
      </c>
      <c r="J1663" t="b">
        <v>1</v>
      </c>
      <c r="L1663" t="s">
        <v>34</v>
      </c>
    </row>
    <row r="1664" spans="1:12" x14ac:dyDescent="0.2">
      <c r="A1664" t="s">
        <v>3432</v>
      </c>
      <c r="B1664" t="s">
        <v>3433</v>
      </c>
      <c r="C1664" s="1">
        <v>45215</v>
      </c>
      <c r="D1664" s="2">
        <v>45234</v>
      </c>
      <c r="E1664" t="s">
        <v>19</v>
      </c>
      <c r="F1664">
        <v>85386</v>
      </c>
      <c r="G1664">
        <v>4137</v>
      </c>
      <c r="H1664">
        <v>4664.21</v>
      </c>
      <c r="I1664">
        <v>704</v>
      </c>
      <c r="J1664">
        <v>1</v>
      </c>
      <c r="L1664" t="s">
        <v>20</v>
      </c>
    </row>
    <row r="1665" spans="1:12" x14ac:dyDescent="0.2">
      <c r="A1665" t="s">
        <v>3434</v>
      </c>
      <c r="B1665" t="s">
        <v>3435</v>
      </c>
      <c r="C1665" s="1">
        <v>45200</v>
      </c>
      <c r="D1665" s="2">
        <v>45226</v>
      </c>
      <c r="E1665" t="s">
        <v>14</v>
      </c>
      <c r="F1665">
        <v>26425</v>
      </c>
      <c r="G1665">
        <v>1019</v>
      </c>
      <c r="H1665">
        <v>982.44</v>
      </c>
      <c r="I1665">
        <v>104</v>
      </c>
      <c r="J1665" t="b">
        <v>1</v>
      </c>
      <c r="L1665" t="s">
        <v>16</v>
      </c>
    </row>
    <row r="1666" spans="1:12" x14ac:dyDescent="0.2">
      <c r="A1666" t="s">
        <v>3436</v>
      </c>
      <c r="B1666" t="s">
        <v>3437</v>
      </c>
      <c r="C1666" s="2">
        <v>45203</v>
      </c>
      <c r="D1666" s="2">
        <v>45035</v>
      </c>
      <c r="E1666" t="s">
        <v>19</v>
      </c>
      <c r="F1666">
        <v>27685</v>
      </c>
      <c r="G1666">
        <v>1331</v>
      </c>
      <c r="H1666">
        <v>2535.67</v>
      </c>
      <c r="I1666">
        <v>205</v>
      </c>
      <c r="J1666" t="b">
        <v>0</v>
      </c>
      <c r="L1666" t="s">
        <v>20</v>
      </c>
    </row>
    <row r="1667" spans="1:12" x14ac:dyDescent="0.2">
      <c r="A1667" t="s">
        <v>3438</v>
      </c>
      <c r="B1667" t="s">
        <v>3439</v>
      </c>
      <c r="C1667" s="1">
        <v>45084</v>
      </c>
      <c r="D1667" s="2">
        <v>45099</v>
      </c>
      <c r="E1667" t="s">
        <v>23</v>
      </c>
      <c r="F1667">
        <v>25578</v>
      </c>
      <c r="G1667">
        <v>487</v>
      </c>
      <c r="H1667">
        <v>620.20000000000005</v>
      </c>
      <c r="I1667">
        <v>36</v>
      </c>
      <c r="J1667">
        <v>1</v>
      </c>
      <c r="L1667" t="s">
        <v>25</v>
      </c>
    </row>
    <row r="1668" spans="1:12" x14ac:dyDescent="0.2">
      <c r="A1668" t="s">
        <v>3440</v>
      </c>
      <c r="B1668" t="s">
        <v>3441</v>
      </c>
      <c r="C1668" s="2">
        <v>45052</v>
      </c>
      <c r="D1668" s="2">
        <v>45047</v>
      </c>
      <c r="E1668" t="s">
        <v>23</v>
      </c>
      <c r="F1668">
        <v>29831</v>
      </c>
      <c r="G1668">
        <v>1347</v>
      </c>
      <c r="H1668">
        <v>1678.2</v>
      </c>
      <c r="I1668">
        <v>248</v>
      </c>
      <c r="J1668" t="b">
        <v>1</v>
      </c>
      <c r="L1668" t="s">
        <v>25</v>
      </c>
    </row>
    <row r="1669" spans="1:12" x14ac:dyDescent="0.2">
      <c r="A1669" t="s">
        <v>3442</v>
      </c>
      <c r="B1669" t="s">
        <v>3443</v>
      </c>
      <c r="C1669" s="1">
        <v>45194</v>
      </c>
      <c r="D1669" s="2">
        <v>45209</v>
      </c>
      <c r="E1669" t="s">
        <v>33</v>
      </c>
      <c r="F1669">
        <v>8906</v>
      </c>
      <c r="G1669">
        <v>377</v>
      </c>
      <c r="H1669" s="3">
        <v>289.39</v>
      </c>
      <c r="I1669">
        <v>41</v>
      </c>
      <c r="J1669" t="s">
        <v>24</v>
      </c>
      <c r="L1669" t="s">
        <v>34</v>
      </c>
    </row>
    <row r="1670" spans="1:12" x14ac:dyDescent="0.2">
      <c r="A1670" t="s">
        <v>3444</v>
      </c>
      <c r="B1670" t="s">
        <v>3445</v>
      </c>
      <c r="C1670" s="1">
        <v>45103</v>
      </c>
      <c r="D1670" s="2">
        <v>45109</v>
      </c>
      <c r="E1670" t="s">
        <v>14</v>
      </c>
      <c r="F1670">
        <v>62413</v>
      </c>
      <c r="G1670">
        <v>2314</v>
      </c>
      <c r="H1670">
        <v>1532.41</v>
      </c>
      <c r="I1670">
        <v>273</v>
      </c>
      <c r="J1670" t="s">
        <v>30</v>
      </c>
      <c r="L1670" t="s">
        <v>16</v>
      </c>
    </row>
    <row r="1671" spans="1:12" x14ac:dyDescent="0.2">
      <c r="A1671" t="s">
        <v>3446</v>
      </c>
      <c r="B1671" t="s">
        <v>3447</v>
      </c>
      <c r="C1671" s="1">
        <v>45279</v>
      </c>
      <c r="D1671" s="2">
        <v>45302</v>
      </c>
      <c r="E1671" t="s">
        <v>19</v>
      </c>
      <c r="F1671">
        <v>55028</v>
      </c>
      <c r="G1671">
        <v>1926</v>
      </c>
      <c r="H1671">
        <v>3395.85</v>
      </c>
      <c r="I1671">
        <v>300</v>
      </c>
      <c r="J1671" t="s">
        <v>24</v>
      </c>
      <c r="L1671" t="s">
        <v>20</v>
      </c>
    </row>
    <row r="1672" spans="1:12" x14ac:dyDescent="0.2">
      <c r="A1672" t="s">
        <v>3448</v>
      </c>
      <c r="B1672" t="s">
        <v>3449</v>
      </c>
      <c r="C1672" s="1">
        <v>45171</v>
      </c>
      <c r="D1672" s="2">
        <v>45175</v>
      </c>
      <c r="E1672" t="s">
        <v>14</v>
      </c>
      <c r="F1672">
        <v>8287</v>
      </c>
      <c r="G1672">
        <v>187</v>
      </c>
      <c r="H1672">
        <v>265.76</v>
      </c>
      <c r="I1672">
        <v>32</v>
      </c>
      <c r="J1672">
        <v>0</v>
      </c>
      <c r="L1672" t="s">
        <v>16</v>
      </c>
    </row>
    <row r="1673" spans="1:12" x14ac:dyDescent="0.2">
      <c r="A1673" t="s">
        <v>3450</v>
      </c>
      <c r="B1673" t="s">
        <v>3451</v>
      </c>
      <c r="C1673" s="1">
        <v>45076</v>
      </c>
      <c r="D1673" s="2">
        <v>45099</v>
      </c>
      <c r="E1673" t="s">
        <v>23</v>
      </c>
      <c r="F1673">
        <v>34660</v>
      </c>
      <c r="G1673">
        <v>1478</v>
      </c>
      <c r="H1673" s="3">
        <v>1461.35</v>
      </c>
      <c r="I1673">
        <v>126</v>
      </c>
      <c r="J1673" t="b">
        <v>0</v>
      </c>
      <c r="L1673" t="s">
        <v>25</v>
      </c>
    </row>
    <row r="1674" spans="1:12" x14ac:dyDescent="0.2">
      <c r="A1674" t="s">
        <v>3452</v>
      </c>
      <c r="B1674" t="s">
        <v>3453</v>
      </c>
      <c r="C1674" s="1">
        <v>45207</v>
      </c>
      <c r="D1674" s="2">
        <v>45215</v>
      </c>
      <c r="E1674" t="s">
        <v>14</v>
      </c>
      <c r="F1674">
        <v>76758</v>
      </c>
      <c r="G1674">
        <v>2307</v>
      </c>
      <c r="H1674">
        <v>1817</v>
      </c>
      <c r="I1674">
        <v>344</v>
      </c>
      <c r="J1674" t="s">
        <v>30</v>
      </c>
      <c r="L1674" t="s">
        <v>16</v>
      </c>
    </row>
    <row r="1675" spans="1:12" x14ac:dyDescent="0.2">
      <c r="A1675" t="s">
        <v>3454</v>
      </c>
      <c r="B1675" t="s">
        <v>3455</v>
      </c>
      <c r="C1675" s="1">
        <v>45214</v>
      </c>
      <c r="D1675" s="2">
        <v>45220</v>
      </c>
      <c r="E1675" t="s">
        <v>19</v>
      </c>
      <c r="F1675">
        <v>61504</v>
      </c>
      <c r="G1675">
        <v>789</v>
      </c>
      <c r="H1675">
        <v>1051.93</v>
      </c>
      <c r="I1675">
        <v>85</v>
      </c>
      <c r="J1675" t="s">
        <v>30</v>
      </c>
      <c r="L1675" t="s">
        <v>68</v>
      </c>
    </row>
    <row r="1676" spans="1:12" x14ac:dyDescent="0.2">
      <c r="A1676" t="s">
        <v>3456</v>
      </c>
      <c r="B1676" t="s">
        <v>3457</v>
      </c>
      <c r="C1676" s="1">
        <v>45257</v>
      </c>
      <c r="D1676" s="2">
        <v>45278</v>
      </c>
      <c r="E1676" t="s">
        <v>14</v>
      </c>
      <c r="F1676">
        <v>60720</v>
      </c>
      <c r="G1676">
        <v>1367</v>
      </c>
      <c r="H1676">
        <v>1880.83</v>
      </c>
      <c r="I1676">
        <v>143</v>
      </c>
      <c r="J1676">
        <v>1</v>
      </c>
      <c r="L1676" t="s">
        <v>16</v>
      </c>
    </row>
    <row r="1677" spans="1:12" x14ac:dyDescent="0.2">
      <c r="A1677" t="s">
        <v>3458</v>
      </c>
      <c r="B1677" t="s">
        <v>3459</v>
      </c>
      <c r="C1677" t="s">
        <v>3460</v>
      </c>
      <c r="D1677" s="2">
        <v>45081</v>
      </c>
      <c r="E1677" t="s">
        <v>14</v>
      </c>
      <c r="F1677">
        <v>35701</v>
      </c>
      <c r="G1677">
        <v>1692</v>
      </c>
      <c r="H1677">
        <v>1371.35</v>
      </c>
      <c r="I1677">
        <v>259</v>
      </c>
      <c r="J1677" t="s">
        <v>15</v>
      </c>
      <c r="L1677" t="s">
        <v>16</v>
      </c>
    </row>
    <row r="1678" spans="1:12" x14ac:dyDescent="0.2">
      <c r="A1678" t="s">
        <v>3461</v>
      </c>
      <c r="B1678" t="s">
        <v>3462</v>
      </c>
      <c r="C1678" s="1">
        <v>45247</v>
      </c>
      <c r="D1678" s="2">
        <v>45272</v>
      </c>
      <c r="E1678" t="s">
        <v>19</v>
      </c>
      <c r="F1678">
        <v>84300</v>
      </c>
      <c r="G1678">
        <v>3711</v>
      </c>
      <c r="H1678">
        <v>6594.85</v>
      </c>
      <c r="I1678">
        <v>401</v>
      </c>
      <c r="J1678">
        <v>1</v>
      </c>
      <c r="L1678" t="s">
        <v>20</v>
      </c>
    </row>
    <row r="1679" spans="1:12" x14ac:dyDescent="0.2">
      <c r="A1679" t="s">
        <v>3463</v>
      </c>
      <c r="B1679" t="s">
        <v>3464</v>
      </c>
      <c r="C1679" s="1">
        <v>45240</v>
      </c>
      <c r="D1679" s="2">
        <v>45242</v>
      </c>
      <c r="E1679" t="s">
        <v>19</v>
      </c>
      <c r="F1679">
        <v>18674</v>
      </c>
      <c r="G1679">
        <v>920</v>
      </c>
      <c r="H1679">
        <v>576.28</v>
      </c>
      <c r="I1679">
        <v>93</v>
      </c>
      <c r="J1679" t="b">
        <v>0</v>
      </c>
      <c r="L1679" t="s">
        <v>20</v>
      </c>
    </row>
    <row r="1680" spans="1:12" x14ac:dyDescent="0.2">
      <c r="A1680" t="s">
        <v>3465</v>
      </c>
      <c r="B1680" t="s">
        <v>3466</v>
      </c>
      <c r="C1680" s="1">
        <v>45072</v>
      </c>
      <c r="D1680" s="2">
        <v>45075</v>
      </c>
      <c r="E1680" t="s">
        <v>23</v>
      </c>
      <c r="F1680">
        <v>84560</v>
      </c>
      <c r="G1680">
        <v>2969</v>
      </c>
      <c r="H1680">
        <v>3070.36</v>
      </c>
      <c r="I1680">
        <v>520</v>
      </c>
      <c r="J1680" t="b">
        <v>0</v>
      </c>
      <c r="L1680" t="s">
        <v>25</v>
      </c>
    </row>
    <row r="1681" spans="1:12" x14ac:dyDescent="0.2">
      <c r="A1681" t="s">
        <v>3467</v>
      </c>
      <c r="B1681" t="s">
        <v>3468</v>
      </c>
      <c r="C1681" s="1">
        <v>45064</v>
      </c>
      <c r="D1681" s="2">
        <v>45077</v>
      </c>
      <c r="E1681" t="s">
        <v>23</v>
      </c>
      <c r="F1681">
        <v>24874</v>
      </c>
      <c r="G1681">
        <v>495</v>
      </c>
      <c r="H1681">
        <v>752.69</v>
      </c>
      <c r="I1681">
        <v>32</v>
      </c>
      <c r="J1681">
        <v>1</v>
      </c>
      <c r="L1681" t="s">
        <v>25</v>
      </c>
    </row>
    <row r="1682" spans="1:12" x14ac:dyDescent="0.2">
      <c r="A1682" t="s">
        <v>3469</v>
      </c>
      <c r="B1682" t="s">
        <v>3470</v>
      </c>
      <c r="C1682" s="1">
        <v>45020</v>
      </c>
      <c r="D1682" s="2">
        <v>45025</v>
      </c>
      <c r="E1682" t="s">
        <v>23</v>
      </c>
      <c r="F1682">
        <v>44642</v>
      </c>
      <c r="G1682">
        <v>737</v>
      </c>
      <c r="H1682">
        <v>671.54</v>
      </c>
      <c r="I1682">
        <v>111</v>
      </c>
      <c r="J1682" t="s">
        <v>15</v>
      </c>
      <c r="L1682" t="s">
        <v>25</v>
      </c>
    </row>
    <row r="1683" spans="1:12" x14ac:dyDescent="0.2">
      <c r="A1683" t="s">
        <v>3471</v>
      </c>
      <c r="B1683" t="s">
        <v>3472</v>
      </c>
      <c r="C1683" s="1">
        <v>45160</v>
      </c>
      <c r="D1683" s="2">
        <v>45161</v>
      </c>
      <c r="E1683" t="s">
        <v>19</v>
      </c>
      <c r="F1683">
        <v>98820</v>
      </c>
      <c r="G1683">
        <v>1727</v>
      </c>
      <c r="H1683">
        <v>3007.59</v>
      </c>
      <c r="I1683">
        <v>150</v>
      </c>
      <c r="J1683" t="s">
        <v>24</v>
      </c>
      <c r="L1683" t="s">
        <v>20</v>
      </c>
    </row>
    <row r="1684" spans="1:12" x14ac:dyDescent="0.2">
      <c r="A1684" t="s">
        <v>3473</v>
      </c>
      <c r="B1684" t="s">
        <v>3474</v>
      </c>
      <c r="C1684" s="1">
        <v>45245</v>
      </c>
      <c r="D1684" s="2">
        <v>45255</v>
      </c>
      <c r="E1684" t="s">
        <v>33</v>
      </c>
      <c r="F1684">
        <v>66160</v>
      </c>
      <c r="G1684">
        <v>713</v>
      </c>
      <c r="H1684">
        <v>1147.79</v>
      </c>
      <c r="I1684">
        <v>37</v>
      </c>
      <c r="J1684">
        <v>1</v>
      </c>
      <c r="L1684" t="s">
        <v>34</v>
      </c>
    </row>
    <row r="1685" spans="1:12" x14ac:dyDescent="0.2">
      <c r="A1685" t="s">
        <v>3475</v>
      </c>
      <c r="B1685" t="s">
        <v>3476</v>
      </c>
      <c r="C1685" t="s">
        <v>1700</v>
      </c>
      <c r="D1685" s="2">
        <v>45019</v>
      </c>
      <c r="E1685" t="s">
        <v>14</v>
      </c>
      <c r="F1685">
        <v>18602</v>
      </c>
      <c r="G1685">
        <v>476</v>
      </c>
      <c r="H1685">
        <v>801.36</v>
      </c>
      <c r="I1685">
        <v>35</v>
      </c>
      <c r="J1685" t="b">
        <v>0</v>
      </c>
      <c r="L1685" t="s">
        <v>16</v>
      </c>
    </row>
    <row r="1686" spans="1:12" x14ac:dyDescent="0.2">
      <c r="A1686" t="s">
        <v>3477</v>
      </c>
      <c r="B1686" t="s">
        <v>3478</v>
      </c>
      <c r="C1686" s="2">
        <v>44936</v>
      </c>
      <c r="D1686" s="2">
        <v>45217</v>
      </c>
      <c r="E1686" t="s">
        <v>33</v>
      </c>
      <c r="F1686">
        <v>89801</v>
      </c>
      <c r="G1686">
        <v>1585</v>
      </c>
      <c r="H1686">
        <v>1075.68</v>
      </c>
      <c r="I1686">
        <v>223</v>
      </c>
      <c r="J1686" t="s">
        <v>15</v>
      </c>
      <c r="L1686" t="s">
        <v>34</v>
      </c>
    </row>
    <row r="1687" spans="1:12" x14ac:dyDescent="0.2">
      <c r="A1687" t="s">
        <v>3479</v>
      </c>
      <c r="B1687" t="s">
        <v>3480</v>
      </c>
      <c r="C1687" s="1">
        <v>44979</v>
      </c>
      <c r="D1687" s="2">
        <v>45005</v>
      </c>
      <c r="E1687" t="s">
        <v>19</v>
      </c>
      <c r="F1687">
        <v>26931</v>
      </c>
      <c r="G1687">
        <v>712</v>
      </c>
      <c r="H1687">
        <v>506.1</v>
      </c>
      <c r="J1687" t="b">
        <v>0</v>
      </c>
      <c r="L1687" t="s">
        <v>20</v>
      </c>
    </row>
    <row r="1688" spans="1:12" x14ac:dyDescent="0.2">
      <c r="A1688" t="s">
        <v>3481</v>
      </c>
      <c r="B1688" t="s">
        <v>3482</v>
      </c>
      <c r="C1688" s="1">
        <v>45151</v>
      </c>
      <c r="D1688" s="2">
        <v>45167</v>
      </c>
      <c r="E1688" t="s">
        <v>23</v>
      </c>
      <c r="F1688">
        <v>95377</v>
      </c>
      <c r="G1688">
        <v>4520</v>
      </c>
      <c r="H1688">
        <v>4202.29</v>
      </c>
      <c r="I1688">
        <v>240</v>
      </c>
      <c r="J1688" t="s">
        <v>15</v>
      </c>
      <c r="L1688" t="s">
        <v>68</v>
      </c>
    </row>
    <row r="1689" spans="1:12" x14ac:dyDescent="0.2">
      <c r="A1689" t="s">
        <v>3483</v>
      </c>
      <c r="B1689" t="s">
        <v>3484</v>
      </c>
      <c r="C1689" t="s">
        <v>1700</v>
      </c>
      <c r="D1689" s="2">
        <v>45026</v>
      </c>
      <c r="E1689" t="s">
        <v>19</v>
      </c>
      <c r="F1689">
        <v>30192</v>
      </c>
      <c r="G1689">
        <v>821</v>
      </c>
      <c r="H1689" s="3">
        <v>1048.51</v>
      </c>
      <c r="I1689">
        <v>45</v>
      </c>
      <c r="J1689" t="s">
        <v>15</v>
      </c>
      <c r="L1689" t="s">
        <v>20</v>
      </c>
    </row>
    <row r="1690" spans="1:12" x14ac:dyDescent="0.2">
      <c r="A1690" t="s">
        <v>3485</v>
      </c>
      <c r="B1690" t="s">
        <v>3486</v>
      </c>
      <c r="C1690" s="1">
        <v>45038</v>
      </c>
      <c r="D1690" s="2">
        <v>45063</v>
      </c>
      <c r="E1690" t="s">
        <v>23</v>
      </c>
      <c r="F1690">
        <v>47542</v>
      </c>
      <c r="G1690">
        <v>2145</v>
      </c>
      <c r="H1690">
        <v>3479.24</v>
      </c>
      <c r="I1690">
        <v>397</v>
      </c>
      <c r="J1690">
        <v>1</v>
      </c>
      <c r="L1690" t="s">
        <v>25</v>
      </c>
    </row>
    <row r="1691" spans="1:12" x14ac:dyDescent="0.2">
      <c r="A1691" t="s">
        <v>3487</v>
      </c>
      <c r="B1691" t="s">
        <v>3488</v>
      </c>
      <c r="C1691" s="1">
        <v>45182</v>
      </c>
      <c r="D1691" s="2">
        <v>45195</v>
      </c>
      <c r="E1691" t="s">
        <v>23</v>
      </c>
      <c r="F1691">
        <v>43520</v>
      </c>
      <c r="G1691">
        <v>1489</v>
      </c>
      <c r="H1691">
        <v>2612.89</v>
      </c>
      <c r="I1691">
        <v>90</v>
      </c>
      <c r="J1691">
        <v>1</v>
      </c>
      <c r="L1691" t="s">
        <v>25</v>
      </c>
    </row>
    <row r="1692" spans="1:12" x14ac:dyDescent="0.2">
      <c r="A1692" t="s">
        <v>3489</v>
      </c>
      <c r="B1692" t="s">
        <v>3490</v>
      </c>
      <c r="C1692" s="1">
        <v>44943</v>
      </c>
      <c r="D1692" s="2">
        <v>44961</v>
      </c>
      <c r="E1692" t="s">
        <v>23</v>
      </c>
      <c r="F1692">
        <v>65772</v>
      </c>
      <c r="G1692">
        <v>1307</v>
      </c>
      <c r="H1692">
        <v>2034.35</v>
      </c>
      <c r="I1692">
        <v>240</v>
      </c>
      <c r="J1692">
        <v>1</v>
      </c>
      <c r="L1692" t="s">
        <v>25</v>
      </c>
    </row>
    <row r="1693" spans="1:12" x14ac:dyDescent="0.2">
      <c r="A1693" t="s">
        <v>3491</v>
      </c>
      <c r="B1693" t="s">
        <v>3492</v>
      </c>
      <c r="C1693" t="s">
        <v>2879</v>
      </c>
      <c r="D1693" s="2">
        <v>45019</v>
      </c>
      <c r="E1693" t="s">
        <v>23</v>
      </c>
      <c r="F1693">
        <v>59762</v>
      </c>
      <c r="G1693">
        <v>1448</v>
      </c>
      <c r="H1693">
        <v>2740.91</v>
      </c>
      <c r="J1693" t="s">
        <v>15</v>
      </c>
      <c r="L1693" t="s">
        <v>25</v>
      </c>
    </row>
    <row r="1694" spans="1:12" x14ac:dyDescent="0.2">
      <c r="A1694" t="s">
        <v>3493</v>
      </c>
      <c r="B1694" t="s">
        <v>3494</v>
      </c>
      <c r="C1694" t="s">
        <v>3495</v>
      </c>
      <c r="D1694" s="2">
        <v>45151</v>
      </c>
      <c r="E1694" t="s">
        <v>19</v>
      </c>
      <c r="F1694">
        <v>51106</v>
      </c>
      <c r="G1694">
        <v>682</v>
      </c>
      <c r="H1694">
        <v>1096.73</v>
      </c>
      <c r="I1694">
        <v>109</v>
      </c>
      <c r="J1694" t="s">
        <v>15</v>
      </c>
      <c r="L1694" t="s">
        <v>20</v>
      </c>
    </row>
    <row r="1695" spans="1:12" x14ac:dyDescent="0.2">
      <c r="A1695" t="s">
        <v>3496</v>
      </c>
      <c r="B1695" t="s">
        <v>3497</v>
      </c>
      <c r="C1695" s="1">
        <v>45167</v>
      </c>
      <c r="D1695" s="2">
        <v>45180</v>
      </c>
      <c r="E1695" t="s">
        <v>33</v>
      </c>
      <c r="F1695">
        <v>82121</v>
      </c>
      <c r="G1695">
        <v>1916</v>
      </c>
      <c r="H1695">
        <v>1838.21</v>
      </c>
      <c r="I1695">
        <v>184</v>
      </c>
      <c r="J1695" t="b">
        <v>0</v>
      </c>
      <c r="L1695" t="s">
        <v>34</v>
      </c>
    </row>
    <row r="1696" spans="1:12" x14ac:dyDescent="0.2">
      <c r="A1696" t="s">
        <v>3498</v>
      </c>
      <c r="B1696" t="s">
        <v>3499</v>
      </c>
      <c r="C1696" s="1">
        <v>45055</v>
      </c>
      <c r="D1696" s="2">
        <v>45084</v>
      </c>
      <c r="E1696" t="s">
        <v>19</v>
      </c>
      <c r="F1696">
        <v>26559</v>
      </c>
      <c r="G1696">
        <v>985</v>
      </c>
      <c r="H1696">
        <v>884.16</v>
      </c>
      <c r="I1696">
        <v>176</v>
      </c>
      <c r="J1696" t="s">
        <v>30</v>
      </c>
      <c r="L1696" t="s">
        <v>20</v>
      </c>
    </row>
    <row r="1697" spans="1:12" x14ac:dyDescent="0.2">
      <c r="A1697" t="s">
        <v>3500</v>
      </c>
      <c r="B1697" t="s">
        <v>3501</v>
      </c>
      <c r="C1697" s="1">
        <v>44989</v>
      </c>
      <c r="D1697" s="2">
        <v>45006</v>
      </c>
      <c r="E1697" t="s">
        <v>23</v>
      </c>
      <c r="F1697">
        <v>34742</v>
      </c>
      <c r="G1697">
        <v>447</v>
      </c>
      <c r="H1697" s="3">
        <v>690.3</v>
      </c>
      <c r="I1697">
        <v>69</v>
      </c>
      <c r="J1697">
        <v>1</v>
      </c>
      <c r="L1697" t="s">
        <v>68</v>
      </c>
    </row>
    <row r="1698" spans="1:12" x14ac:dyDescent="0.2">
      <c r="A1698" t="s">
        <v>3502</v>
      </c>
      <c r="B1698" t="s">
        <v>3503</v>
      </c>
      <c r="C1698" s="1">
        <v>45124</v>
      </c>
      <c r="D1698" s="2">
        <v>45139</v>
      </c>
      <c r="E1698" t="s">
        <v>19</v>
      </c>
      <c r="F1698">
        <v>70669</v>
      </c>
      <c r="G1698">
        <v>1287</v>
      </c>
      <c r="H1698">
        <v>1015.84</v>
      </c>
      <c r="I1698">
        <v>141</v>
      </c>
      <c r="J1698">
        <v>0</v>
      </c>
      <c r="L1698" t="s">
        <v>20</v>
      </c>
    </row>
    <row r="1699" spans="1:12" x14ac:dyDescent="0.2">
      <c r="A1699" t="s">
        <v>3504</v>
      </c>
      <c r="B1699" t="s">
        <v>3505</v>
      </c>
      <c r="C1699" s="1">
        <v>44944</v>
      </c>
      <c r="D1699" s="2">
        <v>44965</v>
      </c>
      <c r="E1699" t="s">
        <v>41</v>
      </c>
      <c r="F1699">
        <v>81199</v>
      </c>
      <c r="G1699">
        <v>2050</v>
      </c>
      <c r="H1699">
        <v>1310.0999999999999</v>
      </c>
      <c r="I1699">
        <v>125</v>
      </c>
      <c r="J1699" t="b">
        <v>0</v>
      </c>
      <c r="L1699" t="s">
        <v>42</v>
      </c>
    </row>
    <row r="1700" spans="1:12" x14ac:dyDescent="0.2">
      <c r="A1700" t="s">
        <v>3506</v>
      </c>
      <c r="B1700" t="s">
        <v>3507</v>
      </c>
      <c r="C1700" s="1">
        <v>44975</v>
      </c>
      <c r="D1700" s="2">
        <v>44992</v>
      </c>
      <c r="E1700" t="s">
        <v>33</v>
      </c>
      <c r="F1700">
        <v>22754</v>
      </c>
      <c r="G1700">
        <v>1121</v>
      </c>
      <c r="H1700" s="3">
        <v>1455.43</v>
      </c>
      <c r="I1700">
        <v>179</v>
      </c>
      <c r="J1700" t="b">
        <v>0</v>
      </c>
      <c r="L1700" t="s">
        <v>34</v>
      </c>
    </row>
    <row r="1701" spans="1:12" x14ac:dyDescent="0.2">
      <c r="A1701" t="s">
        <v>3508</v>
      </c>
      <c r="B1701" t="s">
        <v>3509</v>
      </c>
      <c r="C1701" s="1">
        <v>45169</v>
      </c>
      <c r="D1701" s="2">
        <v>45181</v>
      </c>
      <c r="E1701" t="s">
        <v>33</v>
      </c>
      <c r="F1701">
        <v>4972</v>
      </c>
      <c r="G1701">
        <v>205</v>
      </c>
      <c r="H1701">
        <v>355.15</v>
      </c>
      <c r="I1701">
        <v>29</v>
      </c>
      <c r="J1701" t="b">
        <v>1</v>
      </c>
      <c r="L1701" t="s">
        <v>34</v>
      </c>
    </row>
    <row r="1702" spans="1:12" x14ac:dyDescent="0.2">
      <c r="A1702" t="s">
        <v>3510</v>
      </c>
      <c r="B1702" t="s">
        <v>3511</v>
      </c>
      <c r="C1702" s="1">
        <v>45092</v>
      </c>
      <c r="D1702" s="2">
        <v>45118</v>
      </c>
      <c r="E1702" t="s">
        <v>41</v>
      </c>
      <c r="F1702">
        <v>71831</v>
      </c>
      <c r="G1702">
        <v>2825</v>
      </c>
      <c r="H1702" s="3">
        <v>1842.1</v>
      </c>
      <c r="I1702">
        <v>142</v>
      </c>
      <c r="J1702">
        <v>1</v>
      </c>
      <c r="L1702" t="s">
        <v>42</v>
      </c>
    </row>
    <row r="1703" spans="1:12" x14ac:dyDescent="0.2">
      <c r="A1703" t="s">
        <v>3512</v>
      </c>
      <c r="B1703" t="s">
        <v>3513</v>
      </c>
      <c r="C1703" s="1">
        <v>45208</v>
      </c>
      <c r="D1703" s="2">
        <v>45228</v>
      </c>
      <c r="E1703" t="s">
        <v>19</v>
      </c>
      <c r="F1703">
        <v>42873</v>
      </c>
      <c r="G1703">
        <v>627</v>
      </c>
      <c r="H1703">
        <v>-1058.27</v>
      </c>
      <c r="I1703">
        <v>32</v>
      </c>
      <c r="J1703" t="s">
        <v>24</v>
      </c>
      <c r="L1703" t="s">
        <v>20</v>
      </c>
    </row>
    <row r="1704" spans="1:12" x14ac:dyDescent="0.2">
      <c r="A1704" t="s">
        <v>3514</v>
      </c>
      <c r="B1704" t="s">
        <v>3515</v>
      </c>
      <c r="C1704" s="1">
        <v>45253</v>
      </c>
      <c r="D1704" s="2">
        <v>45272</v>
      </c>
      <c r="E1704" t="s">
        <v>19</v>
      </c>
      <c r="F1704">
        <v>95661</v>
      </c>
      <c r="G1704">
        <v>3945</v>
      </c>
      <c r="H1704">
        <v>6774.98</v>
      </c>
      <c r="I1704">
        <v>675</v>
      </c>
      <c r="J1704" t="b">
        <v>0</v>
      </c>
      <c r="L1704" t="s">
        <v>20</v>
      </c>
    </row>
    <row r="1705" spans="1:12" x14ac:dyDescent="0.2">
      <c r="A1705" t="s">
        <v>3516</v>
      </c>
      <c r="B1705" t="s">
        <v>3517</v>
      </c>
      <c r="C1705" s="1">
        <v>44953</v>
      </c>
      <c r="D1705" s="2">
        <v>44976</v>
      </c>
      <c r="E1705" t="s">
        <v>41</v>
      </c>
      <c r="F1705">
        <v>10903</v>
      </c>
      <c r="G1705">
        <v>451</v>
      </c>
      <c r="H1705">
        <v>551.76</v>
      </c>
      <c r="I1705">
        <v>40</v>
      </c>
      <c r="J1705" t="b">
        <v>1</v>
      </c>
      <c r="L1705" t="s">
        <v>42</v>
      </c>
    </row>
    <row r="1706" spans="1:12" x14ac:dyDescent="0.2">
      <c r="A1706" t="s">
        <v>3518</v>
      </c>
      <c r="B1706" t="s">
        <v>3519</v>
      </c>
      <c r="C1706" s="1">
        <v>44984</v>
      </c>
      <c r="D1706" s="2">
        <v>45011</v>
      </c>
      <c r="E1706" t="s">
        <v>33</v>
      </c>
      <c r="F1706">
        <v>4020</v>
      </c>
      <c r="G1706">
        <v>136</v>
      </c>
      <c r="H1706">
        <v>79.69</v>
      </c>
      <c r="I1706">
        <v>19</v>
      </c>
      <c r="J1706">
        <v>0</v>
      </c>
      <c r="L1706" t="s">
        <v>34</v>
      </c>
    </row>
    <row r="1707" spans="1:12" x14ac:dyDescent="0.2">
      <c r="A1707" t="s">
        <v>3520</v>
      </c>
      <c r="B1707" t="s">
        <v>3521</v>
      </c>
      <c r="C1707" s="1">
        <v>44934</v>
      </c>
      <c r="D1707" s="2">
        <v>44958</v>
      </c>
      <c r="E1707" t="s">
        <v>19</v>
      </c>
      <c r="F1707">
        <v>42755</v>
      </c>
      <c r="G1707">
        <v>2121</v>
      </c>
      <c r="H1707">
        <v>1615.96</v>
      </c>
      <c r="I1707">
        <v>250</v>
      </c>
      <c r="J1707">
        <v>0</v>
      </c>
      <c r="L1707" t="s">
        <v>20</v>
      </c>
    </row>
    <row r="1708" spans="1:12" x14ac:dyDescent="0.2">
      <c r="A1708" t="s">
        <v>3522</v>
      </c>
      <c r="B1708" t="s">
        <v>3523</v>
      </c>
      <c r="C1708" s="1">
        <v>44988</v>
      </c>
      <c r="D1708" s="2">
        <v>45001</v>
      </c>
      <c r="E1708" t="s">
        <v>19</v>
      </c>
      <c r="F1708">
        <v>86956</v>
      </c>
      <c r="G1708">
        <v>2000</v>
      </c>
      <c r="H1708">
        <v>3122.28</v>
      </c>
      <c r="I1708">
        <v>359</v>
      </c>
      <c r="J1708" t="s">
        <v>24</v>
      </c>
      <c r="L1708" t="s">
        <v>20</v>
      </c>
    </row>
    <row r="1709" spans="1:12" x14ac:dyDescent="0.2">
      <c r="A1709" t="s">
        <v>3524</v>
      </c>
      <c r="B1709" t="s">
        <v>3525</v>
      </c>
      <c r="C1709" s="1">
        <v>44948</v>
      </c>
      <c r="D1709" s="2">
        <v>44973</v>
      </c>
      <c r="E1709" t="s">
        <v>23</v>
      </c>
      <c r="F1709">
        <v>87988</v>
      </c>
      <c r="G1709">
        <v>4192</v>
      </c>
      <c r="H1709">
        <v>6571.66</v>
      </c>
      <c r="I1709">
        <v>786</v>
      </c>
      <c r="J1709">
        <v>1</v>
      </c>
      <c r="L1709" t="s">
        <v>25</v>
      </c>
    </row>
    <row r="1710" spans="1:12" x14ac:dyDescent="0.2">
      <c r="A1710" t="s">
        <v>3526</v>
      </c>
      <c r="B1710" t="s">
        <v>3527</v>
      </c>
      <c r="C1710" s="1">
        <v>45279</v>
      </c>
      <c r="D1710" s="2">
        <v>45288</v>
      </c>
      <c r="E1710" t="s">
        <v>41</v>
      </c>
      <c r="F1710">
        <v>46648</v>
      </c>
      <c r="G1710">
        <v>2173</v>
      </c>
      <c r="H1710">
        <v>4014.69</v>
      </c>
      <c r="I1710">
        <v>433</v>
      </c>
      <c r="J1710" t="s">
        <v>15</v>
      </c>
      <c r="L1710" t="s">
        <v>42</v>
      </c>
    </row>
    <row r="1711" spans="1:12" x14ac:dyDescent="0.2">
      <c r="A1711" t="s">
        <v>3528</v>
      </c>
      <c r="B1711" t="s">
        <v>3529</v>
      </c>
      <c r="C1711" s="1">
        <v>44972</v>
      </c>
      <c r="D1711" s="2">
        <v>44989</v>
      </c>
      <c r="E1711" t="s">
        <v>14</v>
      </c>
      <c r="F1711">
        <v>10516</v>
      </c>
      <c r="G1711">
        <v>109</v>
      </c>
      <c r="H1711">
        <v>149.77000000000001</v>
      </c>
      <c r="I1711">
        <v>7</v>
      </c>
      <c r="J1711" t="b">
        <v>1</v>
      </c>
      <c r="L1711" t="s">
        <v>16</v>
      </c>
    </row>
    <row r="1712" spans="1:12" x14ac:dyDescent="0.2">
      <c r="A1712" t="s">
        <v>3530</v>
      </c>
      <c r="B1712" t="s">
        <v>3531</v>
      </c>
      <c r="C1712" s="1">
        <v>45278</v>
      </c>
      <c r="D1712" s="2">
        <v>45308</v>
      </c>
      <c r="E1712" t="s">
        <v>14</v>
      </c>
      <c r="F1712">
        <v>3396</v>
      </c>
      <c r="G1712">
        <v>95</v>
      </c>
      <c r="H1712">
        <v>-65.19</v>
      </c>
      <c r="I1712">
        <v>17</v>
      </c>
      <c r="J1712" t="s">
        <v>15</v>
      </c>
      <c r="L1712" t="s">
        <v>68</v>
      </c>
    </row>
    <row r="1713" spans="1:12" x14ac:dyDescent="0.2">
      <c r="A1713" t="s">
        <v>3532</v>
      </c>
      <c r="B1713" t="s">
        <v>3533</v>
      </c>
      <c r="C1713" t="s">
        <v>3064</v>
      </c>
      <c r="D1713" s="2">
        <v>45261</v>
      </c>
      <c r="E1713" t="s">
        <v>23</v>
      </c>
      <c r="F1713">
        <v>85082</v>
      </c>
      <c r="G1713">
        <v>4176</v>
      </c>
      <c r="H1713">
        <v>2848.54</v>
      </c>
      <c r="J1713">
        <v>0</v>
      </c>
      <c r="L1713" t="s">
        <v>25</v>
      </c>
    </row>
    <row r="1714" spans="1:12" x14ac:dyDescent="0.2">
      <c r="A1714" t="s">
        <v>3534</v>
      </c>
      <c r="B1714" t="s">
        <v>3535</v>
      </c>
      <c r="C1714" s="1">
        <v>45109</v>
      </c>
      <c r="D1714" s="2">
        <v>45115</v>
      </c>
      <c r="E1714" t="s">
        <v>41</v>
      </c>
      <c r="F1714">
        <v>20129</v>
      </c>
      <c r="G1714">
        <v>284</v>
      </c>
      <c r="H1714">
        <v>449.2</v>
      </c>
      <c r="I1714">
        <v>39</v>
      </c>
      <c r="J1714">
        <v>0</v>
      </c>
      <c r="L1714" t="s">
        <v>42</v>
      </c>
    </row>
    <row r="1715" spans="1:12" x14ac:dyDescent="0.2">
      <c r="A1715" t="s">
        <v>3536</v>
      </c>
      <c r="B1715" t="s">
        <v>3537</v>
      </c>
      <c r="C1715" s="1">
        <v>44981</v>
      </c>
      <c r="D1715" s="2">
        <v>44998</v>
      </c>
      <c r="E1715" t="s">
        <v>23</v>
      </c>
      <c r="F1715">
        <v>2591</v>
      </c>
      <c r="G1715">
        <v>82</v>
      </c>
      <c r="H1715">
        <v>63.61</v>
      </c>
      <c r="I1715">
        <v>10</v>
      </c>
      <c r="J1715" t="s">
        <v>30</v>
      </c>
      <c r="L1715" t="s">
        <v>25</v>
      </c>
    </row>
    <row r="1716" spans="1:12" x14ac:dyDescent="0.2">
      <c r="A1716" t="s">
        <v>3538</v>
      </c>
      <c r="B1716" t="s">
        <v>3539</v>
      </c>
      <c r="C1716" s="1">
        <v>45212</v>
      </c>
      <c r="D1716" s="2">
        <v>45240</v>
      </c>
      <c r="E1716" t="s">
        <v>19</v>
      </c>
      <c r="F1716">
        <v>12303</v>
      </c>
      <c r="G1716">
        <v>604</v>
      </c>
      <c r="H1716">
        <v>599.52</v>
      </c>
      <c r="I1716">
        <v>31</v>
      </c>
      <c r="J1716" t="s">
        <v>30</v>
      </c>
      <c r="L1716" t="s">
        <v>20</v>
      </c>
    </row>
    <row r="1717" spans="1:12" x14ac:dyDescent="0.2">
      <c r="A1717" t="s">
        <v>3540</v>
      </c>
      <c r="B1717" t="s">
        <v>3541</v>
      </c>
      <c r="C1717" s="2">
        <v>45151</v>
      </c>
      <c r="D1717" s="2">
        <v>45167</v>
      </c>
      <c r="E1717" t="s">
        <v>19</v>
      </c>
      <c r="F1717">
        <v>31561</v>
      </c>
      <c r="G1717">
        <v>1016</v>
      </c>
      <c r="H1717">
        <v>1250.51</v>
      </c>
      <c r="J1717" t="s">
        <v>24</v>
      </c>
      <c r="L1717" t="s">
        <v>20</v>
      </c>
    </row>
    <row r="1718" spans="1:12" x14ac:dyDescent="0.2">
      <c r="A1718" t="s">
        <v>3542</v>
      </c>
      <c r="B1718" t="s">
        <v>3543</v>
      </c>
      <c r="C1718" s="1">
        <v>45120</v>
      </c>
      <c r="D1718" s="2">
        <v>45125</v>
      </c>
      <c r="E1718" t="s">
        <v>33</v>
      </c>
      <c r="F1718">
        <v>72719</v>
      </c>
      <c r="G1718">
        <v>1279</v>
      </c>
      <c r="H1718">
        <v>687.01</v>
      </c>
      <c r="I1718">
        <v>78</v>
      </c>
      <c r="J1718" t="s">
        <v>30</v>
      </c>
      <c r="L1718" t="s">
        <v>34</v>
      </c>
    </row>
    <row r="1719" spans="1:12" x14ac:dyDescent="0.2">
      <c r="A1719" t="s">
        <v>3544</v>
      </c>
      <c r="B1719" t="s">
        <v>3545</v>
      </c>
      <c r="C1719" s="1">
        <v>44947</v>
      </c>
      <c r="D1719" s="2">
        <v>44973</v>
      </c>
      <c r="E1719" t="s">
        <v>33</v>
      </c>
      <c r="F1719">
        <v>93108</v>
      </c>
      <c r="G1719">
        <v>3099</v>
      </c>
      <c r="H1719">
        <v>2706.14</v>
      </c>
      <c r="I1719">
        <v>474</v>
      </c>
      <c r="J1719" t="s">
        <v>30</v>
      </c>
      <c r="L1719" t="s">
        <v>34</v>
      </c>
    </row>
    <row r="1720" spans="1:12" x14ac:dyDescent="0.2">
      <c r="A1720" t="s">
        <v>3546</v>
      </c>
      <c r="B1720" t="s">
        <v>3547</v>
      </c>
      <c r="C1720" s="1">
        <v>45077</v>
      </c>
      <c r="D1720" s="2">
        <v>45079</v>
      </c>
      <c r="E1720" t="s">
        <v>23</v>
      </c>
      <c r="F1720">
        <v>87231</v>
      </c>
      <c r="G1720">
        <v>1585</v>
      </c>
      <c r="H1720">
        <v>500000</v>
      </c>
      <c r="I1720">
        <v>265</v>
      </c>
      <c r="J1720" t="s">
        <v>24</v>
      </c>
      <c r="L1720" t="s">
        <v>25</v>
      </c>
    </row>
    <row r="1721" spans="1:12" x14ac:dyDescent="0.2">
      <c r="A1721" t="s">
        <v>3548</v>
      </c>
      <c r="B1721" t="s">
        <v>3549</v>
      </c>
      <c r="C1721" s="1">
        <v>45217</v>
      </c>
      <c r="D1721" s="2">
        <v>45224</v>
      </c>
      <c r="E1721" t="s">
        <v>23</v>
      </c>
      <c r="F1721">
        <v>8314</v>
      </c>
      <c r="G1721">
        <v>255</v>
      </c>
      <c r="H1721">
        <v>234.46</v>
      </c>
      <c r="I1721">
        <v>43</v>
      </c>
      <c r="J1721" t="b">
        <v>0</v>
      </c>
      <c r="L1721" t="s">
        <v>25</v>
      </c>
    </row>
    <row r="1722" spans="1:12" x14ac:dyDescent="0.2">
      <c r="A1722" t="s">
        <v>3550</v>
      </c>
      <c r="B1722" t="s">
        <v>3551</v>
      </c>
      <c r="C1722" s="1">
        <v>45166</v>
      </c>
      <c r="D1722" s="2">
        <v>45169</v>
      </c>
      <c r="E1722" t="s">
        <v>33</v>
      </c>
      <c r="F1722">
        <v>20623</v>
      </c>
      <c r="G1722">
        <v>267</v>
      </c>
      <c r="H1722">
        <v>188.12</v>
      </c>
      <c r="I1722">
        <v>18</v>
      </c>
      <c r="J1722" t="s">
        <v>30</v>
      </c>
      <c r="L1722" t="s">
        <v>34</v>
      </c>
    </row>
    <row r="1723" spans="1:12" x14ac:dyDescent="0.2">
      <c r="A1723" t="s">
        <v>3552</v>
      </c>
      <c r="B1723" t="s">
        <v>3553</v>
      </c>
      <c r="C1723" s="1">
        <v>45210</v>
      </c>
      <c r="D1723" s="2">
        <v>45230</v>
      </c>
      <c r="E1723" t="s">
        <v>14</v>
      </c>
      <c r="F1723">
        <v>68675</v>
      </c>
      <c r="G1723">
        <v>2350</v>
      </c>
      <c r="H1723" s="3">
        <v>3741.24</v>
      </c>
      <c r="I1723">
        <v>275</v>
      </c>
      <c r="J1723" t="b">
        <v>0</v>
      </c>
      <c r="L1723" t="s">
        <v>16</v>
      </c>
    </row>
    <row r="1724" spans="1:12" x14ac:dyDescent="0.2">
      <c r="A1724" t="s">
        <v>3554</v>
      </c>
      <c r="B1724" t="s">
        <v>3555</v>
      </c>
      <c r="C1724" s="1">
        <v>45157</v>
      </c>
      <c r="D1724" s="2">
        <v>45169</v>
      </c>
      <c r="E1724" t="s">
        <v>41</v>
      </c>
      <c r="F1724">
        <v>97826</v>
      </c>
      <c r="G1724">
        <v>3000</v>
      </c>
      <c r="H1724">
        <v>5159.16</v>
      </c>
      <c r="I1724">
        <v>523</v>
      </c>
      <c r="J1724" t="b">
        <v>0</v>
      </c>
      <c r="L1724" t="s">
        <v>42</v>
      </c>
    </row>
    <row r="1725" spans="1:12" x14ac:dyDescent="0.2">
      <c r="A1725" t="s">
        <v>3556</v>
      </c>
      <c r="B1725" t="s">
        <v>3557</v>
      </c>
      <c r="C1725" s="1">
        <v>45114</v>
      </c>
      <c r="D1725" s="2">
        <v>45141</v>
      </c>
      <c r="E1725" t="s">
        <v>33</v>
      </c>
      <c r="F1725">
        <v>66082</v>
      </c>
      <c r="G1725">
        <v>2617</v>
      </c>
      <c r="H1725">
        <v>2319.23</v>
      </c>
      <c r="I1725">
        <v>249</v>
      </c>
      <c r="J1725">
        <v>1</v>
      </c>
      <c r="L1725" t="s">
        <v>34</v>
      </c>
    </row>
    <row r="1726" spans="1:12" x14ac:dyDescent="0.2">
      <c r="A1726" t="s">
        <v>3558</v>
      </c>
      <c r="B1726" t="s">
        <v>3559</v>
      </c>
      <c r="C1726" s="1">
        <v>45186</v>
      </c>
      <c r="D1726" s="2">
        <v>45196</v>
      </c>
      <c r="E1726" t="s">
        <v>19</v>
      </c>
      <c r="F1726">
        <v>84624</v>
      </c>
      <c r="G1726">
        <v>2981</v>
      </c>
      <c r="H1726">
        <v>4953.32</v>
      </c>
      <c r="I1726">
        <v>358</v>
      </c>
      <c r="J1726" t="b">
        <v>0</v>
      </c>
      <c r="L1726" t="s">
        <v>20</v>
      </c>
    </row>
    <row r="1727" spans="1:12" x14ac:dyDescent="0.2">
      <c r="A1727" t="s">
        <v>3560</v>
      </c>
      <c r="B1727" t="s">
        <v>3561</v>
      </c>
      <c r="C1727" s="1">
        <v>44936</v>
      </c>
      <c r="D1727" s="2">
        <v>44940</v>
      </c>
      <c r="E1727" t="s">
        <v>14</v>
      </c>
      <c r="F1727">
        <v>34130</v>
      </c>
      <c r="G1727">
        <v>1091</v>
      </c>
      <c r="H1727" s="3">
        <v>1176.46</v>
      </c>
      <c r="I1727">
        <v>99</v>
      </c>
      <c r="J1727" t="b">
        <v>0</v>
      </c>
      <c r="L1727" t="s">
        <v>16</v>
      </c>
    </row>
    <row r="1728" spans="1:12" x14ac:dyDescent="0.2">
      <c r="A1728" t="s">
        <v>3562</v>
      </c>
      <c r="B1728" t="s">
        <v>3563</v>
      </c>
      <c r="C1728" s="1">
        <v>45244</v>
      </c>
      <c r="D1728" s="2">
        <v>45264</v>
      </c>
      <c r="E1728" t="s">
        <v>33</v>
      </c>
      <c r="F1728">
        <v>52756</v>
      </c>
      <c r="G1728">
        <v>1983</v>
      </c>
      <c r="H1728">
        <v>2498.64</v>
      </c>
      <c r="I1728">
        <v>237</v>
      </c>
      <c r="J1728" t="s">
        <v>30</v>
      </c>
      <c r="L1728" t="s">
        <v>34</v>
      </c>
    </row>
    <row r="1729" spans="1:12" x14ac:dyDescent="0.2">
      <c r="A1729" t="s">
        <v>3564</v>
      </c>
      <c r="B1729" t="s">
        <v>3565</v>
      </c>
      <c r="C1729" s="1">
        <v>45264</v>
      </c>
      <c r="D1729" s="2">
        <v>45293</v>
      </c>
      <c r="E1729" t="s">
        <v>19</v>
      </c>
      <c r="F1729">
        <v>98624</v>
      </c>
      <c r="G1729">
        <v>1554</v>
      </c>
      <c r="H1729">
        <v>2772.34</v>
      </c>
      <c r="I1729">
        <v>284</v>
      </c>
      <c r="J1729" t="b">
        <v>0</v>
      </c>
      <c r="L1729" t="s">
        <v>20</v>
      </c>
    </row>
    <row r="1730" spans="1:12" x14ac:dyDescent="0.2">
      <c r="A1730" t="s">
        <v>3566</v>
      </c>
      <c r="B1730" t="s">
        <v>3567</v>
      </c>
      <c r="C1730" s="1">
        <v>45024</v>
      </c>
      <c r="D1730" s="2">
        <v>45038</v>
      </c>
      <c r="E1730" t="s">
        <v>41</v>
      </c>
      <c r="F1730">
        <v>27292</v>
      </c>
      <c r="G1730">
        <v>922</v>
      </c>
      <c r="H1730">
        <v>1498.19</v>
      </c>
      <c r="I1730">
        <v>109</v>
      </c>
      <c r="J1730" t="s">
        <v>15</v>
      </c>
      <c r="L1730" t="s">
        <v>42</v>
      </c>
    </row>
    <row r="1731" spans="1:12" x14ac:dyDescent="0.2">
      <c r="A1731" t="s">
        <v>3568</v>
      </c>
      <c r="B1731" t="s">
        <v>3569</v>
      </c>
      <c r="C1731" s="1">
        <v>45209</v>
      </c>
      <c r="D1731" s="2">
        <v>45222</v>
      </c>
      <c r="E1731" t="s">
        <v>33</v>
      </c>
      <c r="F1731">
        <v>87206</v>
      </c>
      <c r="G1731">
        <v>1472</v>
      </c>
      <c r="H1731">
        <v>2513.6999999999998</v>
      </c>
      <c r="I1731">
        <v>196</v>
      </c>
      <c r="J1731" t="s">
        <v>24</v>
      </c>
      <c r="L1731" t="s">
        <v>34</v>
      </c>
    </row>
    <row r="1732" spans="1:12" x14ac:dyDescent="0.2">
      <c r="A1732" t="s">
        <v>3570</v>
      </c>
      <c r="B1732" t="s">
        <v>3571</v>
      </c>
      <c r="C1732" s="1">
        <v>45136</v>
      </c>
      <c r="D1732" s="2">
        <v>45149</v>
      </c>
      <c r="E1732" t="s">
        <v>23</v>
      </c>
      <c r="F1732">
        <v>70274</v>
      </c>
      <c r="G1732">
        <v>3304</v>
      </c>
      <c r="H1732">
        <v>2330.1999999999998</v>
      </c>
      <c r="I1732">
        <v>365</v>
      </c>
      <c r="J1732" t="s">
        <v>30</v>
      </c>
      <c r="L1732" t="s">
        <v>25</v>
      </c>
    </row>
    <row r="1733" spans="1:12" x14ac:dyDescent="0.2">
      <c r="A1733" t="s">
        <v>3572</v>
      </c>
      <c r="B1733" t="s">
        <v>3573</v>
      </c>
      <c r="C1733" s="2">
        <v>45194</v>
      </c>
      <c r="D1733" s="2">
        <v>45204</v>
      </c>
      <c r="E1733" t="s">
        <v>23</v>
      </c>
      <c r="F1733">
        <v>3469</v>
      </c>
      <c r="G1733">
        <v>44</v>
      </c>
      <c r="H1733">
        <v>26.6</v>
      </c>
      <c r="I1733">
        <v>5</v>
      </c>
      <c r="J1733" t="s">
        <v>24</v>
      </c>
      <c r="L1733" t="s">
        <v>25</v>
      </c>
    </row>
    <row r="1734" spans="1:12" x14ac:dyDescent="0.2">
      <c r="A1734" t="s">
        <v>3574</v>
      </c>
      <c r="B1734" t="s">
        <v>3575</v>
      </c>
      <c r="C1734" s="2">
        <v>44993</v>
      </c>
      <c r="D1734" s="2">
        <v>45153</v>
      </c>
      <c r="E1734" t="s">
        <v>14</v>
      </c>
      <c r="F1734">
        <v>54947</v>
      </c>
      <c r="G1734">
        <v>1495</v>
      </c>
      <c r="H1734">
        <v>2750.96</v>
      </c>
      <c r="I1734">
        <v>78</v>
      </c>
      <c r="J1734" t="b">
        <v>1</v>
      </c>
      <c r="L1734" t="s">
        <v>16</v>
      </c>
    </row>
    <row r="1735" spans="1:12" x14ac:dyDescent="0.2">
      <c r="A1735" t="s">
        <v>3576</v>
      </c>
      <c r="B1735" t="s">
        <v>3577</v>
      </c>
      <c r="C1735" s="2">
        <v>44981</v>
      </c>
      <c r="D1735" s="2">
        <v>44982</v>
      </c>
      <c r="E1735" t="s">
        <v>41</v>
      </c>
      <c r="F1735">
        <v>23534</v>
      </c>
      <c r="G1735">
        <v>890</v>
      </c>
      <c r="H1735">
        <v>962.76</v>
      </c>
      <c r="I1735">
        <v>82</v>
      </c>
      <c r="J1735" t="s">
        <v>30</v>
      </c>
      <c r="L1735" t="s">
        <v>42</v>
      </c>
    </row>
    <row r="1736" spans="1:12" x14ac:dyDescent="0.2">
      <c r="A1736" t="s">
        <v>3578</v>
      </c>
      <c r="B1736" t="s">
        <v>3579</v>
      </c>
      <c r="C1736" s="1">
        <v>45219</v>
      </c>
      <c r="D1736" s="2">
        <v>45230</v>
      </c>
      <c r="E1736" t="s">
        <v>14</v>
      </c>
      <c r="F1736">
        <v>64620</v>
      </c>
      <c r="G1736">
        <v>1830</v>
      </c>
      <c r="H1736">
        <v>1705.23</v>
      </c>
      <c r="I1736">
        <v>211</v>
      </c>
      <c r="J1736" t="b">
        <v>0</v>
      </c>
      <c r="L1736" t="s">
        <v>16</v>
      </c>
    </row>
    <row r="1737" spans="1:12" x14ac:dyDescent="0.2">
      <c r="A1737" t="s">
        <v>3580</v>
      </c>
      <c r="B1737" t="s">
        <v>3581</v>
      </c>
      <c r="C1737" s="1">
        <v>45177</v>
      </c>
      <c r="D1737" s="2">
        <v>45193</v>
      </c>
      <c r="E1737" t="s">
        <v>23</v>
      </c>
      <c r="F1737">
        <v>49874</v>
      </c>
      <c r="G1737">
        <v>682</v>
      </c>
      <c r="H1737">
        <v>1082.3599999999999</v>
      </c>
      <c r="I1737">
        <v>98</v>
      </c>
      <c r="J1737" t="s">
        <v>15</v>
      </c>
      <c r="L1737" t="s">
        <v>25</v>
      </c>
    </row>
    <row r="1738" spans="1:12" x14ac:dyDescent="0.2">
      <c r="A1738" t="s">
        <v>3582</v>
      </c>
      <c r="B1738" t="s">
        <v>3583</v>
      </c>
      <c r="C1738" s="2">
        <v>45265</v>
      </c>
      <c r="D1738" s="2">
        <v>45065</v>
      </c>
      <c r="E1738" t="s">
        <v>41</v>
      </c>
      <c r="F1738">
        <v>50708</v>
      </c>
      <c r="G1738">
        <v>1629</v>
      </c>
      <c r="H1738">
        <v>2858.28</v>
      </c>
      <c r="I1738">
        <v>191</v>
      </c>
      <c r="J1738" t="s">
        <v>24</v>
      </c>
      <c r="L1738" t="s">
        <v>42</v>
      </c>
    </row>
    <row r="1739" spans="1:12" x14ac:dyDescent="0.2">
      <c r="A1739" t="s">
        <v>3584</v>
      </c>
      <c r="B1739" t="s">
        <v>3585</v>
      </c>
      <c r="C1739" s="2">
        <v>45040</v>
      </c>
      <c r="D1739" s="2">
        <v>45065</v>
      </c>
      <c r="E1739" t="s">
        <v>19</v>
      </c>
      <c r="F1739">
        <v>75553</v>
      </c>
      <c r="G1739">
        <v>2694</v>
      </c>
      <c r="H1739">
        <v>4832.32</v>
      </c>
      <c r="I1739">
        <v>271</v>
      </c>
      <c r="J1739" t="s">
        <v>30</v>
      </c>
      <c r="L1739" t="s">
        <v>68</v>
      </c>
    </row>
    <row r="1740" spans="1:12" x14ac:dyDescent="0.2">
      <c r="A1740" t="s">
        <v>3586</v>
      </c>
      <c r="B1740" t="s">
        <v>3587</v>
      </c>
      <c r="C1740" s="1">
        <v>45033</v>
      </c>
      <c r="D1740" s="2">
        <v>45034</v>
      </c>
      <c r="E1740" t="s">
        <v>14</v>
      </c>
      <c r="F1740">
        <v>69344</v>
      </c>
      <c r="G1740">
        <v>2645</v>
      </c>
      <c r="H1740" s="3">
        <v>2576.2199999999998</v>
      </c>
      <c r="I1740">
        <v>286</v>
      </c>
      <c r="J1740" t="s">
        <v>15</v>
      </c>
      <c r="L1740" t="s">
        <v>16</v>
      </c>
    </row>
    <row r="1741" spans="1:12" x14ac:dyDescent="0.2">
      <c r="A1741" t="s">
        <v>3588</v>
      </c>
      <c r="B1741" t="s">
        <v>3589</v>
      </c>
      <c r="C1741" s="1">
        <v>44967</v>
      </c>
      <c r="D1741" s="2">
        <v>44974</v>
      </c>
      <c r="E1741" t="s">
        <v>19</v>
      </c>
      <c r="F1741">
        <v>50138</v>
      </c>
      <c r="G1741">
        <v>1249</v>
      </c>
      <c r="H1741">
        <v>2221.12</v>
      </c>
      <c r="I1741">
        <v>107</v>
      </c>
      <c r="J1741" t="s">
        <v>24</v>
      </c>
      <c r="L1741" t="s">
        <v>20</v>
      </c>
    </row>
    <row r="1742" spans="1:12" x14ac:dyDescent="0.2">
      <c r="A1742" t="s">
        <v>3590</v>
      </c>
      <c r="B1742" t="s">
        <v>3591</v>
      </c>
      <c r="C1742" s="1">
        <v>45111</v>
      </c>
      <c r="D1742" s="2">
        <v>45125</v>
      </c>
      <c r="E1742" t="s">
        <v>138</v>
      </c>
      <c r="F1742">
        <v>55302</v>
      </c>
      <c r="G1742">
        <v>1799</v>
      </c>
      <c r="H1742">
        <v>1009.96</v>
      </c>
      <c r="I1742">
        <v>339</v>
      </c>
      <c r="J1742" t="b">
        <v>1</v>
      </c>
      <c r="L1742" t="s">
        <v>139</v>
      </c>
    </row>
    <row r="1743" spans="1:12" x14ac:dyDescent="0.2">
      <c r="A1743" t="s">
        <v>3592</v>
      </c>
      <c r="B1743" t="s">
        <v>3593</v>
      </c>
      <c r="C1743" s="1">
        <v>45139</v>
      </c>
      <c r="D1743" s="2">
        <v>45164</v>
      </c>
      <c r="E1743" t="s">
        <v>33</v>
      </c>
      <c r="F1743">
        <v>48638</v>
      </c>
      <c r="G1743">
        <v>1363</v>
      </c>
      <c r="H1743">
        <v>783.03</v>
      </c>
      <c r="J1743">
        <v>0</v>
      </c>
      <c r="L1743" t="s">
        <v>34</v>
      </c>
    </row>
    <row r="1744" spans="1:12" x14ac:dyDescent="0.2">
      <c r="A1744" t="s">
        <v>3594</v>
      </c>
      <c r="B1744" t="s">
        <v>3595</v>
      </c>
      <c r="C1744" s="1">
        <v>44956</v>
      </c>
      <c r="D1744" s="2">
        <v>44977</v>
      </c>
      <c r="E1744" t="s">
        <v>33</v>
      </c>
      <c r="F1744">
        <v>79249</v>
      </c>
      <c r="G1744">
        <v>2922</v>
      </c>
      <c r="H1744" s="3">
        <v>4193.88</v>
      </c>
      <c r="I1744">
        <v>151</v>
      </c>
      <c r="J1744" t="b">
        <v>1</v>
      </c>
      <c r="L1744" t="s">
        <v>34</v>
      </c>
    </row>
    <row r="1745" spans="1:12" x14ac:dyDescent="0.2">
      <c r="A1745" t="s">
        <v>3596</v>
      </c>
      <c r="B1745" t="s">
        <v>3597</v>
      </c>
      <c r="C1745" s="1">
        <v>44947</v>
      </c>
      <c r="D1745" s="2">
        <v>44972</v>
      </c>
      <c r="E1745" t="s">
        <v>19</v>
      </c>
      <c r="F1745">
        <v>3719</v>
      </c>
      <c r="G1745">
        <v>123</v>
      </c>
      <c r="H1745">
        <v>73.14</v>
      </c>
      <c r="I1745">
        <v>6</v>
      </c>
      <c r="J1745">
        <v>0</v>
      </c>
      <c r="L1745" t="s">
        <v>20</v>
      </c>
    </row>
    <row r="1746" spans="1:12" x14ac:dyDescent="0.2">
      <c r="A1746" t="s">
        <v>3598</v>
      </c>
      <c r="B1746" t="s">
        <v>3599</v>
      </c>
      <c r="C1746" s="1">
        <v>44966</v>
      </c>
      <c r="D1746" s="2">
        <v>44971</v>
      </c>
      <c r="E1746" t="s">
        <v>138</v>
      </c>
      <c r="F1746">
        <v>23890</v>
      </c>
      <c r="G1746">
        <v>741</v>
      </c>
      <c r="H1746">
        <v>731.3</v>
      </c>
      <c r="I1746">
        <v>145</v>
      </c>
      <c r="J1746">
        <v>1</v>
      </c>
      <c r="L1746" t="s">
        <v>68</v>
      </c>
    </row>
    <row r="1747" spans="1:12" x14ac:dyDescent="0.2">
      <c r="A1747" t="s">
        <v>3600</v>
      </c>
      <c r="B1747" t="s">
        <v>3601</v>
      </c>
      <c r="C1747" s="1">
        <v>44976</v>
      </c>
      <c r="D1747" s="2">
        <v>44991</v>
      </c>
      <c r="E1747" t="s">
        <v>19</v>
      </c>
      <c r="F1747">
        <v>78236</v>
      </c>
      <c r="G1747">
        <v>1563</v>
      </c>
      <c r="H1747">
        <v>2358.7800000000002</v>
      </c>
      <c r="I1747">
        <v>130</v>
      </c>
      <c r="J1747">
        <v>0</v>
      </c>
      <c r="L1747" t="s">
        <v>20</v>
      </c>
    </row>
    <row r="1748" spans="1:12" x14ac:dyDescent="0.2">
      <c r="A1748" t="s">
        <v>3602</v>
      </c>
      <c r="B1748" t="s">
        <v>3603</v>
      </c>
      <c r="C1748" s="1">
        <v>45124</v>
      </c>
      <c r="D1748" s="2">
        <v>45152</v>
      </c>
      <c r="E1748" t="s">
        <v>19</v>
      </c>
      <c r="F1748">
        <v>37509</v>
      </c>
      <c r="G1748">
        <v>378</v>
      </c>
      <c r="H1748">
        <v>380.23</v>
      </c>
      <c r="I1748">
        <v>64</v>
      </c>
      <c r="J1748">
        <v>1</v>
      </c>
      <c r="L1748" t="s">
        <v>20</v>
      </c>
    </row>
    <row r="1749" spans="1:12" x14ac:dyDescent="0.2">
      <c r="A1749" t="s">
        <v>3604</v>
      </c>
      <c r="B1749" t="s">
        <v>3605</v>
      </c>
      <c r="C1749" s="1">
        <v>45054</v>
      </c>
      <c r="D1749" s="2">
        <v>45073</v>
      </c>
      <c r="E1749" t="s">
        <v>41</v>
      </c>
      <c r="F1749">
        <v>43534</v>
      </c>
      <c r="G1749">
        <v>738</v>
      </c>
      <c r="H1749">
        <v>567.82000000000005</v>
      </c>
      <c r="I1749">
        <v>43</v>
      </c>
      <c r="J1749" t="s">
        <v>30</v>
      </c>
      <c r="L1749" t="s">
        <v>42</v>
      </c>
    </row>
    <row r="1750" spans="1:12" x14ac:dyDescent="0.2">
      <c r="A1750" t="s">
        <v>3606</v>
      </c>
      <c r="B1750" t="s">
        <v>3607</v>
      </c>
      <c r="C1750" s="1">
        <v>45212</v>
      </c>
      <c r="D1750" s="2">
        <v>45238</v>
      </c>
      <c r="E1750" t="s">
        <v>14</v>
      </c>
      <c r="F1750">
        <v>93241</v>
      </c>
      <c r="G1750">
        <v>1369</v>
      </c>
      <c r="H1750">
        <v>1262.25</v>
      </c>
      <c r="I1750">
        <v>257</v>
      </c>
      <c r="J1750">
        <v>1</v>
      </c>
      <c r="L1750" t="s">
        <v>16</v>
      </c>
    </row>
    <row r="1751" spans="1:12" x14ac:dyDescent="0.2">
      <c r="A1751" t="s">
        <v>3608</v>
      </c>
      <c r="B1751" t="s">
        <v>3609</v>
      </c>
      <c r="C1751" s="1">
        <v>44981</v>
      </c>
      <c r="D1751" s="2">
        <v>45006</v>
      </c>
      <c r="E1751" t="s">
        <v>41</v>
      </c>
      <c r="F1751">
        <v>19787</v>
      </c>
      <c r="G1751">
        <v>553</v>
      </c>
      <c r="H1751">
        <v>656.06</v>
      </c>
      <c r="I1751">
        <v>100</v>
      </c>
      <c r="J1751" t="s">
        <v>15</v>
      </c>
      <c r="L1751" t="s">
        <v>42</v>
      </c>
    </row>
    <row r="1752" spans="1:12" x14ac:dyDescent="0.2">
      <c r="A1752" t="s">
        <v>3610</v>
      </c>
      <c r="B1752" t="s">
        <v>3611</v>
      </c>
      <c r="C1752" s="1">
        <v>45272</v>
      </c>
      <c r="D1752" s="2">
        <v>45296</v>
      </c>
      <c r="E1752" t="s">
        <v>41</v>
      </c>
      <c r="F1752">
        <v>49845</v>
      </c>
      <c r="G1752">
        <v>1719</v>
      </c>
      <c r="H1752">
        <v>2085.2800000000002</v>
      </c>
      <c r="J1752">
        <v>1</v>
      </c>
      <c r="L1752" t="s">
        <v>42</v>
      </c>
    </row>
    <row r="1753" spans="1:12" x14ac:dyDescent="0.2">
      <c r="A1753" t="s">
        <v>3612</v>
      </c>
      <c r="B1753" t="s">
        <v>3613</v>
      </c>
      <c r="C1753" s="1">
        <v>44980</v>
      </c>
      <c r="D1753" s="2">
        <v>44985</v>
      </c>
      <c r="E1753" t="s">
        <v>23</v>
      </c>
      <c r="F1753">
        <v>58932</v>
      </c>
      <c r="G1753">
        <v>1091</v>
      </c>
      <c r="H1753">
        <v>1826.88</v>
      </c>
      <c r="I1753">
        <v>56</v>
      </c>
      <c r="J1753" t="s">
        <v>15</v>
      </c>
      <c r="K1753">
        <v>58956</v>
      </c>
      <c r="L1753" t="s">
        <v>25</v>
      </c>
    </row>
    <row r="1754" spans="1:12" x14ac:dyDescent="0.2">
      <c r="A1754" t="s">
        <v>3614</v>
      </c>
      <c r="B1754" t="s">
        <v>3615</v>
      </c>
      <c r="C1754" s="1">
        <v>45132</v>
      </c>
      <c r="D1754" s="2">
        <v>45153</v>
      </c>
      <c r="E1754" t="s">
        <v>19</v>
      </c>
      <c r="F1754">
        <v>93124</v>
      </c>
      <c r="G1754">
        <v>4429</v>
      </c>
      <c r="H1754">
        <v>7198.14</v>
      </c>
      <c r="J1754" t="s">
        <v>24</v>
      </c>
      <c r="L1754" t="s">
        <v>20</v>
      </c>
    </row>
    <row r="1755" spans="1:12" x14ac:dyDescent="0.2">
      <c r="A1755" t="s">
        <v>3616</v>
      </c>
      <c r="B1755" t="s">
        <v>3617</v>
      </c>
      <c r="C1755" s="1">
        <v>45200</v>
      </c>
      <c r="D1755" s="2">
        <v>45226</v>
      </c>
      <c r="E1755" t="s">
        <v>14</v>
      </c>
      <c r="F1755">
        <v>92659</v>
      </c>
      <c r="G1755">
        <v>951</v>
      </c>
      <c r="H1755">
        <v>1127.1500000000001</v>
      </c>
      <c r="I1755">
        <v>105</v>
      </c>
      <c r="J1755" t="s">
        <v>24</v>
      </c>
      <c r="L1755" t="s">
        <v>16</v>
      </c>
    </row>
    <row r="1756" spans="1:12" x14ac:dyDescent="0.2">
      <c r="A1756" t="s">
        <v>3618</v>
      </c>
      <c r="B1756" t="s">
        <v>3619</v>
      </c>
      <c r="C1756" s="1">
        <v>45107</v>
      </c>
      <c r="D1756" s="2">
        <v>45117</v>
      </c>
      <c r="E1756" t="s">
        <v>23</v>
      </c>
      <c r="F1756">
        <v>34062</v>
      </c>
      <c r="G1756">
        <v>1392</v>
      </c>
      <c r="H1756">
        <v>500000</v>
      </c>
      <c r="I1756">
        <v>165</v>
      </c>
      <c r="J1756">
        <v>0</v>
      </c>
      <c r="L1756" t="s">
        <v>68</v>
      </c>
    </row>
    <row r="1757" spans="1:12" x14ac:dyDescent="0.2">
      <c r="A1757" t="s">
        <v>3620</v>
      </c>
      <c r="B1757" t="s">
        <v>3621</v>
      </c>
      <c r="C1757" s="1">
        <v>45093</v>
      </c>
      <c r="D1757" s="2">
        <v>45106</v>
      </c>
      <c r="E1757" t="s">
        <v>14</v>
      </c>
      <c r="F1757">
        <v>76713</v>
      </c>
      <c r="G1757">
        <v>2685</v>
      </c>
      <c r="H1757">
        <v>1802.59</v>
      </c>
      <c r="I1757">
        <v>254</v>
      </c>
      <c r="J1757">
        <v>0</v>
      </c>
      <c r="L1757" t="s">
        <v>16</v>
      </c>
    </row>
    <row r="1758" spans="1:12" x14ac:dyDescent="0.2">
      <c r="A1758" t="s">
        <v>3622</v>
      </c>
      <c r="B1758" t="s">
        <v>3623</v>
      </c>
      <c r="C1758" s="1">
        <v>45251</v>
      </c>
      <c r="D1758" s="2">
        <v>45259</v>
      </c>
      <c r="E1758" t="s">
        <v>33</v>
      </c>
      <c r="F1758">
        <v>88263</v>
      </c>
      <c r="G1758">
        <v>2201</v>
      </c>
      <c r="H1758">
        <v>1943.55</v>
      </c>
      <c r="J1758">
        <v>0</v>
      </c>
      <c r="L1758" t="s">
        <v>34</v>
      </c>
    </row>
    <row r="1759" spans="1:12" x14ac:dyDescent="0.2">
      <c r="A1759" t="s">
        <v>3624</v>
      </c>
      <c r="B1759" t="s">
        <v>3625</v>
      </c>
      <c r="C1759" s="1">
        <v>45238</v>
      </c>
      <c r="D1759" s="2">
        <v>45243</v>
      </c>
      <c r="E1759" t="s">
        <v>23</v>
      </c>
      <c r="F1759">
        <v>96756</v>
      </c>
      <c r="G1759">
        <v>1162</v>
      </c>
      <c r="H1759">
        <v>2024.16</v>
      </c>
      <c r="I1759">
        <v>160</v>
      </c>
      <c r="J1759">
        <v>1</v>
      </c>
      <c r="L1759" t="s">
        <v>25</v>
      </c>
    </row>
    <row r="1760" spans="1:12" x14ac:dyDescent="0.2">
      <c r="A1760" t="s">
        <v>3626</v>
      </c>
      <c r="B1760" t="s">
        <v>3627</v>
      </c>
      <c r="C1760" s="1">
        <v>45119</v>
      </c>
      <c r="D1760" s="2">
        <v>45120</v>
      </c>
      <c r="E1760" t="s">
        <v>33</v>
      </c>
      <c r="F1760">
        <v>61461</v>
      </c>
      <c r="G1760">
        <v>2157</v>
      </c>
      <c r="H1760" s="3">
        <v>2301.5</v>
      </c>
      <c r="J1760">
        <v>0</v>
      </c>
      <c r="L1760" t="s">
        <v>34</v>
      </c>
    </row>
    <row r="1761" spans="1:12" x14ac:dyDescent="0.2">
      <c r="A1761" t="s">
        <v>3628</v>
      </c>
      <c r="B1761" t="s">
        <v>3629</v>
      </c>
      <c r="C1761" s="1">
        <v>45057</v>
      </c>
      <c r="D1761" s="2">
        <v>45052</v>
      </c>
      <c r="E1761" t="s">
        <v>23</v>
      </c>
      <c r="F1761">
        <v>76418</v>
      </c>
      <c r="G1761">
        <v>1942</v>
      </c>
      <c r="H1761">
        <v>3829.18</v>
      </c>
      <c r="I1761">
        <v>179</v>
      </c>
      <c r="J1761">
        <v>1</v>
      </c>
      <c r="L1761" t="s">
        <v>25</v>
      </c>
    </row>
    <row r="1762" spans="1:12" x14ac:dyDescent="0.2">
      <c r="A1762" t="s">
        <v>3630</v>
      </c>
      <c r="B1762" t="s">
        <v>3631</v>
      </c>
      <c r="C1762" t="s">
        <v>1724</v>
      </c>
      <c r="D1762" s="2">
        <v>45138</v>
      </c>
      <c r="E1762" t="s">
        <v>19</v>
      </c>
      <c r="F1762">
        <v>67672</v>
      </c>
      <c r="G1762">
        <v>3211</v>
      </c>
      <c r="H1762">
        <v>3851.21</v>
      </c>
      <c r="I1762">
        <v>178</v>
      </c>
      <c r="J1762">
        <v>1</v>
      </c>
      <c r="L1762" t="s">
        <v>20</v>
      </c>
    </row>
    <row r="1763" spans="1:12" x14ac:dyDescent="0.2">
      <c r="A1763" t="s">
        <v>3632</v>
      </c>
      <c r="B1763" t="s">
        <v>3633</v>
      </c>
      <c r="C1763" s="1">
        <v>44944</v>
      </c>
      <c r="D1763" s="2">
        <v>44973</v>
      </c>
      <c r="E1763" t="s">
        <v>41</v>
      </c>
      <c r="F1763">
        <v>35832</v>
      </c>
      <c r="G1763">
        <v>1135</v>
      </c>
      <c r="H1763">
        <v>1915.77</v>
      </c>
      <c r="I1763">
        <v>226</v>
      </c>
      <c r="J1763" t="b">
        <v>0</v>
      </c>
      <c r="L1763" t="s">
        <v>42</v>
      </c>
    </row>
    <row r="1764" spans="1:12" x14ac:dyDescent="0.2">
      <c r="A1764" t="s">
        <v>3634</v>
      </c>
      <c r="B1764" t="s">
        <v>3635</v>
      </c>
      <c r="C1764" s="1">
        <v>45192</v>
      </c>
      <c r="D1764" s="2">
        <v>45207</v>
      </c>
      <c r="E1764" t="s">
        <v>33</v>
      </c>
      <c r="F1764">
        <v>32966</v>
      </c>
      <c r="G1764">
        <v>1568</v>
      </c>
      <c r="H1764" s="3">
        <v>1730.23</v>
      </c>
      <c r="I1764">
        <v>191</v>
      </c>
      <c r="J1764" t="b">
        <v>0</v>
      </c>
      <c r="L1764" t="s">
        <v>34</v>
      </c>
    </row>
    <row r="1765" spans="1:12" x14ac:dyDescent="0.2">
      <c r="A1765" t="s">
        <v>3636</v>
      </c>
      <c r="B1765" t="s">
        <v>3637</v>
      </c>
      <c r="C1765" s="1">
        <v>44930</v>
      </c>
      <c r="D1765" s="2">
        <v>44939</v>
      </c>
      <c r="E1765" t="s">
        <v>14</v>
      </c>
      <c r="F1765">
        <v>73545</v>
      </c>
      <c r="G1765">
        <v>1384</v>
      </c>
      <c r="H1765">
        <v>1574.2</v>
      </c>
      <c r="I1765">
        <v>226</v>
      </c>
      <c r="J1765">
        <v>1</v>
      </c>
      <c r="L1765" t="s">
        <v>16</v>
      </c>
    </row>
    <row r="1766" spans="1:12" x14ac:dyDescent="0.2">
      <c r="A1766" t="s">
        <v>3638</v>
      </c>
      <c r="B1766" t="s">
        <v>3639</v>
      </c>
      <c r="C1766" s="2">
        <v>45236</v>
      </c>
      <c r="D1766" s="2">
        <v>45104</v>
      </c>
      <c r="E1766" t="s">
        <v>33</v>
      </c>
      <c r="F1766">
        <v>13987</v>
      </c>
      <c r="G1766">
        <v>545</v>
      </c>
      <c r="H1766">
        <v>585.51</v>
      </c>
      <c r="I1766">
        <v>64</v>
      </c>
      <c r="J1766" t="s">
        <v>24</v>
      </c>
      <c r="L1766" t="s">
        <v>34</v>
      </c>
    </row>
    <row r="1767" spans="1:12" x14ac:dyDescent="0.2">
      <c r="A1767" t="s">
        <v>3640</v>
      </c>
      <c r="B1767" t="s">
        <v>3641</v>
      </c>
      <c r="C1767" s="1">
        <v>45280</v>
      </c>
      <c r="D1767" s="2">
        <v>45293</v>
      </c>
      <c r="E1767" t="s">
        <v>41</v>
      </c>
      <c r="F1767">
        <v>38311</v>
      </c>
      <c r="G1767">
        <v>1329</v>
      </c>
      <c r="H1767" s="3">
        <v>2097.98</v>
      </c>
      <c r="I1767">
        <v>75</v>
      </c>
      <c r="J1767" t="s">
        <v>15</v>
      </c>
      <c r="L1767" t="s">
        <v>42</v>
      </c>
    </row>
    <row r="1768" spans="1:12" x14ac:dyDescent="0.2">
      <c r="A1768" t="s">
        <v>3642</v>
      </c>
      <c r="B1768" t="s">
        <v>3643</v>
      </c>
      <c r="C1768" s="1">
        <v>45188</v>
      </c>
      <c r="D1768" s="2">
        <v>45203</v>
      </c>
      <c r="E1768" t="s">
        <v>23</v>
      </c>
      <c r="F1768">
        <v>32575</v>
      </c>
      <c r="G1768">
        <v>1289</v>
      </c>
      <c r="H1768">
        <v>1703.13</v>
      </c>
      <c r="I1768">
        <v>124</v>
      </c>
      <c r="J1768" t="s">
        <v>30</v>
      </c>
      <c r="L1768" t="s">
        <v>25</v>
      </c>
    </row>
    <row r="1769" spans="1:12" x14ac:dyDescent="0.2">
      <c r="A1769" t="s">
        <v>3644</v>
      </c>
      <c r="B1769" t="s">
        <v>3645</v>
      </c>
      <c r="C1769" t="s">
        <v>682</v>
      </c>
      <c r="D1769" s="2">
        <v>45001</v>
      </c>
      <c r="E1769" t="s">
        <v>14</v>
      </c>
      <c r="F1769">
        <v>64852</v>
      </c>
      <c r="G1769">
        <v>1205</v>
      </c>
      <c r="H1769" s="3">
        <v>2308.38</v>
      </c>
      <c r="I1769">
        <v>118</v>
      </c>
      <c r="J1769" t="b">
        <v>1</v>
      </c>
      <c r="L1769" t="s">
        <v>16</v>
      </c>
    </row>
    <row r="1770" spans="1:12" x14ac:dyDescent="0.2">
      <c r="A1770" t="s">
        <v>3646</v>
      </c>
      <c r="B1770" t="s">
        <v>3647</v>
      </c>
      <c r="C1770" s="1">
        <v>45162</v>
      </c>
      <c r="D1770" s="2">
        <v>45177</v>
      </c>
      <c r="E1770" t="s">
        <v>33</v>
      </c>
      <c r="F1770">
        <v>2007</v>
      </c>
      <c r="G1770">
        <v>73</v>
      </c>
      <c r="H1770">
        <v>63.97</v>
      </c>
      <c r="I1770">
        <v>12</v>
      </c>
      <c r="J1770" t="b">
        <v>0</v>
      </c>
      <c r="L1770" t="s">
        <v>34</v>
      </c>
    </row>
    <row r="1771" spans="1:12" x14ac:dyDescent="0.2">
      <c r="A1771" t="s">
        <v>3648</v>
      </c>
      <c r="B1771" t="s">
        <v>3649</v>
      </c>
      <c r="C1771" s="1">
        <v>45114</v>
      </c>
      <c r="D1771" s="2">
        <v>45126</v>
      </c>
      <c r="E1771" t="s">
        <v>19</v>
      </c>
      <c r="F1771">
        <v>71981</v>
      </c>
      <c r="G1771">
        <v>2153</v>
      </c>
      <c r="H1771">
        <v>1401.27</v>
      </c>
      <c r="I1771">
        <v>318</v>
      </c>
      <c r="J1771">
        <v>1</v>
      </c>
      <c r="L1771" t="s">
        <v>68</v>
      </c>
    </row>
    <row r="1772" spans="1:12" x14ac:dyDescent="0.2">
      <c r="A1772" t="s">
        <v>3650</v>
      </c>
      <c r="B1772" t="s">
        <v>3651</v>
      </c>
      <c r="C1772" s="2">
        <v>45058</v>
      </c>
      <c r="D1772" s="2">
        <v>45294</v>
      </c>
      <c r="E1772" t="s">
        <v>14</v>
      </c>
      <c r="F1772">
        <v>77242</v>
      </c>
      <c r="G1772">
        <v>3067</v>
      </c>
      <c r="H1772">
        <v>3342.7</v>
      </c>
      <c r="I1772">
        <v>280</v>
      </c>
      <c r="J1772" t="b">
        <v>1</v>
      </c>
      <c r="L1772" t="s">
        <v>16</v>
      </c>
    </row>
    <row r="1773" spans="1:12" x14ac:dyDescent="0.2">
      <c r="A1773" t="s">
        <v>3652</v>
      </c>
      <c r="B1773" t="s">
        <v>3653</v>
      </c>
      <c r="C1773" s="1">
        <v>45131</v>
      </c>
      <c r="D1773" s="2">
        <v>45138</v>
      </c>
      <c r="E1773" t="s">
        <v>19</v>
      </c>
      <c r="F1773">
        <v>48517</v>
      </c>
      <c r="G1773">
        <v>1119</v>
      </c>
      <c r="H1773">
        <v>1594.65</v>
      </c>
      <c r="J1773" t="b">
        <v>0</v>
      </c>
      <c r="L1773" t="s">
        <v>20</v>
      </c>
    </row>
    <row r="1774" spans="1:12" x14ac:dyDescent="0.2">
      <c r="A1774" t="s">
        <v>3654</v>
      </c>
      <c r="B1774" t="s">
        <v>3655</v>
      </c>
      <c r="C1774" s="1">
        <v>44966</v>
      </c>
      <c r="D1774" s="2">
        <v>44981</v>
      </c>
      <c r="E1774" t="s">
        <v>19</v>
      </c>
      <c r="F1774">
        <v>30257</v>
      </c>
      <c r="G1774">
        <v>1379</v>
      </c>
      <c r="H1774">
        <v>2470.06</v>
      </c>
      <c r="J1774" t="s">
        <v>30</v>
      </c>
      <c r="L1774" t="s">
        <v>20</v>
      </c>
    </row>
    <row r="1775" spans="1:12" x14ac:dyDescent="0.2">
      <c r="A1775" t="s">
        <v>3656</v>
      </c>
      <c r="B1775" t="s">
        <v>3657</v>
      </c>
      <c r="C1775" s="1">
        <v>45015</v>
      </c>
      <c r="D1775" s="2">
        <v>45020</v>
      </c>
      <c r="E1775" t="s">
        <v>19</v>
      </c>
      <c r="F1775">
        <v>88272</v>
      </c>
      <c r="G1775">
        <v>1180</v>
      </c>
      <c r="H1775">
        <v>1202.77</v>
      </c>
      <c r="I1775">
        <v>235</v>
      </c>
      <c r="J1775" t="s">
        <v>15</v>
      </c>
      <c r="K1775">
        <v>88308</v>
      </c>
      <c r="L1775" t="s">
        <v>20</v>
      </c>
    </row>
    <row r="1776" spans="1:12" x14ac:dyDescent="0.2">
      <c r="A1776" t="s">
        <v>3658</v>
      </c>
      <c r="B1776" t="s">
        <v>3659</v>
      </c>
      <c r="C1776" s="1">
        <v>45286</v>
      </c>
      <c r="D1776" s="2">
        <v>45300</v>
      </c>
      <c r="E1776" t="s">
        <v>19</v>
      </c>
      <c r="F1776">
        <v>43207</v>
      </c>
      <c r="G1776">
        <v>1827</v>
      </c>
      <c r="H1776">
        <v>2705.2</v>
      </c>
      <c r="I1776">
        <v>364</v>
      </c>
      <c r="J1776">
        <v>1</v>
      </c>
      <c r="L1776" t="s">
        <v>20</v>
      </c>
    </row>
    <row r="1777" spans="1:12" x14ac:dyDescent="0.2">
      <c r="A1777" t="s">
        <v>3660</v>
      </c>
      <c r="B1777" t="s">
        <v>3661</v>
      </c>
      <c r="C1777" s="2">
        <v>45231</v>
      </c>
      <c r="D1777" s="2">
        <v>44939</v>
      </c>
      <c r="E1777" t="s">
        <v>41</v>
      </c>
      <c r="F1777">
        <v>14281</v>
      </c>
      <c r="G1777">
        <v>634</v>
      </c>
      <c r="H1777">
        <v>650.04</v>
      </c>
      <c r="I1777">
        <v>49</v>
      </c>
      <c r="J1777" t="s">
        <v>30</v>
      </c>
      <c r="L1777" t="s">
        <v>42</v>
      </c>
    </row>
    <row r="1778" spans="1:12" x14ac:dyDescent="0.2">
      <c r="A1778" t="s">
        <v>3662</v>
      </c>
      <c r="B1778" t="s">
        <v>3663</v>
      </c>
      <c r="C1778" s="1">
        <v>45222</v>
      </c>
      <c r="D1778" s="2">
        <v>45230</v>
      </c>
      <c r="E1778" t="s">
        <v>14</v>
      </c>
      <c r="F1778">
        <v>62246</v>
      </c>
      <c r="G1778">
        <v>2657</v>
      </c>
      <c r="H1778">
        <v>3788.43</v>
      </c>
      <c r="I1778">
        <v>257</v>
      </c>
      <c r="J1778" t="s">
        <v>24</v>
      </c>
      <c r="L1778" t="s">
        <v>16</v>
      </c>
    </row>
    <row r="1779" spans="1:12" x14ac:dyDescent="0.2">
      <c r="A1779" t="s">
        <v>3664</v>
      </c>
      <c r="B1779" t="s">
        <v>3665</v>
      </c>
      <c r="C1779" s="1">
        <v>45098</v>
      </c>
      <c r="D1779" s="2">
        <v>45103</v>
      </c>
      <c r="E1779" t="s">
        <v>19</v>
      </c>
      <c r="F1779">
        <v>2435</v>
      </c>
      <c r="G1779">
        <v>74</v>
      </c>
      <c r="H1779">
        <v>135.21</v>
      </c>
      <c r="I1779">
        <v>9</v>
      </c>
      <c r="J1779" t="b">
        <v>0</v>
      </c>
      <c r="K1779">
        <v>2508</v>
      </c>
      <c r="L1779" t="s">
        <v>20</v>
      </c>
    </row>
    <row r="1780" spans="1:12" x14ac:dyDescent="0.2">
      <c r="A1780" t="s">
        <v>3666</v>
      </c>
      <c r="B1780" t="s">
        <v>3667</v>
      </c>
      <c r="C1780" s="1">
        <v>45140</v>
      </c>
      <c r="D1780" s="2">
        <v>45169</v>
      </c>
      <c r="E1780" t="s">
        <v>14</v>
      </c>
      <c r="F1780">
        <v>99875</v>
      </c>
      <c r="G1780">
        <v>2750</v>
      </c>
      <c r="H1780" s="3">
        <v>2329.35</v>
      </c>
      <c r="J1780">
        <v>1</v>
      </c>
      <c r="L1780" t="s">
        <v>16</v>
      </c>
    </row>
    <row r="1781" spans="1:12" x14ac:dyDescent="0.2">
      <c r="A1781" t="s">
        <v>3668</v>
      </c>
      <c r="B1781" t="s">
        <v>3669</v>
      </c>
      <c r="C1781" s="1">
        <v>45043</v>
      </c>
      <c r="D1781" s="2">
        <v>45064</v>
      </c>
      <c r="E1781" t="s">
        <v>138</v>
      </c>
      <c r="F1781">
        <v>92357</v>
      </c>
      <c r="G1781">
        <v>4604</v>
      </c>
      <c r="H1781">
        <v>5093.6899999999996</v>
      </c>
      <c r="I1781">
        <v>594</v>
      </c>
      <c r="J1781" t="b">
        <v>1</v>
      </c>
      <c r="L1781" t="s">
        <v>139</v>
      </c>
    </row>
    <row r="1782" spans="1:12" x14ac:dyDescent="0.2">
      <c r="A1782" t="s">
        <v>3670</v>
      </c>
      <c r="B1782" t="s">
        <v>3671</v>
      </c>
      <c r="C1782" s="1">
        <v>44932</v>
      </c>
      <c r="D1782" s="2">
        <v>44962</v>
      </c>
      <c r="E1782" t="s">
        <v>23</v>
      </c>
      <c r="F1782">
        <v>27660</v>
      </c>
      <c r="G1782">
        <v>530</v>
      </c>
      <c r="H1782">
        <v>1054.6500000000001</v>
      </c>
      <c r="I1782">
        <v>103</v>
      </c>
      <c r="J1782" t="s">
        <v>24</v>
      </c>
      <c r="L1782" t="s">
        <v>25</v>
      </c>
    </row>
    <row r="1783" spans="1:12" x14ac:dyDescent="0.2">
      <c r="A1783" t="s">
        <v>3672</v>
      </c>
      <c r="B1783" t="s">
        <v>3673</v>
      </c>
      <c r="C1783" s="2">
        <v>44954</v>
      </c>
      <c r="D1783" s="2">
        <v>44958</v>
      </c>
      <c r="E1783" t="s">
        <v>23</v>
      </c>
      <c r="F1783">
        <v>6084</v>
      </c>
      <c r="G1783">
        <v>193</v>
      </c>
      <c r="H1783">
        <v>500000</v>
      </c>
      <c r="J1783" t="s">
        <v>24</v>
      </c>
      <c r="L1783" t="s">
        <v>25</v>
      </c>
    </row>
    <row r="1784" spans="1:12" x14ac:dyDescent="0.2">
      <c r="A1784" t="s">
        <v>3674</v>
      </c>
      <c r="B1784" t="s">
        <v>3675</v>
      </c>
      <c r="C1784" s="1">
        <v>45203</v>
      </c>
      <c r="D1784" s="2">
        <v>45213</v>
      </c>
      <c r="E1784" t="s">
        <v>234</v>
      </c>
      <c r="F1784">
        <v>83197</v>
      </c>
      <c r="G1784">
        <v>3063</v>
      </c>
      <c r="H1784" s="3">
        <v>4125.74</v>
      </c>
      <c r="I1784">
        <v>250</v>
      </c>
      <c r="J1784">
        <v>0</v>
      </c>
      <c r="L1784" t="s">
        <v>16</v>
      </c>
    </row>
    <row r="1785" spans="1:12" x14ac:dyDescent="0.2">
      <c r="A1785" t="s">
        <v>3676</v>
      </c>
      <c r="B1785" t="s">
        <v>3677</v>
      </c>
      <c r="C1785" s="2">
        <v>45284</v>
      </c>
      <c r="D1785" s="2">
        <v>45296</v>
      </c>
      <c r="E1785" t="s">
        <v>33</v>
      </c>
      <c r="F1785">
        <v>14507</v>
      </c>
      <c r="G1785">
        <v>551</v>
      </c>
      <c r="H1785">
        <v>702.49</v>
      </c>
      <c r="I1785">
        <v>36</v>
      </c>
      <c r="J1785" t="s">
        <v>15</v>
      </c>
      <c r="L1785" t="s">
        <v>34</v>
      </c>
    </row>
    <row r="1786" spans="1:12" x14ac:dyDescent="0.2">
      <c r="A1786" t="s">
        <v>3678</v>
      </c>
      <c r="B1786" t="s">
        <v>3679</v>
      </c>
      <c r="C1786" s="1">
        <v>45128</v>
      </c>
      <c r="D1786" s="2">
        <v>45130</v>
      </c>
      <c r="E1786" t="s">
        <v>19</v>
      </c>
      <c r="F1786">
        <v>73595</v>
      </c>
      <c r="G1786">
        <v>1336</v>
      </c>
      <c r="H1786">
        <v>1238.3399999999999</v>
      </c>
      <c r="I1786">
        <v>204</v>
      </c>
      <c r="J1786" t="s">
        <v>24</v>
      </c>
      <c r="L1786" t="s">
        <v>20</v>
      </c>
    </row>
    <row r="1787" spans="1:12" x14ac:dyDescent="0.2">
      <c r="A1787" t="s">
        <v>3680</v>
      </c>
      <c r="B1787" t="s">
        <v>3681</v>
      </c>
      <c r="C1787" s="1">
        <v>45221</v>
      </c>
      <c r="D1787" s="2">
        <v>45233</v>
      </c>
      <c r="E1787" t="s">
        <v>23</v>
      </c>
      <c r="F1787">
        <v>84807</v>
      </c>
      <c r="G1787">
        <v>3066</v>
      </c>
      <c r="H1787">
        <v>3911.65</v>
      </c>
      <c r="I1787">
        <v>226</v>
      </c>
      <c r="J1787" t="b">
        <v>0</v>
      </c>
      <c r="L1787" t="s">
        <v>25</v>
      </c>
    </row>
    <row r="1788" spans="1:12" x14ac:dyDescent="0.2">
      <c r="A1788" t="s">
        <v>3682</v>
      </c>
      <c r="B1788" t="s">
        <v>3683</v>
      </c>
      <c r="C1788" s="1">
        <v>45075</v>
      </c>
      <c r="D1788" s="2">
        <v>45090</v>
      </c>
      <c r="E1788" t="s">
        <v>33</v>
      </c>
      <c r="F1788">
        <v>46539</v>
      </c>
      <c r="G1788">
        <v>1988</v>
      </c>
      <c r="H1788">
        <v>3523.28</v>
      </c>
      <c r="I1788">
        <v>334</v>
      </c>
      <c r="J1788" t="s">
        <v>15</v>
      </c>
      <c r="L1788" t="s">
        <v>34</v>
      </c>
    </row>
    <row r="1789" spans="1:12" x14ac:dyDescent="0.2">
      <c r="A1789" t="s">
        <v>3684</v>
      </c>
      <c r="B1789" t="s">
        <v>3685</v>
      </c>
      <c r="C1789" t="s">
        <v>485</v>
      </c>
      <c r="D1789" s="2">
        <v>45129</v>
      </c>
      <c r="E1789" t="s">
        <v>23</v>
      </c>
      <c r="F1789">
        <v>8491</v>
      </c>
      <c r="G1789">
        <v>101</v>
      </c>
      <c r="H1789" s="3">
        <v>154.30000000000001</v>
      </c>
      <c r="I1789">
        <v>9</v>
      </c>
      <c r="J1789">
        <v>1</v>
      </c>
      <c r="L1789" t="s">
        <v>25</v>
      </c>
    </row>
    <row r="1790" spans="1:12" x14ac:dyDescent="0.2">
      <c r="A1790" t="s">
        <v>3686</v>
      </c>
      <c r="B1790" t="s">
        <v>3687</v>
      </c>
      <c r="C1790" s="1">
        <v>45219</v>
      </c>
      <c r="D1790" s="2">
        <v>45232</v>
      </c>
      <c r="E1790" t="s">
        <v>19</v>
      </c>
      <c r="F1790">
        <v>51192</v>
      </c>
      <c r="G1790">
        <v>2378</v>
      </c>
      <c r="H1790" s="3">
        <v>2223.59</v>
      </c>
      <c r="I1790">
        <v>235</v>
      </c>
      <c r="J1790">
        <v>0</v>
      </c>
      <c r="L1790" t="s">
        <v>20</v>
      </c>
    </row>
    <row r="1791" spans="1:12" x14ac:dyDescent="0.2">
      <c r="A1791" t="s">
        <v>3688</v>
      </c>
      <c r="B1791" t="s">
        <v>3689</v>
      </c>
      <c r="C1791" t="s">
        <v>3460</v>
      </c>
      <c r="D1791" s="2">
        <v>45090</v>
      </c>
      <c r="E1791" t="s">
        <v>33</v>
      </c>
      <c r="F1791">
        <v>81395</v>
      </c>
      <c r="G1791">
        <v>910</v>
      </c>
      <c r="H1791" s="3">
        <v>730</v>
      </c>
      <c r="I1791">
        <v>46</v>
      </c>
      <c r="J1791" t="s">
        <v>30</v>
      </c>
      <c r="L1791" t="s">
        <v>34</v>
      </c>
    </row>
    <row r="1792" spans="1:12" x14ac:dyDescent="0.2">
      <c r="A1792" t="s">
        <v>3690</v>
      </c>
      <c r="B1792" t="s">
        <v>3691</v>
      </c>
      <c r="C1792" s="1">
        <v>45183</v>
      </c>
      <c r="D1792" s="2">
        <v>45204</v>
      </c>
      <c r="E1792" t="s">
        <v>23</v>
      </c>
      <c r="F1792">
        <v>64888</v>
      </c>
      <c r="G1792">
        <v>1572</v>
      </c>
      <c r="H1792">
        <v>1411.36</v>
      </c>
      <c r="I1792">
        <v>243</v>
      </c>
      <c r="J1792" t="s">
        <v>15</v>
      </c>
      <c r="L1792" t="s">
        <v>25</v>
      </c>
    </row>
    <row r="1793" spans="1:12" x14ac:dyDescent="0.2">
      <c r="A1793" t="s">
        <v>3692</v>
      </c>
      <c r="B1793" t="s">
        <v>3693</v>
      </c>
      <c r="C1793" s="1">
        <v>44996</v>
      </c>
      <c r="D1793" s="2">
        <v>45024</v>
      </c>
      <c r="E1793" t="s">
        <v>33</v>
      </c>
      <c r="F1793">
        <v>74609</v>
      </c>
      <c r="G1793">
        <v>793</v>
      </c>
      <c r="H1793">
        <v>598.42999999999995</v>
      </c>
      <c r="I1793">
        <v>53</v>
      </c>
      <c r="J1793" t="b">
        <v>1</v>
      </c>
      <c r="L1793" t="s">
        <v>34</v>
      </c>
    </row>
    <row r="1794" spans="1:12" x14ac:dyDescent="0.2">
      <c r="A1794" t="s">
        <v>3694</v>
      </c>
      <c r="B1794" t="s">
        <v>3695</v>
      </c>
      <c r="C1794" s="1">
        <v>45129</v>
      </c>
      <c r="D1794" s="2">
        <v>45143</v>
      </c>
      <c r="E1794" t="s">
        <v>138</v>
      </c>
      <c r="F1794">
        <v>10077</v>
      </c>
      <c r="G1794">
        <v>131</v>
      </c>
      <c r="H1794">
        <v>84.29</v>
      </c>
      <c r="I1794">
        <v>21</v>
      </c>
      <c r="J1794" t="b">
        <v>0</v>
      </c>
      <c r="L1794" t="s">
        <v>139</v>
      </c>
    </row>
    <row r="1795" spans="1:12" x14ac:dyDescent="0.2">
      <c r="A1795" t="s">
        <v>3696</v>
      </c>
      <c r="B1795" t="s">
        <v>3697</v>
      </c>
      <c r="C1795" s="1">
        <v>45242</v>
      </c>
      <c r="D1795" s="2">
        <v>45245</v>
      </c>
      <c r="E1795" t="s">
        <v>19</v>
      </c>
      <c r="F1795">
        <v>21953</v>
      </c>
      <c r="G1795">
        <v>1019</v>
      </c>
      <c r="H1795">
        <v>1150.1500000000001</v>
      </c>
      <c r="I1795">
        <v>126</v>
      </c>
      <c r="J1795" t="b">
        <v>1</v>
      </c>
      <c r="L1795" t="s">
        <v>20</v>
      </c>
    </row>
    <row r="1796" spans="1:12" x14ac:dyDescent="0.2">
      <c r="A1796" t="s">
        <v>3698</v>
      </c>
      <c r="B1796" t="s">
        <v>3699</v>
      </c>
      <c r="C1796" s="2">
        <v>45051</v>
      </c>
      <c r="D1796" s="2">
        <v>45071</v>
      </c>
      <c r="E1796" t="s">
        <v>14</v>
      </c>
      <c r="F1796">
        <v>77919</v>
      </c>
      <c r="G1796">
        <v>1885</v>
      </c>
      <c r="H1796">
        <v>1262.8499999999999</v>
      </c>
      <c r="I1796">
        <v>316</v>
      </c>
      <c r="J1796" t="s">
        <v>15</v>
      </c>
      <c r="L1796" t="s">
        <v>16</v>
      </c>
    </row>
    <row r="1797" spans="1:12" x14ac:dyDescent="0.2">
      <c r="A1797" t="s">
        <v>3700</v>
      </c>
      <c r="B1797" t="s">
        <v>3701</v>
      </c>
      <c r="C1797" s="1">
        <v>45147</v>
      </c>
      <c r="D1797" s="2">
        <v>45157</v>
      </c>
      <c r="E1797" t="s">
        <v>19</v>
      </c>
      <c r="F1797">
        <v>68889</v>
      </c>
      <c r="G1797">
        <v>1859</v>
      </c>
      <c r="H1797">
        <v>1408.88</v>
      </c>
      <c r="I1797">
        <v>255</v>
      </c>
      <c r="J1797">
        <v>0</v>
      </c>
      <c r="L1797" t="s">
        <v>20</v>
      </c>
    </row>
    <row r="1798" spans="1:12" x14ac:dyDescent="0.2">
      <c r="A1798" t="s">
        <v>3702</v>
      </c>
      <c r="B1798" t="s">
        <v>3703</v>
      </c>
      <c r="C1798" s="1">
        <v>44972</v>
      </c>
      <c r="D1798" s="2">
        <v>44984</v>
      </c>
      <c r="E1798" t="s">
        <v>33</v>
      </c>
      <c r="F1798">
        <v>24821</v>
      </c>
      <c r="G1798">
        <v>462</v>
      </c>
      <c r="H1798">
        <v>610.29999999999995</v>
      </c>
      <c r="J1798" t="s">
        <v>30</v>
      </c>
      <c r="L1798" t="s">
        <v>34</v>
      </c>
    </row>
    <row r="1799" spans="1:12" x14ac:dyDescent="0.2">
      <c r="A1799" t="s">
        <v>3704</v>
      </c>
      <c r="B1799" t="s">
        <v>3705</v>
      </c>
      <c r="C1799" s="1">
        <v>45114</v>
      </c>
      <c r="D1799" s="2">
        <v>45141</v>
      </c>
      <c r="E1799" t="s">
        <v>19</v>
      </c>
      <c r="F1799">
        <v>38567</v>
      </c>
      <c r="G1799">
        <v>1306</v>
      </c>
      <c r="H1799">
        <v>975.45</v>
      </c>
      <c r="I1799">
        <v>215</v>
      </c>
      <c r="J1799" t="s">
        <v>30</v>
      </c>
      <c r="L1799" t="s">
        <v>20</v>
      </c>
    </row>
    <row r="1800" spans="1:12" x14ac:dyDescent="0.2">
      <c r="A1800" t="s">
        <v>3706</v>
      </c>
      <c r="B1800" t="s">
        <v>3707</v>
      </c>
      <c r="C1800" s="1">
        <v>45231</v>
      </c>
      <c r="D1800" s="2">
        <v>45248</v>
      </c>
      <c r="E1800" t="s">
        <v>14</v>
      </c>
      <c r="F1800">
        <v>25860</v>
      </c>
      <c r="G1800">
        <v>873</v>
      </c>
      <c r="H1800">
        <v>520.15</v>
      </c>
      <c r="I1800">
        <v>52</v>
      </c>
      <c r="J1800" t="b">
        <v>1</v>
      </c>
      <c r="L1800" t="s">
        <v>16</v>
      </c>
    </row>
    <row r="1801" spans="1:12" x14ac:dyDescent="0.2">
      <c r="A1801" t="s">
        <v>3708</v>
      </c>
      <c r="B1801" t="s">
        <v>3709</v>
      </c>
      <c r="C1801" s="1">
        <v>45013</v>
      </c>
      <c r="D1801" s="2">
        <v>45031</v>
      </c>
      <c r="E1801" t="s">
        <v>415</v>
      </c>
      <c r="F1801">
        <v>22195</v>
      </c>
      <c r="G1801">
        <v>552</v>
      </c>
      <c r="H1801">
        <v>538.79999999999995</v>
      </c>
      <c r="J1801">
        <v>1</v>
      </c>
      <c r="L1801" t="s">
        <v>34</v>
      </c>
    </row>
    <row r="1802" spans="1:12" x14ac:dyDescent="0.2">
      <c r="A1802" t="s">
        <v>3710</v>
      </c>
      <c r="B1802" t="s">
        <v>3711</v>
      </c>
      <c r="C1802" s="1">
        <v>45153</v>
      </c>
      <c r="D1802" s="2">
        <v>45169</v>
      </c>
      <c r="E1802" t="s">
        <v>23</v>
      </c>
      <c r="F1802">
        <v>78475</v>
      </c>
      <c r="G1802">
        <v>1830</v>
      </c>
      <c r="H1802">
        <v>1519.78</v>
      </c>
      <c r="I1802">
        <v>138</v>
      </c>
      <c r="J1802">
        <v>1</v>
      </c>
      <c r="L1802" t="s">
        <v>25</v>
      </c>
    </row>
    <row r="1803" spans="1:12" x14ac:dyDescent="0.2">
      <c r="A1803" t="s">
        <v>3712</v>
      </c>
      <c r="B1803" t="s">
        <v>3713</v>
      </c>
      <c r="C1803" s="1">
        <v>45046</v>
      </c>
      <c r="D1803" s="2">
        <v>45041</v>
      </c>
      <c r="E1803" t="s">
        <v>41</v>
      </c>
      <c r="F1803">
        <v>91874</v>
      </c>
      <c r="G1803">
        <v>4170</v>
      </c>
      <c r="H1803">
        <v>5308.23</v>
      </c>
      <c r="I1803">
        <v>679</v>
      </c>
      <c r="J1803">
        <v>0</v>
      </c>
      <c r="K1803">
        <v>91898</v>
      </c>
      <c r="L1803" t="s">
        <v>42</v>
      </c>
    </row>
    <row r="1804" spans="1:12" x14ac:dyDescent="0.2">
      <c r="A1804" t="s">
        <v>3714</v>
      </c>
      <c r="B1804" t="s">
        <v>3715</v>
      </c>
      <c r="C1804" s="2">
        <v>44970</v>
      </c>
      <c r="D1804" s="2">
        <v>45000</v>
      </c>
      <c r="E1804" t="s">
        <v>23</v>
      </c>
      <c r="F1804">
        <v>88266</v>
      </c>
      <c r="G1804">
        <v>2235</v>
      </c>
      <c r="H1804">
        <v>1460.69</v>
      </c>
      <c r="I1804">
        <v>417</v>
      </c>
      <c r="J1804" t="s">
        <v>30</v>
      </c>
      <c r="L1804" t="s">
        <v>25</v>
      </c>
    </row>
    <row r="1805" spans="1:12" x14ac:dyDescent="0.2">
      <c r="A1805" t="s">
        <v>3716</v>
      </c>
      <c r="B1805" t="s">
        <v>3717</v>
      </c>
      <c r="C1805" s="1">
        <v>45244</v>
      </c>
      <c r="D1805" s="2">
        <v>45272</v>
      </c>
      <c r="E1805" t="s">
        <v>19</v>
      </c>
      <c r="F1805">
        <v>22427</v>
      </c>
      <c r="G1805">
        <v>666</v>
      </c>
      <c r="H1805" s="3">
        <v>1084.02</v>
      </c>
      <c r="I1805">
        <v>88</v>
      </c>
      <c r="J1805" t="b">
        <v>1</v>
      </c>
      <c r="L1805" t="s">
        <v>20</v>
      </c>
    </row>
    <row r="1806" spans="1:12" x14ac:dyDescent="0.2">
      <c r="A1806" t="s">
        <v>3718</v>
      </c>
      <c r="B1806" t="s">
        <v>3719</v>
      </c>
      <c r="C1806" t="s">
        <v>3720</v>
      </c>
      <c r="D1806" s="2">
        <v>45102</v>
      </c>
      <c r="E1806" t="s">
        <v>23</v>
      </c>
      <c r="F1806">
        <v>28083</v>
      </c>
      <c r="G1806">
        <v>599</v>
      </c>
      <c r="H1806">
        <v>1113.75</v>
      </c>
      <c r="I1806">
        <v>77</v>
      </c>
      <c r="J1806" t="b">
        <v>1</v>
      </c>
      <c r="L1806" t="s">
        <v>25</v>
      </c>
    </row>
    <row r="1807" spans="1:12" x14ac:dyDescent="0.2">
      <c r="A1807" t="s">
        <v>3721</v>
      </c>
      <c r="B1807" t="s">
        <v>3722</v>
      </c>
      <c r="C1807" s="1">
        <v>45282</v>
      </c>
      <c r="D1807" s="2">
        <v>45298</v>
      </c>
      <c r="E1807" t="s">
        <v>19</v>
      </c>
      <c r="F1807">
        <v>88046</v>
      </c>
      <c r="G1807">
        <v>3651</v>
      </c>
      <c r="H1807">
        <v>5896.92</v>
      </c>
      <c r="J1807" t="b">
        <v>1</v>
      </c>
      <c r="L1807" t="s">
        <v>20</v>
      </c>
    </row>
    <row r="1808" spans="1:12" x14ac:dyDescent="0.2">
      <c r="A1808" t="s">
        <v>3723</v>
      </c>
      <c r="B1808" t="s">
        <v>3724</v>
      </c>
      <c r="C1808" t="s">
        <v>3725</v>
      </c>
      <c r="D1808" s="2">
        <v>45171</v>
      </c>
      <c r="E1808" t="s">
        <v>138</v>
      </c>
      <c r="F1808">
        <v>58372</v>
      </c>
      <c r="G1808">
        <v>1511</v>
      </c>
      <c r="H1808">
        <v>1963.15</v>
      </c>
      <c r="I1808">
        <v>76</v>
      </c>
      <c r="J1808" t="s">
        <v>15</v>
      </c>
      <c r="L1808" t="s">
        <v>139</v>
      </c>
    </row>
    <row r="1809" spans="1:12" x14ac:dyDescent="0.2">
      <c r="A1809" t="s">
        <v>3726</v>
      </c>
      <c r="B1809" t="s">
        <v>3727</v>
      </c>
      <c r="C1809" s="1">
        <v>45034</v>
      </c>
      <c r="D1809" s="2">
        <v>45046</v>
      </c>
      <c r="E1809" t="s">
        <v>41</v>
      </c>
      <c r="F1809">
        <v>45064</v>
      </c>
      <c r="G1809">
        <v>1376</v>
      </c>
      <c r="H1809">
        <v>2464.42</v>
      </c>
      <c r="I1809">
        <v>258</v>
      </c>
      <c r="J1809">
        <v>0</v>
      </c>
      <c r="L1809" t="s">
        <v>42</v>
      </c>
    </row>
    <row r="1810" spans="1:12" x14ac:dyDescent="0.2">
      <c r="A1810" t="s">
        <v>3728</v>
      </c>
      <c r="B1810" t="s">
        <v>3729</v>
      </c>
      <c r="C1810" s="1">
        <v>45206</v>
      </c>
      <c r="D1810" s="2">
        <v>45217</v>
      </c>
      <c r="E1810" t="s">
        <v>19</v>
      </c>
      <c r="F1810">
        <v>8813</v>
      </c>
      <c r="G1810">
        <v>177</v>
      </c>
      <c r="H1810">
        <v>273</v>
      </c>
      <c r="I1810">
        <v>14</v>
      </c>
      <c r="J1810">
        <v>1</v>
      </c>
      <c r="L1810" t="s">
        <v>20</v>
      </c>
    </row>
    <row r="1811" spans="1:12" x14ac:dyDescent="0.2">
      <c r="A1811" t="s">
        <v>3730</v>
      </c>
      <c r="B1811" t="s">
        <v>3731</v>
      </c>
      <c r="C1811" s="1">
        <v>45174</v>
      </c>
      <c r="D1811" s="2">
        <v>45181</v>
      </c>
      <c r="E1811" t="s">
        <v>33</v>
      </c>
      <c r="F1811">
        <v>32598</v>
      </c>
      <c r="G1811">
        <v>1613</v>
      </c>
      <c r="H1811">
        <v>832.03</v>
      </c>
      <c r="I1811">
        <v>318</v>
      </c>
      <c r="J1811">
        <v>1</v>
      </c>
      <c r="L1811" t="s">
        <v>34</v>
      </c>
    </row>
    <row r="1812" spans="1:12" x14ac:dyDescent="0.2">
      <c r="A1812" t="s">
        <v>3732</v>
      </c>
      <c r="B1812" t="s">
        <v>3733</v>
      </c>
      <c r="C1812" s="2">
        <v>45282</v>
      </c>
      <c r="D1812" s="2">
        <v>45292</v>
      </c>
      <c r="E1812" t="s">
        <v>19</v>
      </c>
      <c r="F1812">
        <v>94106</v>
      </c>
      <c r="G1812">
        <v>2038</v>
      </c>
      <c r="H1812">
        <v>2223.73</v>
      </c>
      <c r="I1812">
        <v>326</v>
      </c>
      <c r="J1812" t="s">
        <v>15</v>
      </c>
      <c r="L1812" t="s">
        <v>20</v>
      </c>
    </row>
    <row r="1813" spans="1:12" x14ac:dyDescent="0.2">
      <c r="A1813" t="s">
        <v>3734</v>
      </c>
      <c r="B1813" t="s">
        <v>3735</v>
      </c>
      <c r="C1813" s="1">
        <v>45225</v>
      </c>
      <c r="D1813" s="2">
        <v>45255</v>
      </c>
      <c r="E1813" t="s">
        <v>14</v>
      </c>
      <c r="F1813">
        <v>28082</v>
      </c>
      <c r="G1813">
        <v>1146</v>
      </c>
      <c r="H1813">
        <v>2035.79</v>
      </c>
      <c r="I1813">
        <v>190</v>
      </c>
      <c r="J1813" t="b">
        <v>0</v>
      </c>
      <c r="L1813" t="s">
        <v>16</v>
      </c>
    </row>
    <row r="1814" spans="1:12" x14ac:dyDescent="0.2">
      <c r="A1814" t="s">
        <v>3736</v>
      </c>
      <c r="B1814" t="s">
        <v>3737</v>
      </c>
      <c r="C1814" s="1">
        <v>45057</v>
      </c>
      <c r="D1814" s="2">
        <v>45074</v>
      </c>
      <c r="E1814" t="s">
        <v>23</v>
      </c>
      <c r="F1814">
        <v>30241</v>
      </c>
      <c r="G1814">
        <v>819</v>
      </c>
      <c r="H1814">
        <v>834.39</v>
      </c>
      <c r="I1814">
        <v>121</v>
      </c>
      <c r="J1814" t="s">
        <v>15</v>
      </c>
      <c r="L1814" t="s">
        <v>25</v>
      </c>
    </row>
    <row r="1815" spans="1:12" x14ac:dyDescent="0.2">
      <c r="A1815" t="s">
        <v>3738</v>
      </c>
      <c r="B1815" t="s">
        <v>3739</v>
      </c>
      <c r="C1815" s="2">
        <v>45283</v>
      </c>
      <c r="D1815" s="2">
        <v>45289</v>
      </c>
      <c r="E1815" t="s">
        <v>33</v>
      </c>
      <c r="F1815">
        <v>97214</v>
      </c>
      <c r="G1815">
        <v>1774</v>
      </c>
      <c r="H1815">
        <v>980.71</v>
      </c>
      <c r="I1815">
        <v>214</v>
      </c>
      <c r="J1815">
        <v>0</v>
      </c>
      <c r="L1815" t="s">
        <v>68</v>
      </c>
    </row>
    <row r="1816" spans="1:12" x14ac:dyDescent="0.2">
      <c r="A1816" t="s">
        <v>3740</v>
      </c>
      <c r="B1816" t="s">
        <v>3741</v>
      </c>
      <c r="C1816" s="2">
        <v>45262</v>
      </c>
      <c r="D1816" s="2">
        <v>44970</v>
      </c>
      <c r="E1816" t="s">
        <v>234</v>
      </c>
      <c r="F1816">
        <v>45569</v>
      </c>
      <c r="G1816">
        <v>1913</v>
      </c>
      <c r="H1816">
        <v>3097.66</v>
      </c>
      <c r="I1816">
        <v>259</v>
      </c>
      <c r="J1816" t="b">
        <v>1</v>
      </c>
      <c r="L1816" t="s">
        <v>16</v>
      </c>
    </row>
    <row r="1817" spans="1:12" x14ac:dyDescent="0.2">
      <c r="A1817" t="s">
        <v>3742</v>
      </c>
      <c r="B1817" t="s">
        <v>3743</v>
      </c>
      <c r="C1817" s="1">
        <v>45265</v>
      </c>
      <c r="D1817" s="2">
        <v>45269</v>
      </c>
      <c r="E1817" t="s">
        <v>41</v>
      </c>
      <c r="F1817">
        <v>12745</v>
      </c>
      <c r="G1817">
        <v>297</v>
      </c>
      <c r="H1817" s="3">
        <v>505.81</v>
      </c>
      <c r="I1817">
        <v>16</v>
      </c>
      <c r="J1817" t="s">
        <v>15</v>
      </c>
      <c r="L1817" t="s">
        <v>42</v>
      </c>
    </row>
    <row r="1818" spans="1:12" x14ac:dyDescent="0.2">
      <c r="A1818" t="s">
        <v>3744</v>
      </c>
      <c r="B1818" t="s">
        <v>3745</v>
      </c>
      <c r="C1818" s="1">
        <v>45264</v>
      </c>
      <c r="D1818" s="2">
        <v>45269</v>
      </c>
      <c r="E1818" t="s">
        <v>14</v>
      </c>
      <c r="F1818">
        <v>27029</v>
      </c>
      <c r="G1818">
        <v>1205</v>
      </c>
      <c r="H1818">
        <v>892.77</v>
      </c>
      <c r="I1818">
        <v>173</v>
      </c>
      <c r="J1818" t="b">
        <v>1</v>
      </c>
      <c r="L1818" t="s">
        <v>16</v>
      </c>
    </row>
    <row r="1819" spans="1:12" x14ac:dyDescent="0.2">
      <c r="A1819" t="s">
        <v>3746</v>
      </c>
      <c r="B1819" t="s">
        <v>3747</v>
      </c>
      <c r="C1819" s="1">
        <v>45076</v>
      </c>
      <c r="D1819" s="2">
        <v>45100</v>
      </c>
      <c r="E1819" t="s">
        <v>41</v>
      </c>
      <c r="F1819">
        <v>14025</v>
      </c>
      <c r="G1819">
        <v>653</v>
      </c>
      <c r="H1819">
        <v>852.83</v>
      </c>
      <c r="I1819">
        <v>93</v>
      </c>
      <c r="J1819">
        <v>0</v>
      </c>
      <c r="L1819" t="s">
        <v>42</v>
      </c>
    </row>
    <row r="1820" spans="1:12" x14ac:dyDescent="0.2">
      <c r="A1820" t="s">
        <v>3748</v>
      </c>
      <c r="B1820" t="s">
        <v>3749</v>
      </c>
      <c r="C1820" s="1">
        <v>45045</v>
      </c>
      <c r="D1820" s="2">
        <v>45068</v>
      </c>
      <c r="E1820" t="s">
        <v>33</v>
      </c>
      <c r="F1820">
        <v>15288</v>
      </c>
      <c r="G1820">
        <v>678</v>
      </c>
      <c r="H1820">
        <v>534.22</v>
      </c>
      <c r="I1820">
        <v>124</v>
      </c>
      <c r="J1820" t="s">
        <v>24</v>
      </c>
      <c r="L1820" t="s">
        <v>34</v>
      </c>
    </row>
    <row r="1821" spans="1:12" x14ac:dyDescent="0.2">
      <c r="A1821" t="s">
        <v>3750</v>
      </c>
      <c r="B1821" t="s">
        <v>3751</v>
      </c>
      <c r="C1821" t="s">
        <v>3752</v>
      </c>
      <c r="D1821" s="2">
        <v>45308</v>
      </c>
      <c r="E1821" t="s">
        <v>41</v>
      </c>
      <c r="F1821">
        <v>90186</v>
      </c>
      <c r="G1821">
        <v>1028</v>
      </c>
      <c r="H1821">
        <v>1623.06</v>
      </c>
      <c r="I1821">
        <v>129</v>
      </c>
      <c r="J1821">
        <v>0</v>
      </c>
      <c r="K1821">
        <v>90254</v>
      </c>
      <c r="L1821" t="s">
        <v>42</v>
      </c>
    </row>
    <row r="1822" spans="1:12" x14ac:dyDescent="0.2">
      <c r="A1822" t="s">
        <v>3753</v>
      </c>
      <c r="B1822" t="s">
        <v>3754</v>
      </c>
      <c r="C1822" s="1">
        <v>45088</v>
      </c>
      <c r="D1822" s="2">
        <v>45097</v>
      </c>
      <c r="E1822" t="s">
        <v>14</v>
      </c>
      <c r="F1822">
        <v>7540</v>
      </c>
      <c r="G1822">
        <v>312</v>
      </c>
      <c r="H1822">
        <v>283.08999999999997</v>
      </c>
      <c r="J1822" t="s">
        <v>30</v>
      </c>
      <c r="L1822" t="s">
        <v>16</v>
      </c>
    </row>
    <row r="1823" spans="1:12" x14ac:dyDescent="0.2">
      <c r="A1823" t="s">
        <v>3755</v>
      </c>
      <c r="B1823" t="s">
        <v>3756</v>
      </c>
      <c r="C1823" s="1">
        <v>44972</v>
      </c>
      <c r="D1823" s="2">
        <v>44974</v>
      </c>
      <c r="E1823" t="s">
        <v>14</v>
      </c>
      <c r="F1823">
        <v>98768</v>
      </c>
      <c r="G1823">
        <v>2612</v>
      </c>
      <c r="H1823">
        <v>2544.9299999999998</v>
      </c>
      <c r="I1823">
        <v>250</v>
      </c>
      <c r="J1823" t="b">
        <v>1</v>
      </c>
      <c r="L1823" t="s">
        <v>16</v>
      </c>
    </row>
    <row r="1824" spans="1:12" x14ac:dyDescent="0.2">
      <c r="A1824" t="s">
        <v>3757</v>
      </c>
      <c r="B1824" t="s">
        <v>3758</v>
      </c>
      <c r="C1824" s="1">
        <v>45161</v>
      </c>
      <c r="D1824" s="2">
        <v>45162</v>
      </c>
      <c r="E1824" t="s">
        <v>41</v>
      </c>
      <c r="F1824">
        <v>82958</v>
      </c>
      <c r="G1824">
        <v>3728</v>
      </c>
      <c r="H1824" s="3">
        <v>6589.08</v>
      </c>
      <c r="I1824">
        <v>553</v>
      </c>
      <c r="J1824">
        <v>1</v>
      </c>
      <c r="L1824" t="s">
        <v>42</v>
      </c>
    </row>
    <row r="1825" spans="1:12" x14ac:dyDescent="0.2">
      <c r="A1825" t="s">
        <v>3759</v>
      </c>
      <c r="B1825" t="s">
        <v>3760</v>
      </c>
      <c r="C1825" s="1">
        <v>44947</v>
      </c>
      <c r="D1825" s="2">
        <v>44964</v>
      </c>
      <c r="E1825" t="s">
        <v>19</v>
      </c>
      <c r="F1825">
        <v>69878</v>
      </c>
      <c r="G1825">
        <v>2481</v>
      </c>
      <c r="H1825">
        <v>3013.13</v>
      </c>
      <c r="I1825">
        <v>213</v>
      </c>
      <c r="J1825" t="s">
        <v>15</v>
      </c>
      <c r="L1825" t="s">
        <v>20</v>
      </c>
    </row>
    <row r="1826" spans="1:12" x14ac:dyDescent="0.2">
      <c r="A1826" t="s">
        <v>3761</v>
      </c>
      <c r="B1826" t="s">
        <v>3762</v>
      </c>
      <c r="C1826" s="1">
        <v>45097</v>
      </c>
      <c r="D1826" s="2">
        <v>45104</v>
      </c>
      <c r="E1826" t="s">
        <v>33</v>
      </c>
      <c r="F1826">
        <v>42846</v>
      </c>
      <c r="G1826">
        <v>1857</v>
      </c>
      <c r="H1826">
        <v>2794.1</v>
      </c>
      <c r="I1826">
        <v>170</v>
      </c>
      <c r="J1826" t="s">
        <v>24</v>
      </c>
      <c r="L1826" t="s">
        <v>34</v>
      </c>
    </row>
    <row r="1827" spans="1:12" x14ac:dyDescent="0.2">
      <c r="A1827" t="s">
        <v>3763</v>
      </c>
      <c r="B1827" t="s">
        <v>3764</v>
      </c>
      <c r="C1827" s="1">
        <v>44936</v>
      </c>
      <c r="D1827" s="2">
        <v>44957</v>
      </c>
      <c r="E1827" t="s">
        <v>191</v>
      </c>
      <c r="F1827">
        <v>76932</v>
      </c>
      <c r="G1827">
        <v>2306</v>
      </c>
      <c r="H1827">
        <v>2544.81</v>
      </c>
      <c r="I1827">
        <v>399</v>
      </c>
      <c r="J1827">
        <v>0</v>
      </c>
      <c r="L1827" t="s">
        <v>42</v>
      </c>
    </row>
    <row r="1828" spans="1:12" x14ac:dyDescent="0.2">
      <c r="A1828" t="s">
        <v>3765</v>
      </c>
      <c r="B1828" t="s">
        <v>3766</v>
      </c>
      <c r="C1828" s="1">
        <v>45247</v>
      </c>
      <c r="D1828" s="2">
        <v>45264</v>
      </c>
      <c r="E1828" t="s">
        <v>14</v>
      </c>
      <c r="F1828">
        <v>18482</v>
      </c>
      <c r="G1828">
        <v>580</v>
      </c>
      <c r="H1828" s="3">
        <v>549.27</v>
      </c>
      <c r="I1828">
        <v>79</v>
      </c>
      <c r="J1828" t="b">
        <v>1</v>
      </c>
      <c r="L1828" t="s">
        <v>16</v>
      </c>
    </row>
    <row r="1829" spans="1:12" x14ac:dyDescent="0.2">
      <c r="A1829" t="s">
        <v>3767</v>
      </c>
      <c r="B1829" t="s">
        <v>3768</v>
      </c>
      <c r="C1829" s="2">
        <v>45183</v>
      </c>
      <c r="D1829" s="2">
        <v>45195</v>
      </c>
      <c r="E1829" t="s">
        <v>41</v>
      </c>
      <c r="F1829">
        <v>24411</v>
      </c>
      <c r="G1829">
        <v>385</v>
      </c>
      <c r="H1829">
        <v>553.71</v>
      </c>
      <c r="I1829">
        <v>48</v>
      </c>
      <c r="J1829" t="s">
        <v>24</v>
      </c>
      <c r="L1829" t="s">
        <v>42</v>
      </c>
    </row>
    <row r="1830" spans="1:12" x14ac:dyDescent="0.2">
      <c r="A1830" t="s">
        <v>3769</v>
      </c>
      <c r="B1830" t="s">
        <v>3770</v>
      </c>
      <c r="C1830" s="1">
        <v>45058</v>
      </c>
      <c r="D1830" s="2">
        <v>45059</v>
      </c>
      <c r="E1830" t="s">
        <v>33</v>
      </c>
      <c r="F1830">
        <v>51975</v>
      </c>
      <c r="G1830">
        <v>2149</v>
      </c>
      <c r="H1830">
        <v>1573.68</v>
      </c>
      <c r="I1830">
        <v>210</v>
      </c>
      <c r="J1830" t="b">
        <v>0</v>
      </c>
      <c r="L1830" t="s">
        <v>34</v>
      </c>
    </row>
    <row r="1831" spans="1:12" x14ac:dyDescent="0.2">
      <c r="A1831" t="s">
        <v>3771</v>
      </c>
      <c r="B1831" t="s">
        <v>3772</v>
      </c>
      <c r="C1831" s="1">
        <v>44942</v>
      </c>
      <c r="D1831" s="2">
        <v>44957</v>
      </c>
      <c r="E1831" t="s">
        <v>14</v>
      </c>
      <c r="F1831">
        <v>61545</v>
      </c>
      <c r="G1831">
        <v>1647</v>
      </c>
      <c r="H1831">
        <v>1745</v>
      </c>
      <c r="I1831">
        <v>262</v>
      </c>
      <c r="J1831" t="s">
        <v>30</v>
      </c>
      <c r="L1831" t="s">
        <v>68</v>
      </c>
    </row>
    <row r="1832" spans="1:12" x14ac:dyDescent="0.2">
      <c r="A1832" t="s">
        <v>3773</v>
      </c>
      <c r="B1832" t="s">
        <v>3774</v>
      </c>
      <c r="C1832" s="1">
        <v>45042</v>
      </c>
      <c r="D1832" s="2">
        <v>45055</v>
      </c>
      <c r="E1832" t="s">
        <v>41</v>
      </c>
      <c r="F1832">
        <v>79797</v>
      </c>
      <c r="G1832">
        <v>2394</v>
      </c>
      <c r="H1832">
        <v>1947.65</v>
      </c>
      <c r="J1832" t="b">
        <v>0</v>
      </c>
      <c r="L1832" t="s">
        <v>42</v>
      </c>
    </row>
    <row r="1833" spans="1:12" x14ac:dyDescent="0.2">
      <c r="A1833" t="s">
        <v>3775</v>
      </c>
      <c r="B1833" t="s">
        <v>3776</v>
      </c>
      <c r="C1833" s="1">
        <v>45263</v>
      </c>
      <c r="D1833" s="2">
        <v>45274</v>
      </c>
      <c r="E1833" t="s">
        <v>14</v>
      </c>
      <c r="F1833">
        <v>53307</v>
      </c>
      <c r="G1833">
        <v>2207</v>
      </c>
      <c r="H1833">
        <v>3406.93</v>
      </c>
      <c r="I1833">
        <v>354</v>
      </c>
      <c r="J1833">
        <v>0</v>
      </c>
      <c r="L1833" t="s">
        <v>16</v>
      </c>
    </row>
    <row r="1834" spans="1:12" x14ac:dyDescent="0.2">
      <c r="A1834" t="s">
        <v>3777</v>
      </c>
      <c r="B1834" t="s">
        <v>3778</v>
      </c>
      <c r="C1834" s="1">
        <v>45193</v>
      </c>
      <c r="D1834" s="2">
        <v>45219</v>
      </c>
      <c r="E1834" t="s">
        <v>33</v>
      </c>
      <c r="F1834">
        <v>4093</v>
      </c>
      <c r="G1834">
        <v>138</v>
      </c>
      <c r="H1834">
        <v>264.45</v>
      </c>
      <c r="I1834">
        <v>8</v>
      </c>
      <c r="J1834" t="b">
        <v>0</v>
      </c>
      <c r="L1834" t="s">
        <v>34</v>
      </c>
    </row>
    <row r="1835" spans="1:12" x14ac:dyDescent="0.2">
      <c r="A1835" t="s">
        <v>3779</v>
      </c>
      <c r="B1835" t="s">
        <v>3780</v>
      </c>
      <c r="C1835" s="1">
        <v>45247</v>
      </c>
      <c r="D1835" s="2">
        <v>45267</v>
      </c>
      <c r="E1835" t="s">
        <v>14</v>
      </c>
      <c r="F1835">
        <v>78258</v>
      </c>
      <c r="G1835">
        <v>1412</v>
      </c>
      <c r="H1835" s="3">
        <v>2814.49</v>
      </c>
      <c r="I1835">
        <v>253</v>
      </c>
      <c r="J1835" t="b">
        <v>0</v>
      </c>
      <c r="L1835" t="s">
        <v>16</v>
      </c>
    </row>
    <row r="1836" spans="1:12" x14ac:dyDescent="0.2">
      <c r="A1836" t="s">
        <v>3781</v>
      </c>
      <c r="B1836" t="s">
        <v>3782</v>
      </c>
      <c r="C1836" s="1">
        <v>45220</v>
      </c>
      <c r="D1836" s="2">
        <v>45235</v>
      </c>
      <c r="E1836" t="s">
        <v>14</v>
      </c>
      <c r="F1836">
        <v>23042</v>
      </c>
      <c r="G1836">
        <v>774</v>
      </c>
      <c r="H1836">
        <v>909.77</v>
      </c>
      <c r="J1836" t="s">
        <v>30</v>
      </c>
      <c r="L1836" t="s">
        <v>16</v>
      </c>
    </row>
    <row r="1837" spans="1:12" x14ac:dyDescent="0.2">
      <c r="A1837" t="s">
        <v>3783</v>
      </c>
      <c r="B1837" t="s">
        <v>3784</v>
      </c>
      <c r="C1837" s="1">
        <v>45236</v>
      </c>
      <c r="D1837" s="2">
        <v>45248</v>
      </c>
      <c r="E1837" t="s">
        <v>19</v>
      </c>
      <c r="F1837">
        <v>53930</v>
      </c>
      <c r="G1837">
        <v>1418</v>
      </c>
      <c r="H1837" s="3">
        <v>1246.1300000000001</v>
      </c>
      <c r="I1837">
        <v>164</v>
      </c>
      <c r="J1837" t="s">
        <v>30</v>
      </c>
      <c r="L1837" t="s">
        <v>20</v>
      </c>
    </row>
    <row r="1838" spans="1:12" x14ac:dyDescent="0.2">
      <c r="A1838" t="s">
        <v>3785</v>
      </c>
      <c r="B1838" t="s">
        <v>3786</v>
      </c>
      <c r="C1838" s="1">
        <v>45032</v>
      </c>
      <c r="D1838" s="2">
        <v>45052</v>
      </c>
      <c r="E1838" t="s">
        <v>33</v>
      </c>
      <c r="F1838">
        <v>45413</v>
      </c>
      <c r="G1838">
        <v>1307</v>
      </c>
      <c r="H1838">
        <v>1521.67</v>
      </c>
      <c r="I1838">
        <v>185</v>
      </c>
      <c r="J1838" t="s">
        <v>30</v>
      </c>
      <c r="L1838" t="s">
        <v>34</v>
      </c>
    </row>
    <row r="1839" spans="1:12" x14ac:dyDescent="0.2">
      <c r="A1839" t="s">
        <v>3787</v>
      </c>
      <c r="B1839" t="s">
        <v>3788</v>
      </c>
      <c r="C1839" s="1">
        <v>45277</v>
      </c>
      <c r="D1839" s="2">
        <v>45288</v>
      </c>
      <c r="E1839" t="s">
        <v>58</v>
      </c>
      <c r="F1839">
        <v>94623</v>
      </c>
      <c r="G1839">
        <v>1053</v>
      </c>
      <c r="H1839">
        <v>1864.76</v>
      </c>
      <c r="I1839">
        <v>151</v>
      </c>
      <c r="J1839" t="s">
        <v>24</v>
      </c>
      <c r="L1839" t="s">
        <v>59</v>
      </c>
    </row>
    <row r="1840" spans="1:12" x14ac:dyDescent="0.2">
      <c r="A1840" t="s">
        <v>3789</v>
      </c>
      <c r="B1840" t="s">
        <v>3790</v>
      </c>
      <c r="C1840" s="1">
        <v>45085</v>
      </c>
      <c r="D1840" s="2">
        <v>45095</v>
      </c>
      <c r="E1840" t="s">
        <v>33</v>
      </c>
      <c r="F1840">
        <v>98883</v>
      </c>
      <c r="G1840">
        <v>1819</v>
      </c>
      <c r="H1840">
        <v>1471.59</v>
      </c>
      <c r="I1840">
        <v>126</v>
      </c>
      <c r="J1840" t="s">
        <v>30</v>
      </c>
      <c r="L1840" t="s">
        <v>34</v>
      </c>
    </row>
    <row r="1841" spans="1:12" x14ac:dyDescent="0.2">
      <c r="A1841" t="s">
        <v>3791</v>
      </c>
      <c r="B1841" t="s">
        <v>3792</v>
      </c>
      <c r="C1841" s="1">
        <v>44996</v>
      </c>
      <c r="D1841" s="2">
        <v>45008</v>
      </c>
      <c r="E1841" t="s">
        <v>41</v>
      </c>
      <c r="F1841">
        <v>34756</v>
      </c>
      <c r="G1841">
        <v>738</v>
      </c>
      <c r="H1841">
        <v>1422.97</v>
      </c>
      <c r="I1841">
        <v>120</v>
      </c>
      <c r="J1841" t="b">
        <v>0</v>
      </c>
      <c r="L1841" t="s">
        <v>42</v>
      </c>
    </row>
    <row r="1842" spans="1:12" x14ac:dyDescent="0.2">
      <c r="A1842" t="s">
        <v>3793</v>
      </c>
      <c r="B1842" t="s">
        <v>3794</v>
      </c>
      <c r="C1842" s="1">
        <v>45001</v>
      </c>
      <c r="D1842" s="2">
        <v>45003</v>
      </c>
      <c r="E1842" t="s">
        <v>138</v>
      </c>
      <c r="F1842">
        <v>54268</v>
      </c>
      <c r="G1842">
        <v>2090</v>
      </c>
      <c r="H1842">
        <v>2116.75</v>
      </c>
      <c r="I1842">
        <v>191</v>
      </c>
      <c r="J1842">
        <v>1</v>
      </c>
      <c r="L1842" t="s">
        <v>139</v>
      </c>
    </row>
    <row r="1843" spans="1:12" x14ac:dyDescent="0.2">
      <c r="A1843" t="s">
        <v>3795</v>
      </c>
      <c r="B1843" t="s">
        <v>3796</v>
      </c>
      <c r="C1843" s="1">
        <v>45007</v>
      </c>
      <c r="D1843" s="2">
        <v>45033</v>
      </c>
      <c r="E1843" t="s">
        <v>14</v>
      </c>
      <c r="F1843">
        <v>40214</v>
      </c>
      <c r="G1843">
        <v>420</v>
      </c>
      <c r="H1843">
        <v>831.06</v>
      </c>
      <c r="I1843">
        <v>78</v>
      </c>
      <c r="J1843">
        <v>1</v>
      </c>
      <c r="L1843" t="s">
        <v>16</v>
      </c>
    </row>
    <row r="1844" spans="1:12" x14ac:dyDescent="0.2">
      <c r="A1844" t="s">
        <v>3797</v>
      </c>
      <c r="B1844" t="s">
        <v>3798</v>
      </c>
      <c r="C1844" s="1">
        <v>44987</v>
      </c>
      <c r="D1844" s="2">
        <v>45004</v>
      </c>
      <c r="E1844" t="s">
        <v>41</v>
      </c>
      <c r="F1844">
        <v>82871</v>
      </c>
      <c r="G1844">
        <v>2183</v>
      </c>
      <c r="H1844">
        <v>3837.52</v>
      </c>
      <c r="I1844">
        <v>376</v>
      </c>
      <c r="J1844" t="s">
        <v>30</v>
      </c>
      <c r="L1844" t="s">
        <v>42</v>
      </c>
    </row>
    <row r="1845" spans="1:12" x14ac:dyDescent="0.2">
      <c r="A1845" t="s">
        <v>3799</v>
      </c>
      <c r="B1845" t="s">
        <v>3800</v>
      </c>
      <c r="C1845" s="1">
        <v>45001</v>
      </c>
      <c r="D1845" s="2">
        <v>45020</v>
      </c>
      <c r="E1845" t="s">
        <v>14</v>
      </c>
      <c r="F1845">
        <v>29602</v>
      </c>
      <c r="G1845">
        <v>1390</v>
      </c>
      <c r="H1845">
        <v>2380.87</v>
      </c>
      <c r="I1845">
        <v>141</v>
      </c>
      <c r="J1845" t="s">
        <v>24</v>
      </c>
      <c r="L1845" t="s">
        <v>16</v>
      </c>
    </row>
    <row r="1846" spans="1:12" x14ac:dyDescent="0.2">
      <c r="A1846" t="s">
        <v>3801</v>
      </c>
      <c r="B1846" t="s">
        <v>3802</v>
      </c>
      <c r="C1846" s="1">
        <v>45138</v>
      </c>
      <c r="D1846" s="2">
        <v>45142</v>
      </c>
      <c r="E1846" t="s">
        <v>33</v>
      </c>
      <c r="F1846">
        <v>54331</v>
      </c>
      <c r="G1846">
        <v>786</v>
      </c>
      <c r="H1846">
        <v>767.81</v>
      </c>
      <c r="I1846">
        <v>134</v>
      </c>
      <c r="J1846" t="s">
        <v>15</v>
      </c>
      <c r="L1846" t="s">
        <v>34</v>
      </c>
    </row>
    <row r="1847" spans="1:12" x14ac:dyDescent="0.2">
      <c r="A1847" t="s">
        <v>3803</v>
      </c>
      <c r="B1847" t="s">
        <v>3804</v>
      </c>
      <c r="C1847" s="1">
        <v>45253</v>
      </c>
      <c r="D1847" s="2">
        <v>45282</v>
      </c>
      <c r="E1847" t="s">
        <v>33</v>
      </c>
      <c r="F1847">
        <v>49901</v>
      </c>
      <c r="G1847">
        <v>1529</v>
      </c>
      <c r="H1847">
        <v>784.63</v>
      </c>
      <c r="I1847">
        <v>158</v>
      </c>
      <c r="J1847" t="b">
        <v>1</v>
      </c>
      <c r="L1847" t="s">
        <v>34</v>
      </c>
    </row>
    <row r="1848" spans="1:12" x14ac:dyDescent="0.2">
      <c r="A1848" t="s">
        <v>3805</v>
      </c>
      <c r="B1848" t="s">
        <v>3806</v>
      </c>
      <c r="C1848" s="1">
        <v>45023</v>
      </c>
      <c r="D1848" s="2">
        <v>45038</v>
      </c>
      <c r="E1848" t="s">
        <v>19</v>
      </c>
      <c r="F1848">
        <v>64416</v>
      </c>
      <c r="G1848">
        <v>2670</v>
      </c>
      <c r="H1848">
        <v>2865.44</v>
      </c>
      <c r="I1848">
        <v>173</v>
      </c>
      <c r="J1848">
        <v>0</v>
      </c>
      <c r="L1848" t="s">
        <v>20</v>
      </c>
    </row>
    <row r="1849" spans="1:12" x14ac:dyDescent="0.2">
      <c r="A1849" t="s">
        <v>3807</v>
      </c>
      <c r="B1849" t="s">
        <v>3808</v>
      </c>
      <c r="C1849" s="1">
        <v>45240</v>
      </c>
      <c r="D1849" s="2">
        <v>45265</v>
      </c>
      <c r="E1849" t="s">
        <v>33</v>
      </c>
      <c r="F1849">
        <v>33196</v>
      </c>
      <c r="G1849">
        <v>1583</v>
      </c>
      <c r="H1849">
        <v>1508.15</v>
      </c>
      <c r="J1849" t="s">
        <v>24</v>
      </c>
      <c r="L1849" t="s">
        <v>34</v>
      </c>
    </row>
    <row r="1850" spans="1:12" x14ac:dyDescent="0.2">
      <c r="A1850" t="s">
        <v>3809</v>
      </c>
      <c r="B1850" t="s">
        <v>3810</v>
      </c>
      <c r="C1850" s="1">
        <v>45240</v>
      </c>
      <c r="D1850" s="2">
        <v>45256</v>
      </c>
      <c r="E1850" t="s">
        <v>14</v>
      </c>
      <c r="F1850">
        <v>6626</v>
      </c>
      <c r="G1850">
        <v>264</v>
      </c>
      <c r="H1850">
        <v>146.81</v>
      </c>
      <c r="I1850">
        <v>39</v>
      </c>
      <c r="J1850" t="s">
        <v>15</v>
      </c>
      <c r="L1850" t="s">
        <v>16</v>
      </c>
    </row>
    <row r="1851" spans="1:12" x14ac:dyDescent="0.2">
      <c r="A1851" t="s">
        <v>3811</v>
      </c>
      <c r="B1851" t="s">
        <v>3812</v>
      </c>
      <c r="C1851" t="s">
        <v>3813</v>
      </c>
      <c r="D1851" s="2">
        <v>45292</v>
      </c>
      <c r="E1851" t="s">
        <v>19</v>
      </c>
      <c r="F1851">
        <v>8424</v>
      </c>
      <c r="G1851">
        <v>327</v>
      </c>
      <c r="H1851">
        <v>411.38</v>
      </c>
      <c r="I1851">
        <v>38</v>
      </c>
      <c r="J1851">
        <v>0</v>
      </c>
      <c r="L1851" t="s">
        <v>20</v>
      </c>
    </row>
    <row r="1852" spans="1:12" x14ac:dyDescent="0.2">
      <c r="A1852" t="s">
        <v>3814</v>
      </c>
      <c r="B1852" t="s">
        <v>3815</v>
      </c>
      <c r="C1852" s="1">
        <v>44967</v>
      </c>
      <c r="D1852" s="2">
        <v>44992</v>
      </c>
      <c r="E1852" t="s">
        <v>23</v>
      </c>
      <c r="F1852">
        <v>13857</v>
      </c>
      <c r="G1852">
        <v>596</v>
      </c>
      <c r="H1852">
        <v>658.31</v>
      </c>
      <c r="J1852" t="s">
        <v>15</v>
      </c>
      <c r="L1852" t="s">
        <v>25</v>
      </c>
    </row>
    <row r="1853" spans="1:12" x14ac:dyDescent="0.2">
      <c r="A1853" t="s">
        <v>3816</v>
      </c>
      <c r="B1853" t="s">
        <v>3817</v>
      </c>
      <c r="C1853" s="1">
        <v>45184</v>
      </c>
      <c r="D1853" s="2">
        <v>45201</v>
      </c>
      <c r="E1853" t="s">
        <v>33</v>
      </c>
      <c r="F1853">
        <v>20982</v>
      </c>
      <c r="G1853">
        <v>584</v>
      </c>
      <c r="H1853">
        <v>847.87</v>
      </c>
      <c r="I1853">
        <v>57</v>
      </c>
      <c r="J1853" t="s">
        <v>15</v>
      </c>
      <c r="L1853" t="s">
        <v>34</v>
      </c>
    </row>
    <row r="1854" spans="1:12" x14ac:dyDescent="0.2">
      <c r="A1854" t="s">
        <v>3818</v>
      </c>
      <c r="B1854" t="s">
        <v>3819</v>
      </c>
      <c r="C1854" s="1">
        <v>45259</v>
      </c>
      <c r="D1854" s="2">
        <v>45261</v>
      </c>
      <c r="E1854" t="s">
        <v>23</v>
      </c>
      <c r="F1854">
        <v>77961</v>
      </c>
      <c r="G1854">
        <v>3292</v>
      </c>
      <c r="H1854">
        <v>4713.42</v>
      </c>
      <c r="I1854">
        <v>649</v>
      </c>
      <c r="J1854">
        <v>1</v>
      </c>
      <c r="L1854" t="s">
        <v>68</v>
      </c>
    </row>
    <row r="1855" spans="1:12" x14ac:dyDescent="0.2">
      <c r="A1855" t="s">
        <v>3820</v>
      </c>
      <c r="B1855" t="s">
        <v>3821</v>
      </c>
      <c r="C1855" s="1">
        <v>45178</v>
      </c>
      <c r="D1855" s="2">
        <v>45200</v>
      </c>
      <c r="E1855" t="s">
        <v>138</v>
      </c>
      <c r="F1855">
        <v>2980</v>
      </c>
      <c r="G1855">
        <v>30</v>
      </c>
      <c r="H1855" s="3">
        <v>20.43</v>
      </c>
      <c r="J1855" t="b">
        <v>1</v>
      </c>
      <c r="L1855" t="s">
        <v>139</v>
      </c>
    </row>
    <row r="1856" spans="1:12" x14ac:dyDescent="0.2">
      <c r="A1856" t="s">
        <v>3822</v>
      </c>
      <c r="B1856" t="s">
        <v>3823</v>
      </c>
      <c r="C1856" t="s">
        <v>3824</v>
      </c>
      <c r="D1856" s="2">
        <v>45067</v>
      </c>
      <c r="E1856" t="s">
        <v>33</v>
      </c>
      <c r="F1856">
        <v>49290</v>
      </c>
      <c r="G1856">
        <v>2315</v>
      </c>
      <c r="H1856" s="3">
        <v>4550.01</v>
      </c>
      <c r="I1856">
        <v>225</v>
      </c>
      <c r="J1856" t="s">
        <v>15</v>
      </c>
      <c r="L1856" t="s">
        <v>34</v>
      </c>
    </row>
    <row r="1857" spans="1:12" x14ac:dyDescent="0.2">
      <c r="A1857" t="s">
        <v>3825</v>
      </c>
      <c r="B1857" t="s">
        <v>3826</v>
      </c>
      <c r="C1857" s="1">
        <v>44934</v>
      </c>
      <c r="D1857" s="2">
        <v>44952</v>
      </c>
      <c r="E1857" t="s">
        <v>41</v>
      </c>
      <c r="F1857">
        <v>27431</v>
      </c>
      <c r="G1857">
        <v>760</v>
      </c>
      <c r="H1857">
        <v>593.1</v>
      </c>
      <c r="I1857">
        <v>93</v>
      </c>
      <c r="J1857" t="s">
        <v>30</v>
      </c>
      <c r="L1857" t="s">
        <v>68</v>
      </c>
    </row>
    <row r="1858" spans="1:12" x14ac:dyDescent="0.2">
      <c r="A1858" t="s">
        <v>3827</v>
      </c>
      <c r="B1858" t="s">
        <v>3828</v>
      </c>
      <c r="C1858" s="1">
        <v>45040</v>
      </c>
      <c r="D1858" s="2">
        <v>45064</v>
      </c>
      <c r="E1858" t="s">
        <v>33</v>
      </c>
      <c r="F1858">
        <v>85976</v>
      </c>
      <c r="G1858">
        <v>2762</v>
      </c>
      <c r="H1858" s="3">
        <v>3225.77</v>
      </c>
      <c r="I1858">
        <v>336</v>
      </c>
      <c r="J1858">
        <v>0</v>
      </c>
      <c r="L1858" t="s">
        <v>34</v>
      </c>
    </row>
    <row r="1859" spans="1:12" x14ac:dyDescent="0.2">
      <c r="A1859" t="s">
        <v>3829</v>
      </c>
      <c r="B1859" t="s">
        <v>3830</v>
      </c>
      <c r="C1859" t="s">
        <v>3831</v>
      </c>
      <c r="D1859" s="2">
        <v>45055</v>
      </c>
      <c r="E1859" t="s">
        <v>23</v>
      </c>
      <c r="F1859">
        <v>83711</v>
      </c>
      <c r="G1859">
        <v>1690</v>
      </c>
      <c r="H1859">
        <v>2082.38</v>
      </c>
      <c r="I1859">
        <v>203</v>
      </c>
      <c r="J1859" t="s">
        <v>24</v>
      </c>
      <c r="L1859" t="s">
        <v>25</v>
      </c>
    </row>
    <row r="1860" spans="1:12" x14ac:dyDescent="0.2">
      <c r="A1860" t="s">
        <v>3832</v>
      </c>
      <c r="B1860" t="s">
        <v>3833</v>
      </c>
      <c r="C1860" s="1">
        <v>45151</v>
      </c>
      <c r="D1860" s="2">
        <v>45170</v>
      </c>
      <c r="E1860" t="s">
        <v>19</v>
      </c>
      <c r="F1860">
        <v>27385</v>
      </c>
      <c r="G1860">
        <v>1087</v>
      </c>
      <c r="H1860">
        <v>1869.2</v>
      </c>
      <c r="I1860">
        <v>83</v>
      </c>
      <c r="J1860">
        <v>1</v>
      </c>
      <c r="L1860" t="s">
        <v>20</v>
      </c>
    </row>
    <row r="1861" spans="1:12" x14ac:dyDescent="0.2">
      <c r="A1861" t="s">
        <v>3834</v>
      </c>
      <c r="B1861" t="s">
        <v>3835</v>
      </c>
      <c r="C1861" s="1">
        <v>45093</v>
      </c>
      <c r="D1861" s="2">
        <v>45110</v>
      </c>
      <c r="E1861" t="s">
        <v>23</v>
      </c>
      <c r="F1861">
        <v>39158</v>
      </c>
      <c r="G1861">
        <v>511</v>
      </c>
      <c r="H1861">
        <v>331.56</v>
      </c>
      <c r="I1861">
        <v>36</v>
      </c>
      <c r="J1861">
        <v>0</v>
      </c>
      <c r="L1861" t="s">
        <v>25</v>
      </c>
    </row>
    <row r="1862" spans="1:12" x14ac:dyDescent="0.2">
      <c r="A1862" t="s">
        <v>3836</v>
      </c>
      <c r="B1862" t="s">
        <v>3837</v>
      </c>
      <c r="C1862" s="2">
        <v>45145</v>
      </c>
      <c r="D1862" s="2">
        <v>45118</v>
      </c>
      <c r="E1862" t="s">
        <v>33</v>
      </c>
      <c r="F1862">
        <v>24019</v>
      </c>
      <c r="G1862">
        <v>1078</v>
      </c>
      <c r="H1862">
        <v>1232.1199999999999</v>
      </c>
      <c r="I1862">
        <v>95</v>
      </c>
      <c r="J1862" t="s">
        <v>30</v>
      </c>
      <c r="L1862" t="s">
        <v>34</v>
      </c>
    </row>
    <row r="1863" spans="1:12" x14ac:dyDescent="0.2">
      <c r="A1863" t="s">
        <v>3838</v>
      </c>
      <c r="B1863" t="s">
        <v>3839</v>
      </c>
      <c r="C1863" s="1">
        <v>45121</v>
      </c>
      <c r="D1863" s="2">
        <v>45126</v>
      </c>
      <c r="E1863" t="s">
        <v>14</v>
      </c>
      <c r="F1863">
        <v>19639</v>
      </c>
      <c r="G1863">
        <v>846</v>
      </c>
      <c r="H1863">
        <v>1220.57</v>
      </c>
      <c r="J1863" t="s">
        <v>30</v>
      </c>
      <c r="L1863" t="s">
        <v>16</v>
      </c>
    </row>
    <row r="1864" spans="1:12" x14ac:dyDescent="0.2">
      <c r="A1864" t="s">
        <v>3840</v>
      </c>
      <c r="B1864" t="s">
        <v>3841</v>
      </c>
      <c r="C1864" s="1">
        <v>45219</v>
      </c>
      <c r="D1864" s="2">
        <v>45249</v>
      </c>
      <c r="E1864" t="s">
        <v>23</v>
      </c>
      <c r="F1864">
        <v>86530</v>
      </c>
      <c r="G1864">
        <v>1613</v>
      </c>
      <c r="H1864">
        <v>1327.07</v>
      </c>
      <c r="J1864" t="s">
        <v>15</v>
      </c>
      <c r="L1864" t="s">
        <v>25</v>
      </c>
    </row>
    <row r="1865" spans="1:12" x14ac:dyDescent="0.2">
      <c r="A1865" t="s">
        <v>3842</v>
      </c>
      <c r="B1865" t="s">
        <v>3843</v>
      </c>
      <c r="C1865" s="1">
        <v>45287</v>
      </c>
      <c r="D1865" s="2">
        <v>45314</v>
      </c>
      <c r="E1865" t="s">
        <v>19</v>
      </c>
      <c r="F1865">
        <v>22563</v>
      </c>
      <c r="G1865">
        <v>956</v>
      </c>
      <c r="H1865">
        <v>1377.79</v>
      </c>
      <c r="I1865">
        <v>156</v>
      </c>
      <c r="J1865" t="s">
        <v>30</v>
      </c>
      <c r="L1865" t="s">
        <v>20</v>
      </c>
    </row>
    <row r="1866" spans="1:12" x14ac:dyDescent="0.2">
      <c r="A1866" t="s">
        <v>3844</v>
      </c>
      <c r="B1866" t="s">
        <v>3845</v>
      </c>
      <c r="C1866" s="1">
        <v>45158</v>
      </c>
      <c r="D1866" s="2">
        <v>45171</v>
      </c>
      <c r="E1866" t="s">
        <v>41</v>
      </c>
      <c r="F1866">
        <v>40341</v>
      </c>
      <c r="G1866">
        <v>1672</v>
      </c>
      <c r="H1866">
        <v>3152.55</v>
      </c>
      <c r="I1866">
        <v>273</v>
      </c>
      <c r="J1866" t="b">
        <v>1</v>
      </c>
      <c r="L1866" t="s">
        <v>42</v>
      </c>
    </row>
    <row r="1867" spans="1:12" x14ac:dyDescent="0.2">
      <c r="A1867" t="s">
        <v>3846</v>
      </c>
      <c r="B1867" t="s">
        <v>3847</v>
      </c>
      <c r="C1867" s="1">
        <v>45052</v>
      </c>
      <c r="D1867" s="2">
        <v>45063</v>
      </c>
      <c r="E1867" t="s">
        <v>138</v>
      </c>
      <c r="F1867">
        <v>6776</v>
      </c>
      <c r="G1867">
        <v>239</v>
      </c>
      <c r="H1867">
        <v>477.11</v>
      </c>
      <c r="J1867" t="s">
        <v>30</v>
      </c>
      <c r="L1867" t="s">
        <v>139</v>
      </c>
    </row>
    <row r="1868" spans="1:12" x14ac:dyDescent="0.2">
      <c r="A1868" t="s">
        <v>3848</v>
      </c>
      <c r="B1868" t="s">
        <v>3849</v>
      </c>
      <c r="C1868" s="1">
        <v>44947</v>
      </c>
      <c r="D1868" s="2">
        <v>44969</v>
      </c>
      <c r="E1868" t="s">
        <v>33</v>
      </c>
      <c r="F1868">
        <v>37444</v>
      </c>
      <c r="G1868">
        <v>933</v>
      </c>
      <c r="H1868">
        <v>511.92</v>
      </c>
      <c r="I1868">
        <v>170</v>
      </c>
      <c r="J1868" t="s">
        <v>15</v>
      </c>
      <c r="L1868" t="s">
        <v>34</v>
      </c>
    </row>
    <row r="1869" spans="1:12" x14ac:dyDescent="0.2">
      <c r="A1869" t="s">
        <v>3850</v>
      </c>
      <c r="B1869" t="s">
        <v>3851</v>
      </c>
      <c r="C1869" s="1">
        <v>45249</v>
      </c>
      <c r="D1869" s="2">
        <v>45272</v>
      </c>
      <c r="E1869" t="s">
        <v>19</v>
      </c>
      <c r="F1869">
        <v>69916</v>
      </c>
      <c r="G1869">
        <v>1458</v>
      </c>
      <c r="H1869">
        <v>1244.23</v>
      </c>
      <c r="I1869">
        <v>130</v>
      </c>
      <c r="J1869">
        <v>0</v>
      </c>
      <c r="L1869" t="s">
        <v>20</v>
      </c>
    </row>
    <row r="1870" spans="1:12" x14ac:dyDescent="0.2">
      <c r="A1870" t="s">
        <v>3852</v>
      </c>
      <c r="B1870" t="s">
        <v>3853</v>
      </c>
      <c r="C1870" s="1">
        <v>45152</v>
      </c>
      <c r="D1870" s="2">
        <v>45167</v>
      </c>
      <c r="E1870" t="s">
        <v>19</v>
      </c>
      <c r="F1870">
        <v>9711</v>
      </c>
      <c r="G1870">
        <v>187</v>
      </c>
      <c r="H1870">
        <v>180.54</v>
      </c>
      <c r="I1870">
        <v>15</v>
      </c>
      <c r="J1870" t="s">
        <v>30</v>
      </c>
      <c r="L1870" t="s">
        <v>20</v>
      </c>
    </row>
    <row r="1871" spans="1:12" x14ac:dyDescent="0.2">
      <c r="A1871" t="s">
        <v>3854</v>
      </c>
      <c r="B1871" t="s">
        <v>3855</v>
      </c>
      <c r="C1871" s="1">
        <v>45073</v>
      </c>
      <c r="D1871" s="2">
        <v>45097</v>
      </c>
      <c r="E1871" t="s">
        <v>41</v>
      </c>
      <c r="F1871">
        <v>75318</v>
      </c>
      <c r="G1871">
        <v>1713</v>
      </c>
      <c r="H1871" s="3">
        <v>1882.05</v>
      </c>
      <c r="J1871">
        <v>1</v>
      </c>
      <c r="L1871" t="s">
        <v>42</v>
      </c>
    </row>
    <row r="1872" spans="1:12" x14ac:dyDescent="0.2">
      <c r="A1872" t="s">
        <v>3856</v>
      </c>
      <c r="B1872" t="s">
        <v>3857</v>
      </c>
      <c r="C1872" s="1">
        <v>45240</v>
      </c>
      <c r="D1872" s="2">
        <v>45264</v>
      </c>
      <c r="E1872" t="s">
        <v>14</v>
      </c>
      <c r="F1872">
        <v>83970</v>
      </c>
      <c r="G1872">
        <v>3874</v>
      </c>
      <c r="H1872">
        <v>3344.76</v>
      </c>
      <c r="I1872">
        <v>347</v>
      </c>
      <c r="J1872" t="s">
        <v>24</v>
      </c>
      <c r="L1872" t="s">
        <v>16</v>
      </c>
    </row>
    <row r="1873" spans="1:12" x14ac:dyDescent="0.2">
      <c r="A1873" t="s">
        <v>3858</v>
      </c>
      <c r="B1873" t="s">
        <v>3859</v>
      </c>
      <c r="C1873" s="1">
        <v>44999</v>
      </c>
      <c r="D1873" s="2">
        <v>45020</v>
      </c>
      <c r="E1873" t="s">
        <v>23</v>
      </c>
      <c r="F1873">
        <v>86553</v>
      </c>
      <c r="G1873">
        <v>1134</v>
      </c>
      <c r="H1873">
        <v>913.13</v>
      </c>
      <c r="J1873">
        <v>1</v>
      </c>
      <c r="L1873" t="s">
        <v>25</v>
      </c>
    </row>
    <row r="1874" spans="1:12" x14ac:dyDescent="0.2">
      <c r="A1874" t="s">
        <v>3860</v>
      </c>
      <c r="B1874" t="s">
        <v>3861</v>
      </c>
      <c r="C1874" s="1">
        <v>44973</v>
      </c>
      <c r="D1874" s="2">
        <v>44982</v>
      </c>
      <c r="E1874" t="s">
        <v>33</v>
      </c>
      <c r="F1874">
        <v>31707</v>
      </c>
      <c r="G1874">
        <v>1368</v>
      </c>
      <c r="H1874">
        <v>2642.74</v>
      </c>
      <c r="I1874">
        <v>198</v>
      </c>
      <c r="J1874">
        <v>1</v>
      </c>
      <c r="L1874" t="s">
        <v>34</v>
      </c>
    </row>
    <row r="1875" spans="1:12" x14ac:dyDescent="0.2">
      <c r="A1875" t="s">
        <v>3862</v>
      </c>
      <c r="B1875" t="s">
        <v>3863</v>
      </c>
      <c r="C1875" s="1">
        <v>45226</v>
      </c>
      <c r="D1875" s="2">
        <v>45231</v>
      </c>
      <c r="E1875" t="s">
        <v>14</v>
      </c>
      <c r="F1875">
        <v>40110</v>
      </c>
      <c r="G1875">
        <v>960</v>
      </c>
      <c r="H1875">
        <v>1802.67</v>
      </c>
      <c r="I1875">
        <v>173</v>
      </c>
      <c r="J1875">
        <v>0</v>
      </c>
      <c r="L1875" t="s">
        <v>16</v>
      </c>
    </row>
    <row r="1876" spans="1:12" x14ac:dyDescent="0.2">
      <c r="A1876" t="s">
        <v>3864</v>
      </c>
      <c r="B1876" t="s">
        <v>3865</v>
      </c>
      <c r="C1876" s="1">
        <v>44996</v>
      </c>
      <c r="D1876" s="2">
        <v>45001</v>
      </c>
      <c r="E1876" t="s">
        <v>41</v>
      </c>
      <c r="F1876">
        <v>62788</v>
      </c>
      <c r="G1876">
        <v>1937</v>
      </c>
      <c r="H1876" s="3">
        <v>1105.04</v>
      </c>
      <c r="J1876" t="b">
        <v>0</v>
      </c>
      <c r="L1876" t="s">
        <v>68</v>
      </c>
    </row>
    <row r="1877" spans="1:12" x14ac:dyDescent="0.2">
      <c r="A1877" t="s">
        <v>3866</v>
      </c>
      <c r="B1877" t="s">
        <v>3867</v>
      </c>
      <c r="C1877" s="1">
        <v>44939</v>
      </c>
      <c r="D1877" s="2">
        <v>44964</v>
      </c>
      <c r="E1877" t="s">
        <v>19</v>
      </c>
      <c r="F1877">
        <v>83879</v>
      </c>
      <c r="G1877">
        <v>3504</v>
      </c>
      <c r="H1877">
        <v>3532.8</v>
      </c>
      <c r="I1877">
        <v>656</v>
      </c>
      <c r="J1877" t="s">
        <v>24</v>
      </c>
      <c r="L1877" t="s">
        <v>20</v>
      </c>
    </row>
    <row r="1878" spans="1:12" x14ac:dyDescent="0.2">
      <c r="A1878" t="s">
        <v>3868</v>
      </c>
      <c r="B1878" t="s">
        <v>3869</v>
      </c>
      <c r="C1878" s="1">
        <v>45291</v>
      </c>
      <c r="D1878" s="2">
        <v>45321</v>
      </c>
      <c r="E1878" t="s">
        <v>33</v>
      </c>
      <c r="F1878">
        <v>39827</v>
      </c>
      <c r="G1878">
        <v>1807</v>
      </c>
      <c r="H1878">
        <v>2001.66</v>
      </c>
      <c r="J1878">
        <v>1</v>
      </c>
      <c r="L1878" t="s">
        <v>34</v>
      </c>
    </row>
    <row r="1879" spans="1:12" x14ac:dyDescent="0.2">
      <c r="A1879" t="s">
        <v>3870</v>
      </c>
      <c r="B1879" t="s">
        <v>3871</v>
      </c>
      <c r="C1879" s="1">
        <v>44973</v>
      </c>
      <c r="D1879" s="2">
        <v>44980</v>
      </c>
      <c r="E1879" t="s">
        <v>41</v>
      </c>
      <c r="F1879">
        <v>6655</v>
      </c>
      <c r="G1879">
        <v>158</v>
      </c>
      <c r="H1879">
        <v>135.65</v>
      </c>
      <c r="I1879">
        <v>19</v>
      </c>
      <c r="J1879">
        <v>1</v>
      </c>
      <c r="L1879" t="s">
        <v>42</v>
      </c>
    </row>
    <row r="1880" spans="1:12" x14ac:dyDescent="0.2">
      <c r="A1880" t="s">
        <v>3872</v>
      </c>
      <c r="B1880" t="s">
        <v>3873</v>
      </c>
      <c r="C1880" s="1">
        <v>45291</v>
      </c>
      <c r="D1880" s="2">
        <v>45294</v>
      </c>
      <c r="E1880" t="s">
        <v>23</v>
      </c>
      <c r="F1880">
        <v>45859</v>
      </c>
      <c r="G1880">
        <v>1305</v>
      </c>
      <c r="H1880">
        <v>1883.52</v>
      </c>
      <c r="I1880">
        <v>151</v>
      </c>
      <c r="J1880" t="b">
        <v>0</v>
      </c>
      <c r="L1880" t="s">
        <v>25</v>
      </c>
    </row>
    <row r="1881" spans="1:12" x14ac:dyDescent="0.2">
      <c r="A1881" t="s">
        <v>3874</v>
      </c>
      <c r="B1881" t="s">
        <v>3875</v>
      </c>
      <c r="C1881" s="2">
        <v>45049</v>
      </c>
      <c r="D1881" s="2">
        <v>45010</v>
      </c>
      <c r="E1881" t="s">
        <v>41</v>
      </c>
      <c r="F1881">
        <v>54625</v>
      </c>
      <c r="G1881">
        <v>1451</v>
      </c>
      <c r="H1881">
        <v>2119.29</v>
      </c>
      <c r="I1881">
        <v>238</v>
      </c>
      <c r="J1881">
        <v>0</v>
      </c>
      <c r="L1881" t="s">
        <v>42</v>
      </c>
    </row>
    <row r="1882" spans="1:12" x14ac:dyDescent="0.2">
      <c r="A1882" t="s">
        <v>3876</v>
      </c>
      <c r="B1882" t="s">
        <v>3877</v>
      </c>
      <c r="C1882" s="1">
        <v>45288</v>
      </c>
      <c r="D1882" s="2">
        <v>45301</v>
      </c>
      <c r="E1882" t="s">
        <v>41</v>
      </c>
      <c r="F1882">
        <v>53098</v>
      </c>
      <c r="G1882">
        <v>559</v>
      </c>
      <c r="H1882">
        <v>992.65</v>
      </c>
      <c r="I1882">
        <v>63</v>
      </c>
      <c r="J1882" t="s">
        <v>24</v>
      </c>
      <c r="L1882" t="s">
        <v>42</v>
      </c>
    </row>
    <row r="1883" spans="1:12" x14ac:dyDescent="0.2">
      <c r="A1883" t="s">
        <v>3878</v>
      </c>
      <c r="B1883" t="s">
        <v>3879</v>
      </c>
      <c r="C1883" s="1">
        <v>45195</v>
      </c>
      <c r="D1883" s="2">
        <v>45204</v>
      </c>
      <c r="E1883" t="s">
        <v>14</v>
      </c>
      <c r="F1883">
        <v>16251</v>
      </c>
      <c r="G1883">
        <v>354</v>
      </c>
      <c r="H1883" s="3">
        <v>570.4</v>
      </c>
      <c r="I1883">
        <v>67</v>
      </c>
      <c r="J1883">
        <v>1</v>
      </c>
      <c r="L1883" t="s">
        <v>16</v>
      </c>
    </row>
    <row r="1884" spans="1:12" x14ac:dyDescent="0.2">
      <c r="A1884" t="s">
        <v>3880</v>
      </c>
      <c r="B1884" t="s">
        <v>3881</v>
      </c>
      <c r="C1884" s="1">
        <v>45188</v>
      </c>
      <c r="D1884" s="2">
        <v>45201</v>
      </c>
      <c r="E1884" t="s">
        <v>19</v>
      </c>
      <c r="F1884">
        <v>1526</v>
      </c>
      <c r="G1884">
        <v>43</v>
      </c>
      <c r="H1884">
        <v>56.5</v>
      </c>
      <c r="I1884">
        <v>7</v>
      </c>
      <c r="J1884" t="s">
        <v>15</v>
      </c>
      <c r="L1884" t="s">
        <v>20</v>
      </c>
    </row>
    <row r="1885" spans="1:12" x14ac:dyDescent="0.2">
      <c r="A1885" t="s">
        <v>3882</v>
      </c>
      <c r="B1885" t="s">
        <v>3883</v>
      </c>
      <c r="C1885" s="1">
        <v>45208</v>
      </c>
      <c r="D1885" s="2">
        <v>45216</v>
      </c>
      <c r="E1885" t="s">
        <v>23</v>
      </c>
      <c r="F1885">
        <v>69760</v>
      </c>
      <c r="G1885">
        <v>1844</v>
      </c>
      <c r="H1885">
        <v>2729.82</v>
      </c>
      <c r="J1885">
        <v>0</v>
      </c>
      <c r="L1885" t="s">
        <v>25</v>
      </c>
    </row>
    <row r="1886" spans="1:12" x14ac:dyDescent="0.2">
      <c r="A1886" t="s">
        <v>3884</v>
      </c>
      <c r="B1886" t="s">
        <v>3885</v>
      </c>
      <c r="C1886" s="1">
        <v>45098</v>
      </c>
      <c r="D1886" s="2">
        <v>45100</v>
      </c>
      <c r="E1886" t="s">
        <v>23</v>
      </c>
      <c r="F1886">
        <v>48837</v>
      </c>
      <c r="G1886">
        <v>1898</v>
      </c>
      <c r="H1886">
        <v>1729.05</v>
      </c>
      <c r="I1886">
        <v>115</v>
      </c>
      <c r="J1886" t="s">
        <v>24</v>
      </c>
      <c r="L1886" t="s">
        <v>25</v>
      </c>
    </row>
    <row r="1887" spans="1:12" x14ac:dyDescent="0.2">
      <c r="A1887" t="s">
        <v>3886</v>
      </c>
      <c r="B1887" t="s">
        <v>3887</v>
      </c>
      <c r="C1887" s="1">
        <v>45003</v>
      </c>
      <c r="D1887" s="2">
        <v>45005</v>
      </c>
      <c r="E1887" t="s">
        <v>33</v>
      </c>
      <c r="F1887">
        <v>12536</v>
      </c>
      <c r="G1887">
        <v>318</v>
      </c>
      <c r="H1887">
        <v>441.89</v>
      </c>
      <c r="I1887">
        <v>56</v>
      </c>
      <c r="J1887">
        <v>1</v>
      </c>
      <c r="L1887" t="s">
        <v>34</v>
      </c>
    </row>
    <row r="1888" spans="1:12" x14ac:dyDescent="0.2">
      <c r="A1888" t="s">
        <v>3888</v>
      </c>
      <c r="B1888" t="s">
        <v>3889</v>
      </c>
      <c r="C1888" t="s">
        <v>3890</v>
      </c>
      <c r="D1888" s="2">
        <v>45301</v>
      </c>
      <c r="E1888" t="s">
        <v>14</v>
      </c>
      <c r="F1888">
        <v>29541</v>
      </c>
      <c r="G1888">
        <v>873</v>
      </c>
      <c r="H1888">
        <v>1077.1400000000001</v>
      </c>
      <c r="I1888">
        <v>146</v>
      </c>
      <c r="J1888">
        <v>1</v>
      </c>
      <c r="L1888" t="s">
        <v>16</v>
      </c>
    </row>
    <row r="1889" spans="1:12" x14ac:dyDescent="0.2">
      <c r="A1889" t="s">
        <v>3891</v>
      </c>
      <c r="B1889" t="s">
        <v>3892</v>
      </c>
      <c r="C1889" s="1">
        <v>45084</v>
      </c>
      <c r="D1889" s="2">
        <v>45085</v>
      </c>
      <c r="E1889" t="s">
        <v>19</v>
      </c>
      <c r="F1889">
        <v>80083</v>
      </c>
      <c r="G1889">
        <v>2177</v>
      </c>
      <c r="H1889">
        <v>1523.94</v>
      </c>
      <c r="I1889">
        <v>142</v>
      </c>
      <c r="J1889" t="b">
        <v>0</v>
      </c>
      <c r="L1889" t="s">
        <v>20</v>
      </c>
    </row>
    <row r="1890" spans="1:12" x14ac:dyDescent="0.2">
      <c r="A1890" t="s">
        <v>3893</v>
      </c>
      <c r="B1890" t="s">
        <v>3894</v>
      </c>
      <c r="C1890" s="1">
        <v>45155</v>
      </c>
      <c r="D1890" s="2">
        <v>45160</v>
      </c>
      <c r="E1890" t="s">
        <v>23</v>
      </c>
      <c r="F1890">
        <v>52027</v>
      </c>
      <c r="G1890">
        <v>2061</v>
      </c>
      <c r="H1890">
        <v>1780.33</v>
      </c>
      <c r="I1890">
        <v>136</v>
      </c>
      <c r="J1890" t="s">
        <v>24</v>
      </c>
      <c r="L1890" t="s">
        <v>25</v>
      </c>
    </row>
    <row r="1891" spans="1:12" x14ac:dyDescent="0.2">
      <c r="A1891" t="s">
        <v>3895</v>
      </c>
      <c r="B1891" t="s">
        <v>3896</v>
      </c>
      <c r="C1891" s="2">
        <v>44994</v>
      </c>
      <c r="D1891" s="2">
        <v>45179</v>
      </c>
      <c r="E1891" t="s">
        <v>14</v>
      </c>
      <c r="F1891">
        <v>35531</v>
      </c>
      <c r="G1891">
        <v>1581</v>
      </c>
      <c r="H1891">
        <v>1482.25</v>
      </c>
      <c r="J1891" t="s">
        <v>15</v>
      </c>
      <c r="L1891" t="s">
        <v>16</v>
      </c>
    </row>
    <row r="1892" spans="1:12" x14ac:dyDescent="0.2">
      <c r="A1892" t="s">
        <v>3897</v>
      </c>
      <c r="B1892" t="s">
        <v>3898</v>
      </c>
      <c r="C1892" s="2">
        <v>45204</v>
      </c>
      <c r="D1892" s="2">
        <v>45070</v>
      </c>
      <c r="E1892" t="s">
        <v>33</v>
      </c>
      <c r="F1892">
        <v>9712</v>
      </c>
      <c r="G1892">
        <v>303</v>
      </c>
      <c r="H1892" s="3">
        <v>571.6</v>
      </c>
      <c r="I1892">
        <v>15</v>
      </c>
      <c r="J1892">
        <v>0</v>
      </c>
      <c r="L1892" t="s">
        <v>34</v>
      </c>
    </row>
    <row r="1893" spans="1:12" x14ac:dyDescent="0.2">
      <c r="A1893" t="s">
        <v>3899</v>
      </c>
      <c r="B1893" t="s">
        <v>3900</v>
      </c>
      <c r="C1893" s="1">
        <v>45181</v>
      </c>
      <c r="D1893" s="2">
        <v>45200</v>
      </c>
      <c r="E1893" t="s">
        <v>415</v>
      </c>
      <c r="F1893">
        <v>66455</v>
      </c>
      <c r="G1893">
        <v>2763</v>
      </c>
      <c r="H1893">
        <v>2336.34</v>
      </c>
      <c r="I1893">
        <v>365</v>
      </c>
      <c r="J1893" t="s">
        <v>30</v>
      </c>
      <c r="L1893" t="s">
        <v>34</v>
      </c>
    </row>
    <row r="1894" spans="1:12" x14ac:dyDescent="0.2">
      <c r="A1894" t="s">
        <v>3901</v>
      </c>
      <c r="B1894" t="s">
        <v>3902</v>
      </c>
      <c r="C1894" s="1">
        <v>44929</v>
      </c>
      <c r="D1894" s="2">
        <v>44936</v>
      </c>
      <c r="E1894" t="s">
        <v>33</v>
      </c>
      <c r="F1894">
        <v>75744</v>
      </c>
      <c r="G1894">
        <v>1656</v>
      </c>
      <c r="H1894">
        <v>1546.48</v>
      </c>
      <c r="I1894">
        <v>324</v>
      </c>
      <c r="J1894" t="b">
        <v>1</v>
      </c>
      <c r="L1894" t="s">
        <v>34</v>
      </c>
    </row>
    <row r="1895" spans="1:12" x14ac:dyDescent="0.2">
      <c r="A1895" t="s">
        <v>3903</v>
      </c>
      <c r="B1895" t="s">
        <v>3904</v>
      </c>
      <c r="C1895" s="1">
        <v>45038</v>
      </c>
      <c r="D1895" s="2">
        <v>45052</v>
      </c>
      <c r="E1895" t="s">
        <v>41</v>
      </c>
      <c r="F1895">
        <v>6109</v>
      </c>
      <c r="G1895">
        <v>193</v>
      </c>
      <c r="H1895">
        <v>203.43</v>
      </c>
      <c r="I1895">
        <v>22</v>
      </c>
      <c r="J1895" t="s">
        <v>15</v>
      </c>
      <c r="L1895" t="s">
        <v>42</v>
      </c>
    </row>
    <row r="1896" spans="1:12" x14ac:dyDescent="0.2">
      <c r="A1896" t="s">
        <v>3905</v>
      </c>
      <c r="B1896" t="s">
        <v>3906</v>
      </c>
      <c r="C1896" s="1">
        <v>45136</v>
      </c>
      <c r="D1896" s="2">
        <v>45162</v>
      </c>
      <c r="E1896" t="s">
        <v>23</v>
      </c>
      <c r="F1896">
        <v>50268</v>
      </c>
      <c r="G1896">
        <v>1196</v>
      </c>
      <c r="H1896">
        <v>1788.75</v>
      </c>
      <c r="I1896">
        <v>156</v>
      </c>
      <c r="J1896" t="s">
        <v>30</v>
      </c>
      <c r="L1896" t="s">
        <v>25</v>
      </c>
    </row>
    <row r="1897" spans="1:12" x14ac:dyDescent="0.2">
      <c r="A1897" t="s">
        <v>3907</v>
      </c>
      <c r="B1897" t="s">
        <v>3908</v>
      </c>
      <c r="C1897" s="1">
        <v>44930</v>
      </c>
      <c r="D1897" s="2">
        <v>44957</v>
      </c>
      <c r="E1897" t="s">
        <v>41</v>
      </c>
      <c r="F1897">
        <v>55615</v>
      </c>
      <c r="G1897">
        <v>1477</v>
      </c>
      <c r="H1897">
        <v>1000.46</v>
      </c>
      <c r="I1897">
        <v>288</v>
      </c>
      <c r="J1897" t="s">
        <v>15</v>
      </c>
      <c r="L1897" t="s">
        <v>42</v>
      </c>
    </row>
    <row r="1898" spans="1:12" x14ac:dyDescent="0.2">
      <c r="A1898" t="s">
        <v>3909</v>
      </c>
      <c r="B1898" t="s">
        <v>3910</v>
      </c>
      <c r="C1898" s="1">
        <v>45244</v>
      </c>
      <c r="D1898" s="2">
        <v>45273</v>
      </c>
      <c r="E1898" t="s">
        <v>19</v>
      </c>
      <c r="F1898">
        <v>83503</v>
      </c>
      <c r="G1898">
        <v>3281</v>
      </c>
      <c r="H1898">
        <v>6335.34</v>
      </c>
      <c r="I1898">
        <v>289</v>
      </c>
      <c r="J1898" t="s">
        <v>24</v>
      </c>
      <c r="L1898" t="s">
        <v>20</v>
      </c>
    </row>
    <row r="1899" spans="1:12" x14ac:dyDescent="0.2">
      <c r="A1899" t="s">
        <v>3911</v>
      </c>
      <c r="B1899" t="s">
        <v>3912</v>
      </c>
      <c r="C1899" t="s">
        <v>3913</v>
      </c>
      <c r="D1899" s="2">
        <v>45038</v>
      </c>
      <c r="E1899" t="s">
        <v>138</v>
      </c>
      <c r="F1899">
        <v>30759</v>
      </c>
      <c r="G1899">
        <v>1392</v>
      </c>
      <c r="H1899">
        <v>-2503.31</v>
      </c>
      <c r="J1899" t="s">
        <v>30</v>
      </c>
      <c r="L1899" t="s">
        <v>139</v>
      </c>
    </row>
    <row r="1900" spans="1:12" x14ac:dyDescent="0.2">
      <c r="A1900" t="s">
        <v>3914</v>
      </c>
      <c r="B1900" t="s">
        <v>3915</v>
      </c>
      <c r="C1900" t="s">
        <v>865</v>
      </c>
      <c r="D1900" s="2">
        <v>45016</v>
      </c>
      <c r="E1900" t="s">
        <v>23</v>
      </c>
      <c r="F1900">
        <v>86708</v>
      </c>
      <c r="G1900">
        <v>1288</v>
      </c>
      <c r="H1900">
        <v>1759.18</v>
      </c>
      <c r="J1900" t="s">
        <v>24</v>
      </c>
      <c r="L1900" t="s">
        <v>25</v>
      </c>
    </row>
    <row r="1901" spans="1:12" x14ac:dyDescent="0.2">
      <c r="A1901" t="s">
        <v>3916</v>
      </c>
      <c r="B1901" t="s">
        <v>3917</v>
      </c>
      <c r="C1901" t="s">
        <v>3918</v>
      </c>
      <c r="D1901" s="2">
        <v>45123</v>
      </c>
      <c r="E1901" t="s">
        <v>23</v>
      </c>
      <c r="F1901">
        <v>61112</v>
      </c>
      <c r="G1901">
        <v>2162</v>
      </c>
      <c r="H1901">
        <v>3266.9</v>
      </c>
      <c r="I1901">
        <v>292</v>
      </c>
      <c r="J1901" t="s">
        <v>30</v>
      </c>
      <c r="L1901" t="s">
        <v>25</v>
      </c>
    </row>
    <row r="1902" spans="1:12" x14ac:dyDescent="0.2">
      <c r="A1902" t="s">
        <v>3919</v>
      </c>
      <c r="B1902" t="s">
        <v>3920</v>
      </c>
      <c r="C1902" s="1">
        <v>44943</v>
      </c>
      <c r="D1902" s="2">
        <v>44962</v>
      </c>
      <c r="E1902" t="s">
        <v>33</v>
      </c>
      <c r="F1902">
        <v>27589</v>
      </c>
      <c r="G1902">
        <v>918</v>
      </c>
      <c r="H1902">
        <v>481.94</v>
      </c>
      <c r="I1902">
        <v>93</v>
      </c>
      <c r="J1902" t="s">
        <v>15</v>
      </c>
      <c r="L1902" t="s">
        <v>34</v>
      </c>
    </row>
    <row r="1903" spans="1:12" x14ac:dyDescent="0.2">
      <c r="A1903" t="s">
        <v>3921</v>
      </c>
      <c r="B1903" t="s">
        <v>3922</v>
      </c>
      <c r="C1903" s="2">
        <v>45079</v>
      </c>
      <c r="D1903" s="2">
        <v>44972</v>
      </c>
      <c r="E1903" t="s">
        <v>33</v>
      </c>
      <c r="F1903">
        <v>31015</v>
      </c>
      <c r="G1903">
        <v>457</v>
      </c>
      <c r="H1903">
        <v>460.85</v>
      </c>
      <c r="I1903">
        <v>61</v>
      </c>
      <c r="J1903" t="b">
        <v>0</v>
      </c>
      <c r="L1903" t="s">
        <v>34</v>
      </c>
    </row>
    <row r="1904" spans="1:12" x14ac:dyDescent="0.2">
      <c r="A1904" t="s">
        <v>3923</v>
      </c>
      <c r="B1904" t="s">
        <v>3924</v>
      </c>
      <c r="C1904" s="1">
        <v>44982</v>
      </c>
      <c r="D1904" s="2">
        <v>45012</v>
      </c>
      <c r="E1904" t="s">
        <v>23</v>
      </c>
      <c r="F1904">
        <v>30009</v>
      </c>
      <c r="G1904">
        <v>554</v>
      </c>
      <c r="H1904" s="3">
        <v>938.19</v>
      </c>
      <c r="I1904">
        <v>33</v>
      </c>
      <c r="J1904" t="s">
        <v>15</v>
      </c>
      <c r="L1904" t="s">
        <v>25</v>
      </c>
    </row>
    <row r="1905" spans="1:12" x14ac:dyDescent="0.2">
      <c r="A1905" t="s">
        <v>3925</v>
      </c>
      <c r="B1905" t="s">
        <v>3926</v>
      </c>
      <c r="C1905" s="1">
        <v>45271</v>
      </c>
      <c r="D1905" s="2">
        <v>45278</v>
      </c>
      <c r="E1905" t="s">
        <v>33</v>
      </c>
      <c r="F1905">
        <v>84309</v>
      </c>
      <c r="G1905">
        <v>1891</v>
      </c>
      <c r="H1905">
        <v>1165.28</v>
      </c>
      <c r="I1905">
        <v>311</v>
      </c>
      <c r="J1905" t="s">
        <v>24</v>
      </c>
      <c r="L1905" t="s">
        <v>34</v>
      </c>
    </row>
    <row r="1906" spans="1:12" x14ac:dyDescent="0.2">
      <c r="A1906" t="s">
        <v>3927</v>
      </c>
      <c r="B1906" t="s">
        <v>3928</v>
      </c>
      <c r="C1906" s="1">
        <v>45285</v>
      </c>
      <c r="D1906" s="2">
        <v>45286</v>
      </c>
      <c r="E1906" t="s">
        <v>14</v>
      </c>
      <c r="F1906">
        <v>63046</v>
      </c>
      <c r="G1906">
        <v>1051</v>
      </c>
      <c r="H1906">
        <v>970.57</v>
      </c>
      <c r="J1906" t="s">
        <v>15</v>
      </c>
      <c r="L1906" t="s">
        <v>16</v>
      </c>
    </row>
    <row r="1907" spans="1:12" x14ac:dyDescent="0.2">
      <c r="A1907" t="s">
        <v>3929</v>
      </c>
      <c r="B1907" t="s">
        <v>3930</v>
      </c>
      <c r="C1907" s="1">
        <v>45017</v>
      </c>
      <c r="D1907" s="2">
        <v>45020</v>
      </c>
      <c r="E1907" t="s">
        <v>23</v>
      </c>
      <c r="F1907">
        <v>27143</v>
      </c>
      <c r="G1907">
        <v>536</v>
      </c>
      <c r="H1907">
        <v>738.58</v>
      </c>
      <c r="I1907">
        <v>98</v>
      </c>
      <c r="J1907" t="s">
        <v>30</v>
      </c>
      <c r="L1907" t="s">
        <v>25</v>
      </c>
    </row>
    <row r="1908" spans="1:12" x14ac:dyDescent="0.2">
      <c r="A1908" t="s">
        <v>3931</v>
      </c>
      <c r="B1908" t="s">
        <v>3932</v>
      </c>
      <c r="C1908" s="2">
        <v>45111</v>
      </c>
      <c r="D1908" s="2">
        <v>45029</v>
      </c>
      <c r="E1908" t="s">
        <v>19</v>
      </c>
      <c r="F1908">
        <v>7154</v>
      </c>
      <c r="G1908">
        <v>148</v>
      </c>
      <c r="H1908">
        <v>130.91999999999999</v>
      </c>
      <c r="I1908">
        <v>15</v>
      </c>
      <c r="J1908" t="b">
        <v>1</v>
      </c>
      <c r="L1908" t="s">
        <v>20</v>
      </c>
    </row>
    <row r="1909" spans="1:12" x14ac:dyDescent="0.2">
      <c r="A1909" t="s">
        <v>3933</v>
      </c>
      <c r="B1909" t="s">
        <v>3934</v>
      </c>
      <c r="C1909" s="1">
        <v>45080</v>
      </c>
      <c r="D1909" s="2">
        <v>45108</v>
      </c>
      <c r="E1909" t="s">
        <v>138</v>
      </c>
      <c r="F1909">
        <v>22804</v>
      </c>
      <c r="G1909">
        <v>534</v>
      </c>
      <c r="H1909" s="3">
        <v>1015.12</v>
      </c>
      <c r="I1909">
        <v>38</v>
      </c>
      <c r="J1909" t="s">
        <v>30</v>
      </c>
      <c r="L1909" t="s">
        <v>139</v>
      </c>
    </row>
    <row r="1910" spans="1:12" x14ac:dyDescent="0.2">
      <c r="A1910" t="s">
        <v>3935</v>
      </c>
      <c r="B1910" t="s">
        <v>3936</v>
      </c>
      <c r="C1910" s="1">
        <v>44961</v>
      </c>
      <c r="D1910" s="2">
        <v>44963</v>
      </c>
      <c r="E1910" t="s">
        <v>14</v>
      </c>
      <c r="F1910">
        <v>42688</v>
      </c>
      <c r="G1910">
        <v>1706</v>
      </c>
      <c r="H1910">
        <v>1188.3800000000001</v>
      </c>
      <c r="I1910">
        <v>263</v>
      </c>
      <c r="J1910">
        <v>1</v>
      </c>
      <c r="L1910" t="s">
        <v>16</v>
      </c>
    </row>
    <row r="1911" spans="1:12" x14ac:dyDescent="0.2">
      <c r="A1911" t="s">
        <v>3937</v>
      </c>
      <c r="B1911" t="s">
        <v>3938</v>
      </c>
      <c r="C1911" s="1">
        <v>44960</v>
      </c>
      <c r="D1911" s="2">
        <v>44969</v>
      </c>
      <c r="E1911" t="s">
        <v>41</v>
      </c>
      <c r="F1911">
        <v>65288</v>
      </c>
      <c r="G1911">
        <v>2146</v>
      </c>
      <c r="H1911">
        <v>3639.81</v>
      </c>
      <c r="I1911">
        <v>160</v>
      </c>
      <c r="J1911" t="s">
        <v>15</v>
      </c>
      <c r="L1911" t="s">
        <v>42</v>
      </c>
    </row>
    <row r="1912" spans="1:12" x14ac:dyDescent="0.2">
      <c r="A1912" t="s">
        <v>3939</v>
      </c>
      <c r="B1912" t="s">
        <v>3940</v>
      </c>
      <c r="C1912" s="1">
        <v>45282</v>
      </c>
      <c r="D1912" s="2">
        <v>45306</v>
      </c>
      <c r="E1912" t="s">
        <v>19</v>
      </c>
      <c r="F1912">
        <v>52195</v>
      </c>
      <c r="G1912">
        <v>2581</v>
      </c>
      <c r="H1912">
        <v>3257.02</v>
      </c>
      <c r="I1912">
        <v>420</v>
      </c>
      <c r="J1912">
        <v>0</v>
      </c>
      <c r="L1912" t="s">
        <v>20</v>
      </c>
    </row>
    <row r="1913" spans="1:12" x14ac:dyDescent="0.2">
      <c r="A1913" t="s">
        <v>3941</v>
      </c>
      <c r="B1913" t="s">
        <v>3942</v>
      </c>
      <c r="C1913" s="1">
        <v>45138</v>
      </c>
      <c r="D1913" s="2">
        <v>45154</v>
      </c>
      <c r="E1913" t="s">
        <v>33</v>
      </c>
      <c r="F1913">
        <v>21581</v>
      </c>
      <c r="G1913">
        <v>573</v>
      </c>
      <c r="H1913">
        <v>931.41</v>
      </c>
      <c r="J1913" t="s">
        <v>15</v>
      </c>
      <c r="L1913" t="s">
        <v>34</v>
      </c>
    </row>
    <row r="1914" spans="1:12" x14ac:dyDescent="0.2">
      <c r="A1914" t="s">
        <v>3943</v>
      </c>
      <c r="B1914" t="s">
        <v>3944</v>
      </c>
      <c r="C1914" s="2">
        <v>45210</v>
      </c>
      <c r="D1914" s="2">
        <v>45266</v>
      </c>
      <c r="E1914" t="s">
        <v>19</v>
      </c>
      <c r="F1914">
        <v>53648</v>
      </c>
      <c r="G1914">
        <v>2154</v>
      </c>
      <c r="H1914">
        <v>2080.92</v>
      </c>
      <c r="I1914">
        <v>359</v>
      </c>
      <c r="J1914" t="b">
        <v>0</v>
      </c>
      <c r="L1914" t="s">
        <v>20</v>
      </c>
    </row>
    <row r="1915" spans="1:12" x14ac:dyDescent="0.2">
      <c r="A1915" t="s">
        <v>3945</v>
      </c>
      <c r="B1915" t="s">
        <v>3946</v>
      </c>
      <c r="C1915" s="1">
        <v>45219</v>
      </c>
      <c r="D1915" s="2">
        <v>45222</v>
      </c>
      <c r="E1915" t="s">
        <v>23</v>
      </c>
      <c r="F1915">
        <v>31087</v>
      </c>
      <c r="G1915">
        <v>1394</v>
      </c>
      <c r="H1915">
        <v>1772.8</v>
      </c>
      <c r="I1915">
        <v>74</v>
      </c>
      <c r="J1915" t="s">
        <v>24</v>
      </c>
      <c r="L1915" t="s">
        <v>25</v>
      </c>
    </row>
    <row r="1916" spans="1:12" x14ac:dyDescent="0.2">
      <c r="A1916" t="s">
        <v>3947</v>
      </c>
      <c r="B1916" t="s">
        <v>3948</v>
      </c>
      <c r="C1916" s="1">
        <v>44971</v>
      </c>
      <c r="D1916" s="2">
        <v>44979</v>
      </c>
      <c r="E1916" t="s">
        <v>138</v>
      </c>
      <c r="F1916">
        <v>50930</v>
      </c>
      <c r="G1916">
        <v>1892</v>
      </c>
      <c r="H1916" s="3">
        <v>3377.7</v>
      </c>
      <c r="I1916">
        <v>264</v>
      </c>
      <c r="J1916">
        <v>0</v>
      </c>
      <c r="L1916" t="s">
        <v>139</v>
      </c>
    </row>
    <row r="1917" spans="1:12" x14ac:dyDescent="0.2">
      <c r="A1917" t="s">
        <v>3949</v>
      </c>
      <c r="B1917" t="s">
        <v>3950</v>
      </c>
      <c r="C1917" s="1">
        <v>45288</v>
      </c>
      <c r="D1917" s="2">
        <v>45303</v>
      </c>
      <c r="E1917" t="s">
        <v>33</v>
      </c>
      <c r="F1917">
        <v>33981</v>
      </c>
      <c r="G1917">
        <v>899</v>
      </c>
      <c r="H1917">
        <v>1079.0899999999999</v>
      </c>
      <c r="I1917">
        <v>138</v>
      </c>
      <c r="J1917" t="s">
        <v>30</v>
      </c>
      <c r="L1917" t="s">
        <v>34</v>
      </c>
    </row>
    <row r="1918" spans="1:12" x14ac:dyDescent="0.2">
      <c r="A1918" t="s">
        <v>3951</v>
      </c>
      <c r="B1918" t="s">
        <v>3952</v>
      </c>
      <c r="C1918" s="1">
        <v>45089</v>
      </c>
      <c r="D1918" s="2">
        <v>45119</v>
      </c>
      <c r="E1918" t="s">
        <v>41</v>
      </c>
      <c r="F1918">
        <v>70298</v>
      </c>
      <c r="G1918">
        <v>2822</v>
      </c>
      <c r="H1918">
        <v>2933.69</v>
      </c>
      <c r="I1918">
        <v>490</v>
      </c>
      <c r="J1918" t="b">
        <v>0</v>
      </c>
      <c r="L1918" t="s">
        <v>42</v>
      </c>
    </row>
    <row r="1919" spans="1:12" x14ac:dyDescent="0.2">
      <c r="A1919" t="s">
        <v>3953</v>
      </c>
      <c r="B1919" t="s">
        <v>3954</v>
      </c>
      <c r="C1919" s="1">
        <v>45246</v>
      </c>
      <c r="D1919" s="2">
        <v>45252</v>
      </c>
      <c r="E1919" t="s">
        <v>33</v>
      </c>
      <c r="F1919">
        <v>47167</v>
      </c>
      <c r="G1919">
        <v>855</v>
      </c>
      <c r="H1919" s="3">
        <v>1115.1199999999999</v>
      </c>
      <c r="I1919">
        <v>49</v>
      </c>
      <c r="J1919" t="s">
        <v>15</v>
      </c>
      <c r="L1919" t="s">
        <v>34</v>
      </c>
    </row>
    <row r="1920" spans="1:12" x14ac:dyDescent="0.2">
      <c r="A1920" t="s">
        <v>3955</v>
      </c>
      <c r="B1920" t="s">
        <v>3956</v>
      </c>
      <c r="C1920" s="1">
        <v>45215</v>
      </c>
      <c r="D1920" s="2">
        <v>45245</v>
      </c>
      <c r="E1920" t="s">
        <v>23</v>
      </c>
      <c r="F1920">
        <v>76304</v>
      </c>
      <c r="G1920">
        <v>1762</v>
      </c>
      <c r="H1920">
        <v>2776.99</v>
      </c>
      <c r="I1920">
        <v>214</v>
      </c>
      <c r="J1920" t="s">
        <v>30</v>
      </c>
      <c r="L1920" t="s">
        <v>25</v>
      </c>
    </row>
    <row r="1921" spans="1:12" x14ac:dyDescent="0.2">
      <c r="A1921" t="s">
        <v>3957</v>
      </c>
      <c r="B1921" t="s">
        <v>3958</v>
      </c>
      <c r="C1921" s="1">
        <v>45181</v>
      </c>
      <c r="D1921" s="2">
        <v>45203</v>
      </c>
      <c r="E1921" t="s">
        <v>19</v>
      </c>
      <c r="F1921">
        <v>44408</v>
      </c>
      <c r="G1921">
        <v>1415</v>
      </c>
      <c r="H1921">
        <v>1648.96</v>
      </c>
      <c r="I1921">
        <v>184</v>
      </c>
      <c r="J1921" t="s">
        <v>30</v>
      </c>
      <c r="L1921" t="s">
        <v>20</v>
      </c>
    </row>
    <row r="1922" spans="1:12" x14ac:dyDescent="0.2">
      <c r="A1922" t="s">
        <v>3959</v>
      </c>
      <c r="B1922" t="s">
        <v>3960</v>
      </c>
      <c r="C1922" s="1">
        <v>45239</v>
      </c>
      <c r="D1922" s="2">
        <v>45255</v>
      </c>
      <c r="E1922" t="s">
        <v>41</v>
      </c>
      <c r="F1922">
        <v>40499</v>
      </c>
      <c r="G1922">
        <v>1337</v>
      </c>
      <c r="H1922">
        <v>2551.42</v>
      </c>
      <c r="I1922">
        <v>100</v>
      </c>
      <c r="J1922">
        <v>1</v>
      </c>
      <c r="L1922" t="s">
        <v>42</v>
      </c>
    </row>
    <row r="1923" spans="1:12" x14ac:dyDescent="0.2">
      <c r="A1923" t="s">
        <v>3961</v>
      </c>
      <c r="B1923" t="s">
        <v>3962</v>
      </c>
      <c r="C1923" s="2">
        <v>45203</v>
      </c>
      <c r="D1923" s="2">
        <v>45030</v>
      </c>
      <c r="E1923" t="s">
        <v>41</v>
      </c>
      <c r="F1923">
        <v>53269</v>
      </c>
      <c r="G1923">
        <v>579</v>
      </c>
      <c r="H1923">
        <v>545.66</v>
      </c>
      <c r="I1923">
        <v>56</v>
      </c>
      <c r="J1923">
        <v>1</v>
      </c>
      <c r="L1923" t="s">
        <v>42</v>
      </c>
    </row>
    <row r="1924" spans="1:12" x14ac:dyDescent="0.2">
      <c r="A1924" t="s">
        <v>3963</v>
      </c>
      <c r="B1924" t="s">
        <v>3964</v>
      </c>
      <c r="C1924" s="1">
        <v>44939</v>
      </c>
      <c r="D1924" s="2">
        <v>44942</v>
      </c>
      <c r="E1924" t="s">
        <v>19</v>
      </c>
      <c r="F1924">
        <v>39559</v>
      </c>
      <c r="G1924">
        <v>1891</v>
      </c>
      <c r="H1924">
        <v>2294.15</v>
      </c>
      <c r="I1924">
        <v>219</v>
      </c>
      <c r="J1924" t="b">
        <v>1</v>
      </c>
      <c r="L1924" t="s">
        <v>20</v>
      </c>
    </row>
    <row r="1925" spans="1:12" x14ac:dyDescent="0.2">
      <c r="A1925" t="s">
        <v>3965</v>
      </c>
      <c r="B1925" t="s">
        <v>3966</v>
      </c>
      <c r="C1925" s="1">
        <v>45033</v>
      </c>
      <c r="D1925" s="2">
        <v>45055</v>
      </c>
      <c r="E1925" t="s">
        <v>33</v>
      </c>
      <c r="F1925">
        <v>75319</v>
      </c>
      <c r="G1925">
        <v>2851</v>
      </c>
      <c r="H1925">
        <v>4662.5</v>
      </c>
      <c r="I1925">
        <v>498</v>
      </c>
      <c r="J1925">
        <v>1</v>
      </c>
      <c r="L1925" t="s">
        <v>34</v>
      </c>
    </row>
    <row r="1926" spans="1:12" x14ac:dyDescent="0.2">
      <c r="A1926" t="s">
        <v>3967</v>
      </c>
      <c r="B1926" t="s">
        <v>3968</v>
      </c>
      <c r="C1926" t="s">
        <v>617</v>
      </c>
      <c r="D1926" s="2">
        <v>45153</v>
      </c>
      <c r="E1926" t="s">
        <v>33</v>
      </c>
      <c r="F1926">
        <v>96317</v>
      </c>
      <c r="G1926">
        <v>2872</v>
      </c>
      <c r="H1926">
        <v>4404.7299999999996</v>
      </c>
      <c r="I1926">
        <v>543</v>
      </c>
      <c r="J1926" t="s">
        <v>24</v>
      </c>
      <c r="L1926" t="s">
        <v>34</v>
      </c>
    </row>
    <row r="1927" spans="1:12" x14ac:dyDescent="0.2">
      <c r="A1927" t="s">
        <v>3969</v>
      </c>
      <c r="B1927" t="s">
        <v>3970</v>
      </c>
      <c r="C1927" s="1">
        <v>45106</v>
      </c>
      <c r="D1927" s="2">
        <v>45132</v>
      </c>
      <c r="E1927" t="s">
        <v>19</v>
      </c>
      <c r="F1927">
        <v>97347</v>
      </c>
      <c r="G1927">
        <v>4606</v>
      </c>
      <c r="H1927">
        <v>8269.9</v>
      </c>
      <c r="I1927">
        <v>664</v>
      </c>
      <c r="J1927">
        <v>0</v>
      </c>
      <c r="L1927" t="s">
        <v>20</v>
      </c>
    </row>
    <row r="1928" spans="1:12" x14ac:dyDescent="0.2">
      <c r="A1928" t="s">
        <v>3971</v>
      </c>
      <c r="B1928" t="s">
        <v>3972</v>
      </c>
      <c r="C1928" s="1">
        <v>44932</v>
      </c>
      <c r="D1928" s="2">
        <v>44961</v>
      </c>
      <c r="E1928" t="s">
        <v>23</v>
      </c>
      <c r="F1928">
        <v>49787</v>
      </c>
      <c r="G1928">
        <v>1372</v>
      </c>
      <c r="H1928" s="3">
        <v>2737.43</v>
      </c>
      <c r="I1928">
        <v>149</v>
      </c>
      <c r="J1928" t="s">
        <v>30</v>
      </c>
      <c r="L1928" t="s">
        <v>25</v>
      </c>
    </row>
    <row r="1929" spans="1:12" x14ac:dyDescent="0.2">
      <c r="A1929" t="s">
        <v>3973</v>
      </c>
      <c r="B1929" t="s">
        <v>3974</v>
      </c>
      <c r="C1929" s="1">
        <v>45057</v>
      </c>
      <c r="D1929" s="2">
        <v>45068</v>
      </c>
      <c r="E1929" t="s">
        <v>41</v>
      </c>
      <c r="F1929">
        <v>36488</v>
      </c>
      <c r="G1929">
        <v>1795</v>
      </c>
      <c r="H1929">
        <v>2046.82</v>
      </c>
      <c r="I1929">
        <v>158</v>
      </c>
      <c r="J1929">
        <v>1</v>
      </c>
      <c r="L1929" t="s">
        <v>42</v>
      </c>
    </row>
    <row r="1930" spans="1:12" x14ac:dyDescent="0.2">
      <c r="A1930" t="s">
        <v>3975</v>
      </c>
      <c r="B1930" t="s">
        <v>3976</v>
      </c>
      <c r="C1930" s="1">
        <v>45186</v>
      </c>
      <c r="D1930" s="2">
        <v>45206</v>
      </c>
      <c r="E1930" t="s">
        <v>23</v>
      </c>
      <c r="F1930">
        <v>75441</v>
      </c>
      <c r="G1930">
        <v>2300</v>
      </c>
      <c r="H1930">
        <v>1533.47</v>
      </c>
      <c r="I1930">
        <v>453</v>
      </c>
      <c r="J1930" t="b">
        <v>1</v>
      </c>
      <c r="L1930" t="s">
        <v>68</v>
      </c>
    </row>
    <row r="1931" spans="1:12" x14ac:dyDescent="0.2">
      <c r="A1931" t="s">
        <v>3977</v>
      </c>
      <c r="B1931" t="s">
        <v>3978</v>
      </c>
      <c r="C1931" s="1">
        <v>44985</v>
      </c>
      <c r="D1931" s="2">
        <v>45009</v>
      </c>
      <c r="E1931" t="s">
        <v>33</v>
      </c>
      <c r="F1931">
        <v>75663</v>
      </c>
      <c r="G1931">
        <v>1102</v>
      </c>
      <c r="H1931">
        <v>601.28</v>
      </c>
      <c r="I1931">
        <v>217</v>
      </c>
      <c r="J1931" t="s">
        <v>15</v>
      </c>
      <c r="L1931" t="s">
        <v>34</v>
      </c>
    </row>
    <row r="1932" spans="1:12" x14ac:dyDescent="0.2">
      <c r="A1932" t="s">
        <v>3979</v>
      </c>
      <c r="B1932" t="s">
        <v>3980</v>
      </c>
      <c r="C1932" s="2">
        <v>45218</v>
      </c>
      <c r="D1932" s="2">
        <v>45230</v>
      </c>
      <c r="E1932" t="s">
        <v>138</v>
      </c>
      <c r="F1932">
        <v>23431</v>
      </c>
      <c r="G1932">
        <v>951</v>
      </c>
      <c r="H1932">
        <v>1512.39</v>
      </c>
      <c r="I1932">
        <v>179</v>
      </c>
      <c r="J1932">
        <v>0</v>
      </c>
      <c r="L1932" t="s">
        <v>139</v>
      </c>
    </row>
    <row r="1933" spans="1:12" x14ac:dyDescent="0.2">
      <c r="A1933" t="s">
        <v>3981</v>
      </c>
      <c r="B1933" t="s">
        <v>3982</v>
      </c>
      <c r="C1933" s="1">
        <v>45016</v>
      </c>
      <c r="D1933" s="2">
        <v>45044</v>
      </c>
      <c r="E1933" t="s">
        <v>19</v>
      </c>
      <c r="F1933">
        <v>62681</v>
      </c>
      <c r="G1933">
        <v>2328</v>
      </c>
      <c r="H1933">
        <v>4216.0600000000004</v>
      </c>
      <c r="I1933">
        <v>390</v>
      </c>
      <c r="J1933">
        <v>1</v>
      </c>
      <c r="L1933" t="s">
        <v>20</v>
      </c>
    </row>
    <row r="1934" spans="1:12" x14ac:dyDescent="0.2">
      <c r="A1934" t="s">
        <v>3983</v>
      </c>
      <c r="B1934" t="s">
        <v>3984</v>
      </c>
      <c r="C1934" s="1">
        <v>45271</v>
      </c>
      <c r="D1934" s="2">
        <v>45287</v>
      </c>
      <c r="E1934" t="s">
        <v>19</v>
      </c>
      <c r="F1934">
        <v>64483</v>
      </c>
      <c r="G1934">
        <v>2638</v>
      </c>
      <c r="H1934" s="3">
        <v>2192.36</v>
      </c>
      <c r="I1934">
        <v>260</v>
      </c>
      <c r="J1934" t="s">
        <v>30</v>
      </c>
      <c r="L1934" t="s">
        <v>20</v>
      </c>
    </row>
    <row r="1935" spans="1:12" x14ac:dyDescent="0.2">
      <c r="A1935" t="s">
        <v>3985</v>
      </c>
      <c r="B1935" t="s">
        <v>3986</v>
      </c>
      <c r="C1935" s="1">
        <v>44945</v>
      </c>
      <c r="D1935" s="2">
        <v>44954</v>
      </c>
      <c r="E1935" t="s">
        <v>33</v>
      </c>
      <c r="F1935">
        <v>50153</v>
      </c>
      <c r="G1935">
        <v>2410</v>
      </c>
      <c r="H1935">
        <v>1777.79</v>
      </c>
      <c r="I1935">
        <v>415</v>
      </c>
      <c r="J1935" t="s">
        <v>15</v>
      </c>
      <c r="L1935" t="s">
        <v>34</v>
      </c>
    </row>
    <row r="1936" spans="1:12" x14ac:dyDescent="0.2">
      <c r="A1936" t="s">
        <v>3987</v>
      </c>
      <c r="B1936" t="s">
        <v>3988</v>
      </c>
      <c r="C1936" s="1">
        <v>45248</v>
      </c>
      <c r="D1936" s="2">
        <v>45267</v>
      </c>
      <c r="E1936" t="s">
        <v>41</v>
      </c>
      <c r="F1936">
        <v>7368</v>
      </c>
      <c r="G1936">
        <v>302</v>
      </c>
      <c r="H1936" s="3">
        <v>179.18</v>
      </c>
      <c r="I1936">
        <v>33</v>
      </c>
      <c r="J1936" t="s">
        <v>24</v>
      </c>
      <c r="L1936" t="s">
        <v>42</v>
      </c>
    </row>
    <row r="1937" spans="1:12" x14ac:dyDescent="0.2">
      <c r="A1937" t="s">
        <v>3989</v>
      </c>
      <c r="B1937" t="s">
        <v>3990</v>
      </c>
      <c r="C1937" s="1">
        <v>45098</v>
      </c>
      <c r="D1937" s="2">
        <v>45116</v>
      </c>
      <c r="E1937" t="s">
        <v>19</v>
      </c>
      <c r="F1937">
        <v>28424</v>
      </c>
      <c r="G1937">
        <v>979</v>
      </c>
      <c r="H1937">
        <v>-1697.64</v>
      </c>
      <c r="I1937">
        <v>96</v>
      </c>
      <c r="J1937" t="s">
        <v>30</v>
      </c>
      <c r="L1937" t="s">
        <v>20</v>
      </c>
    </row>
    <row r="1938" spans="1:12" x14ac:dyDescent="0.2">
      <c r="A1938" t="s">
        <v>3991</v>
      </c>
      <c r="B1938" t="s">
        <v>3992</v>
      </c>
      <c r="C1938" s="1">
        <v>44955</v>
      </c>
      <c r="D1938" s="2">
        <v>44973</v>
      </c>
      <c r="E1938" t="s">
        <v>23</v>
      </c>
      <c r="F1938">
        <v>46004</v>
      </c>
      <c r="G1938">
        <v>2037</v>
      </c>
      <c r="H1938" s="3">
        <v>1969.93</v>
      </c>
      <c r="I1938">
        <v>329</v>
      </c>
      <c r="J1938" t="s">
        <v>15</v>
      </c>
      <c r="L1938" t="s">
        <v>25</v>
      </c>
    </row>
    <row r="1939" spans="1:12" x14ac:dyDescent="0.2">
      <c r="A1939" t="s">
        <v>3993</v>
      </c>
      <c r="B1939" t="s">
        <v>3994</v>
      </c>
      <c r="C1939" s="1">
        <v>45274</v>
      </c>
      <c r="D1939" s="2">
        <v>45303</v>
      </c>
      <c r="E1939" t="s">
        <v>14</v>
      </c>
      <c r="F1939">
        <v>84869</v>
      </c>
      <c r="G1939">
        <v>3134</v>
      </c>
      <c r="H1939">
        <v>3455.38</v>
      </c>
      <c r="I1939">
        <v>194</v>
      </c>
      <c r="J1939" t="s">
        <v>24</v>
      </c>
      <c r="L1939" t="s">
        <v>16</v>
      </c>
    </row>
    <row r="1940" spans="1:12" x14ac:dyDescent="0.2">
      <c r="A1940" t="s">
        <v>3995</v>
      </c>
      <c r="B1940" t="s">
        <v>3996</v>
      </c>
      <c r="C1940" s="1">
        <v>45033</v>
      </c>
      <c r="D1940" s="2">
        <v>45062</v>
      </c>
      <c r="E1940" t="s">
        <v>41</v>
      </c>
      <c r="F1940">
        <v>89652</v>
      </c>
      <c r="G1940">
        <v>2360</v>
      </c>
      <c r="H1940">
        <v>2959.74</v>
      </c>
      <c r="I1940">
        <v>135</v>
      </c>
      <c r="J1940" t="s">
        <v>24</v>
      </c>
      <c r="L1940" t="s">
        <v>42</v>
      </c>
    </row>
    <row r="1941" spans="1:12" x14ac:dyDescent="0.2">
      <c r="A1941" t="s">
        <v>3997</v>
      </c>
      <c r="B1941" t="s">
        <v>3998</v>
      </c>
      <c r="C1941" s="2">
        <v>44933</v>
      </c>
      <c r="D1941" s="2">
        <v>45135</v>
      </c>
      <c r="E1941" t="s">
        <v>23</v>
      </c>
      <c r="F1941">
        <v>57985</v>
      </c>
      <c r="G1941">
        <v>2633</v>
      </c>
      <c r="H1941">
        <v>4631.92</v>
      </c>
      <c r="I1941">
        <v>308</v>
      </c>
      <c r="J1941">
        <v>0</v>
      </c>
      <c r="L1941" t="s">
        <v>25</v>
      </c>
    </row>
    <row r="1942" spans="1:12" x14ac:dyDescent="0.2">
      <c r="A1942" t="s">
        <v>3999</v>
      </c>
      <c r="B1942" t="s">
        <v>4000</v>
      </c>
      <c r="C1942" s="2">
        <v>45003</v>
      </c>
      <c r="D1942" s="2">
        <v>45027</v>
      </c>
      <c r="E1942" t="s">
        <v>14</v>
      </c>
      <c r="F1942">
        <v>51069</v>
      </c>
      <c r="G1942">
        <v>963</v>
      </c>
      <c r="H1942" s="3">
        <v>1421.63</v>
      </c>
      <c r="I1942">
        <v>112</v>
      </c>
      <c r="J1942" t="s">
        <v>30</v>
      </c>
      <c r="L1942" t="s">
        <v>16</v>
      </c>
    </row>
    <row r="1943" spans="1:12" x14ac:dyDescent="0.2">
      <c r="A1943" t="s">
        <v>4001</v>
      </c>
      <c r="B1943" t="s">
        <v>4002</v>
      </c>
      <c r="C1943" s="1">
        <v>45119</v>
      </c>
      <c r="D1943" s="2">
        <v>45114</v>
      </c>
      <c r="E1943" t="s">
        <v>41</v>
      </c>
      <c r="F1943">
        <v>53326</v>
      </c>
      <c r="G1943">
        <v>2057</v>
      </c>
      <c r="H1943">
        <v>2926.28</v>
      </c>
      <c r="I1943">
        <v>379</v>
      </c>
      <c r="J1943">
        <v>1</v>
      </c>
      <c r="L1943" t="s">
        <v>42</v>
      </c>
    </row>
    <row r="1944" spans="1:12" x14ac:dyDescent="0.2">
      <c r="A1944" t="s">
        <v>4003</v>
      </c>
      <c r="B1944" t="s">
        <v>4004</v>
      </c>
      <c r="C1944" s="1">
        <v>45219</v>
      </c>
      <c r="D1944" s="2">
        <v>45240</v>
      </c>
      <c r="E1944" t="s">
        <v>14</v>
      </c>
      <c r="F1944">
        <v>82061</v>
      </c>
      <c r="G1944">
        <v>3714</v>
      </c>
      <c r="H1944">
        <v>2835.67</v>
      </c>
      <c r="I1944">
        <v>255</v>
      </c>
      <c r="J1944">
        <v>1</v>
      </c>
      <c r="L1944" t="s">
        <v>16</v>
      </c>
    </row>
    <row r="1945" spans="1:12" x14ac:dyDescent="0.2">
      <c r="A1945" t="s">
        <v>4005</v>
      </c>
      <c r="B1945" t="s">
        <v>4006</v>
      </c>
      <c r="C1945" s="1">
        <v>44986</v>
      </c>
      <c r="D1945" s="2">
        <v>45008</v>
      </c>
      <c r="E1945" t="s">
        <v>33</v>
      </c>
      <c r="F1945">
        <v>24398</v>
      </c>
      <c r="G1945">
        <v>957</v>
      </c>
      <c r="H1945">
        <v>1215.18</v>
      </c>
      <c r="I1945">
        <v>65</v>
      </c>
      <c r="J1945" t="b">
        <v>1</v>
      </c>
      <c r="L1945" t="s">
        <v>34</v>
      </c>
    </row>
    <row r="1946" spans="1:12" x14ac:dyDescent="0.2">
      <c r="A1946" t="s">
        <v>4007</v>
      </c>
      <c r="B1946" t="s">
        <v>4008</v>
      </c>
      <c r="C1946" s="1">
        <v>45288</v>
      </c>
      <c r="D1946" s="2">
        <v>45299</v>
      </c>
      <c r="E1946" t="s">
        <v>14</v>
      </c>
      <c r="F1946">
        <v>99393</v>
      </c>
      <c r="G1946">
        <v>3766</v>
      </c>
      <c r="H1946">
        <v>5924.19</v>
      </c>
      <c r="I1946">
        <v>271</v>
      </c>
      <c r="J1946" t="s">
        <v>15</v>
      </c>
      <c r="K1946">
        <v>99483</v>
      </c>
      <c r="L1946" t="s">
        <v>16</v>
      </c>
    </row>
    <row r="1947" spans="1:12" x14ac:dyDescent="0.2">
      <c r="A1947" t="s">
        <v>4009</v>
      </c>
      <c r="B1947" t="s">
        <v>4010</v>
      </c>
      <c r="C1947" s="1">
        <v>45066</v>
      </c>
      <c r="D1947" s="2">
        <v>45083</v>
      </c>
      <c r="E1947" t="s">
        <v>14</v>
      </c>
      <c r="F1947">
        <v>51861</v>
      </c>
      <c r="G1947">
        <v>2079</v>
      </c>
      <c r="H1947">
        <v>4074.61</v>
      </c>
      <c r="I1947">
        <v>113</v>
      </c>
      <c r="J1947" t="b">
        <v>1</v>
      </c>
      <c r="L1947" t="s">
        <v>16</v>
      </c>
    </row>
    <row r="1948" spans="1:12" x14ac:dyDescent="0.2">
      <c r="A1948" t="s">
        <v>4011</v>
      </c>
      <c r="B1948" t="s">
        <v>4012</v>
      </c>
      <c r="C1948" s="1">
        <v>45048</v>
      </c>
      <c r="D1948" s="2">
        <v>45053</v>
      </c>
      <c r="E1948" t="s">
        <v>33</v>
      </c>
      <c r="F1948">
        <v>76897</v>
      </c>
      <c r="G1948">
        <v>2199</v>
      </c>
      <c r="H1948">
        <v>1763.84</v>
      </c>
      <c r="I1948">
        <v>133</v>
      </c>
      <c r="J1948" t="b">
        <v>0</v>
      </c>
      <c r="L1948" t="s">
        <v>34</v>
      </c>
    </row>
    <row r="1949" spans="1:12" x14ac:dyDescent="0.2">
      <c r="A1949" t="s">
        <v>4013</v>
      </c>
      <c r="B1949" t="s">
        <v>4014</v>
      </c>
      <c r="C1949" s="1">
        <v>45081</v>
      </c>
      <c r="D1949" s="2">
        <v>45103</v>
      </c>
      <c r="E1949" t="s">
        <v>33</v>
      </c>
      <c r="F1949">
        <v>82905</v>
      </c>
      <c r="G1949">
        <v>3727</v>
      </c>
      <c r="H1949">
        <v>1916.85</v>
      </c>
      <c r="I1949">
        <v>555</v>
      </c>
      <c r="J1949">
        <v>1</v>
      </c>
      <c r="L1949" t="s">
        <v>34</v>
      </c>
    </row>
    <row r="1950" spans="1:12" x14ac:dyDescent="0.2">
      <c r="A1950" t="s">
        <v>4015</v>
      </c>
      <c r="B1950" t="s">
        <v>4016</v>
      </c>
      <c r="C1950" s="2">
        <v>44984</v>
      </c>
      <c r="D1950" s="2">
        <v>45006</v>
      </c>
      <c r="E1950" t="s">
        <v>14</v>
      </c>
      <c r="F1950">
        <v>69577</v>
      </c>
      <c r="G1950">
        <v>1261</v>
      </c>
      <c r="H1950" s="3">
        <v>772.93</v>
      </c>
      <c r="I1950">
        <v>144</v>
      </c>
      <c r="J1950" t="s">
        <v>15</v>
      </c>
      <c r="L1950" t="s">
        <v>16</v>
      </c>
    </row>
    <row r="1951" spans="1:12" x14ac:dyDescent="0.2">
      <c r="A1951" t="s">
        <v>4017</v>
      </c>
      <c r="B1951" t="s">
        <v>4018</v>
      </c>
      <c r="C1951" s="1">
        <v>45030</v>
      </c>
      <c r="D1951" s="2">
        <v>45057</v>
      </c>
      <c r="E1951" t="s">
        <v>33</v>
      </c>
      <c r="F1951">
        <v>66641</v>
      </c>
      <c r="G1951">
        <v>1005</v>
      </c>
      <c r="H1951">
        <v>1069.0999999999999</v>
      </c>
      <c r="I1951">
        <v>165</v>
      </c>
      <c r="J1951">
        <v>0</v>
      </c>
      <c r="L1951" t="s">
        <v>34</v>
      </c>
    </row>
    <row r="1952" spans="1:12" x14ac:dyDescent="0.2">
      <c r="A1952" t="s">
        <v>4019</v>
      </c>
      <c r="B1952" t="s">
        <v>4020</v>
      </c>
      <c r="C1952" s="1">
        <v>44939</v>
      </c>
      <c r="D1952" s="2">
        <v>44962</v>
      </c>
      <c r="E1952" t="s">
        <v>19</v>
      </c>
      <c r="F1952">
        <v>10078</v>
      </c>
      <c r="G1952">
        <v>215</v>
      </c>
      <c r="H1952">
        <v>372.13</v>
      </c>
      <c r="I1952">
        <v>42</v>
      </c>
      <c r="J1952" t="b">
        <v>1</v>
      </c>
      <c r="L1952" t="s">
        <v>20</v>
      </c>
    </row>
    <row r="1953" spans="1:12" x14ac:dyDescent="0.2">
      <c r="A1953" t="s">
        <v>4021</v>
      </c>
      <c r="B1953" t="s">
        <v>4022</v>
      </c>
      <c r="C1953" s="1">
        <v>45005</v>
      </c>
      <c r="D1953" s="2">
        <v>45024</v>
      </c>
      <c r="E1953" t="s">
        <v>138</v>
      </c>
      <c r="F1953">
        <v>26003</v>
      </c>
      <c r="G1953">
        <v>812</v>
      </c>
      <c r="H1953" s="3">
        <v>414.7</v>
      </c>
      <c r="I1953">
        <v>120</v>
      </c>
      <c r="J1953">
        <v>0</v>
      </c>
      <c r="L1953" t="s">
        <v>139</v>
      </c>
    </row>
    <row r="1954" spans="1:12" x14ac:dyDescent="0.2">
      <c r="A1954" t="s">
        <v>4023</v>
      </c>
      <c r="B1954" t="s">
        <v>4024</v>
      </c>
      <c r="C1954" s="1">
        <v>45195</v>
      </c>
      <c r="D1954" s="2">
        <v>45190</v>
      </c>
      <c r="E1954" t="s">
        <v>23</v>
      </c>
      <c r="F1954">
        <v>63768</v>
      </c>
      <c r="G1954">
        <v>1939</v>
      </c>
      <c r="H1954">
        <v>2297.9</v>
      </c>
      <c r="I1954">
        <v>111</v>
      </c>
      <c r="J1954">
        <v>0</v>
      </c>
      <c r="L1954" t="s">
        <v>25</v>
      </c>
    </row>
    <row r="1955" spans="1:12" x14ac:dyDescent="0.2">
      <c r="A1955" t="s">
        <v>4025</v>
      </c>
      <c r="B1955" t="s">
        <v>4026</v>
      </c>
      <c r="C1955" s="1">
        <v>44977</v>
      </c>
      <c r="D1955" s="2">
        <v>44999</v>
      </c>
      <c r="E1955" t="s">
        <v>33</v>
      </c>
      <c r="F1955">
        <v>52047</v>
      </c>
      <c r="G1955">
        <v>2228</v>
      </c>
      <c r="H1955">
        <v>2214.29</v>
      </c>
      <c r="J1955">
        <v>0</v>
      </c>
      <c r="L1955" t="s">
        <v>34</v>
      </c>
    </row>
    <row r="1956" spans="1:12" x14ac:dyDescent="0.2">
      <c r="A1956" t="s">
        <v>4027</v>
      </c>
      <c r="B1956" t="s">
        <v>4028</v>
      </c>
      <c r="C1956" s="1">
        <v>45273</v>
      </c>
      <c r="D1956" s="2">
        <v>45282</v>
      </c>
      <c r="E1956" t="s">
        <v>33</v>
      </c>
      <c r="F1956">
        <v>72626</v>
      </c>
      <c r="G1956">
        <v>1901</v>
      </c>
      <c r="H1956">
        <v>1100.1500000000001</v>
      </c>
      <c r="I1956">
        <v>346</v>
      </c>
      <c r="J1956" t="b">
        <v>1</v>
      </c>
      <c r="L1956" t="s">
        <v>34</v>
      </c>
    </row>
    <row r="1957" spans="1:12" x14ac:dyDescent="0.2">
      <c r="A1957" t="s">
        <v>4029</v>
      </c>
      <c r="B1957" t="s">
        <v>4030</v>
      </c>
      <c r="C1957" s="1">
        <v>44945</v>
      </c>
      <c r="D1957" s="2">
        <v>44971</v>
      </c>
      <c r="E1957" t="s">
        <v>14</v>
      </c>
      <c r="F1957">
        <v>58660</v>
      </c>
      <c r="G1957">
        <v>1723</v>
      </c>
      <c r="H1957">
        <v>2025.14</v>
      </c>
      <c r="I1957">
        <v>222</v>
      </c>
      <c r="J1957" t="b">
        <v>0</v>
      </c>
      <c r="L1957" t="s">
        <v>68</v>
      </c>
    </row>
    <row r="1958" spans="1:12" x14ac:dyDescent="0.2">
      <c r="A1958" t="s">
        <v>4031</v>
      </c>
      <c r="B1958" t="s">
        <v>4032</v>
      </c>
      <c r="C1958" s="1">
        <v>45194</v>
      </c>
      <c r="D1958" s="2">
        <v>45214</v>
      </c>
      <c r="E1958" t="s">
        <v>23</v>
      </c>
      <c r="F1958">
        <v>50786</v>
      </c>
      <c r="G1958">
        <v>535</v>
      </c>
      <c r="H1958">
        <v>471.94</v>
      </c>
      <c r="I1958">
        <v>92</v>
      </c>
      <c r="J1958" t="s">
        <v>24</v>
      </c>
      <c r="L1958" t="s">
        <v>25</v>
      </c>
    </row>
    <row r="1959" spans="1:12" x14ac:dyDescent="0.2">
      <c r="A1959" t="s">
        <v>4033</v>
      </c>
      <c r="B1959" t="s">
        <v>4034</v>
      </c>
      <c r="C1959" s="1">
        <v>44949</v>
      </c>
      <c r="D1959" s="2">
        <v>44974</v>
      </c>
      <c r="E1959" t="s">
        <v>19</v>
      </c>
      <c r="F1959">
        <v>2925</v>
      </c>
      <c r="G1959">
        <v>77</v>
      </c>
      <c r="H1959">
        <v>79.14</v>
      </c>
      <c r="I1959">
        <v>13</v>
      </c>
      <c r="J1959" t="s">
        <v>24</v>
      </c>
      <c r="L1959" t="s">
        <v>20</v>
      </c>
    </row>
    <row r="1960" spans="1:12" x14ac:dyDescent="0.2">
      <c r="A1960" t="s">
        <v>4035</v>
      </c>
      <c r="B1960" t="s">
        <v>4036</v>
      </c>
      <c r="C1960" s="1">
        <v>44971</v>
      </c>
      <c r="D1960" s="2">
        <v>45000</v>
      </c>
      <c r="E1960" t="s">
        <v>14</v>
      </c>
      <c r="F1960">
        <v>84976</v>
      </c>
      <c r="G1960">
        <v>3051</v>
      </c>
      <c r="H1960">
        <v>4754.75</v>
      </c>
      <c r="I1960">
        <v>577</v>
      </c>
      <c r="J1960" t="b">
        <v>1</v>
      </c>
      <c r="L1960" t="s">
        <v>16</v>
      </c>
    </row>
    <row r="1961" spans="1:12" x14ac:dyDescent="0.2">
      <c r="A1961" t="s">
        <v>4037</v>
      </c>
      <c r="B1961" t="s">
        <v>4038</v>
      </c>
      <c r="C1961" s="1">
        <v>44979</v>
      </c>
      <c r="D1961" s="2">
        <v>44987</v>
      </c>
      <c r="E1961" t="s">
        <v>19</v>
      </c>
      <c r="F1961">
        <v>27015</v>
      </c>
      <c r="G1961">
        <v>286</v>
      </c>
      <c r="H1961">
        <v>366.75</v>
      </c>
      <c r="I1961">
        <v>55</v>
      </c>
      <c r="J1961" t="s">
        <v>24</v>
      </c>
      <c r="L1961" t="s">
        <v>20</v>
      </c>
    </row>
    <row r="1962" spans="1:12" x14ac:dyDescent="0.2">
      <c r="A1962" t="s">
        <v>4039</v>
      </c>
      <c r="B1962" t="s">
        <v>4040</v>
      </c>
      <c r="C1962" s="2">
        <v>45175</v>
      </c>
      <c r="D1962" s="2">
        <v>45094</v>
      </c>
      <c r="E1962" t="s">
        <v>19</v>
      </c>
      <c r="F1962">
        <v>34320</v>
      </c>
      <c r="G1962">
        <v>728</v>
      </c>
      <c r="H1962">
        <v>500.11</v>
      </c>
      <c r="I1962">
        <v>96</v>
      </c>
      <c r="J1962" t="s">
        <v>30</v>
      </c>
      <c r="L1962" t="s">
        <v>68</v>
      </c>
    </row>
    <row r="1963" spans="1:12" x14ac:dyDescent="0.2">
      <c r="A1963" t="s">
        <v>4041</v>
      </c>
      <c r="B1963" t="s">
        <v>4042</v>
      </c>
      <c r="C1963" s="1">
        <v>45086</v>
      </c>
      <c r="D1963" s="2">
        <v>45113</v>
      </c>
      <c r="E1963" t="s">
        <v>19</v>
      </c>
      <c r="F1963">
        <v>65881</v>
      </c>
      <c r="G1963">
        <v>1206</v>
      </c>
      <c r="H1963">
        <v>2342.1999999999998</v>
      </c>
      <c r="I1963">
        <v>121</v>
      </c>
      <c r="J1963" t="s">
        <v>24</v>
      </c>
      <c r="L1963" t="s">
        <v>20</v>
      </c>
    </row>
    <row r="1964" spans="1:12" x14ac:dyDescent="0.2">
      <c r="A1964" t="s">
        <v>4043</v>
      </c>
      <c r="B1964" t="s">
        <v>4044</v>
      </c>
      <c r="C1964" s="1">
        <v>45029</v>
      </c>
      <c r="D1964" s="2">
        <v>45030</v>
      </c>
      <c r="E1964" t="s">
        <v>138</v>
      </c>
      <c r="F1964">
        <v>91827</v>
      </c>
      <c r="G1964">
        <v>1072</v>
      </c>
      <c r="H1964">
        <v>1558.54</v>
      </c>
      <c r="I1964">
        <v>208</v>
      </c>
      <c r="J1964">
        <v>1</v>
      </c>
      <c r="L1964" t="s">
        <v>139</v>
      </c>
    </row>
    <row r="1965" spans="1:12" x14ac:dyDescent="0.2">
      <c r="A1965" t="s">
        <v>4045</v>
      </c>
      <c r="B1965" t="s">
        <v>4046</v>
      </c>
      <c r="C1965" s="1">
        <v>45090</v>
      </c>
      <c r="D1965" s="2">
        <v>45104</v>
      </c>
      <c r="E1965" t="s">
        <v>19</v>
      </c>
      <c r="F1965">
        <v>27289</v>
      </c>
      <c r="G1965">
        <v>796</v>
      </c>
      <c r="H1965">
        <v>1312.45</v>
      </c>
      <c r="I1965">
        <v>105</v>
      </c>
      <c r="J1965" t="b">
        <v>1</v>
      </c>
      <c r="L1965" t="s">
        <v>20</v>
      </c>
    </row>
    <row r="1966" spans="1:12" x14ac:dyDescent="0.2">
      <c r="A1966" t="s">
        <v>4047</v>
      </c>
      <c r="B1966" t="s">
        <v>4048</v>
      </c>
      <c r="C1966" s="1">
        <v>45066</v>
      </c>
      <c r="D1966" s="2">
        <v>45082</v>
      </c>
      <c r="E1966" t="s">
        <v>19</v>
      </c>
      <c r="F1966">
        <v>4389</v>
      </c>
      <c r="G1966">
        <v>75</v>
      </c>
      <c r="H1966" s="3">
        <v>46.41</v>
      </c>
      <c r="I1966">
        <v>4</v>
      </c>
      <c r="J1966" t="s">
        <v>24</v>
      </c>
      <c r="L1966" t="s">
        <v>20</v>
      </c>
    </row>
    <row r="1967" spans="1:12" x14ac:dyDescent="0.2">
      <c r="A1967" t="s">
        <v>4049</v>
      </c>
      <c r="B1967" t="s">
        <v>4050</v>
      </c>
      <c r="C1967" s="1">
        <v>44934</v>
      </c>
      <c r="D1967" s="2">
        <v>44943</v>
      </c>
      <c r="E1967" t="s">
        <v>41</v>
      </c>
      <c r="F1967">
        <v>26683</v>
      </c>
      <c r="G1967">
        <v>1059</v>
      </c>
      <c r="H1967">
        <v>604.25</v>
      </c>
      <c r="I1967">
        <v>155</v>
      </c>
      <c r="J1967" t="b">
        <v>1</v>
      </c>
      <c r="L1967" t="s">
        <v>42</v>
      </c>
    </row>
    <row r="1968" spans="1:12" x14ac:dyDescent="0.2">
      <c r="A1968" t="s">
        <v>4051</v>
      </c>
      <c r="B1968" t="s">
        <v>4052</v>
      </c>
      <c r="C1968" s="1">
        <v>44979</v>
      </c>
      <c r="D1968" s="2">
        <v>44990</v>
      </c>
      <c r="E1968" t="s">
        <v>19</v>
      </c>
      <c r="F1968">
        <v>14629</v>
      </c>
      <c r="G1968">
        <v>642</v>
      </c>
      <c r="H1968">
        <v>339.73</v>
      </c>
      <c r="I1968">
        <v>88</v>
      </c>
      <c r="J1968" t="b">
        <v>0</v>
      </c>
      <c r="L1968" t="s">
        <v>20</v>
      </c>
    </row>
    <row r="1969" spans="1:12" x14ac:dyDescent="0.2">
      <c r="A1969" t="s">
        <v>4053</v>
      </c>
      <c r="B1969" t="s">
        <v>4054</v>
      </c>
      <c r="C1969" s="1">
        <v>45090</v>
      </c>
      <c r="D1969" s="2">
        <v>45107</v>
      </c>
      <c r="E1969" t="s">
        <v>14</v>
      </c>
      <c r="F1969">
        <v>62550</v>
      </c>
      <c r="G1969">
        <v>1990</v>
      </c>
      <c r="H1969">
        <v>1558.55</v>
      </c>
      <c r="I1969">
        <v>366</v>
      </c>
      <c r="J1969" t="s">
        <v>30</v>
      </c>
      <c r="L1969" t="s">
        <v>16</v>
      </c>
    </row>
    <row r="1970" spans="1:12" x14ac:dyDescent="0.2">
      <c r="A1970" t="s">
        <v>4055</v>
      </c>
      <c r="B1970" t="s">
        <v>4056</v>
      </c>
      <c r="C1970" s="1">
        <v>45072</v>
      </c>
      <c r="D1970" s="2">
        <v>45082</v>
      </c>
      <c r="E1970" t="s">
        <v>14</v>
      </c>
      <c r="F1970">
        <v>25826</v>
      </c>
      <c r="G1970">
        <v>1272</v>
      </c>
      <c r="H1970">
        <v>1426.69</v>
      </c>
      <c r="I1970">
        <v>188</v>
      </c>
      <c r="J1970" t="b">
        <v>1</v>
      </c>
      <c r="L1970" t="s">
        <v>16</v>
      </c>
    </row>
    <row r="1971" spans="1:12" x14ac:dyDescent="0.2">
      <c r="A1971" t="s">
        <v>4057</v>
      </c>
      <c r="B1971" t="s">
        <v>4058</v>
      </c>
      <c r="C1971" s="1">
        <v>45086</v>
      </c>
      <c r="D1971" s="2">
        <v>45102</v>
      </c>
      <c r="E1971" t="s">
        <v>41</v>
      </c>
      <c r="F1971">
        <v>27630</v>
      </c>
      <c r="G1971">
        <v>774</v>
      </c>
      <c r="H1971">
        <v>1473.49</v>
      </c>
      <c r="I1971">
        <v>79</v>
      </c>
      <c r="J1971">
        <v>1</v>
      </c>
      <c r="L1971" t="s">
        <v>42</v>
      </c>
    </row>
    <row r="1972" spans="1:12" x14ac:dyDescent="0.2">
      <c r="A1972" t="s">
        <v>4059</v>
      </c>
      <c r="B1972" t="s">
        <v>4060</v>
      </c>
      <c r="C1972" t="s">
        <v>4061</v>
      </c>
      <c r="D1972" s="2">
        <v>45178</v>
      </c>
      <c r="E1972" t="s">
        <v>33</v>
      </c>
      <c r="F1972">
        <v>99762</v>
      </c>
      <c r="G1972">
        <v>3046</v>
      </c>
      <c r="H1972">
        <v>3611.31</v>
      </c>
      <c r="I1972">
        <v>593</v>
      </c>
      <c r="J1972" t="s">
        <v>24</v>
      </c>
      <c r="L1972" t="s">
        <v>34</v>
      </c>
    </row>
    <row r="1973" spans="1:12" x14ac:dyDescent="0.2">
      <c r="A1973" t="s">
        <v>4062</v>
      </c>
      <c r="B1973" t="s">
        <v>4063</v>
      </c>
      <c r="C1973" s="1">
        <v>44941</v>
      </c>
      <c r="D1973" s="2">
        <v>44954</v>
      </c>
      <c r="E1973" t="s">
        <v>23</v>
      </c>
      <c r="F1973">
        <v>47163</v>
      </c>
      <c r="G1973">
        <v>2337</v>
      </c>
      <c r="H1973">
        <v>2185.9899999999998</v>
      </c>
      <c r="J1973">
        <v>1</v>
      </c>
      <c r="L1973" t="s">
        <v>25</v>
      </c>
    </row>
    <row r="1974" spans="1:12" x14ac:dyDescent="0.2">
      <c r="A1974" t="s">
        <v>4064</v>
      </c>
      <c r="B1974" t="s">
        <v>4065</v>
      </c>
      <c r="C1974" s="2">
        <v>44981</v>
      </c>
      <c r="D1974" s="2">
        <v>44983</v>
      </c>
      <c r="E1974" t="s">
        <v>23</v>
      </c>
      <c r="F1974">
        <v>99511</v>
      </c>
      <c r="G1974">
        <v>1916</v>
      </c>
      <c r="H1974">
        <v>2573</v>
      </c>
      <c r="I1974">
        <v>276</v>
      </c>
      <c r="J1974" t="s">
        <v>24</v>
      </c>
      <c r="L1974" t="s">
        <v>25</v>
      </c>
    </row>
    <row r="1975" spans="1:12" x14ac:dyDescent="0.2">
      <c r="A1975" t="s">
        <v>4066</v>
      </c>
      <c r="B1975" t="s">
        <v>4067</v>
      </c>
      <c r="C1975" s="1">
        <v>45127</v>
      </c>
      <c r="D1975" s="2">
        <v>45146</v>
      </c>
      <c r="E1975" t="s">
        <v>138</v>
      </c>
      <c r="F1975">
        <v>67435</v>
      </c>
      <c r="G1975">
        <v>3216</v>
      </c>
      <c r="H1975">
        <v>2147.9699999999998</v>
      </c>
      <c r="I1975">
        <v>302</v>
      </c>
      <c r="J1975" t="b">
        <v>1</v>
      </c>
      <c r="L1975" t="s">
        <v>139</v>
      </c>
    </row>
    <row r="1976" spans="1:12" x14ac:dyDescent="0.2">
      <c r="A1976" t="s">
        <v>4068</v>
      </c>
      <c r="B1976" t="s">
        <v>4069</v>
      </c>
      <c r="C1976" s="1">
        <v>45230</v>
      </c>
      <c r="D1976" s="2">
        <v>45240</v>
      </c>
      <c r="E1976" t="s">
        <v>41</v>
      </c>
      <c r="F1976">
        <v>12653</v>
      </c>
      <c r="G1976">
        <v>148</v>
      </c>
      <c r="H1976">
        <v>209.31</v>
      </c>
      <c r="I1976">
        <v>15</v>
      </c>
      <c r="J1976">
        <v>0</v>
      </c>
      <c r="L1976" t="s">
        <v>42</v>
      </c>
    </row>
    <row r="1977" spans="1:12" x14ac:dyDescent="0.2">
      <c r="A1977" t="s">
        <v>4070</v>
      </c>
      <c r="B1977" t="s">
        <v>4071</v>
      </c>
      <c r="C1977" s="1">
        <v>45155</v>
      </c>
      <c r="D1977" s="2">
        <v>45181</v>
      </c>
      <c r="E1977" t="s">
        <v>14</v>
      </c>
      <c r="F1977">
        <v>28961</v>
      </c>
      <c r="G1977">
        <v>806</v>
      </c>
      <c r="H1977">
        <v>1090.23</v>
      </c>
      <c r="I1977">
        <v>121</v>
      </c>
      <c r="J1977" t="s">
        <v>24</v>
      </c>
      <c r="L1977" t="s">
        <v>16</v>
      </c>
    </row>
    <row r="1978" spans="1:12" x14ac:dyDescent="0.2">
      <c r="A1978" t="s">
        <v>4072</v>
      </c>
      <c r="B1978" t="s">
        <v>4073</v>
      </c>
      <c r="C1978" s="1">
        <v>45028</v>
      </c>
      <c r="D1978" s="2">
        <v>45056</v>
      </c>
      <c r="E1978" t="s">
        <v>415</v>
      </c>
      <c r="F1978">
        <v>82941</v>
      </c>
      <c r="G1978">
        <v>1061</v>
      </c>
      <c r="H1978">
        <v>1790.96</v>
      </c>
      <c r="I1978">
        <v>64</v>
      </c>
      <c r="J1978">
        <v>0</v>
      </c>
      <c r="L1978" t="s">
        <v>34</v>
      </c>
    </row>
    <row r="1979" spans="1:12" x14ac:dyDescent="0.2">
      <c r="A1979" t="s">
        <v>4074</v>
      </c>
      <c r="B1979" t="s">
        <v>4075</v>
      </c>
      <c r="C1979" s="2">
        <v>44936</v>
      </c>
      <c r="D1979" s="2">
        <v>45209</v>
      </c>
      <c r="E1979" t="s">
        <v>14</v>
      </c>
      <c r="F1979">
        <v>75137</v>
      </c>
      <c r="G1979">
        <v>2943</v>
      </c>
      <c r="H1979">
        <v>5827.23</v>
      </c>
      <c r="I1979">
        <v>260</v>
      </c>
      <c r="J1979" t="s">
        <v>30</v>
      </c>
      <c r="L1979" t="s">
        <v>16</v>
      </c>
    </row>
    <row r="1980" spans="1:12" x14ac:dyDescent="0.2">
      <c r="A1980" t="s">
        <v>4076</v>
      </c>
      <c r="B1980" t="s">
        <v>4077</v>
      </c>
      <c r="C1980" s="2">
        <v>45165</v>
      </c>
      <c r="D1980" s="2">
        <v>45169</v>
      </c>
      <c r="E1980" t="s">
        <v>41</v>
      </c>
      <c r="F1980">
        <v>34662</v>
      </c>
      <c r="G1980">
        <v>1190</v>
      </c>
      <c r="H1980">
        <v>1042.81</v>
      </c>
      <c r="I1980">
        <v>186</v>
      </c>
      <c r="J1980">
        <v>1</v>
      </c>
      <c r="L1980" t="s">
        <v>42</v>
      </c>
    </row>
    <row r="1981" spans="1:12" x14ac:dyDescent="0.2">
      <c r="A1981" t="s">
        <v>4078</v>
      </c>
      <c r="B1981" t="s">
        <v>4079</v>
      </c>
      <c r="C1981" s="1">
        <v>45284</v>
      </c>
      <c r="D1981" s="2">
        <v>45311</v>
      </c>
      <c r="E1981" t="s">
        <v>33</v>
      </c>
      <c r="F1981">
        <v>99818</v>
      </c>
      <c r="G1981">
        <v>3819</v>
      </c>
      <c r="H1981">
        <v>4829.07</v>
      </c>
      <c r="I1981">
        <v>465</v>
      </c>
      <c r="J1981">
        <v>0</v>
      </c>
      <c r="L1981" t="s">
        <v>34</v>
      </c>
    </row>
    <row r="1982" spans="1:12" x14ac:dyDescent="0.2">
      <c r="A1982" t="s">
        <v>4080</v>
      </c>
      <c r="B1982" t="s">
        <v>4081</v>
      </c>
      <c r="C1982" s="1">
        <v>45277</v>
      </c>
      <c r="D1982" s="2">
        <v>45282</v>
      </c>
      <c r="E1982" t="s">
        <v>14</v>
      </c>
      <c r="F1982">
        <v>57446</v>
      </c>
      <c r="G1982">
        <v>1434</v>
      </c>
      <c r="H1982">
        <v>2671.97</v>
      </c>
      <c r="I1982">
        <v>158</v>
      </c>
      <c r="J1982">
        <v>1</v>
      </c>
      <c r="K1982">
        <v>57539</v>
      </c>
      <c r="L1982" t="s">
        <v>68</v>
      </c>
    </row>
    <row r="1983" spans="1:12" x14ac:dyDescent="0.2">
      <c r="A1983" t="s">
        <v>4082</v>
      </c>
      <c r="B1983" t="s">
        <v>4083</v>
      </c>
      <c r="C1983" s="1">
        <v>45167</v>
      </c>
      <c r="D1983" s="2">
        <v>45185</v>
      </c>
      <c r="E1983" t="s">
        <v>19</v>
      </c>
      <c r="F1983">
        <v>22288</v>
      </c>
      <c r="G1983">
        <v>552</v>
      </c>
      <c r="H1983">
        <v>926.14</v>
      </c>
      <c r="J1983" t="s">
        <v>24</v>
      </c>
      <c r="L1983" t="s">
        <v>20</v>
      </c>
    </row>
    <row r="1984" spans="1:12" x14ac:dyDescent="0.2">
      <c r="A1984" t="s">
        <v>4084</v>
      </c>
      <c r="B1984" t="s">
        <v>4085</v>
      </c>
      <c r="C1984" s="1">
        <v>45242</v>
      </c>
      <c r="D1984" s="2">
        <v>45250</v>
      </c>
      <c r="E1984" t="s">
        <v>19</v>
      </c>
      <c r="F1984">
        <v>96081</v>
      </c>
      <c r="G1984">
        <v>1134</v>
      </c>
      <c r="H1984">
        <v>1396.08</v>
      </c>
      <c r="I1984">
        <v>131</v>
      </c>
      <c r="J1984" t="s">
        <v>24</v>
      </c>
      <c r="L1984" t="s">
        <v>20</v>
      </c>
    </row>
    <row r="1985" spans="1:12" x14ac:dyDescent="0.2">
      <c r="A1985" t="s">
        <v>4086</v>
      </c>
      <c r="B1985" t="s">
        <v>4087</v>
      </c>
      <c r="C1985" s="1">
        <v>45020</v>
      </c>
      <c r="D1985" s="2">
        <v>45048</v>
      </c>
      <c r="E1985" t="s">
        <v>41</v>
      </c>
      <c r="F1985">
        <v>37877</v>
      </c>
      <c r="G1985">
        <v>908</v>
      </c>
      <c r="H1985">
        <v>1741.6</v>
      </c>
      <c r="I1985">
        <v>150</v>
      </c>
      <c r="J1985" t="s">
        <v>30</v>
      </c>
      <c r="L1985" t="s">
        <v>42</v>
      </c>
    </row>
    <row r="1986" spans="1:12" x14ac:dyDescent="0.2">
      <c r="A1986" t="s">
        <v>4088</v>
      </c>
      <c r="B1986" t="s">
        <v>4089</v>
      </c>
      <c r="C1986" s="2">
        <v>45093</v>
      </c>
      <c r="D1986" s="2">
        <v>45119</v>
      </c>
      <c r="E1986" t="s">
        <v>138</v>
      </c>
      <c r="F1986">
        <v>16313</v>
      </c>
      <c r="G1986">
        <v>769</v>
      </c>
      <c r="H1986">
        <v>450.52</v>
      </c>
      <c r="I1986">
        <v>68</v>
      </c>
      <c r="J1986" t="s">
        <v>24</v>
      </c>
      <c r="L1986" t="s">
        <v>139</v>
      </c>
    </row>
    <row r="1987" spans="1:12" x14ac:dyDescent="0.2">
      <c r="A1987" t="s">
        <v>4090</v>
      </c>
      <c r="B1987" t="s">
        <v>4091</v>
      </c>
      <c r="C1987" s="1">
        <v>45170</v>
      </c>
      <c r="D1987" s="2">
        <v>45178</v>
      </c>
      <c r="E1987" t="s">
        <v>41</v>
      </c>
      <c r="F1987">
        <v>81885</v>
      </c>
      <c r="G1987">
        <v>2060</v>
      </c>
      <c r="H1987">
        <v>3906.79</v>
      </c>
      <c r="I1987">
        <v>104</v>
      </c>
      <c r="J1987" t="s">
        <v>30</v>
      </c>
      <c r="L1987" t="s">
        <v>42</v>
      </c>
    </row>
    <row r="1988" spans="1:12" x14ac:dyDescent="0.2">
      <c r="A1988" t="s">
        <v>4092</v>
      </c>
      <c r="B1988" t="s">
        <v>4093</v>
      </c>
      <c r="C1988" s="1">
        <v>45014</v>
      </c>
      <c r="D1988" s="2">
        <v>45043</v>
      </c>
      <c r="E1988" t="s">
        <v>19</v>
      </c>
      <c r="F1988">
        <v>73715</v>
      </c>
      <c r="G1988">
        <v>3188</v>
      </c>
      <c r="H1988">
        <v>1835.53</v>
      </c>
      <c r="I1988">
        <v>479</v>
      </c>
      <c r="J1988">
        <v>0</v>
      </c>
      <c r="L1988" t="s">
        <v>20</v>
      </c>
    </row>
    <row r="1989" spans="1:12" x14ac:dyDescent="0.2">
      <c r="A1989" t="s">
        <v>4094</v>
      </c>
      <c r="B1989" t="s">
        <v>4095</v>
      </c>
      <c r="C1989" s="1">
        <v>45221</v>
      </c>
      <c r="D1989" s="2">
        <v>45229</v>
      </c>
      <c r="E1989" t="s">
        <v>23</v>
      </c>
      <c r="F1989">
        <v>11326</v>
      </c>
      <c r="G1989">
        <v>494</v>
      </c>
      <c r="H1989">
        <v>652.54999999999995</v>
      </c>
      <c r="I1989">
        <v>96</v>
      </c>
      <c r="J1989" t="s">
        <v>24</v>
      </c>
      <c r="L1989" t="s">
        <v>25</v>
      </c>
    </row>
    <row r="1990" spans="1:12" x14ac:dyDescent="0.2">
      <c r="A1990" t="s">
        <v>4096</v>
      </c>
      <c r="B1990" t="s">
        <v>4097</v>
      </c>
      <c r="C1990" s="1">
        <v>45292</v>
      </c>
      <c r="D1990" s="2">
        <v>45307</v>
      </c>
      <c r="E1990" t="s">
        <v>14</v>
      </c>
      <c r="F1990">
        <v>2560</v>
      </c>
      <c r="G1990">
        <v>63</v>
      </c>
      <c r="H1990">
        <v>115.65</v>
      </c>
      <c r="I1990">
        <v>8</v>
      </c>
      <c r="J1990" t="b">
        <v>1</v>
      </c>
      <c r="L1990" t="s">
        <v>16</v>
      </c>
    </row>
    <row r="1991" spans="1:12" x14ac:dyDescent="0.2">
      <c r="A1991" t="s">
        <v>4098</v>
      </c>
      <c r="B1991" t="s">
        <v>4099</v>
      </c>
      <c r="C1991" t="s">
        <v>687</v>
      </c>
      <c r="D1991" s="2">
        <v>45288</v>
      </c>
      <c r="E1991" t="s">
        <v>23</v>
      </c>
      <c r="F1991">
        <v>80148</v>
      </c>
      <c r="G1991">
        <v>2827</v>
      </c>
      <c r="H1991" s="3">
        <v>2527.5700000000002</v>
      </c>
      <c r="I1991">
        <v>192</v>
      </c>
      <c r="J1991" t="s">
        <v>15</v>
      </c>
      <c r="L1991" t="s">
        <v>25</v>
      </c>
    </row>
    <row r="1992" spans="1:12" x14ac:dyDescent="0.2">
      <c r="A1992" t="s">
        <v>4100</v>
      </c>
      <c r="B1992" t="s">
        <v>4101</v>
      </c>
      <c r="C1992" s="1">
        <v>45081</v>
      </c>
      <c r="D1992" s="2">
        <v>45086</v>
      </c>
      <c r="E1992" t="s">
        <v>14</v>
      </c>
      <c r="F1992">
        <v>84186</v>
      </c>
      <c r="G1992">
        <v>1163</v>
      </c>
      <c r="H1992">
        <v>1405.34</v>
      </c>
      <c r="I1992">
        <v>114</v>
      </c>
      <c r="J1992" t="b">
        <v>0</v>
      </c>
      <c r="L1992" t="s">
        <v>16</v>
      </c>
    </row>
    <row r="1993" spans="1:12" x14ac:dyDescent="0.2">
      <c r="A1993" t="s">
        <v>4102</v>
      </c>
      <c r="B1993" t="s">
        <v>4103</v>
      </c>
      <c r="C1993" s="1">
        <v>45138</v>
      </c>
      <c r="D1993" s="2">
        <v>45168</v>
      </c>
      <c r="E1993" t="s">
        <v>41</v>
      </c>
      <c r="F1993">
        <v>27745</v>
      </c>
      <c r="G1993">
        <v>392</v>
      </c>
      <c r="H1993">
        <v>386.71</v>
      </c>
      <c r="I1993">
        <v>70</v>
      </c>
      <c r="J1993" t="s">
        <v>15</v>
      </c>
      <c r="L1993" t="s">
        <v>42</v>
      </c>
    </row>
    <row r="1994" spans="1:12" x14ac:dyDescent="0.2">
      <c r="A1994" t="s">
        <v>4104</v>
      </c>
      <c r="B1994" t="s">
        <v>4105</v>
      </c>
      <c r="C1994" s="1">
        <v>45008</v>
      </c>
      <c r="D1994" s="2">
        <v>45012</v>
      </c>
      <c r="E1994" t="s">
        <v>41</v>
      </c>
      <c r="F1994">
        <v>32890</v>
      </c>
      <c r="G1994">
        <v>392</v>
      </c>
      <c r="H1994" s="3">
        <v>755.86</v>
      </c>
      <c r="I1994">
        <v>33</v>
      </c>
      <c r="J1994" t="s">
        <v>15</v>
      </c>
      <c r="L1994" t="s">
        <v>42</v>
      </c>
    </row>
    <row r="1995" spans="1:12" x14ac:dyDescent="0.2">
      <c r="A1995" t="s">
        <v>4106</v>
      </c>
      <c r="B1995" t="s">
        <v>4107</v>
      </c>
      <c r="C1995" s="1">
        <v>45101</v>
      </c>
      <c r="D1995" s="2">
        <v>45124</v>
      </c>
      <c r="E1995" t="s">
        <v>19</v>
      </c>
      <c r="F1995">
        <v>21022</v>
      </c>
      <c r="G1995">
        <v>698</v>
      </c>
      <c r="H1995">
        <v>1211.3599999999999</v>
      </c>
      <c r="I1995">
        <v>98</v>
      </c>
      <c r="J1995">
        <v>1</v>
      </c>
      <c r="L1995" t="s">
        <v>20</v>
      </c>
    </row>
    <row r="1996" spans="1:12" x14ac:dyDescent="0.2">
      <c r="A1996" t="s">
        <v>4108</v>
      </c>
      <c r="B1996" t="s">
        <v>4109</v>
      </c>
      <c r="C1996" s="1">
        <v>45147</v>
      </c>
      <c r="D1996" s="2">
        <v>45165</v>
      </c>
      <c r="E1996" t="s">
        <v>14</v>
      </c>
      <c r="F1996">
        <v>53579</v>
      </c>
      <c r="G1996">
        <v>1448</v>
      </c>
      <c r="H1996">
        <v>2263.9499999999998</v>
      </c>
      <c r="I1996">
        <v>159</v>
      </c>
      <c r="J1996" t="s">
        <v>30</v>
      </c>
      <c r="L1996" t="s">
        <v>16</v>
      </c>
    </row>
    <row r="1997" spans="1:12" x14ac:dyDescent="0.2">
      <c r="A1997" t="s">
        <v>4110</v>
      </c>
      <c r="B1997" t="s">
        <v>4111</v>
      </c>
      <c r="C1997" s="1">
        <v>45102</v>
      </c>
      <c r="D1997" s="2">
        <v>45119</v>
      </c>
      <c r="E1997" t="s">
        <v>41</v>
      </c>
      <c r="F1997">
        <v>71316</v>
      </c>
      <c r="G1997">
        <v>2276</v>
      </c>
      <c r="H1997">
        <v>3144.16</v>
      </c>
      <c r="I1997">
        <v>184</v>
      </c>
      <c r="J1997">
        <v>1</v>
      </c>
      <c r="L1997" t="s">
        <v>42</v>
      </c>
    </row>
    <row r="1998" spans="1:12" x14ac:dyDescent="0.2">
      <c r="A1998" t="s">
        <v>4112</v>
      </c>
      <c r="B1998" t="s">
        <v>4113</v>
      </c>
      <c r="C1998" s="1">
        <v>45266</v>
      </c>
      <c r="D1998" s="2">
        <v>45278</v>
      </c>
      <c r="E1998" t="s">
        <v>19</v>
      </c>
      <c r="F1998">
        <v>84847</v>
      </c>
      <c r="G1998">
        <v>2616</v>
      </c>
      <c r="H1998">
        <v>4528</v>
      </c>
      <c r="I1998">
        <v>449</v>
      </c>
      <c r="J1998">
        <v>0</v>
      </c>
      <c r="L1998" t="s">
        <v>20</v>
      </c>
    </row>
    <row r="1999" spans="1:12" x14ac:dyDescent="0.2">
      <c r="A1999" t="s">
        <v>4114</v>
      </c>
      <c r="B1999" t="s">
        <v>4115</v>
      </c>
      <c r="C1999" s="1">
        <v>45291</v>
      </c>
      <c r="D1999" s="2">
        <v>45305</v>
      </c>
      <c r="E1999" t="s">
        <v>33</v>
      </c>
      <c r="F1999">
        <v>29380</v>
      </c>
      <c r="G1999">
        <v>705</v>
      </c>
      <c r="H1999">
        <v>767.32</v>
      </c>
      <c r="J1999" t="b">
        <v>0</v>
      </c>
      <c r="L1999" t="s">
        <v>34</v>
      </c>
    </row>
    <row r="2000" spans="1:12" x14ac:dyDescent="0.2">
      <c r="A2000" t="s">
        <v>4116</v>
      </c>
      <c r="B2000" t="s">
        <v>4117</v>
      </c>
      <c r="C2000" s="1">
        <v>45230</v>
      </c>
      <c r="D2000" s="2">
        <v>45254</v>
      </c>
      <c r="E2000" t="s">
        <v>33</v>
      </c>
      <c r="F2000">
        <v>3356</v>
      </c>
      <c r="G2000">
        <v>124</v>
      </c>
      <c r="H2000">
        <v>145.24</v>
      </c>
      <c r="I2000">
        <v>18</v>
      </c>
      <c r="J2000">
        <v>0</v>
      </c>
      <c r="L2000" t="s">
        <v>34</v>
      </c>
    </row>
    <row r="2001" spans="1:12" x14ac:dyDescent="0.2">
      <c r="A2001" t="s">
        <v>4118</v>
      </c>
      <c r="B2001" t="s">
        <v>4119</v>
      </c>
      <c r="C2001" s="1">
        <v>44976</v>
      </c>
      <c r="D2001" s="2">
        <v>44989</v>
      </c>
      <c r="E2001" t="s">
        <v>14</v>
      </c>
      <c r="F2001">
        <v>71326</v>
      </c>
      <c r="G2001">
        <v>2877</v>
      </c>
      <c r="H2001">
        <v>4588.82</v>
      </c>
      <c r="I2001">
        <v>245</v>
      </c>
      <c r="J2001" t="b">
        <v>1</v>
      </c>
      <c r="L2001" t="s">
        <v>16</v>
      </c>
    </row>
    <row r="2002" spans="1:12" x14ac:dyDescent="0.2">
      <c r="A2002" t="s">
        <v>3876</v>
      </c>
      <c r="B2002" t="s">
        <v>3877</v>
      </c>
      <c r="C2002" s="1">
        <v>45288</v>
      </c>
      <c r="D2002" s="2">
        <v>45301</v>
      </c>
      <c r="E2002" t="s">
        <v>41</v>
      </c>
      <c r="F2002">
        <v>53098</v>
      </c>
      <c r="G2002">
        <v>559</v>
      </c>
      <c r="H2002">
        <v>992.65</v>
      </c>
      <c r="I2002">
        <v>63</v>
      </c>
      <c r="J2002" t="s">
        <v>24</v>
      </c>
      <c r="L2002" t="s">
        <v>42</v>
      </c>
    </row>
    <row r="2003" spans="1:12" x14ac:dyDescent="0.2">
      <c r="A2003" t="s">
        <v>2677</v>
      </c>
      <c r="B2003" t="s">
        <v>2678</v>
      </c>
      <c r="C2003" s="1">
        <v>45114</v>
      </c>
      <c r="D2003" s="2">
        <v>45127</v>
      </c>
      <c r="E2003" t="s">
        <v>41</v>
      </c>
      <c r="F2003">
        <v>39258</v>
      </c>
      <c r="G2003">
        <v>1290</v>
      </c>
      <c r="H2003">
        <v>2331</v>
      </c>
      <c r="I2003">
        <v>123</v>
      </c>
      <c r="J2003" t="b">
        <v>0</v>
      </c>
      <c r="L2003" t="s">
        <v>42</v>
      </c>
    </row>
    <row r="2004" spans="1:12" x14ac:dyDescent="0.2">
      <c r="A2004" t="s">
        <v>2948</v>
      </c>
      <c r="B2004" t="s">
        <v>2949</v>
      </c>
      <c r="C2004" s="1">
        <v>44947</v>
      </c>
      <c r="D2004" s="2">
        <v>44955</v>
      </c>
      <c r="E2004" t="s">
        <v>23</v>
      </c>
      <c r="F2004">
        <v>30373</v>
      </c>
      <c r="G2004">
        <v>1454</v>
      </c>
      <c r="H2004" s="3">
        <v>2640.72</v>
      </c>
      <c r="I2004">
        <v>110</v>
      </c>
      <c r="J2004" t="s">
        <v>30</v>
      </c>
      <c r="L2004" t="s">
        <v>25</v>
      </c>
    </row>
    <row r="2005" spans="1:12" x14ac:dyDescent="0.2">
      <c r="A2005" t="s">
        <v>2211</v>
      </c>
      <c r="B2005" t="s">
        <v>2212</v>
      </c>
      <c r="C2005" s="1">
        <v>45048</v>
      </c>
      <c r="D2005" s="2">
        <v>45074</v>
      </c>
      <c r="E2005" t="s">
        <v>19</v>
      </c>
      <c r="F2005">
        <v>64076</v>
      </c>
      <c r="G2005">
        <v>1065</v>
      </c>
      <c r="H2005">
        <v>1371.03</v>
      </c>
      <c r="I2005">
        <v>169</v>
      </c>
      <c r="J2005">
        <v>1</v>
      </c>
      <c r="L2005" t="s">
        <v>20</v>
      </c>
    </row>
    <row r="2006" spans="1:12" x14ac:dyDescent="0.2">
      <c r="A2006" t="s">
        <v>3309</v>
      </c>
      <c r="B2006" t="s">
        <v>3310</v>
      </c>
      <c r="C2006" s="2">
        <v>45241</v>
      </c>
      <c r="D2006" s="2">
        <v>45251</v>
      </c>
      <c r="E2006" t="s">
        <v>41</v>
      </c>
      <c r="F2006">
        <v>11816</v>
      </c>
      <c r="G2006">
        <v>374</v>
      </c>
      <c r="H2006">
        <v>460.42</v>
      </c>
      <c r="I2006">
        <v>67</v>
      </c>
      <c r="J2006" t="b">
        <v>0</v>
      </c>
      <c r="L2006" t="s">
        <v>42</v>
      </c>
    </row>
    <row r="2007" spans="1:12" x14ac:dyDescent="0.2">
      <c r="A2007" t="s">
        <v>2602</v>
      </c>
      <c r="B2007" t="s">
        <v>2603</v>
      </c>
      <c r="C2007" s="1">
        <v>45186</v>
      </c>
      <c r="D2007" s="2">
        <v>45209</v>
      </c>
      <c r="E2007" t="s">
        <v>23</v>
      </c>
      <c r="F2007">
        <v>11395</v>
      </c>
      <c r="G2007">
        <v>320</v>
      </c>
      <c r="H2007">
        <v>232.66</v>
      </c>
      <c r="I2007">
        <v>40</v>
      </c>
      <c r="J2007">
        <v>1</v>
      </c>
      <c r="L2007" t="s">
        <v>25</v>
      </c>
    </row>
    <row r="2008" spans="1:12" x14ac:dyDescent="0.2">
      <c r="A2008" t="s">
        <v>3221</v>
      </c>
      <c r="B2008" t="s">
        <v>3222</v>
      </c>
      <c r="C2008" s="1">
        <v>45277</v>
      </c>
      <c r="D2008" s="2">
        <v>45280</v>
      </c>
      <c r="E2008" t="s">
        <v>41</v>
      </c>
      <c r="F2008">
        <v>79187</v>
      </c>
      <c r="G2008">
        <v>2248</v>
      </c>
      <c r="H2008">
        <v>1796.19</v>
      </c>
      <c r="I2008">
        <v>148</v>
      </c>
      <c r="J2008" t="s">
        <v>15</v>
      </c>
      <c r="L2008" t="s">
        <v>42</v>
      </c>
    </row>
    <row r="2009" spans="1:12" x14ac:dyDescent="0.2">
      <c r="A2009" t="s">
        <v>3080</v>
      </c>
      <c r="B2009" t="s">
        <v>3081</v>
      </c>
      <c r="C2009" s="1">
        <v>45075</v>
      </c>
      <c r="D2009" s="2">
        <v>45081</v>
      </c>
      <c r="E2009" t="s">
        <v>138</v>
      </c>
      <c r="F2009">
        <v>7960</v>
      </c>
      <c r="G2009">
        <v>271</v>
      </c>
      <c r="H2009">
        <v>141.35</v>
      </c>
      <c r="I2009">
        <v>35</v>
      </c>
      <c r="J2009" t="s">
        <v>15</v>
      </c>
      <c r="L2009" t="s">
        <v>139</v>
      </c>
    </row>
    <row r="2010" spans="1:12" x14ac:dyDescent="0.2">
      <c r="A2010" t="s">
        <v>2849</v>
      </c>
      <c r="B2010" t="s">
        <v>2850</v>
      </c>
      <c r="C2010" s="1">
        <v>45281</v>
      </c>
      <c r="D2010" s="2">
        <v>45289</v>
      </c>
      <c r="E2010" t="s">
        <v>58</v>
      </c>
      <c r="F2010">
        <v>87143</v>
      </c>
      <c r="G2010">
        <v>2204</v>
      </c>
      <c r="H2010">
        <v>2649.14</v>
      </c>
      <c r="I2010">
        <v>391</v>
      </c>
      <c r="J2010" t="s">
        <v>30</v>
      </c>
      <c r="L2010" t="s">
        <v>59</v>
      </c>
    </row>
    <row r="2011" spans="1:12" x14ac:dyDescent="0.2">
      <c r="A2011" t="s">
        <v>2736</v>
      </c>
      <c r="B2011" t="s">
        <v>2737</v>
      </c>
      <c r="C2011" s="1">
        <v>45110</v>
      </c>
      <c r="D2011" s="2">
        <v>45128</v>
      </c>
      <c r="E2011" t="s">
        <v>19</v>
      </c>
      <c r="F2011">
        <v>32480</v>
      </c>
      <c r="G2011">
        <v>943</v>
      </c>
      <c r="H2011">
        <v>1374.45</v>
      </c>
      <c r="I2011">
        <v>173</v>
      </c>
      <c r="J2011" t="s">
        <v>30</v>
      </c>
      <c r="L2011" t="s">
        <v>20</v>
      </c>
    </row>
    <row r="2012" spans="1:12" x14ac:dyDescent="0.2">
      <c r="A2012" t="s">
        <v>931</v>
      </c>
      <c r="B2012" t="s">
        <v>932</v>
      </c>
      <c r="C2012" s="1">
        <v>45141</v>
      </c>
      <c r="D2012" s="2">
        <v>45165</v>
      </c>
      <c r="E2012" t="s">
        <v>41</v>
      </c>
      <c r="F2012">
        <v>88235</v>
      </c>
      <c r="G2012">
        <v>3182</v>
      </c>
      <c r="H2012">
        <v>5093.82</v>
      </c>
      <c r="I2012">
        <v>385</v>
      </c>
      <c r="J2012">
        <v>1</v>
      </c>
      <c r="L2012" t="s">
        <v>42</v>
      </c>
    </row>
    <row r="2013" spans="1:12" x14ac:dyDescent="0.2">
      <c r="A2013" t="s">
        <v>2137</v>
      </c>
      <c r="B2013" t="s">
        <v>2138</v>
      </c>
      <c r="C2013" s="1">
        <v>45284</v>
      </c>
      <c r="D2013" s="2">
        <v>45296</v>
      </c>
      <c r="E2013" t="s">
        <v>14</v>
      </c>
      <c r="F2013">
        <v>54441</v>
      </c>
      <c r="G2013">
        <v>2158</v>
      </c>
      <c r="H2013" s="3">
        <v>2422.7600000000002</v>
      </c>
      <c r="I2013">
        <v>252</v>
      </c>
      <c r="J2013" t="s">
        <v>30</v>
      </c>
      <c r="L2013" t="s">
        <v>16</v>
      </c>
    </row>
    <row r="2014" spans="1:12" x14ac:dyDescent="0.2">
      <c r="A2014" t="s">
        <v>2489</v>
      </c>
      <c r="B2014" t="s">
        <v>2490</v>
      </c>
      <c r="C2014" s="1">
        <v>45194</v>
      </c>
      <c r="D2014" s="2">
        <v>45214</v>
      </c>
      <c r="E2014" t="s">
        <v>23</v>
      </c>
      <c r="F2014">
        <v>54028</v>
      </c>
      <c r="G2014">
        <v>2254</v>
      </c>
      <c r="H2014">
        <v>1991.67</v>
      </c>
      <c r="I2014">
        <v>139</v>
      </c>
      <c r="J2014">
        <v>0</v>
      </c>
      <c r="L2014" t="s">
        <v>25</v>
      </c>
    </row>
    <row r="2015" spans="1:12" x14ac:dyDescent="0.2">
      <c r="A2015" t="s">
        <v>823</v>
      </c>
      <c r="B2015" t="s">
        <v>824</v>
      </c>
      <c r="C2015" s="1">
        <v>45097</v>
      </c>
      <c r="D2015" s="2">
        <v>45102</v>
      </c>
      <c r="E2015" t="s">
        <v>14</v>
      </c>
      <c r="F2015">
        <v>57958</v>
      </c>
      <c r="G2015">
        <v>2328</v>
      </c>
      <c r="H2015" s="3">
        <v>2135.23</v>
      </c>
      <c r="I2015">
        <v>280</v>
      </c>
      <c r="J2015" t="s">
        <v>15</v>
      </c>
      <c r="L2015" t="s">
        <v>16</v>
      </c>
    </row>
    <row r="2016" spans="1:12" x14ac:dyDescent="0.2">
      <c r="A2016" t="s">
        <v>405</v>
      </c>
      <c r="B2016" t="s">
        <v>406</v>
      </c>
      <c r="C2016" s="1">
        <v>45141</v>
      </c>
      <c r="D2016" s="2">
        <v>45165</v>
      </c>
      <c r="E2016" t="s">
        <v>266</v>
      </c>
      <c r="F2016">
        <v>56016</v>
      </c>
      <c r="G2016">
        <v>1728</v>
      </c>
      <c r="H2016">
        <v>1890.33</v>
      </c>
      <c r="I2016">
        <v>128</v>
      </c>
      <c r="J2016" t="s">
        <v>24</v>
      </c>
      <c r="L2016" t="s">
        <v>20</v>
      </c>
    </row>
    <row r="2017" spans="1:12" x14ac:dyDescent="0.2">
      <c r="A2017" t="s">
        <v>848</v>
      </c>
      <c r="B2017" t="s">
        <v>849</v>
      </c>
      <c r="C2017" s="1">
        <v>45230</v>
      </c>
      <c r="D2017" s="2">
        <v>45243</v>
      </c>
      <c r="E2017" t="s">
        <v>14</v>
      </c>
      <c r="F2017">
        <v>30592</v>
      </c>
      <c r="G2017">
        <v>586</v>
      </c>
      <c r="H2017" s="3">
        <v>503.95</v>
      </c>
      <c r="I2017">
        <v>77</v>
      </c>
      <c r="J2017">
        <v>1</v>
      </c>
      <c r="L2017" t="s">
        <v>16</v>
      </c>
    </row>
    <row r="2018" spans="1:12" x14ac:dyDescent="0.2">
      <c r="A2018" t="s">
        <v>2600</v>
      </c>
      <c r="B2018" t="s">
        <v>2601</v>
      </c>
      <c r="C2018" s="1">
        <v>45170</v>
      </c>
      <c r="D2018" s="2">
        <v>45195</v>
      </c>
      <c r="E2018" t="s">
        <v>41</v>
      </c>
      <c r="F2018">
        <v>20097</v>
      </c>
      <c r="G2018">
        <v>897</v>
      </c>
      <c r="H2018">
        <v>1641</v>
      </c>
      <c r="I2018">
        <v>162</v>
      </c>
      <c r="J2018">
        <v>0</v>
      </c>
      <c r="L2018" t="s">
        <v>42</v>
      </c>
    </row>
    <row r="2019" spans="1:12" x14ac:dyDescent="0.2">
      <c r="A2019" t="s">
        <v>2183</v>
      </c>
      <c r="B2019" t="s">
        <v>2184</v>
      </c>
      <c r="C2019" s="1">
        <v>44966</v>
      </c>
      <c r="D2019" s="2">
        <v>44978</v>
      </c>
      <c r="E2019" t="s">
        <v>33</v>
      </c>
      <c r="F2019">
        <v>33254</v>
      </c>
      <c r="G2019">
        <v>1117</v>
      </c>
      <c r="H2019">
        <v>883.82</v>
      </c>
      <c r="I2019">
        <v>214</v>
      </c>
      <c r="J2019">
        <v>0</v>
      </c>
      <c r="L2019" t="s">
        <v>34</v>
      </c>
    </row>
    <row r="2020" spans="1:12" x14ac:dyDescent="0.2">
      <c r="A2020" t="s">
        <v>2321</v>
      </c>
      <c r="B2020" t="s">
        <v>2322</v>
      </c>
      <c r="C2020" s="1">
        <v>45015</v>
      </c>
      <c r="D2020" s="2">
        <v>45043</v>
      </c>
      <c r="E2020" t="s">
        <v>19</v>
      </c>
      <c r="F2020">
        <v>68728</v>
      </c>
      <c r="G2020">
        <v>2960</v>
      </c>
      <c r="H2020">
        <v>4198.5</v>
      </c>
      <c r="I2020">
        <v>591</v>
      </c>
      <c r="J2020" t="s">
        <v>30</v>
      </c>
      <c r="L2020" t="s">
        <v>20</v>
      </c>
    </row>
    <row r="2021" spans="1:12" x14ac:dyDescent="0.2">
      <c r="A2021" t="s">
        <v>3211</v>
      </c>
      <c r="B2021" t="s">
        <v>3212</v>
      </c>
      <c r="C2021" s="1">
        <v>45103</v>
      </c>
      <c r="D2021" s="2">
        <v>45116</v>
      </c>
      <c r="E2021" t="s">
        <v>23</v>
      </c>
      <c r="F2021">
        <v>96402</v>
      </c>
      <c r="G2021">
        <v>1090</v>
      </c>
      <c r="H2021">
        <v>1315.59</v>
      </c>
      <c r="I2021">
        <v>66</v>
      </c>
      <c r="J2021" t="s">
        <v>15</v>
      </c>
      <c r="L2021"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C702C-AD27-4934-B545-22AD51B83F2A}">
  <dimension ref="A1:M2001"/>
  <sheetViews>
    <sheetView zoomScale="130" zoomScaleNormal="130" workbookViewId="0">
      <selection activeCell="B23" sqref="B23"/>
    </sheetView>
  </sheetViews>
  <sheetFormatPr defaultRowHeight="14.25" x14ac:dyDescent="0.2"/>
  <cols>
    <col min="1" max="1" width="14.5" bestFit="1" customWidth="1"/>
    <col min="2" max="2" width="24" bestFit="1" customWidth="1"/>
    <col min="3" max="3" width="17.375" customWidth="1"/>
    <col min="4" max="4" width="16.5" customWidth="1"/>
    <col min="5" max="5" width="10.75" customWidth="1"/>
    <col min="6" max="6" width="10" customWidth="1"/>
    <col min="7" max="7" width="13" bestFit="1" customWidth="1"/>
    <col min="8" max="8" width="8.5" bestFit="1" customWidth="1"/>
    <col min="9" max="9" width="9.625" customWidth="1"/>
    <col min="10" max="10" width="13.125" bestFit="1" customWidth="1"/>
    <col min="11" max="11" width="8.125" bestFit="1" customWidth="1"/>
    <col min="13" max="13" width="20.125" customWidth="1"/>
  </cols>
  <sheetData>
    <row r="1" spans="1:13" x14ac:dyDescent="0.2">
      <c r="A1" t="s">
        <v>0</v>
      </c>
      <c r="B1" t="s">
        <v>1</v>
      </c>
      <c r="C1" t="s">
        <v>4124</v>
      </c>
      <c r="D1" t="s">
        <v>4125</v>
      </c>
      <c r="E1" t="s">
        <v>4123</v>
      </c>
      <c r="F1" t="s">
        <v>4</v>
      </c>
      <c r="G1" t="s">
        <v>5</v>
      </c>
      <c r="H1" t="s">
        <v>6</v>
      </c>
      <c r="I1" t="s">
        <v>7</v>
      </c>
      <c r="J1" t="s">
        <v>8</v>
      </c>
      <c r="K1" t="s">
        <v>9</v>
      </c>
    </row>
    <row r="2" spans="1:13" x14ac:dyDescent="0.2">
      <c r="A2" t="s">
        <v>12</v>
      </c>
      <c r="B2" t="s">
        <v>13</v>
      </c>
      <c r="C2" s="2">
        <v>45254</v>
      </c>
      <c r="D2" s="2">
        <v>45273</v>
      </c>
      <c r="E2">
        <f t="shared" ref="E2:E65" si="0">D2-C2</f>
        <v>19</v>
      </c>
      <c r="F2" t="s">
        <v>14</v>
      </c>
      <c r="G2">
        <v>16795</v>
      </c>
      <c r="H2">
        <v>197</v>
      </c>
      <c r="I2" s="3">
        <v>102.82</v>
      </c>
      <c r="J2">
        <v>20</v>
      </c>
      <c r="K2" t="s">
        <v>15</v>
      </c>
      <c r="M2" t="s">
        <v>4121</v>
      </c>
    </row>
    <row r="3" spans="1:13" x14ac:dyDescent="0.2">
      <c r="A3" t="s">
        <v>17</v>
      </c>
      <c r="B3" t="s">
        <v>18</v>
      </c>
      <c r="C3" s="2">
        <v>45052</v>
      </c>
      <c r="D3" s="2">
        <v>45058</v>
      </c>
      <c r="E3">
        <f t="shared" si="0"/>
        <v>6</v>
      </c>
      <c r="F3" t="s">
        <v>19</v>
      </c>
      <c r="G3">
        <v>1860</v>
      </c>
      <c r="H3">
        <v>30</v>
      </c>
      <c r="I3">
        <v>24.33</v>
      </c>
      <c r="J3">
        <v>1</v>
      </c>
      <c r="K3">
        <v>0</v>
      </c>
      <c r="M3" t="s">
        <v>4120</v>
      </c>
    </row>
    <row r="4" spans="1:13" x14ac:dyDescent="0.2">
      <c r="A4" t="s">
        <v>21</v>
      </c>
      <c r="B4" t="s">
        <v>22</v>
      </c>
      <c r="C4" s="2">
        <v>45273</v>
      </c>
      <c r="D4" s="2">
        <v>45280</v>
      </c>
      <c r="E4">
        <f t="shared" si="0"/>
        <v>7</v>
      </c>
      <c r="F4" t="s">
        <v>23</v>
      </c>
      <c r="G4">
        <v>77820</v>
      </c>
      <c r="H4">
        <v>843</v>
      </c>
      <c r="I4">
        <v>1323.39</v>
      </c>
      <c r="J4">
        <v>51</v>
      </c>
      <c r="K4" t="s">
        <v>24</v>
      </c>
      <c r="M4" t="s">
        <v>4122</v>
      </c>
    </row>
    <row r="5" spans="1:13" x14ac:dyDescent="0.2">
      <c r="A5" t="s">
        <v>26</v>
      </c>
      <c r="B5" t="s">
        <v>27</v>
      </c>
      <c r="C5" s="2">
        <v>45229</v>
      </c>
      <c r="D5" s="2">
        <v>45233</v>
      </c>
      <c r="E5">
        <f t="shared" si="0"/>
        <v>4</v>
      </c>
      <c r="F5" t="s">
        <v>14</v>
      </c>
      <c r="G5">
        <v>55886</v>
      </c>
      <c r="H5">
        <v>2019</v>
      </c>
      <c r="I5">
        <v>2180.38</v>
      </c>
      <c r="J5">
        <v>135</v>
      </c>
      <c r="K5" t="b">
        <v>1</v>
      </c>
    </row>
    <row r="6" spans="1:13" x14ac:dyDescent="0.2">
      <c r="A6" t="s">
        <v>28</v>
      </c>
      <c r="B6" t="s">
        <v>29</v>
      </c>
      <c r="C6" s="2">
        <v>45038</v>
      </c>
      <c r="D6" s="2">
        <v>45039</v>
      </c>
      <c r="E6">
        <f t="shared" si="0"/>
        <v>1</v>
      </c>
      <c r="F6" t="s">
        <v>19</v>
      </c>
      <c r="G6">
        <v>7265</v>
      </c>
      <c r="H6">
        <v>169</v>
      </c>
      <c r="I6">
        <v>252.44</v>
      </c>
      <c r="J6">
        <v>30</v>
      </c>
      <c r="K6" t="s">
        <v>30</v>
      </c>
    </row>
    <row r="7" spans="1:13" x14ac:dyDescent="0.2">
      <c r="A7" t="s">
        <v>31</v>
      </c>
      <c r="B7" t="s">
        <v>32</v>
      </c>
      <c r="C7" s="2">
        <v>45214</v>
      </c>
      <c r="D7" s="2">
        <v>45227</v>
      </c>
      <c r="E7">
        <f t="shared" si="0"/>
        <v>13</v>
      </c>
      <c r="F7" t="s">
        <v>33</v>
      </c>
      <c r="G7">
        <v>83386</v>
      </c>
      <c r="H7">
        <v>2643</v>
      </c>
      <c r="I7">
        <v>2697.03</v>
      </c>
      <c r="K7">
        <v>1</v>
      </c>
    </row>
    <row r="8" spans="1:13" x14ac:dyDescent="0.2">
      <c r="A8" t="s">
        <v>35</v>
      </c>
      <c r="B8" t="s">
        <v>36</v>
      </c>
      <c r="C8" s="2">
        <v>45206</v>
      </c>
      <c r="D8" s="2">
        <v>45222</v>
      </c>
      <c r="E8">
        <f t="shared" si="0"/>
        <v>16</v>
      </c>
      <c r="F8" t="s">
        <v>19</v>
      </c>
      <c r="G8">
        <v>38194</v>
      </c>
      <c r="H8">
        <v>1135</v>
      </c>
      <c r="I8">
        <v>1232.76</v>
      </c>
      <c r="J8">
        <v>178</v>
      </c>
      <c r="K8" t="s">
        <v>30</v>
      </c>
    </row>
    <row r="9" spans="1:13" x14ac:dyDescent="0.2">
      <c r="A9" t="s">
        <v>37</v>
      </c>
      <c r="B9" t="s">
        <v>38</v>
      </c>
      <c r="C9" s="2">
        <v>45069</v>
      </c>
      <c r="D9" s="2">
        <v>45074</v>
      </c>
      <c r="E9">
        <f t="shared" si="0"/>
        <v>5</v>
      </c>
      <c r="F9" t="s">
        <v>33</v>
      </c>
      <c r="G9">
        <v>88498</v>
      </c>
      <c r="H9">
        <v>1173</v>
      </c>
      <c r="I9">
        <v>865.7</v>
      </c>
      <c r="J9">
        <v>127</v>
      </c>
      <c r="K9">
        <v>1</v>
      </c>
    </row>
    <row r="10" spans="1:13" x14ac:dyDescent="0.2">
      <c r="A10" t="s">
        <v>39</v>
      </c>
      <c r="B10" t="s">
        <v>40</v>
      </c>
      <c r="C10" s="2">
        <v>45008</v>
      </c>
      <c r="D10" s="2">
        <v>45017</v>
      </c>
      <c r="E10">
        <f t="shared" si="0"/>
        <v>9</v>
      </c>
      <c r="F10" t="s">
        <v>41</v>
      </c>
      <c r="G10">
        <v>45131</v>
      </c>
      <c r="H10">
        <v>1179</v>
      </c>
      <c r="I10">
        <v>1046.18</v>
      </c>
      <c r="J10">
        <v>104</v>
      </c>
      <c r="K10">
        <v>1</v>
      </c>
    </row>
    <row r="11" spans="1:13" x14ac:dyDescent="0.2">
      <c r="A11" t="s">
        <v>43</v>
      </c>
      <c r="B11" t="s">
        <v>44</v>
      </c>
      <c r="C11" s="2">
        <v>45006</v>
      </c>
      <c r="D11" s="2">
        <v>45017</v>
      </c>
      <c r="E11">
        <f t="shared" si="0"/>
        <v>11</v>
      </c>
      <c r="F11" t="s">
        <v>23</v>
      </c>
      <c r="G11">
        <v>61263</v>
      </c>
      <c r="H11">
        <v>1153</v>
      </c>
      <c r="I11">
        <v>1623.56</v>
      </c>
      <c r="K11">
        <v>0</v>
      </c>
    </row>
    <row r="12" spans="1:13" x14ac:dyDescent="0.2">
      <c r="A12" t="s">
        <v>45</v>
      </c>
      <c r="B12" t="s">
        <v>46</v>
      </c>
      <c r="C12" s="2">
        <v>44979</v>
      </c>
      <c r="D12" s="2">
        <v>44986</v>
      </c>
      <c r="E12">
        <f t="shared" si="0"/>
        <v>7</v>
      </c>
      <c r="F12" t="s">
        <v>33</v>
      </c>
      <c r="G12">
        <v>17023</v>
      </c>
      <c r="H12">
        <v>455</v>
      </c>
      <c r="I12">
        <v>523.13</v>
      </c>
      <c r="J12">
        <v>76</v>
      </c>
      <c r="K12">
        <v>1</v>
      </c>
    </row>
    <row r="13" spans="1:13" x14ac:dyDescent="0.2">
      <c r="A13" t="s">
        <v>48</v>
      </c>
      <c r="B13" t="s">
        <v>49</v>
      </c>
      <c r="C13" s="2">
        <v>44976</v>
      </c>
      <c r="D13" s="2">
        <v>44977</v>
      </c>
      <c r="E13">
        <f t="shared" si="0"/>
        <v>1</v>
      </c>
      <c r="F13" t="s">
        <v>41</v>
      </c>
      <c r="G13">
        <v>42090</v>
      </c>
      <c r="H13">
        <v>763</v>
      </c>
      <c r="I13">
        <v>1267.69</v>
      </c>
      <c r="J13">
        <v>109</v>
      </c>
      <c r="K13" t="b">
        <v>0</v>
      </c>
    </row>
    <row r="14" spans="1:13" x14ac:dyDescent="0.2">
      <c r="A14" t="s">
        <v>50</v>
      </c>
      <c r="B14" t="s">
        <v>51</v>
      </c>
      <c r="C14" s="2">
        <v>45062</v>
      </c>
      <c r="D14" s="2">
        <v>45078</v>
      </c>
      <c r="E14">
        <f t="shared" si="0"/>
        <v>16</v>
      </c>
      <c r="F14" t="s">
        <v>41</v>
      </c>
      <c r="G14">
        <v>68221</v>
      </c>
      <c r="H14">
        <v>2975</v>
      </c>
      <c r="I14">
        <v>5292.16</v>
      </c>
      <c r="J14">
        <v>567</v>
      </c>
      <c r="K14" t="s">
        <v>24</v>
      </c>
    </row>
    <row r="15" spans="1:13" x14ac:dyDescent="0.2">
      <c r="A15" t="s">
        <v>52</v>
      </c>
      <c r="B15" t="s">
        <v>53</v>
      </c>
      <c r="C15" s="2">
        <v>45201</v>
      </c>
      <c r="D15" s="2">
        <v>45214</v>
      </c>
      <c r="E15">
        <f t="shared" si="0"/>
        <v>13</v>
      </c>
      <c r="F15" t="s">
        <v>14</v>
      </c>
      <c r="G15">
        <v>65820</v>
      </c>
      <c r="H15">
        <v>1116</v>
      </c>
      <c r="I15">
        <v>1464.72</v>
      </c>
      <c r="J15">
        <v>169</v>
      </c>
      <c r="K15" t="s">
        <v>15</v>
      </c>
    </row>
    <row r="16" spans="1:13" x14ac:dyDescent="0.2">
      <c r="A16" t="s">
        <v>54</v>
      </c>
      <c r="B16" t="s">
        <v>55</v>
      </c>
      <c r="C16" s="2">
        <v>44967</v>
      </c>
      <c r="D16" s="2">
        <v>44973</v>
      </c>
      <c r="E16">
        <f t="shared" si="0"/>
        <v>6</v>
      </c>
      <c r="F16" t="s">
        <v>41</v>
      </c>
      <c r="G16">
        <v>1769</v>
      </c>
      <c r="H16">
        <v>85</v>
      </c>
      <c r="I16">
        <v>139.18</v>
      </c>
      <c r="J16">
        <v>11</v>
      </c>
      <c r="K16" t="s">
        <v>30</v>
      </c>
    </row>
    <row r="17" spans="1:11" x14ac:dyDescent="0.2">
      <c r="A17" t="s">
        <v>56</v>
      </c>
      <c r="B17" t="s">
        <v>57</v>
      </c>
      <c r="C17" s="2">
        <v>45243</v>
      </c>
      <c r="D17" s="2">
        <v>45253</v>
      </c>
      <c r="E17">
        <f t="shared" si="0"/>
        <v>10</v>
      </c>
      <c r="F17" t="s">
        <v>58</v>
      </c>
      <c r="G17">
        <v>60735</v>
      </c>
      <c r="H17">
        <v>1617</v>
      </c>
      <c r="I17">
        <v>1552.9</v>
      </c>
      <c r="J17">
        <v>228</v>
      </c>
      <c r="K17" t="s">
        <v>15</v>
      </c>
    </row>
    <row r="18" spans="1:11" x14ac:dyDescent="0.2">
      <c r="A18" t="s">
        <v>60</v>
      </c>
      <c r="B18" t="s">
        <v>61</v>
      </c>
      <c r="C18" s="2">
        <v>45025</v>
      </c>
      <c r="D18" s="2">
        <v>45200</v>
      </c>
      <c r="E18">
        <f t="shared" si="0"/>
        <v>175</v>
      </c>
      <c r="F18" t="s">
        <v>23</v>
      </c>
      <c r="G18">
        <v>63955</v>
      </c>
      <c r="H18">
        <v>2804</v>
      </c>
      <c r="I18">
        <v>3147.37</v>
      </c>
      <c r="J18">
        <v>536</v>
      </c>
      <c r="K18" t="s">
        <v>24</v>
      </c>
    </row>
    <row r="19" spans="1:11" x14ac:dyDescent="0.2">
      <c r="A19" t="s">
        <v>62</v>
      </c>
      <c r="B19" t="s">
        <v>63</v>
      </c>
      <c r="C19" s="2">
        <v>45043</v>
      </c>
      <c r="D19" s="2">
        <v>45071</v>
      </c>
      <c r="E19">
        <f t="shared" si="0"/>
        <v>28</v>
      </c>
      <c r="F19" t="s">
        <v>33</v>
      </c>
      <c r="G19">
        <v>65925</v>
      </c>
      <c r="H19">
        <v>2317</v>
      </c>
      <c r="I19">
        <v>3635.76</v>
      </c>
      <c r="J19">
        <v>389</v>
      </c>
      <c r="K19" t="b">
        <v>1</v>
      </c>
    </row>
    <row r="20" spans="1:11" x14ac:dyDescent="0.2">
      <c r="A20" t="s">
        <v>64</v>
      </c>
      <c r="B20" t="s">
        <v>65</v>
      </c>
      <c r="C20" s="2">
        <v>45046</v>
      </c>
      <c r="D20" s="2">
        <v>45064</v>
      </c>
      <c r="E20">
        <f t="shared" si="0"/>
        <v>18</v>
      </c>
      <c r="F20" t="s">
        <v>19</v>
      </c>
      <c r="G20">
        <v>68969</v>
      </c>
      <c r="H20">
        <v>2718</v>
      </c>
      <c r="I20">
        <v>2933.59</v>
      </c>
      <c r="J20">
        <v>145</v>
      </c>
      <c r="K20" t="s">
        <v>24</v>
      </c>
    </row>
    <row r="21" spans="1:11" x14ac:dyDescent="0.2">
      <c r="A21" t="s">
        <v>66</v>
      </c>
      <c r="B21" t="s">
        <v>67</v>
      </c>
      <c r="C21" s="2">
        <v>45159</v>
      </c>
      <c r="D21" s="2">
        <v>45168</v>
      </c>
      <c r="E21">
        <f t="shared" si="0"/>
        <v>9</v>
      </c>
      <c r="F21" t="s">
        <v>23</v>
      </c>
      <c r="G21">
        <v>6311</v>
      </c>
      <c r="H21">
        <v>256</v>
      </c>
      <c r="I21">
        <v>353.99</v>
      </c>
      <c r="K21" t="s">
        <v>30</v>
      </c>
    </row>
    <row r="22" spans="1:11" x14ac:dyDescent="0.2">
      <c r="A22" t="s">
        <v>69</v>
      </c>
      <c r="B22" t="s">
        <v>70</v>
      </c>
      <c r="C22" s="2">
        <v>45116</v>
      </c>
      <c r="D22" s="2">
        <v>45124</v>
      </c>
      <c r="E22">
        <f t="shared" si="0"/>
        <v>8</v>
      </c>
      <c r="F22" t="s">
        <v>19</v>
      </c>
      <c r="G22">
        <v>84104</v>
      </c>
      <c r="H22">
        <v>2539</v>
      </c>
      <c r="I22">
        <v>1975.49</v>
      </c>
      <c r="K22" t="s">
        <v>15</v>
      </c>
    </row>
    <row r="23" spans="1:11" x14ac:dyDescent="0.2">
      <c r="A23" t="s">
        <v>71</v>
      </c>
      <c r="B23" t="s">
        <v>72</v>
      </c>
      <c r="C23" s="2">
        <v>45286</v>
      </c>
      <c r="D23" s="2">
        <v>45293</v>
      </c>
      <c r="E23">
        <f t="shared" si="0"/>
        <v>7</v>
      </c>
      <c r="F23" t="s">
        <v>41</v>
      </c>
      <c r="G23">
        <v>54707</v>
      </c>
      <c r="H23">
        <v>1735</v>
      </c>
      <c r="I23" s="3">
        <v>2428.4</v>
      </c>
      <c r="K23" t="s">
        <v>15</v>
      </c>
    </row>
    <row r="24" spans="1:11" x14ac:dyDescent="0.2">
      <c r="A24" t="s">
        <v>73</v>
      </c>
      <c r="B24" t="s">
        <v>74</v>
      </c>
      <c r="C24" s="2">
        <v>45238</v>
      </c>
      <c r="D24" s="2">
        <v>45254</v>
      </c>
      <c r="E24">
        <f t="shared" si="0"/>
        <v>16</v>
      </c>
      <c r="F24" t="s">
        <v>41</v>
      </c>
      <c r="G24">
        <v>86305</v>
      </c>
      <c r="H24">
        <v>2637</v>
      </c>
      <c r="I24" s="3">
        <v>4726.22</v>
      </c>
      <c r="J24">
        <v>216</v>
      </c>
      <c r="K24">
        <v>0</v>
      </c>
    </row>
    <row r="25" spans="1:11" x14ac:dyDescent="0.2">
      <c r="A25" t="s">
        <v>75</v>
      </c>
      <c r="B25" t="s">
        <v>76</v>
      </c>
      <c r="C25" s="2">
        <v>45047</v>
      </c>
      <c r="D25" s="2">
        <v>45052</v>
      </c>
      <c r="E25">
        <f t="shared" si="0"/>
        <v>5</v>
      </c>
      <c r="F25" t="s">
        <v>33</v>
      </c>
      <c r="G25">
        <v>29693</v>
      </c>
      <c r="H25">
        <v>995</v>
      </c>
      <c r="I25">
        <v>1793.94</v>
      </c>
      <c r="J25">
        <v>179</v>
      </c>
      <c r="K25">
        <v>0</v>
      </c>
    </row>
    <row r="26" spans="1:11" x14ac:dyDescent="0.2">
      <c r="A26" t="s">
        <v>77</v>
      </c>
      <c r="B26" t="s">
        <v>78</v>
      </c>
      <c r="C26" s="2">
        <v>45254</v>
      </c>
      <c r="D26" s="2">
        <v>45278</v>
      </c>
      <c r="E26">
        <f t="shared" si="0"/>
        <v>24</v>
      </c>
      <c r="F26" t="s">
        <v>23</v>
      </c>
      <c r="G26">
        <v>72932</v>
      </c>
      <c r="H26">
        <v>815</v>
      </c>
      <c r="I26">
        <v>1293.01</v>
      </c>
      <c r="J26">
        <v>157</v>
      </c>
      <c r="K26" t="s">
        <v>24</v>
      </c>
    </row>
    <row r="27" spans="1:11" x14ac:dyDescent="0.2">
      <c r="A27" t="s">
        <v>79</v>
      </c>
      <c r="B27" t="s">
        <v>80</v>
      </c>
      <c r="C27" s="2">
        <v>45093</v>
      </c>
      <c r="D27" s="2">
        <v>45109</v>
      </c>
      <c r="E27">
        <f t="shared" si="0"/>
        <v>16</v>
      </c>
      <c r="F27" t="s">
        <v>41</v>
      </c>
      <c r="G27">
        <v>94016</v>
      </c>
      <c r="H27">
        <v>2427</v>
      </c>
      <c r="I27">
        <v>3928.42</v>
      </c>
      <c r="J27">
        <v>207</v>
      </c>
      <c r="K27" t="s">
        <v>24</v>
      </c>
    </row>
    <row r="28" spans="1:11" x14ac:dyDescent="0.2">
      <c r="A28" t="s">
        <v>81</v>
      </c>
      <c r="B28" t="s">
        <v>82</v>
      </c>
      <c r="C28" s="2">
        <v>45044</v>
      </c>
      <c r="D28" s="2">
        <v>45058</v>
      </c>
      <c r="E28">
        <f t="shared" si="0"/>
        <v>14</v>
      </c>
      <c r="F28" t="s">
        <v>14</v>
      </c>
      <c r="G28">
        <v>26658</v>
      </c>
      <c r="H28">
        <v>912</v>
      </c>
      <c r="I28">
        <v>1219.24</v>
      </c>
      <c r="J28">
        <v>166</v>
      </c>
      <c r="K28" t="b">
        <v>1</v>
      </c>
    </row>
    <row r="29" spans="1:11" x14ac:dyDescent="0.2">
      <c r="A29" t="s">
        <v>83</v>
      </c>
      <c r="B29" t="s">
        <v>84</v>
      </c>
      <c r="C29" s="2">
        <v>45132</v>
      </c>
      <c r="D29" s="2">
        <v>45146</v>
      </c>
      <c r="E29">
        <f t="shared" si="0"/>
        <v>14</v>
      </c>
      <c r="F29" t="s">
        <v>23</v>
      </c>
      <c r="G29">
        <v>85478</v>
      </c>
      <c r="H29">
        <v>2898</v>
      </c>
      <c r="I29">
        <v>3990.55</v>
      </c>
      <c r="J29">
        <v>187</v>
      </c>
      <c r="K29">
        <v>1</v>
      </c>
    </row>
    <row r="30" spans="1:11" x14ac:dyDescent="0.2">
      <c r="A30" t="s">
        <v>85</v>
      </c>
      <c r="B30" t="s">
        <v>86</v>
      </c>
      <c r="C30" s="2">
        <v>45217</v>
      </c>
      <c r="D30" s="2">
        <v>45245</v>
      </c>
      <c r="E30">
        <f t="shared" si="0"/>
        <v>28</v>
      </c>
      <c r="F30" t="s">
        <v>33</v>
      </c>
      <c r="G30">
        <v>19431</v>
      </c>
      <c r="H30">
        <v>810</v>
      </c>
      <c r="I30">
        <v>567.39</v>
      </c>
      <c r="J30">
        <v>47</v>
      </c>
      <c r="K30" t="s">
        <v>30</v>
      </c>
    </row>
    <row r="31" spans="1:11" x14ac:dyDescent="0.2">
      <c r="A31" t="s">
        <v>87</v>
      </c>
      <c r="B31" t="s">
        <v>88</v>
      </c>
      <c r="C31" s="2">
        <v>45262</v>
      </c>
      <c r="D31" s="2">
        <v>45268</v>
      </c>
      <c r="E31">
        <f t="shared" si="0"/>
        <v>6</v>
      </c>
      <c r="F31" t="s">
        <v>33</v>
      </c>
      <c r="G31">
        <v>3747</v>
      </c>
      <c r="H31">
        <v>135</v>
      </c>
      <c r="I31">
        <v>157.38</v>
      </c>
      <c r="J31">
        <v>9</v>
      </c>
      <c r="K31">
        <v>0</v>
      </c>
    </row>
    <row r="32" spans="1:11" x14ac:dyDescent="0.2">
      <c r="A32" t="s">
        <v>89</v>
      </c>
      <c r="B32" t="s">
        <v>90</v>
      </c>
      <c r="C32" s="2">
        <v>45256</v>
      </c>
      <c r="D32" s="2">
        <v>45272</v>
      </c>
      <c r="E32">
        <f t="shared" si="0"/>
        <v>16</v>
      </c>
      <c r="F32" t="s">
        <v>41</v>
      </c>
      <c r="G32">
        <v>60150</v>
      </c>
      <c r="H32">
        <v>2988</v>
      </c>
      <c r="I32">
        <v>3514.38</v>
      </c>
      <c r="J32">
        <v>175</v>
      </c>
      <c r="K32" t="s">
        <v>30</v>
      </c>
    </row>
    <row r="33" spans="1:11" x14ac:dyDescent="0.2">
      <c r="A33" t="s">
        <v>91</v>
      </c>
      <c r="B33" t="s">
        <v>92</v>
      </c>
      <c r="C33" s="2">
        <v>45053</v>
      </c>
      <c r="D33" s="2">
        <v>45075</v>
      </c>
      <c r="E33">
        <f t="shared" si="0"/>
        <v>22</v>
      </c>
      <c r="F33" t="s">
        <v>33</v>
      </c>
      <c r="G33">
        <v>66725</v>
      </c>
      <c r="H33">
        <v>1424</v>
      </c>
      <c r="I33" s="3">
        <v>2759.35</v>
      </c>
      <c r="J33">
        <v>251</v>
      </c>
      <c r="K33" t="b">
        <v>1</v>
      </c>
    </row>
    <row r="34" spans="1:11" x14ac:dyDescent="0.2">
      <c r="A34" t="s">
        <v>93</v>
      </c>
      <c r="B34" t="s">
        <v>94</v>
      </c>
      <c r="C34" s="2">
        <v>45226</v>
      </c>
      <c r="D34" s="2">
        <v>45228</v>
      </c>
      <c r="E34">
        <f t="shared" si="0"/>
        <v>2</v>
      </c>
      <c r="F34" t="s">
        <v>33</v>
      </c>
      <c r="G34">
        <v>85654</v>
      </c>
      <c r="H34">
        <v>2087</v>
      </c>
      <c r="I34" s="3">
        <v>2393.02</v>
      </c>
      <c r="J34">
        <v>122</v>
      </c>
      <c r="K34">
        <v>0</v>
      </c>
    </row>
    <row r="35" spans="1:11" x14ac:dyDescent="0.2">
      <c r="A35" t="s">
        <v>95</v>
      </c>
      <c r="B35" t="s">
        <v>96</v>
      </c>
      <c r="C35" s="2">
        <v>45112</v>
      </c>
      <c r="D35" s="2">
        <v>45124</v>
      </c>
      <c r="E35">
        <f t="shared" si="0"/>
        <v>12</v>
      </c>
      <c r="F35" t="s">
        <v>19</v>
      </c>
      <c r="G35">
        <v>36773</v>
      </c>
      <c r="H35">
        <v>932</v>
      </c>
      <c r="I35">
        <v>1233.98</v>
      </c>
      <c r="J35">
        <v>84</v>
      </c>
      <c r="K35">
        <v>0</v>
      </c>
    </row>
    <row r="36" spans="1:11" x14ac:dyDescent="0.2">
      <c r="A36" t="s">
        <v>97</v>
      </c>
      <c r="B36" t="s">
        <v>98</v>
      </c>
      <c r="C36" s="2">
        <v>45187</v>
      </c>
      <c r="D36" s="2">
        <v>45191</v>
      </c>
      <c r="E36">
        <f t="shared" si="0"/>
        <v>4</v>
      </c>
      <c r="F36" t="s">
        <v>33</v>
      </c>
      <c r="G36">
        <v>68435</v>
      </c>
      <c r="H36">
        <v>1959</v>
      </c>
      <c r="I36">
        <v>2546.46</v>
      </c>
      <c r="J36">
        <v>128</v>
      </c>
      <c r="K36">
        <v>1</v>
      </c>
    </row>
    <row r="37" spans="1:11" x14ac:dyDescent="0.2">
      <c r="A37" t="s">
        <v>99</v>
      </c>
      <c r="B37" t="s">
        <v>100</v>
      </c>
      <c r="C37" s="2">
        <v>44983</v>
      </c>
      <c r="D37" s="2">
        <v>44986</v>
      </c>
      <c r="E37">
        <f t="shared" si="0"/>
        <v>3</v>
      </c>
      <c r="F37" t="s">
        <v>14</v>
      </c>
      <c r="G37">
        <v>57886</v>
      </c>
      <c r="H37">
        <v>2514</v>
      </c>
      <c r="I37">
        <v>3658.23</v>
      </c>
      <c r="J37">
        <v>237</v>
      </c>
      <c r="K37" t="s">
        <v>30</v>
      </c>
    </row>
    <row r="38" spans="1:11" x14ac:dyDescent="0.2">
      <c r="A38" t="s">
        <v>101</v>
      </c>
      <c r="B38" t="s">
        <v>102</v>
      </c>
      <c r="C38" s="2">
        <v>45275</v>
      </c>
      <c r="D38" s="2">
        <v>45286</v>
      </c>
      <c r="E38">
        <f t="shared" si="0"/>
        <v>11</v>
      </c>
      <c r="F38" t="s">
        <v>33</v>
      </c>
      <c r="G38">
        <v>67803</v>
      </c>
      <c r="H38">
        <v>1317</v>
      </c>
      <c r="I38" s="3">
        <v>2136.63</v>
      </c>
      <c r="J38">
        <v>83</v>
      </c>
      <c r="K38" t="s">
        <v>30</v>
      </c>
    </row>
    <row r="39" spans="1:11" x14ac:dyDescent="0.2">
      <c r="A39" t="s">
        <v>103</v>
      </c>
      <c r="B39" t="s">
        <v>104</v>
      </c>
      <c r="C39" s="2">
        <v>45122</v>
      </c>
      <c r="D39" s="2">
        <v>45145</v>
      </c>
      <c r="E39">
        <f t="shared" si="0"/>
        <v>23</v>
      </c>
      <c r="F39" t="s">
        <v>14</v>
      </c>
      <c r="G39">
        <v>32551</v>
      </c>
      <c r="H39">
        <v>1335</v>
      </c>
      <c r="I39" s="3">
        <v>1118.1500000000001</v>
      </c>
      <c r="J39">
        <v>200</v>
      </c>
      <c r="K39" t="s">
        <v>30</v>
      </c>
    </row>
    <row r="40" spans="1:11" x14ac:dyDescent="0.2">
      <c r="A40" t="s">
        <v>105</v>
      </c>
      <c r="B40" t="s">
        <v>106</v>
      </c>
      <c r="C40" s="2">
        <v>45055</v>
      </c>
      <c r="D40" s="2">
        <v>45071</v>
      </c>
      <c r="E40">
        <f t="shared" si="0"/>
        <v>16</v>
      </c>
      <c r="F40" t="s">
        <v>23</v>
      </c>
      <c r="G40">
        <v>12394</v>
      </c>
      <c r="H40">
        <v>324</v>
      </c>
      <c r="I40">
        <v>418.96</v>
      </c>
      <c r="J40">
        <v>22</v>
      </c>
      <c r="K40">
        <v>1</v>
      </c>
    </row>
    <row r="41" spans="1:11" x14ac:dyDescent="0.2">
      <c r="A41" t="s">
        <v>107</v>
      </c>
      <c r="B41" t="s">
        <v>108</v>
      </c>
      <c r="C41" s="2">
        <v>44932</v>
      </c>
      <c r="D41" s="2">
        <v>44952</v>
      </c>
      <c r="E41">
        <f t="shared" si="0"/>
        <v>20</v>
      </c>
      <c r="F41" t="s">
        <v>23</v>
      </c>
      <c r="G41">
        <v>70092</v>
      </c>
      <c r="H41">
        <v>2388</v>
      </c>
      <c r="I41">
        <v>4152.4399999999996</v>
      </c>
      <c r="J41">
        <v>424</v>
      </c>
      <c r="K41">
        <v>0</v>
      </c>
    </row>
    <row r="42" spans="1:11" x14ac:dyDescent="0.2">
      <c r="A42" t="s">
        <v>109</v>
      </c>
      <c r="B42" t="s">
        <v>110</v>
      </c>
      <c r="C42" s="2">
        <v>45201</v>
      </c>
      <c r="D42" s="2">
        <v>45211</v>
      </c>
      <c r="E42">
        <f t="shared" si="0"/>
        <v>10</v>
      </c>
      <c r="F42" t="s">
        <v>23</v>
      </c>
      <c r="G42">
        <v>4890</v>
      </c>
      <c r="H42">
        <v>172</v>
      </c>
      <c r="I42" s="3">
        <v>205.48</v>
      </c>
      <c r="J42">
        <v>29</v>
      </c>
      <c r="K42" t="b">
        <v>1</v>
      </c>
    </row>
    <row r="43" spans="1:11" x14ac:dyDescent="0.2">
      <c r="A43" t="s">
        <v>111</v>
      </c>
      <c r="B43" t="s">
        <v>112</v>
      </c>
      <c r="C43" s="2">
        <v>45101</v>
      </c>
      <c r="D43" s="2">
        <v>45106</v>
      </c>
      <c r="E43">
        <f t="shared" si="0"/>
        <v>5</v>
      </c>
      <c r="F43" t="s">
        <v>14</v>
      </c>
      <c r="G43">
        <v>42606</v>
      </c>
      <c r="H43">
        <v>1061</v>
      </c>
      <c r="I43">
        <v>973.67</v>
      </c>
      <c r="J43">
        <v>55</v>
      </c>
      <c r="K43" t="s">
        <v>30</v>
      </c>
    </row>
    <row r="44" spans="1:11" x14ac:dyDescent="0.2">
      <c r="A44" t="s">
        <v>113</v>
      </c>
      <c r="B44" t="s">
        <v>114</v>
      </c>
      <c r="C44" s="2">
        <v>45159</v>
      </c>
      <c r="D44" s="2">
        <v>45167</v>
      </c>
      <c r="E44">
        <f t="shared" si="0"/>
        <v>8</v>
      </c>
      <c r="F44" t="s">
        <v>33</v>
      </c>
      <c r="G44">
        <v>97276</v>
      </c>
      <c r="H44">
        <v>2967</v>
      </c>
      <c r="I44">
        <v>4397.28</v>
      </c>
      <c r="J44">
        <v>546</v>
      </c>
      <c r="K44" t="s">
        <v>15</v>
      </c>
    </row>
    <row r="45" spans="1:11" x14ac:dyDescent="0.2">
      <c r="A45" t="s">
        <v>116</v>
      </c>
      <c r="B45" t="s">
        <v>117</v>
      </c>
      <c r="C45" s="2">
        <v>45061</v>
      </c>
      <c r="D45" s="2">
        <v>45078</v>
      </c>
      <c r="E45">
        <f t="shared" si="0"/>
        <v>17</v>
      </c>
      <c r="F45" t="s">
        <v>58</v>
      </c>
      <c r="G45">
        <v>81038</v>
      </c>
      <c r="H45">
        <v>2149</v>
      </c>
      <c r="I45">
        <v>3729.91</v>
      </c>
      <c r="J45">
        <v>116</v>
      </c>
      <c r="K45">
        <v>1</v>
      </c>
    </row>
    <row r="46" spans="1:11" x14ac:dyDescent="0.2">
      <c r="A46" t="s">
        <v>118</v>
      </c>
      <c r="B46" t="s">
        <v>119</v>
      </c>
      <c r="C46" s="2">
        <v>45186</v>
      </c>
      <c r="D46" s="2">
        <v>45202</v>
      </c>
      <c r="E46">
        <f t="shared" si="0"/>
        <v>16</v>
      </c>
      <c r="F46" t="s">
        <v>14</v>
      </c>
      <c r="G46">
        <v>88313</v>
      </c>
      <c r="H46">
        <v>1127</v>
      </c>
      <c r="I46">
        <v>670.24</v>
      </c>
      <c r="J46">
        <v>96</v>
      </c>
      <c r="K46" t="b">
        <v>0</v>
      </c>
    </row>
    <row r="47" spans="1:11" x14ac:dyDescent="0.2">
      <c r="A47" t="s">
        <v>120</v>
      </c>
      <c r="B47" t="s">
        <v>121</v>
      </c>
      <c r="C47" s="2">
        <v>45079</v>
      </c>
      <c r="D47" s="2">
        <v>45105</v>
      </c>
      <c r="E47">
        <f t="shared" si="0"/>
        <v>26</v>
      </c>
      <c r="F47" t="s">
        <v>33</v>
      </c>
      <c r="G47">
        <v>11627</v>
      </c>
      <c r="H47">
        <v>319</v>
      </c>
      <c r="I47">
        <v>531.19000000000005</v>
      </c>
      <c r="J47">
        <v>17</v>
      </c>
      <c r="K47" t="b">
        <v>1</v>
      </c>
    </row>
    <row r="48" spans="1:11" x14ac:dyDescent="0.2">
      <c r="A48" t="s">
        <v>122</v>
      </c>
      <c r="B48" t="s">
        <v>123</v>
      </c>
      <c r="C48" s="2">
        <v>45028</v>
      </c>
      <c r="D48" s="2">
        <v>45035</v>
      </c>
      <c r="E48">
        <f t="shared" si="0"/>
        <v>7</v>
      </c>
      <c r="F48" t="s">
        <v>41</v>
      </c>
      <c r="G48">
        <v>9792</v>
      </c>
      <c r="H48">
        <v>136</v>
      </c>
      <c r="I48">
        <v>235.62</v>
      </c>
      <c r="J48">
        <v>13</v>
      </c>
      <c r="K48" t="s">
        <v>15</v>
      </c>
    </row>
    <row r="49" spans="1:11" x14ac:dyDescent="0.2">
      <c r="A49" t="s">
        <v>124</v>
      </c>
      <c r="B49" t="s">
        <v>125</v>
      </c>
      <c r="C49" s="2">
        <v>45203</v>
      </c>
      <c r="D49" s="2">
        <v>45217</v>
      </c>
      <c r="E49">
        <f t="shared" si="0"/>
        <v>14</v>
      </c>
      <c r="F49" t="s">
        <v>23</v>
      </c>
      <c r="G49">
        <v>74969</v>
      </c>
      <c r="H49">
        <v>1964</v>
      </c>
      <c r="I49">
        <v>2341.65</v>
      </c>
      <c r="J49">
        <v>249</v>
      </c>
      <c r="K49" t="s">
        <v>30</v>
      </c>
    </row>
    <row r="50" spans="1:11" x14ac:dyDescent="0.2">
      <c r="A50" t="s">
        <v>126</v>
      </c>
      <c r="B50" t="s">
        <v>127</v>
      </c>
      <c r="C50" s="2">
        <v>44927</v>
      </c>
      <c r="D50" s="2">
        <v>44943</v>
      </c>
      <c r="E50">
        <f t="shared" si="0"/>
        <v>16</v>
      </c>
      <c r="F50" t="s">
        <v>19</v>
      </c>
      <c r="G50">
        <v>44001</v>
      </c>
      <c r="H50">
        <v>1483</v>
      </c>
      <c r="I50">
        <v>2928.86</v>
      </c>
      <c r="K50" t="b">
        <v>0</v>
      </c>
    </row>
    <row r="51" spans="1:11" x14ac:dyDescent="0.2">
      <c r="A51" t="s">
        <v>128</v>
      </c>
      <c r="B51" t="s">
        <v>129</v>
      </c>
      <c r="C51" s="2">
        <v>44984</v>
      </c>
      <c r="D51" s="2">
        <v>44985</v>
      </c>
      <c r="E51">
        <f t="shared" si="0"/>
        <v>1</v>
      </c>
      <c r="F51" t="s">
        <v>23</v>
      </c>
      <c r="G51">
        <v>77552</v>
      </c>
      <c r="H51">
        <v>2572</v>
      </c>
      <c r="I51">
        <v>4321.12</v>
      </c>
      <c r="J51">
        <v>258</v>
      </c>
      <c r="K51" t="b">
        <v>1</v>
      </c>
    </row>
    <row r="52" spans="1:11" x14ac:dyDescent="0.2">
      <c r="A52" t="s">
        <v>130</v>
      </c>
      <c r="B52" t="s">
        <v>131</v>
      </c>
      <c r="C52" s="2">
        <v>45084</v>
      </c>
      <c r="D52" s="2">
        <v>45094</v>
      </c>
      <c r="E52">
        <f t="shared" si="0"/>
        <v>10</v>
      </c>
      <c r="F52" t="s">
        <v>41</v>
      </c>
      <c r="G52">
        <v>24897</v>
      </c>
      <c r="H52">
        <v>908</v>
      </c>
      <c r="I52">
        <v>1507.73</v>
      </c>
      <c r="J52">
        <v>141</v>
      </c>
      <c r="K52">
        <v>1</v>
      </c>
    </row>
    <row r="53" spans="1:11" x14ac:dyDescent="0.2">
      <c r="A53" t="s">
        <v>132</v>
      </c>
      <c r="B53" t="s">
        <v>133</v>
      </c>
      <c r="C53" s="2">
        <v>45217</v>
      </c>
      <c r="D53" s="2">
        <v>45238</v>
      </c>
      <c r="E53">
        <f t="shared" si="0"/>
        <v>21</v>
      </c>
      <c r="F53" t="s">
        <v>14</v>
      </c>
      <c r="G53">
        <v>69148</v>
      </c>
      <c r="H53">
        <v>954</v>
      </c>
      <c r="I53">
        <v>1547.16</v>
      </c>
      <c r="J53">
        <v>74</v>
      </c>
      <c r="K53" t="b">
        <v>0</v>
      </c>
    </row>
    <row r="54" spans="1:11" x14ac:dyDescent="0.2">
      <c r="A54" t="s">
        <v>134</v>
      </c>
      <c r="B54" t="s">
        <v>135</v>
      </c>
      <c r="C54" s="2">
        <v>45175</v>
      </c>
      <c r="D54" s="2">
        <v>45181</v>
      </c>
      <c r="E54">
        <f t="shared" si="0"/>
        <v>6</v>
      </c>
      <c r="F54" t="s">
        <v>19</v>
      </c>
      <c r="G54">
        <v>24483</v>
      </c>
      <c r="H54">
        <v>883</v>
      </c>
      <c r="I54">
        <v>640.98</v>
      </c>
      <c r="K54">
        <v>0</v>
      </c>
    </row>
    <row r="55" spans="1:11" x14ac:dyDescent="0.2">
      <c r="A55" t="s">
        <v>136</v>
      </c>
      <c r="B55" t="s">
        <v>137</v>
      </c>
      <c r="C55" s="2">
        <v>45199</v>
      </c>
      <c r="D55" s="2">
        <v>45210</v>
      </c>
      <c r="E55">
        <f t="shared" si="0"/>
        <v>11</v>
      </c>
      <c r="F55" t="s">
        <v>138</v>
      </c>
      <c r="G55">
        <v>49555</v>
      </c>
      <c r="H55">
        <v>1114</v>
      </c>
      <c r="I55" s="3">
        <v>919.99</v>
      </c>
      <c r="J55">
        <v>95</v>
      </c>
      <c r="K55" t="s">
        <v>24</v>
      </c>
    </row>
    <row r="56" spans="1:11" x14ac:dyDescent="0.2">
      <c r="A56" t="s">
        <v>140</v>
      </c>
      <c r="B56" t="s">
        <v>141</v>
      </c>
      <c r="C56" s="2">
        <v>45165</v>
      </c>
      <c r="D56" s="2">
        <v>45170</v>
      </c>
      <c r="E56">
        <f t="shared" si="0"/>
        <v>5</v>
      </c>
      <c r="F56" t="s">
        <v>41</v>
      </c>
      <c r="G56">
        <v>18159</v>
      </c>
      <c r="H56">
        <v>471</v>
      </c>
      <c r="I56">
        <v>563.30999999999995</v>
      </c>
      <c r="J56">
        <v>33</v>
      </c>
      <c r="K56" t="b">
        <v>0</v>
      </c>
    </row>
    <row r="57" spans="1:11" x14ac:dyDescent="0.2">
      <c r="A57" t="s">
        <v>142</v>
      </c>
      <c r="B57" t="s">
        <v>143</v>
      </c>
      <c r="C57" s="2">
        <v>45197</v>
      </c>
      <c r="D57" s="2">
        <v>45207</v>
      </c>
      <c r="E57">
        <f t="shared" si="0"/>
        <v>10</v>
      </c>
      <c r="F57" t="s">
        <v>19</v>
      </c>
      <c r="G57">
        <v>81077</v>
      </c>
      <c r="H57">
        <v>3593</v>
      </c>
      <c r="I57" s="3">
        <v>3219.35</v>
      </c>
      <c r="J57">
        <v>279</v>
      </c>
      <c r="K57" t="s">
        <v>24</v>
      </c>
    </row>
    <row r="58" spans="1:11" x14ac:dyDescent="0.2">
      <c r="A58" t="s">
        <v>144</v>
      </c>
      <c r="B58" t="s">
        <v>145</v>
      </c>
      <c r="C58" s="2">
        <v>45035</v>
      </c>
      <c r="D58" s="2">
        <v>45057</v>
      </c>
      <c r="E58">
        <f t="shared" si="0"/>
        <v>22</v>
      </c>
      <c r="F58" t="s">
        <v>23</v>
      </c>
      <c r="G58">
        <v>36920</v>
      </c>
      <c r="H58">
        <v>382</v>
      </c>
      <c r="I58">
        <v>428.93</v>
      </c>
      <c r="J58">
        <v>29</v>
      </c>
      <c r="K58" t="s">
        <v>15</v>
      </c>
    </row>
    <row r="59" spans="1:11" x14ac:dyDescent="0.2">
      <c r="A59" t="s">
        <v>146</v>
      </c>
      <c r="B59" t="s">
        <v>147</v>
      </c>
      <c r="C59" s="2">
        <v>45280</v>
      </c>
      <c r="D59" s="2">
        <v>45300</v>
      </c>
      <c r="E59">
        <f t="shared" si="0"/>
        <v>20</v>
      </c>
      <c r="F59" t="s">
        <v>14</v>
      </c>
      <c r="G59">
        <v>93067</v>
      </c>
      <c r="H59">
        <v>3121</v>
      </c>
      <c r="I59">
        <v>5719.84</v>
      </c>
      <c r="J59">
        <v>396</v>
      </c>
      <c r="K59" t="b">
        <v>1</v>
      </c>
    </row>
    <row r="60" spans="1:11" x14ac:dyDescent="0.2">
      <c r="A60" t="s">
        <v>148</v>
      </c>
      <c r="B60" t="s">
        <v>149</v>
      </c>
      <c r="C60" s="2">
        <v>45270</v>
      </c>
      <c r="D60" s="2">
        <v>45284</v>
      </c>
      <c r="E60">
        <f t="shared" si="0"/>
        <v>14</v>
      </c>
      <c r="F60" t="s">
        <v>19</v>
      </c>
      <c r="G60">
        <v>68121</v>
      </c>
      <c r="H60">
        <v>2312</v>
      </c>
      <c r="I60" s="3">
        <v>4014.77</v>
      </c>
      <c r="J60">
        <v>408</v>
      </c>
      <c r="K60" t="s">
        <v>15</v>
      </c>
    </row>
    <row r="61" spans="1:11" x14ac:dyDescent="0.2">
      <c r="A61" t="s">
        <v>150</v>
      </c>
      <c r="B61" t="s">
        <v>151</v>
      </c>
      <c r="C61" s="2">
        <v>45191</v>
      </c>
      <c r="D61" s="2">
        <v>45211</v>
      </c>
      <c r="E61">
        <f t="shared" si="0"/>
        <v>20</v>
      </c>
      <c r="F61" t="s">
        <v>23</v>
      </c>
      <c r="G61">
        <v>70479</v>
      </c>
      <c r="H61">
        <v>1823</v>
      </c>
      <c r="I61">
        <v>2634.34</v>
      </c>
      <c r="J61">
        <v>112</v>
      </c>
      <c r="K61" t="s">
        <v>15</v>
      </c>
    </row>
    <row r="62" spans="1:11" x14ac:dyDescent="0.2">
      <c r="A62" t="s">
        <v>152</v>
      </c>
      <c r="B62" t="s">
        <v>153</v>
      </c>
      <c r="C62" s="2">
        <v>44959</v>
      </c>
      <c r="D62" s="2">
        <v>44963</v>
      </c>
      <c r="E62">
        <f t="shared" si="0"/>
        <v>4</v>
      </c>
      <c r="F62" t="s">
        <v>41</v>
      </c>
      <c r="G62">
        <v>90475</v>
      </c>
      <c r="H62">
        <v>1762</v>
      </c>
      <c r="I62">
        <v>3149.01</v>
      </c>
      <c r="J62">
        <v>274</v>
      </c>
      <c r="K62" t="s">
        <v>30</v>
      </c>
    </row>
    <row r="63" spans="1:11" x14ac:dyDescent="0.2">
      <c r="A63" t="s">
        <v>154</v>
      </c>
      <c r="B63" t="s">
        <v>155</v>
      </c>
      <c r="C63" s="2">
        <v>45044</v>
      </c>
      <c r="D63" s="2">
        <v>45064</v>
      </c>
      <c r="E63">
        <f t="shared" si="0"/>
        <v>20</v>
      </c>
      <c r="F63" t="s">
        <v>41</v>
      </c>
      <c r="G63">
        <v>20457</v>
      </c>
      <c r="H63">
        <v>396</v>
      </c>
      <c r="I63">
        <v>663.56</v>
      </c>
      <c r="J63">
        <v>58</v>
      </c>
      <c r="K63">
        <v>1</v>
      </c>
    </row>
    <row r="64" spans="1:11" x14ac:dyDescent="0.2">
      <c r="A64" t="s">
        <v>156</v>
      </c>
      <c r="B64" t="s">
        <v>157</v>
      </c>
      <c r="C64" s="2">
        <v>45289</v>
      </c>
      <c r="D64" s="2">
        <v>45294</v>
      </c>
      <c r="E64">
        <f t="shared" si="0"/>
        <v>5</v>
      </c>
      <c r="F64" t="s">
        <v>19</v>
      </c>
      <c r="G64">
        <v>67557</v>
      </c>
      <c r="H64">
        <v>3063</v>
      </c>
      <c r="I64">
        <v>3502.47</v>
      </c>
      <c r="J64">
        <v>554</v>
      </c>
      <c r="K64" t="b">
        <v>0</v>
      </c>
    </row>
    <row r="65" spans="1:11" x14ac:dyDescent="0.2">
      <c r="A65" t="s">
        <v>158</v>
      </c>
      <c r="B65" t="s">
        <v>159</v>
      </c>
      <c r="C65" s="2">
        <v>44943</v>
      </c>
      <c r="D65" s="2">
        <v>44960</v>
      </c>
      <c r="E65">
        <f t="shared" si="0"/>
        <v>17</v>
      </c>
      <c r="F65" t="s">
        <v>23</v>
      </c>
      <c r="G65">
        <v>78189</v>
      </c>
      <c r="H65">
        <v>2164</v>
      </c>
      <c r="I65">
        <v>1734.66</v>
      </c>
      <c r="J65">
        <v>187</v>
      </c>
      <c r="K65" t="b">
        <v>1</v>
      </c>
    </row>
    <row r="66" spans="1:11" x14ac:dyDescent="0.2">
      <c r="A66" t="s">
        <v>160</v>
      </c>
      <c r="B66" t="s">
        <v>161</v>
      </c>
      <c r="C66" s="2">
        <v>45048</v>
      </c>
      <c r="D66" s="2">
        <v>45058</v>
      </c>
      <c r="E66">
        <f t="shared" ref="E66:E129" si="1">D66-C66</f>
        <v>10</v>
      </c>
      <c r="F66" t="s">
        <v>23</v>
      </c>
      <c r="G66">
        <v>79953</v>
      </c>
      <c r="H66">
        <v>1857</v>
      </c>
      <c r="I66">
        <v>2360.81</v>
      </c>
      <c r="J66">
        <v>218</v>
      </c>
      <c r="K66">
        <v>0</v>
      </c>
    </row>
    <row r="67" spans="1:11" x14ac:dyDescent="0.2">
      <c r="A67" t="s">
        <v>162</v>
      </c>
      <c r="B67" t="s">
        <v>163</v>
      </c>
      <c r="C67" s="2">
        <v>45203</v>
      </c>
      <c r="D67" s="2">
        <v>45214</v>
      </c>
      <c r="E67">
        <f t="shared" si="1"/>
        <v>11</v>
      </c>
      <c r="F67" t="s">
        <v>14</v>
      </c>
      <c r="G67">
        <v>53995</v>
      </c>
      <c r="H67">
        <v>1509</v>
      </c>
      <c r="I67">
        <v>2420.9499999999998</v>
      </c>
      <c r="J67">
        <v>285</v>
      </c>
      <c r="K67">
        <v>1</v>
      </c>
    </row>
    <row r="68" spans="1:11" x14ac:dyDescent="0.2">
      <c r="A68" t="s">
        <v>164</v>
      </c>
      <c r="B68" t="s">
        <v>165</v>
      </c>
      <c r="C68" s="2">
        <v>45219</v>
      </c>
      <c r="D68" s="2">
        <v>45243</v>
      </c>
      <c r="E68">
        <f t="shared" si="1"/>
        <v>24</v>
      </c>
      <c r="F68" t="s">
        <v>41</v>
      </c>
      <c r="G68">
        <v>41757</v>
      </c>
      <c r="H68">
        <v>1535</v>
      </c>
      <c r="I68">
        <v>1772.36</v>
      </c>
      <c r="K68">
        <v>1</v>
      </c>
    </row>
    <row r="69" spans="1:11" x14ac:dyDescent="0.2">
      <c r="A69" t="s">
        <v>166</v>
      </c>
      <c r="B69" t="s">
        <v>167</v>
      </c>
      <c r="C69" s="2">
        <v>45169</v>
      </c>
      <c r="D69" s="2">
        <v>45181</v>
      </c>
      <c r="E69">
        <f t="shared" si="1"/>
        <v>12</v>
      </c>
      <c r="F69" t="s">
        <v>19</v>
      </c>
      <c r="G69">
        <v>10692</v>
      </c>
      <c r="H69">
        <v>169</v>
      </c>
      <c r="I69">
        <v>253.53</v>
      </c>
      <c r="J69">
        <v>18</v>
      </c>
      <c r="K69" t="b">
        <v>1</v>
      </c>
    </row>
    <row r="70" spans="1:11" x14ac:dyDescent="0.2">
      <c r="A70" t="s">
        <v>168</v>
      </c>
      <c r="B70" t="s">
        <v>169</v>
      </c>
      <c r="C70" s="2">
        <v>44976</v>
      </c>
      <c r="D70" s="2">
        <v>45002</v>
      </c>
      <c r="E70">
        <f t="shared" si="1"/>
        <v>26</v>
      </c>
      <c r="F70" t="s">
        <v>23</v>
      </c>
      <c r="G70">
        <v>46758</v>
      </c>
      <c r="H70">
        <v>1308</v>
      </c>
      <c r="I70">
        <v>839.07</v>
      </c>
      <c r="J70">
        <v>91</v>
      </c>
      <c r="K70">
        <v>1</v>
      </c>
    </row>
    <row r="71" spans="1:11" x14ac:dyDescent="0.2">
      <c r="A71" t="s">
        <v>170</v>
      </c>
      <c r="B71" t="s">
        <v>171</v>
      </c>
      <c r="C71" s="2">
        <v>45137</v>
      </c>
      <c r="D71" s="2">
        <v>45160</v>
      </c>
      <c r="E71">
        <f t="shared" si="1"/>
        <v>23</v>
      </c>
      <c r="F71" t="s">
        <v>23</v>
      </c>
      <c r="G71">
        <v>73409</v>
      </c>
      <c r="H71">
        <v>2460</v>
      </c>
      <c r="I71">
        <v>3990.14</v>
      </c>
      <c r="J71">
        <v>219</v>
      </c>
      <c r="K71" t="s">
        <v>30</v>
      </c>
    </row>
    <row r="72" spans="1:11" x14ac:dyDescent="0.2">
      <c r="A72" t="s">
        <v>172</v>
      </c>
      <c r="B72" t="s">
        <v>173</v>
      </c>
      <c r="C72" s="2">
        <v>45271</v>
      </c>
      <c r="D72" s="2">
        <v>45299</v>
      </c>
      <c r="E72">
        <f t="shared" si="1"/>
        <v>28</v>
      </c>
      <c r="F72" t="s">
        <v>14</v>
      </c>
      <c r="G72">
        <v>72211</v>
      </c>
      <c r="H72">
        <v>3462</v>
      </c>
      <c r="I72">
        <v>5951.42</v>
      </c>
      <c r="J72">
        <v>474</v>
      </c>
      <c r="K72">
        <v>1</v>
      </c>
    </row>
    <row r="73" spans="1:11" x14ac:dyDescent="0.2">
      <c r="A73" t="s">
        <v>174</v>
      </c>
      <c r="B73" t="s">
        <v>175</v>
      </c>
      <c r="C73" s="2">
        <v>44953</v>
      </c>
      <c r="D73" s="2">
        <v>44958</v>
      </c>
      <c r="E73">
        <f t="shared" si="1"/>
        <v>5</v>
      </c>
      <c r="F73" t="s">
        <v>23</v>
      </c>
      <c r="G73">
        <v>66697</v>
      </c>
      <c r="H73">
        <v>1340</v>
      </c>
      <c r="I73" s="3">
        <v>2090.7399999999998</v>
      </c>
      <c r="K73" t="s">
        <v>30</v>
      </c>
    </row>
    <row r="74" spans="1:11" x14ac:dyDescent="0.2">
      <c r="A74" t="s">
        <v>176</v>
      </c>
      <c r="B74" t="s">
        <v>177</v>
      </c>
      <c r="C74" s="2">
        <v>44982</v>
      </c>
      <c r="D74" s="2">
        <v>44994</v>
      </c>
      <c r="E74">
        <f t="shared" si="1"/>
        <v>12</v>
      </c>
      <c r="F74" t="s">
        <v>41</v>
      </c>
      <c r="G74">
        <v>38065</v>
      </c>
      <c r="H74">
        <v>927</v>
      </c>
      <c r="I74" s="3">
        <v>1808.48</v>
      </c>
      <c r="K74" t="b">
        <v>0</v>
      </c>
    </row>
    <row r="75" spans="1:11" x14ac:dyDescent="0.2">
      <c r="A75" t="s">
        <v>178</v>
      </c>
      <c r="B75" t="s">
        <v>179</v>
      </c>
      <c r="C75" s="2">
        <v>45156</v>
      </c>
      <c r="D75" s="2">
        <v>45175</v>
      </c>
      <c r="E75">
        <f t="shared" si="1"/>
        <v>19</v>
      </c>
      <c r="F75" t="s">
        <v>58</v>
      </c>
      <c r="G75">
        <v>93093</v>
      </c>
      <c r="H75">
        <v>2343</v>
      </c>
      <c r="I75">
        <v>4076.77</v>
      </c>
      <c r="J75">
        <v>327</v>
      </c>
      <c r="K75" t="b">
        <v>0</v>
      </c>
    </row>
    <row r="76" spans="1:11" x14ac:dyDescent="0.2">
      <c r="A76" t="s">
        <v>180</v>
      </c>
      <c r="B76" t="s">
        <v>181</v>
      </c>
      <c r="C76" s="2">
        <v>45163</v>
      </c>
      <c r="D76" s="2">
        <v>45179</v>
      </c>
      <c r="E76">
        <f t="shared" si="1"/>
        <v>16</v>
      </c>
      <c r="F76" t="s">
        <v>14</v>
      </c>
      <c r="G76">
        <v>33606</v>
      </c>
      <c r="H76">
        <v>1150</v>
      </c>
      <c r="I76">
        <v>2132.84</v>
      </c>
      <c r="J76">
        <v>152</v>
      </c>
      <c r="K76" t="s">
        <v>15</v>
      </c>
    </row>
    <row r="77" spans="1:11" x14ac:dyDescent="0.2">
      <c r="A77" t="s">
        <v>182</v>
      </c>
      <c r="B77" t="s">
        <v>183</v>
      </c>
      <c r="C77" s="2">
        <v>45153</v>
      </c>
      <c r="D77" s="2">
        <v>45156</v>
      </c>
      <c r="E77">
        <f t="shared" si="1"/>
        <v>3</v>
      </c>
      <c r="F77" t="s">
        <v>23</v>
      </c>
      <c r="G77">
        <v>12534</v>
      </c>
      <c r="H77">
        <v>304</v>
      </c>
      <c r="I77">
        <v>577.71</v>
      </c>
      <c r="J77">
        <v>38</v>
      </c>
      <c r="K77" t="s">
        <v>30</v>
      </c>
    </row>
    <row r="78" spans="1:11" x14ac:dyDescent="0.2">
      <c r="A78" t="s">
        <v>184</v>
      </c>
      <c r="B78" t="s">
        <v>185</v>
      </c>
      <c r="C78" s="2">
        <v>44977</v>
      </c>
      <c r="D78" s="2">
        <v>44978</v>
      </c>
      <c r="E78">
        <f t="shared" si="1"/>
        <v>1</v>
      </c>
      <c r="F78" t="s">
        <v>41</v>
      </c>
      <c r="G78">
        <v>95663</v>
      </c>
      <c r="H78">
        <v>2998</v>
      </c>
      <c r="I78">
        <v>5102.66</v>
      </c>
      <c r="J78">
        <v>460</v>
      </c>
      <c r="K78">
        <v>0</v>
      </c>
    </row>
    <row r="79" spans="1:11" x14ac:dyDescent="0.2">
      <c r="A79" t="s">
        <v>187</v>
      </c>
      <c r="B79" t="s">
        <v>188</v>
      </c>
      <c r="C79" s="2">
        <v>45203</v>
      </c>
      <c r="D79" s="2">
        <v>45218</v>
      </c>
      <c r="E79">
        <f t="shared" si="1"/>
        <v>15</v>
      </c>
      <c r="F79" t="s">
        <v>23</v>
      </c>
      <c r="G79">
        <v>41397</v>
      </c>
      <c r="H79">
        <v>1708</v>
      </c>
      <c r="I79">
        <v>2581.4499999999998</v>
      </c>
      <c r="J79">
        <v>299</v>
      </c>
      <c r="K79" t="b">
        <v>0</v>
      </c>
    </row>
    <row r="80" spans="1:11" x14ac:dyDescent="0.2">
      <c r="A80" t="s">
        <v>189</v>
      </c>
      <c r="B80" t="s">
        <v>190</v>
      </c>
      <c r="C80" s="2">
        <v>45048</v>
      </c>
      <c r="D80" s="2">
        <v>45060</v>
      </c>
      <c r="E80">
        <f t="shared" si="1"/>
        <v>12</v>
      </c>
      <c r="F80" t="s">
        <v>191</v>
      </c>
      <c r="G80">
        <v>92387</v>
      </c>
      <c r="H80">
        <v>3530</v>
      </c>
      <c r="I80">
        <v>1795.28</v>
      </c>
      <c r="J80">
        <v>347</v>
      </c>
      <c r="K80">
        <v>1</v>
      </c>
    </row>
    <row r="81" spans="1:11" x14ac:dyDescent="0.2">
      <c r="A81" t="s">
        <v>192</v>
      </c>
      <c r="B81" t="s">
        <v>193</v>
      </c>
      <c r="C81" s="2">
        <v>45036</v>
      </c>
      <c r="D81" s="2">
        <v>45050</v>
      </c>
      <c r="E81">
        <f t="shared" si="1"/>
        <v>14</v>
      </c>
      <c r="F81" t="s">
        <v>19</v>
      </c>
      <c r="G81">
        <v>2016</v>
      </c>
      <c r="H81">
        <v>56</v>
      </c>
      <c r="I81" s="3">
        <v>67.13</v>
      </c>
      <c r="J81">
        <v>10</v>
      </c>
      <c r="K81" t="b">
        <v>1</v>
      </c>
    </row>
    <row r="82" spans="1:11" x14ac:dyDescent="0.2">
      <c r="A82" t="s">
        <v>194</v>
      </c>
      <c r="B82" t="s">
        <v>195</v>
      </c>
      <c r="C82" s="2">
        <v>45011</v>
      </c>
      <c r="D82" s="2">
        <v>45019</v>
      </c>
      <c r="E82">
        <f t="shared" si="1"/>
        <v>8</v>
      </c>
      <c r="F82" t="s">
        <v>23</v>
      </c>
      <c r="G82">
        <v>90789</v>
      </c>
      <c r="H82">
        <v>4046</v>
      </c>
      <c r="I82">
        <v>5489.38</v>
      </c>
      <c r="J82">
        <v>299</v>
      </c>
      <c r="K82" t="b">
        <v>1</v>
      </c>
    </row>
    <row r="83" spans="1:11" x14ac:dyDescent="0.2">
      <c r="A83" t="s">
        <v>196</v>
      </c>
      <c r="B83" t="s">
        <v>197</v>
      </c>
      <c r="C83" s="2">
        <v>45062</v>
      </c>
      <c r="D83" s="2">
        <v>45069</v>
      </c>
      <c r="E83">
        <f t="shared" si="1"/>
        <v>7</v>
      </c>
      <c r="F83" t="s">
        <v>14</v>
      </c>
      <c r="G83">
        <v>56591</v>
      </c>
      <c r="H83">
        <v>1829</v>
      </c>
      <c r="I83">
        <v>1748.61</v>
      </c>
      <c r="J83">
        <v>138</v>
      </c>
      <c r="K83" t="s">
        <v>24</v>
      </c>
    </row>
    <row r="84" spans="1:11" x14ac:dyDescent="0.2">
      <c r="A84" t="s">
        <v>198</v>
      </c>
      <c r="B84" t="s">
        <v>199</v>
      </c>
      <c r="C84" s="2">
        <v>45073</v>
      </c>
      <c r="D84" s="2">
        <v>45084</v>
      </c>
      <c r="E84">
        <f t="shared" si="1"/>
        <v>11</v>
      </c>
      <c r="F84" t="s">
        <v>33</v>
      </c>
      <c r="G84">
        <v>90812</v>
      </c>
      <c r="H84">
        <v>2869</v>
      </c>
      <c r="I84" s="3">
        <v>2803.46</v>
      </c>
      <c r="J84">
        <v>258</v>
      </c>
      <c r="K84" t="s">
        <v>30</v>
      </c>
    </row>
    <row r="85" spans="1:11" x14ac:dyDescent="0.2">
      <c r="A85" t="s">
        <v>200</v>
      </c>
      <c r="B85" t="s">
        <v>201</v>
      </c>
      <c r="C85" s="2">
        <v>45211</v>
      </c>
      <c r="D85" s="2">
        <v>45234</v>
      </c>
      <c r="E85">
        <f t="shared" si="1"/>
        <v>23</v>
      </c>
      <c r="F85" t="s">
        <v>33</v>
      </c>
      <c r="G85">
        <v>24247</v>
      </c>
      <c r="H85">
        <v>275</v>
      </c>
      <c r="I85">
        <v>533.98</v>
      </c>
      <c r="J85">
        <v>18</v>
      </c>
      <c r="K85">
        <v>0</v>
      </c>
    </row>
    <row r="86" spans="1:11" x14ac:dyDescent="0.2">
      <c r="A86" t="s">
        <v>202</v>
      </c>
      <c r="B86" t="s">
        <v>203</v>
      </c>
      <c r="C86" s="2">
        <v>45024</v>
      </c>
      <c r="D86" s="2">
        <v>45032</v>
      </c>
      <c r="E86">
        <f t="shared" si="1"/>
        <v>8</v>
      </c>
      <c r="F86" t="s">
        <v>23</v>
      </c>
      <c r="G86">
        <v>25300</v>
      </c>
      <c r="H86">
        <v>1251</v>
      </c>
      <c r="I86">
        <v>2298.8000000000002</v>
      </c>
      <c r="J86">
        <v>105</v>
      </c>
      <c r="K86" t="s">
        <v>15</v>
      </c>
    </row>
    <row r="87" spans="1:11" x14ac:dyDescent="0.2">
      <c r="A87" t="s">
        <v>204</v>
      </c>
      <c r="B87" t="s">
        <v>205</v>
      </c>
      <c r="C87" s="2">
        <v>45223</v>
      </c>
      <c r="D87" s="2">
        <v>45253</v>
      </c>
      <c r="E87">
        <f t="shared" si="1"/>
        <v>30</v>
      </c>
      <c r="F87" t="s">
        <v>41</v>
      </c>
      <c r="G87">
        <v>75065</v>
      </c>
      <c r="H87">
        <v>1119</v>
      </c>
      <c r="I87">
        <v>1984.85</v>
      </c>
      <c r="J87">
        <v>73</v>
      </c>
      <c r="K87">
        <v>1</v>
      </c>
    </row>
    <row r="88" spans="1:11" x14ac:dyDescent="0.2">
      <c r="A88" t="s">
        <v>206</v>
      </c>
      <c r="B88" t="s">
        <v>207</v>
      </c>
      <c r="C88" s="2">
        <v>45115</v>
      </c>
      <c r="D88" s="2">
        <v>45205</v>
      </c>
      <c r="E88">
        <f t="shared" si="1"/>
        <v>90</v>
      </c>
      <c r="F88" t="s">
        <v>33</v>
      </c>
      <c r="G88">
        <v>83798</v>
      </c>
      <c r="H88">
        <v>1612</v>
      </c>
      <c r="I88">
        <v>1787.74</v>
      </c>
      <c r="J88">
        <v>279</v>
      </c>
      <c r="K88" t="s">
        <v>30</v>
      </c>
    </row>
    <row r="89" spans="1:11" x14ac:dyDescent="0.2">
      <c r="A89" t="s">
        <v>208</v>
      </c>
      <c r="B89" t="s">
        <v>209</v>
      </c>
      <c r="C89" s="2">
        <v>45226</v>
      </c>
      <c r="D89" s="2">
        <v>45255</v>
      </c>
      <c r="E89">
        <f t="shared" si="1"/>
        <v>29</v>
      </c>
      <c r="F89" t="s">
        <v>33</v>
      </c>
      <c r="G89">
        <v>10268</v>
      </c>
      <c r="H89">
        <v>123</v>
      </c>
      <c r="I89">
        <v>64.03</v>
      </c>
      <c r="J89">
        <v>8</v>
      </c>
      <c r="K89" t="s">
        <v>24</v>
      </c>
    </row>
    <row r="90" spans="1:11" x14ac:dyDescent="0.2">
      <c r="A90" t="s">
        <v>210</v>
      </c>
      <c r="B90" t="s">
        <v>211</v>
      </c>
      <c r="C90" s="2">
        <v>45198</v>
      </c>
      <c r="D90" s="2">
        <v>45209</v>
      </c>
      <c r="E90">
        <f t="shared" si="1"/>
        <v>11</v>
      </c>
      <c r="F90" t="s">
        <v>138</v>
      </c>
      <c r="G90">
        <v>87807</v>
      </c>
      <c r="H90">
        <v>3125</v>
      </c>
      <c r="I90">
        <v>1938.54</v>
      </c>
      <c r="J90">
        <v>506</v>
      </c>
      <c r="K90" t="b">
        <v>1</v>
      </c>
    </row>
    <row r="91" spans="1:11" x14ac:dyDescent="0.2">
      <c r="A91" t="s">
        <v>212</v>
      </c>
      <c r="B91" t="s">
        <v>213</v>
      </c>
      <c r="C91" s="2">
        <v>44968</v>
      </c>
      <c r="D91" s="2">
        <v>45253</v>
      </c>
      <c r="E91">
        <f t="shared" si="1"/>
        <v>285</v>
      </c>
      <c r="F91" t="s">
        <v>33</v>
      </c>
      <c r="G91">
        <v>13185</v>
      </c>
      <c r="H91">
        <v>250</v>
      </c>
      <c r="I91">
        <v>242.07</v>
      </c>
      <c r="J91">
        <v>14</v>
      </c>
      <c r="K91" t="s">
        <v>30</v>
      </c>
    </row>
    <row r="92" spans="1:11" x14ac:dyDescent="0.2">
      <c r="A92" t="s">
        <v>214</v>
      </c>
      <c r="B92" t="s">
        <v>215</v>
      </c>
      <c r="C92" s="2">
        <v>44961</v>
      </c>
      <c r="D92" s="2">
        <v>44991</v>
      </c>
      <c r="E92">
        <f t="shared" si="1"/>
        <v>30</v>
      </c>
      <c r="F92" t="s">
        <v>33</v>
      </c>
      <c r="G92">
        <v>64704</v>
      </c>
      <c r="H92">
        <v>1112</v>
      </c>
      <c r="I92">
        <v>582.26</v>
      </c>
      <c r="J92">
        <v>213</v>
      </c>
      <c r="K92">
        <v>1</v>
      </c>
    </row>
    <row r="93" spans="1:11" x14ac:dyDescent="0.2">
      <c r="A93" t="s">
        <v>216</v>
      </c>
      <c r="B93" t="s">
        <v>217</v>
      </c>
      <c r="C93" s="2">
        <v>44988</v>
      </c>
      <c r="D93" s="2">
        <v>45017</v>
      </c>
      <c r="E93">
        <f t="shared" si="1"/>
        <v>29</v>
      </c>
      <c r="F93" t="s">
        <v>41</v>
      </c>
      <c r="G93">
        <v>87779</v>
      </c>
      <c r="H93">
        <v>1188</v>
      </c>
      <c r="I93" s="3">
        <v>624.55999999999995</v>
      </c>
      <c r="J93">
        <v>186</v>
      </c>
      <c r="K93">
        <v>0</v>
      </c>
    </row>
    <row r="94" spans="1:11" x14ac:dyDescent="0.2">
      <c r="A94" t="s">
        <v>218</v>
      </c>
      <c r="B94" t="s">
        <v>219</v>
      </c>
      <c r="C94" s="2">
        <v>45223</v>
      </c>
      <c r="D94" s="2">
        <v>45239</v>
      </c>
      <c r="E94">
        <f t="shared" si="1"/>
        <v>16</v>
      </c>
      <c r="F94" t="s">
        <v>41</v>
      </c>
      <c r="G94">
        <v>40099</v>
      </c>
      <c r="H94">
        <v>566</v>
      </c>
      <c r="I94">
        <v>1061.2</v>
      </c>
      <c r="J94">
        <v>28</v>
      </c>
      <c r="K94">
        <v>0</v>
      </c>
    </row>
    <row r="95" spans="1:11" x14ac:dyDescent="0.2">
      <c r="A95" t="s">
        <v>220</v>
      </c>
      <c r="B95" t="s">
        <v>221</v>
      </c>
      <c r="C95" s="2">
        <v>45141</v>
      </c>
      <c r="D95" s="2">
        <v>45167</v>
      </c>
      <c r="E95">
        <f t="shared" si="1"/>
        <v>26</v>
      </c>
      <c r="F95" t="s">
        <v>138</v>
      </c>
      <c r="G95">
        <v>9571</v>
      </c>
      <c r="H95">
        <v>319</v>
      </c>
      <c r="I95">
        <v>497.4</v>
      </c>
      <c r="J95">
        <v>52</v>
      </c>
      <c r="K95" t="b">
        <v>0</v>
      </c>
    </row>
    <row r="96" spans="1:11" x14ac:dyDescent="0.2">
      <c r="A96" t="s">
        <v>222</v>
      </c>
      <c r="B96" t="s">
        <v>223</v>
      </c>
      <c r="C96" s="2">
        <v>45088</v>
      </c>
      <c r="D96" s="2">
        <v>45097</v>
      </c>
      <c r="E96">
        <f t="shared" si="1"/>
        <v>9</v>
      </c>
      <c r="F96" t="s">
        <v>14</v>
      </c>
      <c r="G96">
        <v>39044</v>
      </c>
      <c r="H96">
        <v>1465</v>
      </c>
      <c r="I96">
        <v>1411.43</v>
      </c>
      <c r="J96">
        <v>186</v>
      </c>
      <c r="K96">
        <v>1</v>
      </c>
    </row>
    <row r="97" spans="1:11" x14ac:dyDescent="0.2">
      <c r="A97" t="s">
        <v>224</v>
      </c>
      <c r="B97" t="s">
        <v>225</v>
      </c>
      <c r="C97" s="2">
        <v>45087</v>
      </c>
      <c r="D97" s="2">
        <v>45105</v>
      </c>
      <c r="E97">
        <f t="shared" si="1"/>
        <v>18</v>
      </c>
      <c r="F97" t="s">
        <v>41</v>
      </c>
      <c r="G97">
        <v>52214</v>
      </c>
      <c r="H97">
        <v>1352</v>
      </c>
      <c r="I97">
        <v>945</v>
      </c>
      <c r="J97">
        <v>225</v>
      </c>
      <c r="K97" t="s">
        <v>24</v>
      </c>
    </row>
    <row r="98" spans="1:11" x14ac:dyDescent="0.2">
      <c r="A98" t="s">
        <v>226</v>
      </c>
      <c r="B98" t="s">
        <v>227</v>
      </c>
      <c r="C98" s="2">
        <v>45270</v>
      </c>
      <c r="D98" s="2">
        <v>45281</v>
      </c>
      <c r="E98">
        <f t="shared" si="1"/>
        <v>11</v>
      </c>
      <c r="F98" t="s">
        <v>23</v>
      </c>
      <c r="G98">
        <v>62228</v>
      </c>
      <c r="H98">
        <v>1816</v>
      </c>
      <c r="I98">
        <v>2301.6999999999998</v>
      </c>
      <c r="J98">
        <v>233</v>
      </c>
      <c r="K98" t="b">
        <v>0</v>
      </c>
    </row>
    <row r="99" spans="1:11" x14ac:dyDescent="0.2">
      <c r="A99" t="s">
        <v>228</v>
      </c>
      <c r="B99" t="s">
        <v>229</v>
      </c>
      <c r="C99" s="2">
        <v>44983</v>
      </c>
      <c r="D99" s="2">
        <v>45109</v>
      </c>
      <c r="E99">
        <f t="shared" si="1"/>
        <v>126</v>
      </c>
      <c r="F99" t="s">
        <v>138</v>
      </c>
      <c r="G99">
        <v>49984</v>
      </c>
      <c r="H99">
        <v>1871</v>
      </c>
      <c r="I99">
        <v>950.5</v>
      </c>
      <c r="J99">
        <v>273</v>
      </c>
      <c r="K99" t="b">
        <v>0</v>
      </c>
    </row>
    <row r="100" spans="1:11" x14ac:dyDescent="0.2">
      <c r="A100" t="s">
        <v>230</v>
      </c>
      <c r="B100" t="s">
        <v>231</v>
      </c>
      <c r="C100" s="2">
        <v>45245</v>
      </c>
      <c r="D100" s="2">
        <v>45271</v>
      </c>
      <c r="E100">
        <f t="shared" si="1"/>
        <v>26</v>
      </c>
      <c r="F100" t="s">
        <v>33</v>
      </c>
      <c r="G100">
        <v>41774</v>
      </c>
      <c r="H100">
        <v>446</v>
      </c>
      <c r="I100">
        <v>850.8</v>
      </c>
      <c r="J100">
        <v>74</v>
      </c>
      <c r="K100" t="b">
        <v>0</v>
      </c>
    </row>
    <row r="101" spans="1:11" x14ac:dyDescent="0.2">
      <c r="A101" t="s">
        <v>232</v>
      </c>
      <c r="B101" t="s">
        <v>233</v>
      </c>
      <c r="C101" s="2">
        <v>44964</v>
      </c>
      <c r="D101" s="2">
        <v>44975</v>
      </c>
      <c r="E101">
        <f t="shared" si="1"/>
        <v>11</v>
      </c>
      <c r="F101" t="s">
        <v>234</v>
      </c>
      <c r="G101">
        <v>3568</v>
      </c>
      <c r="H101">
        <v>81</v>
      </c>
      <c r="I101" s="3">
        <v>90.9</v>
      </c>
      <c r="J101">
        <v>8</v>
      </c>
      <c r="K101" t="s">
        <v>30</v>
      </c>
    </row>
    <row r="102" spans="1:11" x14ac:dyDescent="0.2">
      <c r="A102" t="s">
        <v>235</v>
      </c>
      <c r="B102" t="s">
        <v>236</v>
      </c>
      <c r="C102" s="2">
        <v>44994</v>
      </c>
      <c r="D102" s="2">
        <v>45017</v>
      </c>
      <c r="E102">
        <f t="shared" si="1"/>
        <v>23</v>
      </c>
      <c r="F102" t="s">
        <v>14</v>
      </c>
      <c r="G102">
        <v>63592</v>
      </c>
      <c r="H102">
        <v>3111</v>
      </c>
      <c r="I102">
        <v>3433</v>
      </c>
      <c r="J102">
        <v>156</v>
      </c>
      <c r="K102" t="s">
        <v>24</v>
      </c>
    </row>
    <row r="103" spans="1:11" x14ac:dyDescent="0.2">
      <c r="A103" t="s">
        <v>237</v>
      </c>
      <c r="B103" t="s">
        <v>238</v>
      </c>
      <c r="C103" s="2">
        <v>45052</v>
      </c>
      <c r="D103" s="2">
        <v>45059</v>
      </c>
      <c r="E103">
        <f t="shared" si="1"/>
        <v>7</v>
      </c>
      <c r="F103" t="s">
        <v>41</v>
      </c>
      <c r="G103">
        <v>68563</v>
      </c>
      <c r="H103">
        <v>2276</v>
      </c>
      <c r="I103">
        <v>2471.4899999999998</v>
      </c>
      <c r="J103">
        <v>403</v>
      </c>
      <c r="K103" t="b">
        <v>1</v>
      </c>
    </row>
    <row r="104" spans="1:11" x14ac:dyDescent="0.2">
      <c r="A104" t="s">
        <v>239</v>
      </c>
      <c r="B104" t="s">
        <v>240</v>
      </c>
      <c r="C104" s="2">
        <v>45205</v>
      </c>
      <c r="D104" s="2">
        <v>45234</v>
      </c>
      <c r="E104">
        <f t="shared" si="1"/>
        <v>29</v>
      </c>
      <c r="F104" t="s">
        <v>138</v>
      </c>
      <c r="G104">
        <v>3695</v>
      </c>
      <c r="H104">
        <v>74</v>
      </c>
      <c r="I104" s="3">
        <v>44.7</v>
      </c>
      <c r="J104">
        <v>7</v>
      </c>
      <c r="K104">
        <v>0</v>
      </c>
    </row>
    <row r="105" spans="1:11" x14ac:dyDescent="0.2">
      <c r="A105" t="s">
        <v>241</v>
      </c>
      <c r="B105" t="s">
        <v>242</v>
      </c>
      <c r="C105" s="2">
        <v>45261</v>
      </c>
      <c r="D105" s="2">
        <v>45266</v>
      </c>
      <c r="E105">
        <f t="shared" si="1"/>
        <v>5</v>
      </c>
      <c r="F105" t="s">
        <v>23</v>
      </c>
      <c r="G105">
        <v>49190</v>
      </c>
      <c r="H105">
        <v>1518</v>
      </c>
      <c r="I105">
        <v>2212.46</v>
      </c>
      <c r="J105">
        <v>188</v>
      </c>
      <c r="K105" t="s">
        <v>30</v>
      </c>
    </row>
    <row r="106" spans="1:11" x14ac:dyDescent="0.2">
      <c r="A106" t="s">
        <v>243</v>
      </c>
      <c r="B106" t="s">
        <v>244</v>
      </c>
      <c r="C106" s="2">
        <v>45210</v>
      </c>
      <c r="D106" s="2">
        <v>45221</v>
      </c>
      <c r="E106">
        <f t="shared" si="1"/>
        <v>11</v>
      </c>
      <c r="F106" t="s">
        <v>14</v>
      </c>
      <c r="G106">
        <v>6258</v>
      </c>
      <c r="H106">
        <v>148</v>
      </c>
      <c r="I106">
        <v>236.73</v>
      </c>
      <c r="J106">
        <v>7</v>
      </c>
      <c r="K106" t="b">
        <v>1</v>
      </c>
    </row>
    <row r="107" spans="1:11" x14ac:dyDescent="0.2">
      <c r="A107" t="s">
        <v>245</v>
      </c>
      <c r="B107" t="s">
        <v>246</v>
      </c>
      <c r="C107" s="2">
        <v>44995</v>
      </c>
      <c r="D107" s="2">
        <v>45021</v>
      </c>
      <c r="E107">
        <f t="shared" si="1"/>
        <v>26</v>
      </c>
      <c r="F107" t="s">
        <v>41</v>
      </c>
      <c r="G107">
        <v>88538</v>
      </c>
      <c r="H107">
        <v>2770</v>
      </c>
      <c r="I107">
        <v>4194.3</v>
      </c>
      <c r="J107">
        <v>342</v>
      </c>
      <c r="K107">
        <v>0</v>
      </c>
    </row>
    <row r="108" spans="1:11" x14ac:dyDescent="0.2">
      <c r="A108" t="s">
        <v>247</v>
      </c>
      <c r="B108" t="s">
        <v>248</v>
      </c>
      <c r="C108" s="2">
        <v>45210</v>
      </c>
      <c r="D108" s="2">
        <v>45231</v>
      </c>
      <c r="E108">
        <f t="shared" si="1"/>
        <v>21</v>
      </c>
      <c r="F108" t="s">
        <v>41</v>
      </c>
      <c r="G108">
        <v>40504</v>
      </c>
      <c r="H108">
        <v>608</v>
      </c>
      <c r="I108">
        <v>430.25</v>
      </c>
      <c r="J108">
        <v>120</v>
      </c>
      <c r="K108" t="s">
        <v>24</v>
      </c>
    </row>
    <row r="109" spans="1:11" x14ac:dyDescent="0.2">
      <c r="A109" t="s">
        <v>249</v>
      </c>
      <c r="B109" t="s">
        <v>250</v>
      </c>
      <c r="C109" s="2">
        <v>45034</v>
      </c>
      <c r="D109" s="2">
        <v>45053</v>
      </c>
      <c r="E109">
        <f t="shared" si="1"/>
        <v>19</v>
      </c>
      <c r="F109" t="s">
        <v>41</v>
      </c>
      <c r="G109">
        <v>34159</v>
      </c>
      <c r="H109">
        <v>522</v>
      </c>
      <c r="I109">
        <v>714.23</v>
      </c>
      <c r="J109">
        <v>47</v>
      </c>
      <c r="K109" t="s">
        <v>24</v>
      </c>
    </row>
    <row r="110" spans="1:11" x14ac:dyDescent="0.2">
      <c r="A110" t="s">
        <v>251</v>
      </c>
      <c r="B110" t="s">
        <v>252</v>
      </c>
      <c r="C110" s="2">
        <v>45251</v>
      </c>
      <c r="D110" s="2">
        <v>45281</v>
      </c>
      <c r="E110">
        <f t="shared" si="1"/>
        <v>30</v>
      </c>
      <c r="F110" t="s">
        <v>14</v>
      </c>
      <c r="G110">
        <v>14986</v>
      </c>
      <c r="H110">
        <v>235</v>
      </c>
      <c r="I110">
        <v>318.24</v>
      </c>
      <c r="J110">
        <v>25</v>
      </c>
      <c r="K110">
        <v>1</v>
      </c>
    </row>
    <row r="111" spans="1:11" x14ac:dyDescent="0.2">
      <c r="A111" t="s">
        <v>253</v>
      </c>
      <c r="B111" t="s">
        <v>254</v>
      </c>
      <c r="C111" s="2">
        <v>45055</v>
      </c>
      <c r="D111" s="2">
        <v>45063</v>
      </c>
      <c r="E111">
        <f t="shared" si="1"/>
        <v>8</v>
      </c>
      <c r="F111" t="s">
        <v>33</v>
      </c>
      <c r="G111">
        <v>62858</v>
      </c>
      <c r="H111">
        <v>2991</v>
      </c>
      <c r="I111">
        <v>5391.63</v>
      </c>
      <c r="J111">
        <v>457</v>
      </c>
      <c r="K111">
        <v>0</v>
      </c>
    </row>
    <row r="112" spans="1:11" x14ac:dyDescent="0.2">
      <c r="A112" t="s">
        <v>255</v>
      </c>
      <c r="B112" t="s">
        <v>256</v>
      </c>
      <c r="C112" s="2">
        <v>44974</v>
      </c>
      <c r="D112" s="2">
        <v>44997</v>
      </c>
      <c r="E112">
        <f t="shared" si="1"/>
        <v>23</v>
      </c>
      <c r="F112" t="s">
        <v>23</v>
      </c>
      <c r="G112">
        <v>13666</v>
      </c>
      <c r="H112">
        <v>537</v>
      </c>
      <c r="I112">
        <v>573.89</v>
      </c>
      <c r="J112">
        <v>92</v>
      </c>
      <c r="K112">
        <v>0</v>
      </c>
    </row>
    <row r="113" spans="1:11" x14ac:dyDescent="0.2">
      <c r="A113" t="s">
        <v>257</v>
      </c>
      <c r="B113" t="s">
        <v>258</v>
      </c>
      <c r="C113" s="2">
        <v>44949</v>
      </c>
      <c r="D113" s="2">
        <v>44968</v>
      </c>
      <c r="E113">
        <f t="shared" si="1"/>
        <v>19</v>
      </c>
      <c r="F113" t="s">
        <v>23</v>
      </c>
      <c r="G113">
        <v>39660</v>
      </c>
      <c r="H113">
        <v>654</v>
      </c>
      <c r="I113">
        <v>691.43</v>
      </c>
      <c r="J113">
        <v>73</v>
      </c>
      <c r="K113" t="s">
        <v>24</v>
      </c>
    </row>
    <row r="114" spans="1:11" x14ac:dyDescent="0.2">
      <c r="A114" t="s">
        <v>260</v>
      </c>
      <c r="B114" t="s">
        <v>261</v>
      </c>
      <c r="C114" s="2">
        <v>44993</v>
      </c>
      <c r="D114" s="2">
        <v>45013</v>
      </c>
      <c r="E114">
        <f t="shared" si="1"/>
        <v>20</v>
      </c>
      <c r="F114" t="s">
        <v>33</v>
      </c>
      <c r="G114">
        <v>4561</v>
      </c>
      <c r="H114">
        <v>79</v>
      </c>
      <c r="I114">
        <v>112.8</v>
      </c>
      <c r="J114">
        <v>7</v>
      </c>
      <c r="K114">
        <v>0</v>
      </c>
    </row>
    <row r="115" spans="1:11" x14ac:dyDescent="0.2">
      <c r="A115" t="s">
        <v>262</v>
      </c>
      <c r="B115" t="s">
        <v>263</v>
      </c>
      <c r="C115" s="2">
        <v>45153</v>
      </c>
      <c r="D115" s="2">
        <v>45161</v>
      </c>
      <c r="E115">
        <f t="shared" si="1"/>
        <v>8</v>
      </c>
      <c r="F115" t="s">
        <v>19</v>
      </c>
      <c r="G115">
        <v>27854</v>
      </c>
      <c r="H115">
        <v>1092</v>
      </c>
      <c r="I115">
        <v>1582.97</v>
      </c>
      <c r="J115">
        <v>208</v>
      </c>
      <c r="K115" t="s">
        <v>15</v>
      </c>
    </row>
    <row r="116" spans="1:11" x14ac:dyDescent="0.2">
      <c r="A116" t="s">
        <v>264</v>
      </c>
      <c r="B116" t="s">
        <v>265</v>
      </c>
      <c r="C116" s="2">
        <v>44931</v>
      </c>
      <c r="D116" s="2">
        <v>44958</v>
      </c>
      <c r="E116">
        <f t="shared" si="1"/>
        <v>27</v>
      </c>
      <c r="F116" t="s">
        <v>266</v>
      </c>
      <c r="G116">
        <v>65505</v>
      </c>
      <c r="H116">
        <v>1064</v>
      </c>
      <c r="I116">
        <v>1280.98</v>
      </c>
      <c r="J116">
        <v>161</v>
      </c>
      <c r="K116">
        <v>1</v>
      </c>
    </row>
    <row r="117" spans="1:11" x14ac:dyDescent="0.2">
      <c r="A117" t="s">
        <v>267</v>
      </c>
      <c r="B117" t="s">
        <v>268</v>
      </c>
      <c r="C117" s="2">
        <v>45280</v>
      </c>
      <c r="D117" s="2">
        <v>45307</v>
      </c>
      <c r="E117">
        <f t="shared" si="1"/>
        <v>27</v>
      </c>
      <c r="F117" t="s">
        <v>19</v>
      </c>
      <c r="G117">
        <v>53251</v>
      </c>
      <c r="H117">
        <v>1032</v>
      </c>
      <c r="I117">
        <v>1201.8599999999999</v>
      </c>
      <c r="J117">
        <v>70</v>
      </c>
      <c r="K117" t="s">
        <v>30</v>
      </c>
    </row>
    <row r="118" spans="1:11" x14ac:dyDescent="0.2">
      <c r="A118" t="s">
        <v>269</v>
      </c>
      <c r="B118" t="s">
        <v>270</v>
      </c>
      <c r="C118" s="2">
        <v>45116</v>
      </c>
      <c r="D118" s="2">
        <v>45124</v>
      </c>
      <c r="E118">
        <f t="shared" si="1"/>
        <v>8</v>
      </c>
      <c r="F118" t="s">
        <v>14</v>
      </c>
      <c r="G118">
        <v>23662</v>
      </c>
      <c r="H118">
        <v>1148</v>
      </c>
      <c r="I118">
        <v>1424.92</v>
      </c>
      <c r="K118" t="s">
        <v>30</v>
      </c>
    </row>
    <row r="119" spans="1:11" x14ac:dyDescent="0.2">
      <c r="A119" t="s">
        <v>271</v>
      </c>
      <c r="B119" t="s">
        <v>272</v>
      </c>
      <c r="C119" s="2">
        <v>45008</v>
      </c>
      <c r="D119" s="2">
        <v>45110</v>
      </c>
      <c r="E119">
        <f t="shared" si="1"/>
        <v>102</v>
      </c>
      <c r="F119" t="s">
        <v>41</v>
      </c>
      <c r="G119">
        <v>9392</v>
      </c>
      <c r="H119">
        <v>189</v>
      </c>
      <c r="I119">
        <v>338.61</v>
      </c>
      <c r="J119">
        <v>23</v>
      </c>
      <c r="K119" t="b">
        <v>1</v>
      </c>
    </row>
    <row r="120" spans="1:11" x14ac:dyDescent="0.2">
      <c r="A120" t="s">
        <v>273</v>
      </c>
      <c r="B120" t="s">
        <v>274</v>
      </c>
      <c r="C120" s="2">
        <v>45113</v>
      </c>
      <c r="D120" s="2">
        <v>45132</v>
      </c>
      <c r="E120">
        <f t="shared" si="1"/>
        <v>19</v>
      </c>
      <c r="F120" t="s">
        <v>266</v>
      </c>
      <c r="G120">
        <v>31535</v>
      </c>
      <c r="H120">
        <v>1149</v>
      </c>
      <c r="I120">
        <v>1369.32</v>
      </c>
      <c r="J120">
        <v>95</v>
      </c>
      <c r="K120" t="s">
        <v>30</v>
      </c>
    </row>
    <row r="121" spans="1:11" x14ac:dyDescent="0.2">
      <c r="A121" t="s">
        <v>275</v>
      </c>
      <c r="B121" t="s">
        <v>276</v>
      </c>
      <c r="C121" s="2">
        <v>44947</v>
      </c>
      <c r="D121" s="2">
        <v>44963</v>
      </c>
      <c r="E121">
        <f t="shared" si="1"/>
        <v>16</v>
      </c>
      <c r="F121" t="s">
        <v>19</v>
      </c>
      <c r="G121">
        <v>79603</v>
      </c>
      <c r="H121">
        <v>3912</v>
      </c>
      <c r="I121">
        <v>7471.52</v>
      </c>
      <c r="J121">
        <v>344</v>
      </c>
      <c r="K121" t="b">
        <v>0</v>
      </c>
    </row>
    <row r="122" spans="1:11" x14ac:dyDescent="0.2">
      <c r="A122" t="s">
        <v>277</v>
      </c>
      <c r="B122" t="s">
        <v>278</v>
      </c>
      <c r="C122" s="2">
        <v>45054</v>
      </c>
      <c r="D122" s="2">
        <v>45083</v>
      </c>
      <c r="E122">
        <f t="shared" si="1"/>
        <v>29</v>
      </c>
      <c r="F122" t="s">
        <v>23</v>
      </c>
      <c r="G122">
        <v>53256</v>
      </c>
      <c r="H122">
        <v>1329</v>
      </c>
      <c r="I122">
        <v>1669.23</v>
      </c>
      <c r="J122">
        <v>241</v>
      </c>
      <c r="K122">
        <v>0</v>
      </c>
    </row>
    <row r="123" spans="1:11" x14ac:dyDescent="0.2">
      <c r="A123" t="s">
        <v>279</v>
      </c>
      <c r="B123" t="s">
        <v>280</v>
      </c>
      <c r="C123" s="2">
        <v>45213</v>
      </c>
      <c r="D123" s="2">
        <v>45214</v>
      </c>
      <c r="E123">
        <f t="shared" si="1"/>
        <v>1</v>
      </c>
      <c r="F123" t="s">
        <v>33</v>
      </c>
      <c r="G123">
        <v>90135</v>
      </c>
      <c r="H123">
        <v>964</v>
      </c>
      <c r="I123">
        <v>1854.54</v>
      </c>
      <c r="J123">
        <v>61</v>
      </c>
      <c r="K123" t="s">
        <v>30</v>
      </c>
    </row>
    <row r="124" spans="1:11" x14ac:dyDescent="0.2">
      <c r="A124" t="s">
        <v>281</v>
      </c>
      <c r="B124" t="s">
        <v>282</v>
      </c>
      <c r="C124" s="2">
        <v>45244</v>
      </c>
      <c r="D124" s="2">
        <v>45255</v>
      </c>
      <c r="E124">
        <f t="shared" si="1"/>
        <v>11</v>
      </c>
      <c r="F124" t="s">
        <v>19</v>
      </c>
      <c r="G124">
        <v>36222</v>
      </c>
      <c r="H124">
        <v>715</v>
      </c>
      <c r="I124" s="3">
        <v>1250.71</v>
      </c>
      <c r="J124">
        <v>112</v>
      </c>
      <c r="K124" t="b">
        <v>1</v>
      </c>
    </row>
    <row r="125" spans="1:11" x14ac:dyDescent="0.2">
      <c r="A125" t="s">
        <v>283</v>
      </c>
      <c r="B125" t="s">
        <v>284</v>
      </c>
      <c r="C125" s="2">
        <v>45048</v>
      </c>
      <c r="D125" s="2">
        <v>45065</v>
      </c>
      <c r="E125">
        <f t="shared" si="1"/>
        <v>17</v>
      </c>
      <c r="F125" t="s">
        <v>138</v>
      </c>
      <c r="G125">
        <v>78373</v>
      </c>
      <c r="H125">
        <v>3388</v>
      </c>
      <c r="I125">
        <v>3535.88</v>
      </c>
      <c r="J125">
        <v>307</v>
      </c>
      <c r="K125" t="b">
        <v>1</v>
      </c>
    </row>
    <row r="126" spans="1:11" x14ac:dyDescent="0.2">
      <c r="A126" t="s">
        <v>285</v>
      </c>
      <c r="B126" t="s">
        <v>286</v>
      </c>
      <c r="C126" s="2">
        <v>44959</v>
      </c>
      <c r="D126" s="2">
        <v>45017</v>
      </c>
      <c r="E126">
        <f t="shared" si="1"/>
        <v>58</v>
      </c>
      <c r="F126" t="s">
        <v>23</v>
      </c>
      <c r="G126">
        <v>80575</v>
      </c>
      <c r="H126">
        <v>3592</v>
      </c>
      <c r="I126">
        <v>6449.3</v>
      </c>
      <c r="J126">
        <v>589</v>
      </c>
      <c r="K126" t="b">
        <v>0</v>
      </c>
    </row>
    <row r="127" spans="1:11" x14ac:dyDescent="0.2">
      <c r="A127" t="s">
        <v>287</v>
      </c>
      <c r="B127" t="s">
        <v>288</v>
      </c>
      <c r="C127" s="2">
        <v>45097</v>
      </c>
      <c r="D127" s="2">
        <v>45101</v>
      </c>
      <c r="E127">
        <f t="shared" si="1"/>
        <v>4</v>
      </c>
      <c r="F127" t="s">
        <v>23</v>
      </c>
      <c r="G127">
        <v>97354</v>
      </c>
      <c r="H127">
        <v>3966</v>
      </c>
      <c r="I127">
        <v>2637.77</v>
      </c>
      <c r="J127">
        <v>628</v>
      </c>
      <c r="K127" t="b">
        <v>1</v>
      </c>
    </row>
    <row r="128" spans="1:11" x14ac:dyDescent="0.2">
      <c r="A128" t="s">
        <v>289</v>
      </c>
      <c r="B128" t="s">
        <v>290</v>
      </c>
      <c r="C128" s="2">
        <v>45269</v>
      </c>
      <c r="D128" s="2">
        <v>45282</v>
      </c>
      <c r="E128">
        <f t="shared" si="1"/>
        <v>13</v>
      </c>
      <c r="F128" t="s">
        <v>33</v>
      </c>
      <c r="G128">
        <v>85651</v>
      </c>
      <c r="H128">
        <v>1244</v>
      </c>
      <c r="I128" s="3">
        <v>2348.14</v>
      </c>
      <c r="J128">
        <v>63</v>
      </c>
      <c r="K128" t="s">
        <v>24</v>
      </c>
    </row>
    <row r="129" spans="1:11" x14ac:dyDescent="0.2">
      <c r="A129" t="s">
        <v>291</v>
      </c>
      <c r="B129" t="s">
        <v>292</v>
      </c>
      <c r="C129" s="2">
        <v>45063</v>
      </c>
      <c r="D129" s="2">
        <v>45088</v>
      </c>
      <c r="E129">
        <f t="shared" si="1"/>
        <v>25</v>
      </c>
      <c r="F129" t="s">
        <v>33</v>
      </c>
      <c r="G129">
        <v>64335</v>
      </c>
      <c r="H129">
        <v>2690</v>
      </c>
      <c r="I129">
        <v>3893.68</v>
      </c>
      <c r="K129" t="s">
        <v>15</v>
      </c>
    </row>
    <row r="130" spans="1:11" x14ac:dyDescent="0.2">
      <c r="A130" t="s">
        <v>293</v>
      </c>
      <c r="B130" t="s">
        <v>294</v>
      </c>
      <c r="C130" s="2">
        <v>45122</v>
      </c>
      <c r="D130" s="2">
        <v>45127</v>
      </c>
      <c r="E130">
        <f t="shared" ref="E130:E193" si="2">D130-C130</f>
        <v>5</v>
      </c>
      <c r="F130" t="s">
        <v>14</v>
      </c>
      <c r="G130">
        <v>11965</v>
      </c>
      <c r="H130">
        <v>559</v>
      </c>
      <c r="I130">
        <v>325.11</v>
      </c>
      <c r="J130">
        <v>39</v>
      </c>
      <c r="K130" t="s">
        <v>24</v>
      </c>
    </row>
    <row r="131" spans="1:11" x14ac:dyDescent="0.2">
      <c r="A131" t="s">
        <v>295</v>
      </c>
      <c r="B131" t="s">
        <v>296</v>
      </c>
      <c r="C131" s="2">
        <v>45040</v>
      </c>
      <c r="D131" s="2">
        <v>45060</v>
      </c>
      <c r="E131">
        <f t="shared" si="2"/>
        <v>20</v>
      </c>
      <c r="F131" t="s">
        <v>19</v>
      </c>
      <c r="G131">
        <v>25538</v>
      </c>
      <c r="H131">
        <v>868</v>
      </c>
      <c r="I131" s="3">
        <v>1272.82</v>
      </c>
      <c r="J131">
        <v>156</v>
      </c>
      <c r="K131">
        <v>0</v>
      </c>
    </row>
    <row r="132" spans="1:11" x14ac:dyDescent="0.2">
      <c r="A132" t="s">
        <v>297</v>
      </c>
      <c r="B132" t="s">
        <v>298</v>
      </c>
      <c r="C132" s="2">
        <v>45106</v>
      </c>
      <c r="D132" s="2">
        <v>45117</v>
      </c>
      <c r="E132">
        <f t="shared" si="2"/>
        <v>11</v>
      </c>
      <c r="F132" t="s">
        <v>41</v>
      </c>
      <c r="G132">
        <v>71592</v>
      </c>
      <c r="H132">
        <v>3410</v>
      </c>
      <c r="I132">
        <v>6688.28</v>
      </c>
      <c r="J132">
        <v>616</v>
      </c>
      <c r="K132">
        <v>0</v>
      </c>
    </row>
    <row r="133" spans="1:11" x14ac:dyDescent="0.2">
      <c r="A133" t="s">
        <v>299</v>
      </c>
      <c r="B133" t="s">
        <v>300</v>
      </c>
      <c r="C133" s="2">
        <v>45043</v>
      </c>
      <c r="D133" s="2">
        <v>45046</v>
      </c>
      <c r="E133">
        <f t="shared" si="2"/>
        <v>3</v>
      </c>
      <c r="F133" t="s">
        <v>41</v>
      </c>
      <c r="G133">
        <v>99018</v>
      </c>
      <c r="H133">
        <v>4265</v>
      </c>
      <c r="I133">
        <v>2579.0500000000002</v>
      </c>
      <c r="J133">
        <v>480</v>
      </c>
      <c r="K133">
        <v>0</v>
      </c>
    </row>
    <row r="134" spans="1:11" x14ac:dyDescent="0.2">
      <c r="A134" t="s">
        <v>301</v>
      </c>
      <c r="B134" t="s">
        <v>302</v>
      </c>
      <c r="C134" s="2">
        <v>45131</v>
      </c>
      <c r="D134" s="2">
        <v>45148</v>
      </c>
      <c r="E134">
        <f t="shared" si="2"/>
        <v>17</v>
      </c>
      <c r="F134" t="s">
        <v>19</v>
      </c>
      <c r="G134">
        <v>9110</v>
      </c>
      <c r="H134">
        <v>334</v>
      </c>
      <c r="I134">
        <v>444.9</v>
      </c>
      <c r="J134">
        <v>38</v>
      </c>
      <c r="K134">
        <v>1</v>
      </c>
    </row>
    <row r="135" spans="1:11" x14ac:dyDescent="0.2">
      <c r="A135" t="s">
        <v>303</v>
      </c>
      <c r="B135" t="s">
        <v>304</v>
      </c>
      <c r="C135" s="2">
        <v>45069</v>
      </c>
      <c r="D135" s="2">
        <v>45085</v>
      </c>
      <c r="E135">
        <f t="shared" si="2"/>
        <v>16</v>
      </c>
      <c r="F135" t="s">
        <v>19</v>
      </c>
      <c r="G135">
        <v>80309</v>
      </c>
      <c r="H135">
        <v>2657</v>
      </c>
      <c r="I135">
        <v>4308.83</v>
      </c>
      <c r="J135">
        <v>253</v>
      </c>
      <c r="K135" t="s">
        <v>30</v>
      </c>
    </row>
    <row r="136" spans="1:11" x14ac:dyDescent="0.2">
      <c r="A136" t="s">
        <v>305</v>
      </c>
      <c r="B136" t="s">
        <v>306</v>
      </c>
      <c r="C136" s="2">
        <v>45274</v>
      </c>
      <c r="D136" s="2">
        <v>45289</v>
      </c>
      <c r="E136">
        <f t="shared" si="2"/>
        <v>15</v>
      </c>
      <c r="F136" t="s">
        <v>41</v>
      </c>
      <c r="G136">
        <v>28266</v>
      </c>
      <c r="H136">
        <v>676</v>
      </c>
      <c r="I136" s="3">
        <v>1159.5999999999999</v>
      </c>
      <c r="K136" t="s">
        <v>15</v>
      </c>
    </row>
    <row r="137" spans="1:11" x14ac:dyDescent="0.2">
      <c r="A137" t="s">
        <v>307</v>
      </c>
      <c r="B137" t="s">
        <v>308</v>
      </c>
      <c r="C137" s="2">
        <v>44941</v>
      </c>
      <c r="D137" s="2">
        <v>44961</v>
      </c>
      <c r="E137">
        <f t="shared" si="2"/>
        <v>20</v>
      </c>
      <c r="F137" t="s">
        <v>41</v>
      </c>
      <c r="G137">
        <v>53992</v>
      </c>
      <c r="H137">
        <v>883</v>
      </c>
      <c r="I137">
        <v>989.61</v>
      </c>
      <c r="J137">
        <v>91</v>
      </c>
      <c r="K137" t="s">
        <v>30</v>
      </c>
    </row>
    <row r="138" spans="1:11" x14ac:dyDescent="0.2">
      <c r="A138" t="s">
        <v>309</v>
      </c>
      <c r="B138" t="s">
        <v>310</v>
      </c>
      <c r="C138" s="2">
        <v>45018</v>
      </c>
      <c r="D138" s="2">
        <v>45047</v>
      </c>
      <c r="E138">
        <f t="shared" si="2"/>
        <v>29</v>
      </c>
      <c r="F138" t="s">
        <v>41</v>
      </c>
      <c r="G138">
        <v>83948</v>
      </c>
      <c r="H138">
        <v>2870</v>
      </c>
      <c r="I138">
        <v>2313.94</v>
      </c>
      <c r="J138">
        <v>258</v>
      </c>
      <c r="K138" t="s">
        <v>15</v>
      </c>
    </row>
    <row r="139" spans="1:11" x14ac:dyDescent="0.2">
      <c r="A139" t="s">
        <v>311</v>
      </c>
      <c r="B139" t="s">
        <v>312</v>
      </c>
      <c r="C139" s="2">
        <v>44946</v>
      </c>
      <c r="D139" s="2">
        <v>44975</v>
      </c>
      <c r="E139">
        <f t="shared" si="2"/>
        <v>29</v>
      </c>
      <c r="F139" t="s">
        <v>19</v>
      </c>
      <c r="G139">
        <v>99806</v>
      </c>
      <c r="H139">
        <v>2268</v>
      </c>
      <c r="I139">
        <v>1278.05</v>
      </c>
      <c r="J139">
        <v>260</v>
      </c>
      <c r="K139" t="s">
        <v>30</v>
      </c>
    </row>
    <row r="140" spans="1:11" x14ac:dyDescent="0.2">
      <c r="A140" t="s">
        <v>313</v>
      </c>
      <c r="B140" t="s">
        <v>314</v>
      </c>
      <c r="C140" s="2">
        <v>45087</v>
      </c>
      <c r="D140" s="2">
        <v>45111</v>
      </c>
      <c r="E140">
        <f t="shared" si="2"/>
        <v>24</v>
      </c>
      <c r="F140" t="s">
        <v>33</v>
      </c>
      <c r="G140">
        <v>7910</v>
      </c>
      <c r="H140">
        <v>353</v>
      </c>
      <c r="I140" s="3">
        <v>483.47</v>
      </c>
      <c r="J140">
        <v>22</v>
      </c>
      <c r="K140" t="b">
        <v>0</v>
      </c>
    </row>
    <row r="141" spans="1:11" x14ac:dyDescent="0.2">
      <c r="A141" t="s">
        <v>315</v>
      </c>
      <c r="B141" t="s">
        <v>316</v>
      </c>
      <c r="C141" s="2">
        <v>44986</v>
      </c>
      <c r="D141" s="2">
        <v>44995</v>
      </c>
      <c r="E141">
        <f t="shared" si="2"/>
        <v>9</v>
      </c>
      <c r="F141" t="s">
        <v>33</v>
      </c>
      <c r="G141">
        <v>91982</v>
      </c>
      <c r="H141">
        <v>4574</v>
      </c>
      <c r="I141">
        <v>5394.42</v>
      </c>
      <c r="K141" t="s">
        <v>24</v>
      </c>
    </row>
    <row r="142" spans="1:11" x14ac:dyDescent="0.2">
      <c r="A142" t="s">
        <v>317</v>
      </c>
      <c r="B142" t="s">
        <v>318</v>
      </c>
      <c r="C142" s="2">
        <v>45060</v>
      </c>
      <c r="D142" s="2">
        <v>45235</v>
      </c>
      <c r="E142">
        <f t="shared" si="2"/>
        <v>175</v>
      </c>
      <c r="F142" t="s">
        <v>19</v>
      </c>
      <c r="G142">
        <v>1206</v>
      </c>
      <c r="H142">
        <v>48</v>
      </c>
      <c r="I142">
        <v>92.31</v>
      </c>
      <c r="J142">
        <v>2</v>
      </c>
      <c r="K142" t="b">
        <v>1</v>
      </c>
    </row>
    <row r="143" spans="1:11" x14ac:dyDescent="0.2">
      <c r="A143" t="s">
        <v>319</v>
      </c>
      <c r="B143" t="s">
        <v>320</v>
      </c>
      <c r="C143" s="2">
        <v>45165</v>
      </c>
      <c r="D143" s="2">
        <v>45268</v>
      </c>
      <c r="E143">
        <f t="shared" si="2"/>
        <v>103</v>
      </c>
      <c r="F143" t="s">
        <v>14</v>
      </c>
      <c r="G143">
        <v>88054</v>
      </c>
      <c r="H143">
        <v>1199</v>
      </c>
      <c r="I143" s="3">
        <v>708.5</v>
      </c>
      <c r="J143">
        <v>175</v>
      </c>
      <c r="K143" t="b">
        <v>1</v>
      </c>
    </row>
    <row r="144" spans="1:11" x14ac:dyDescent="0.2">
      <c r="A144" t="s">
        <v>321</v>
      </c>
      <c r="B144" t="s">
        <v>322</v>
      </c>
      <c r="C144" s="2">
        <v>45202</v>
      </c>
      <c r="D144" s="2">
        <v>45215</v>
      </c>
      <c r="E144">
        <f t="shared" si="2"/>
        <v>13</v>
      </c>
      <c r="F144" t="s">
        <v>19</v>
      </c>
      <c r="G144">
        <v>88897</v>
      </c>
      <c r="H144">
        <v>1915</v>
      </c>
      <c r="I144">
        <v>2926.3</v>
      </c>
      <c r="J144">
        <v>148</v>
      </c>
      <c r="K144" t="s">
        <v>24</v>
      </c>
    </row>
    <row r="145" spans="1:11" x14ac:dyDescent="0.2">
      <c r="A145" t="s">
        <v>323</v>
      </c>
      <c r="B145" t="s">
        <v>324</v>
      </c>
      <c r="C145" s="2">
        <v>45270</v>
      </c>
      <c r="D145" s="2">
        <v>45295</v>
      </c>
      <c r="E145">
        <f t="shared" si="2"/>
        <v>25</v>
      </c>
      <c r="F145" t="s">
        <v>41</v>
      </c>
      <c r="G145">
        <v>24419</v>
      </c>
      <c r="H145">
        <v>350</v>
      </c>
      <c r="I145">
        <v>188.11</v>
      </c>
      <c r="J145">
        <v>29</v>
      </c>
      <c r="K145" t="b">
        <v>0</v>
      </c>
    </row>
    <row r="146" spans="1:11" x14ac:dyDescent="0.2">
      <c r="A146" t="s">
        <v>325</v>
      </c>
      <c r="B146" t="s">
        <v>326</v>
      </c>
      <c r="C146" s="2">
        <v>45267</v>
      </c>
      <c r="D146" s="2">
        <v>45274</v>
      </c>
      <c r="E146">
        <f t="shared" si="2"/>
        <v>7</v>
      </c>
      <c r="F146" t="s">
        <v>19</v>
      </c>
      <c r="G146">
        <v>51636</v>
      </c>
      <c r="H146">
        <v>1859</v>
      </c>
      <c r="I146">
        <v>-1407.54</v>
      </c>
      <c r="J146">
        <v>270</v>
      </c>
      <c r="K146" t="s">
        <v>15</v>
      </c>
    </row>
    <row r="147" spans="1:11" x14ac:dyDescent="0.2">
      <c r="A147" t="s">
        <v>327</v>
      </c>
      <c r="B147" t="s">
        <v>328</v>
      </c>
      <c r="C147" s="2">
        <v>45266</v>
      </c>
      <c r="D147" s="2">
        <v>45292</v>
      </c>
      <c r="E147">
        <f t="shared" si="2"/>
        <v>26</v>
      </c>
      <c r="F147" t="s">
        <v>41</v>
      </c>
      <c r="G147">
        <v>51015</v>
      </c>
      <c r="H147">
        <v>2071</v>
      </c>
      <c r="I147">
        <v>2444.54</v>
      </c>
      <c r="K147" t="s">
        <v>24</v>
      </c>
    </row>
    <row r="148" spans="1:11" x14ac:dyDescent="0.2">
      <c r="A148" t="s">
        <v>329</v>
      </c>
      <c r="B148" t="s">
        <v>330</v>
      </c>
      <c r="C148" s="2">
        <v>45080</v>
      </c>
      <c r="D148" s="2">
        <v>45105</v>
      </c>
      <c r="E148">
        <f t="shared" si="2"/>
        <v>25</v>
      </c>
      <c r="F148" t="s">
        <v>19</v>
      </c>
      <c r="G148">
        <v>55268</v>
      </c>
      <c r="H148">
        <v>2599</v>
      </c>
      <c r="I148">
        <v>3072.82</v>
      </c>
      <c r="J148">
        <v>433</v>
      </c>
      <c r="K148">
        <v>1</v>
      </c>
    </row>
    <row r="149" spans="1:11" x14ac:dyDescent="0.2">
      <c r="A149" t="s">
        <v>331</v>
      </c>
      <c r="B149" t="s">
        <v>332</v>
      </c>
      <c r="C149" s="2">
        <v>45094</v>
      </c>
      <c r="D149" s="2">
        <v>45103</v>
      </c>
      <c r="E149">
        <f t="shared" si="2"/>
        <v>9</v>
      </c>
      <c r="F149" t="s">
        <v>33</v>
      </c>
      <c r="G149">
        <v>88939</v>
      </c>
      <c r="H149">
        <v>2448</v>
      </c>
      <c r="I149" s="3">
        <v>3741.89</v>
      </c>
      <c r="J149">
        <v>205</v>
      </c>
      <c r="K149" t="s">
        <v>15</v>
      </c>
    </row>
    <row r="150" spans="1:11" x14ac:dyDescent="0.2">
      <c r="A150" t="s">
        <v>333</v>
      </c>
      <c r="B150" t="s">
        <v>334</v>
      </c>
      <c r="C150" s="2">
        <v>44992</v>
      </c>
      <c r="D150" s="2">
        <v>45015</v>
      </c>
      <c r="E150">
        <f t="shared" si="2"/>
        <v>23</v>
      </c>
      <c r="F150" t="s">
        <v>19</v>
      </c>
      <c r="G150">
        <v>19141</v>
      </c>
      <c r="H150">
        <v>881</v>
      </c>
      <c r="I150">
        <v>1643.35</v>
      </c>
      <c r="J150">
        <v>67</v>
      </c>
      <c r="K150" t="b">
        <v>1</v>
      </c>
    </row>
    <row r="151" spans="1:11" x14ac:dyDescent="0.2">
      <c r="A151" t="s">
        <v>335</v>
      </c>
      <c r="B151" t="s">
        <v>336</v>
      </c>
      <c r="C151" s="2">
        <v>45121</v>
      </c>
      <c r="D151" s="2">
        <v>45126</v>
      </c>
      <c r="E151">
        <f t="shared" si="2"/>
        <v>5</v>
      </c>
      <c r="F151" t="s">
        <v>138</v>
      </c>
      <c r="G151">
        <v>81356</v>
      </c>
      <c r="H151">
        <v>3670</v>
      </c>
      <c r="I151">
        <v>5352.87</v>
      </c>
      <c r="J151">
        <v>660</v>
      </c>
      <c r="K151">
        <v>1</v>
      </c>
    </row>
    <row r="152" spans="1:11" x14ac:dyDescent="0.2">
      <c r="A152" t="s">
        <v>337</v>
      </c>
      <c r="B152" t="s">
        <v>338</v>
      </c>
      <c r="C152" s="2">
        <v>45242</v>
      </c>
      <c r="D152" s="2">
        <v>45254</v>
      </c>
      <c r="E152">
        <f t="shared" si="2"/>
        <v>12</v>
      </c>
      <c r="F152" t="s">
        <v>41</v>
      </c>
      <c r="G152">
        <v>72910</v>
      </c>
      <c r="H152">
        <v>1654</v>
      </c>
      <c r="I152">
        <v>3192.72</v>
      </c>
      <c r="J152">
        <v>192</v>
      </c>
      <c r="K152" t="s">
        <v>30</v>
      </c>
    </row>
    <row r="153" spans="1:11" x14ac:dyDescent="0.2">
      <c r="A153" t="s">
        <v>339</v>
      </c>
      <c r="B153" t="s">
        <v>340</v>
      </c>
      <c r="C153" s="2">
        <v>44927</v>
      </c>
      <c r="D153" s="2">
        <v>44955</v>
      </c>
      <c r="E153">
        <f t="shared" si="2"/>
        <v>28</v>
      </c>
      <c r="F153" t="s">
        <v>58</v>
      </c>
      <c r="G153">
        <v>57044</v>
      </c>
      <c r="H153">
        <v>2553</v>
      </c>
      <c r="I153">
        <v>4652.6499999999996</v>
      </c>
      <c r="J153">
        <v>180</v>
      </c>
      <c r="K153">
        <v>1</v>
      </c>
    </row>
    <row r="154" spans="1:11" x14ac:dyDescent="0.2">
      <c r="A154" t="s">
        <v>341</v>
      </c>
      <c r="B154" t="s">
        <v>342</v>
      </c>
      <c r="C154" s="2">
        <v>45223</v>
      </c>
      <c r="D154" s="2">
        <v>45248</v>
      </c>
      <c r="E154">
        <f t="shared" si="2"/>
        <v>25</v>
      </c>
      <c r="F154" t="s">
        <v>14</v>
      </c>
      <c r="G154">
        <v>68214</v>
      </c>
      <c r="H154">
        <v>1707</v>
      </c>
      <c r="I154" s="3">
        <v>2350.11</v>
      </c>
      <c r="J154">
        <v>306</v>
      </c>
      <c r="K154" t="s">
        <v>15</v>
      </c>
    </row>
    <row r="155" spans="1:11" x14ac:dyDescent="0.2">
      <c r="A155" t="s">
        <v>343</v>
      </c>
      <c r="B155" t="s">
        <v>344</v>
      </c>
      <c r="C155" s="2">
        <v>45153</v>
      </c>
      <c r="D155" s="2">
        <v>45155</v>
      </c>
      <c r="E155">
        <f t="shared" si="2"/>
        <v>2</v>
      </c>
      <c r="F155" t="s">
        <v>14</v>
      </c>
      <c r="G155">
        <v>34827</v>
      </c>
      <c r="H155">
        <v>761</v>
      </c>
      <c r="I155">
        <v>1332.27</v>
      </c>
      <c r="J155">
        <v>131</v>
      </c>
      <c r="K155" t="b">
        <v>0</v>
      </c>
    </row>
    <row r="156" spans="1:11" x14ac:dyDescent="0.2">
      <c r="A156" t="s">
        <v>345</v>
      </c>
      <c r="B156" t="s">
        <v>346</v>
      </c>
      <c r="C156" s="2">
        <v>45169</v>
      </c>
      <c r="D156" s="2">
        <v>45185</v>
      </c>
      <c r="E156">
        <f t="shared" si="2"/>
        <v>16</v>
      </c>
      <c r="F156" t="s">
        <v>19</v>
      </c>
      <c r="G156">
        <v>56820</v>
      </c>
      <c r="H156">
        <v>2043</v>
      </c>
      <c r="I156">
        <v>2990.68</v>
      </c>
      <c r="J156">
        <v>403</v>
      </c>
      <c r="K156" t="s">
        <v>30</v>
      </c>
    </row>
    <row r="157" spans="1:11" x14ac:dyDescent="0.2">
      <c r="A157" t="s">
        <v>347</v>
      </c>
      <c r="B157" t="s">
        <v>348</v>
      </c>
      <c r="C157" s="2">
        <v>45013</v>
      </c>
      <c r="D157" s="2">
        <v>45021</v>
      </c>
      <c r="E157">
        <f t="shared" si="2"/>
        <v>8</v>
      </c>
      <c r="F157" t="s">
        <v>19</v>
      </c>
      <c r="G157">
        <v>63623</v>
      </c>
      <c r="H157">
        <v>1471</v>
      </c>
      <c r="I157">
        <v>908.84</v>
      </c>
      <c r="J157">
        <v>274</v>
      </c>
      <c r="K157" t="s">
        <v>15</v>
      </c>
    </row>
    <row r="158" spans="1:11" x14ac:dyDescent="0.2">
      <c r="A158" t="s">
        <v>349</v>
      </c>
      <c r="B158" t="s">
        <v>350</v>
      </c>
      <c r="C158" s="2">
        <v>45261</v>
      </c>
      <c r="D158" s="2">
        <v>45266</v>
      </c>
      <c r="E158">
        <f t="shared" si="2"/>
        <v>5</v>
      </c>
      <c r="F158" t="s">
        <v>14</v>
      </c>
      <c r="G158">
        <v>82734</v>
      </c>
      <c r="H158">
        <v>2912</v>
      </c>
      <c r="I158">
        <v>4690.79</v>
      </c>
      <c r="K158" t="s">
        <v>30</v>
      </c>
    </row>
    <row r="159" spans="1:11" x14ac:dyDescent="0.2">
      <c r="A159" t="s">
        <v>351</v>
      </c>
      <c r="B159" t="s">
        <v>352</v>
      </c>
      <c r="C159" s="2">
        <v>45047</v>
      </c>
      <c r="D159" s="2">
        <v>45068</v>
      </c>
      <c r="E159">
        <f t="shared" si="2"/>
        <v>21</v>
      </c>
      <c r="F159" t="s">
        <v>23</v>
      </c>
      <c r="G159">
        <v>76450</v>
      </c>
      <c r="H159">
        <v>2629</v>
      </c>
      <c r="I159">
        <v>1688.77</v>
      </c>
      <c r="K159">
        <v>1</v>
      </c>
    </row>
    <row r="160" spans="1:11" x14ac:dyDescent="0.2">
      <c r="A160" t="s">
        <v>353</v>
      </c>
      <c r="B160" t="s">
        <v>354</v>
      </c>
      <c r="C160" s="2">
        <v>45028</v>
      </c>
      <c r="D160" s="2">
        <v>45265</v>
      </c>
      <c r="E160">
        <f t="shared" si="2"/>
        <v>237</v>
      </c>
      <c r="F160" t="s">
        <v>41</v>
      </c>
      <c r="G160">
        <v>94426</v>
      </c>
      <c r="H160">
        <v>3072</v>
      </c>
      <c r="I160">
        <v>4273.53</v>
      </c>
      <c r="J160">
        <v>201</v>
      </c>
      <c r="K160" t="b">
        <v>1</v>
      </c>
    </row>
    <row r="161" spans="1:11" x14ac:dyDescent="0.2">
      <c r="A161" t="s">
        <v>355</v>
      </c>
      <c r="B161" t="s">
        <v>356</v>
      </c>
      <c r="C161" s="2">
        <v>45170</v>
      </c>
      <c r="D161" s="2">
        <v>45181</v>
      </c>
      <c r="E161">
        <f t="shared" si="2"/>
        <v>11</v>
      </c>
      <c r="F161" t="s">
        <v>41</v>
      </c>
      <c r="G161">
        <v>23299</v>
      </c>
      <c r="H161">
        <v>587</v>
      </c>
      <c r="I161">
        <v>912.17</v>
      </c>
      <c r="J161">
        <v>79</v>
      </c>
      <c r="K161" t="s">
        <v>15</v>
      </c>
    </row>
    <row r="162" spans="1:11" x14ac:dyDescent="0.2">
      <c r="A162" t="s">
        <v>357</v>
      </c>
      <c r="B162" t="s">
        <v>358</v>
      </c>
      <c r="C162" s="2">
        <v>45160</v>
      </c>
      <c r="D162" s="2">
        <v>45172</v>
      </c>
      <c r="E162">
        <f t="shared" si="2"/>
        <v>12</v>
      </c>
      <c r="F162" t="s">
        <v>19</v>
      </c>
      <c r="G162">
        <v>44585</v>
      </c>
      <c r="H162">
        <v>1424</v>
      </c>
      <c r="I162">
        <v>854.1</v>
      </c>
      <c r="J162">
        <v>184</v>
      </c>
      <c r="K162" t="b">
        <v>0</v>
      </c>
    </row>
    <row r="163" spans="1:11" x14ac:dyDescent="0.2">
      <c r="A163" t="s">
        <v>359</v>
      </c>
      <c r="B163" t="s">
        <v>360</v>
      </c>
      <c r="C163" s="2">
        <v>45026</v>
      </c>
      <c r="D163" s="2">
        <v>45053</v>
      </c>
      <c r="E163">
        <f t="shared" si="2"/>
        <v>27</v>
      </c>
      <c r="F163" t="s">
        <v>41</v>
      </c>
      <c r="G163">
        <v>65044</v>
      </c>
      <c r="H163">
        <v>2202</v>
      </c>
      <c r="I163">
        <v>1863.31</v>
      </c>
      <c r="J163">
        <v>261</v>
      </c>
      <c r="K163" t="s">
        <v>24</v>
      </c>
    </row>
    <row r="164" spans="1:11" x14ac:dyDescent="0.2">
      <c r="A164" t="s">
        <v>361</v>
      </c>
      <c r="B164" t="s">
        <v>362</v>
      </c>
      <c r="C164" s="2">
        <v>45131</v>
      </c>
      <c r="D164" s="2">
        <v>45151</v>
      </c>
      <c r="E164">
        <f t="shared" si="2"/>
        <v>20</v>
      </c>
      <c r="F164" t="s">
        <v>138</v>
      </c>
      <c r="G164">
        <v>43557</v>
      </c>
      <c r="H164">
        <v>1386</v>
      </c>
      <c r="I164">
        <v>2596.6799999999998</v>
      </c>
      <c r="J164">
        <v>151</v>
      </c>
      <c r="K164">
        <v>1</v>
      </c>
    </row>
    <row r="165" spans="1:11" x14ac:dyDescent="0.2">
      <c r="A165" t="s">
        <v>363</v>
      </c>
      <c r="B165" t="s">
        <v>364</v>
      </c>
      <c r="C165" s="2">
        <v>44929</v>
      </c>
      <c r="D165" s="2">
        <v>44945</v>
      </c>
      <c r="E165">
        <f t="shared" si="2"/>
        <v>16</v>
      </c>
      <c r="F165" t="s">
        <v>41</v>
      </c>
      <c r="G165">
        <v>50080</v>
      </c>
      <c r="H165">
        <v>1391</v>
      </c>
      <c r="I165">
        <v>1981.44</v>
      </c>
      <c r="J165">
        <v>159</v>
      </c>
      <c r="K165" t="s">
        <v>15</v>
      </c>
    </row>
    <row r="166" spans="1:11" x14ac:dyDescent="0.2">
      <c r="A166" t="s">
        <v>365</v>
      </c>
      <c r="B166" t="s">
        <v>366</v>
      </c>
      <c r="C166" s="2">
        <v>44981</v>
      </c>
      <c r="D166" s="2">
        <v>44999</v>
      </c>
      <c r="E166">
        <f t="shared" si="2"/>
        <v>18</v>
      </c>
      <c r="F166" t="s">
        <v>33</v>
      </c>
      <c r="G166">
        <v>3693</v>
      </c>
      <c r="H166">
        <v>39</v>
      </c>
      <c r="I166">
        <v>33.909999999999997</v>
      </c>
      <c r="K166" t="b">
        <v>0</v>
      </c>
    </row>
    <row r="167" spans="1:11" x14ac:dyDescent="0.2">
      <c r="A167" t="s">
        <v>367</v>
      </c>
      <c r="B167" t="s">
        <v>368</v>
      </c>
      <c r="C167" s="2">
        <v>45283</v>
      </c>
      <c r="D167" s="2">
        <v>45288</v>
      </c>
      <c r="E167">
        <f t="shared" si="2"/>
        <v>5</v>
      </c>
      <c r="F167" t="s">
        <v>14</v>
      </c>
      <c r="G167">
        <v>96003</v>
      </c>
      <c r="H167">
        <v>3214</v>
      </c>
      <c r="I167" s="3">
        <v>4936.7700000000004</v>
      </c>
      <c r="J167">
        <v>161</v>
      </c>
      <c r="K167" t="s">
        <v>15</v>
      </c>
    </row>
    <row r="168" spans="1:11" x14ac:dyDescent="0.2">
      <c r="A168" t="s">
        <v>369</v>
      </c>
      <c r="B168" t="s">
        <v>370</v>
      </c>
      <c r="C168" s="2">
        <v>45054</v>
      </c>
      <c r="D168" s="2">
        <v>45080</v>
      </c>
      <c r="E168">
        <f t="shared" si="2"/>
        <v>26</v>
      </c>
      <c r="F168" t="s">
        <v>41</v>
      </c>
      <c r="G168">
        <v>96259</v>
      </c>
      <c r="H168">
        <v>1611</v>
      </c>
      <c r="I168">
        <v>2247.61</v>
      </c>
      <c r="J168">
        <v>143</v>
      </c>
      <c r="K168">
        <v>1</v>
      </c>
    </row>
    <row r="169" spans="1:11" x14ac:dyDescent="0.2">
      <c r="A169" t="s">
        <v>371</v>
      </c>
      <c r="B169" t="s">
        <v>372</v>
      </c>
      <c r="C169" s="2">
        <v>44995</v>
      </c>
      <c r="D169" s="2">
        <v>45004</v>
      </c>
      <c r="E169">
        <f t="shared" si="2"/>
        <v>9</v>
      </c>
      <c r="F169" t="s">
        <v>19</v>
      </c>
      <c r="G169">
        <v>70163</v>
      </c>
      <c r="H169">
        <v>2505</v>
      </c>
      <c r="I169">
        <v>3137.17</v>
      </c>
      <c r="K169" t="s">
        <v>15</v>
      </c>
    </row>
    <row r="170" spans="1:11" x14ac:dyDescent="0.2">
      <c r="A170" t="s">
        <v>373</v>
      </c>
      <c r="B170" t="s">
        <v>374</v>
      </c>
      <c r="C170" s="2">
        <v>45213</v>
      </c>
      <c r="D170" s="2">
        <v>45224</v>
      </c>
      <c r="E170">
        <f t="shared" si="2"/>
        <v>11</v>
      </c>
      <c r="F170" t="s">
        <v>41</v>
      </c>
      <c r="G170">
        <v>26939</v>
      </c>
      <c r="H170">
        <v>1087</v>
      </c>
      <c r="I170" s="3">
        <v>2135.17</v>
      </c>
      <c r="J170">
        <v>172</v>
      </c>
      <c r="K170" t="s">
        <v>30</v>
      </c>
    </row>
    <row r="171" spans="1:11" x14ac:dyDescent="0.2">
      <c r="A171" t="s">
        <v>375</v>
      </c>
      <c r="B171" t="s">
        <v>376</v>
      </c>
      <c r="C171" s="2">
        <v>45153</v>
      </c>
      <c r="D171" s="2">
        <v>45169</v>
      </c>
      <c r="E171">
        <f t="shared" si="2"/>
        <v>16</v>
      </c>
      <c r="F171" t="s">
        <v>14</v>
      </c>
      <c r="G171">
        <v>49925</v>
      </c>
      <c r="H171">
        <v>1498</v>
      </c>
      <c r="I171" s="3">
        <v>2284.7199999999998</v>
      </c>
      <c r="J171">
        <v>114</v>
      </c>
      <c r="K171">
        <v>1</v>
      </c>
    </row>
    <row r="172" spans="1:11" x14ac:dyDescent="0.2">
      <c r="A172" t="s">
        <v>377</v>
      </c>
      <c r="B172" t="s">
        <v>378</v>
      </c>
      <c r="C172" s="2">
        <v>45185</v>
      </c>
      <c r="D172" s="2">
        <v>45196</v>
      </c>
      <c r="E172">
        <f t="shared" si="2"/>
        <v>11</v>
      </c>
      <c r="F172" t="s">
        <v>138</v>
      </c>
      <c r="G172">
        <v>43941</v>
      </c>
      <c r="H172">
        <v>1392</v>
      </c>
      <c r="I172">
        <v>1479.92</v>
      </c>
      <c r="J172">
        <v>183</v>
      </c>
      <c r="K172" t="s">
        <v>15</v>
      </c>
    </row>
    <row r="173" spans="1:11" x14ac:dyDescent="0.2">
      <c r="A173" t="s">
        <v>379</v>
      </c>
      <c r="B173" t="s">
        <v>380</v>
      </c>
      <c r="C173" s="2">
        <v>45155</v>
      </c>
      <c r="D173" s="2">
        <v>45175</v>
      </c>
      <c r="E173">
        <f t="shared" si="2"/>
        <v>20</v>
      </c>
      <c r="F173" t="s">
        <v>19</v>
      </c>
      <c r="G173">
        <v>22834</v>
      </c>
      <c r="H173">
        <v>1097</v>
      </c>
      <c r="I173">
        <v>1865.02</v>
      </c>
      <c r="J173">
        <v>172</v>
      </c>
      <c r="K173" t="s">
        <v>24</v>
      </c>
    </row>
    <row r="174" spans="1:11" x14ac:dyDescent="0.2">
      <c r="A174" t="s">
        <v>381</v>
      </c>
      <c r="B174" t="s">
        <v>382</v>
      </c>
      <c r="C174" s="2">
        <v>45170</v>
      </c>
      <c r="D174" s="2">
        <v>45199</v>
      </c>
      <c r="E174">
        <f t="shared" si="2"/>
        <v>29</v>
      </c>
      <c r="F174" t="s">
        <v>23</v>
      </c>
      <c r="G174">
        <v>19047</v>
      </c>
      <c r="H174">
        <v>835</v>
      </c>
      <c r="I174">
        <v>1525.44</v>
      </c>
      <c r="J174">
        <v>97</v>
      </c>
      <c r="K174" t="b">
        <v>1</v>
      </c>
    </row>
    <row r="175" spans="1:11" x14ac:dyDescent="0.2">
      <c r="A175" t="s">
        <v>383</v>
      </c>
      <c r="B175" t="s">
        <v>384</v>
      </c>
      <c r="C175" s="2">
        <v>45253</v>
      </c>
      <c r="D175" s="2">
        <v>45271</v>
      </c>
      <c r="E175">
        <f t="shared" si="2"/>
        <v>18</v>
      </c>
      <c r="F175" t="s">
        <v>14</v>
      </c>
      <c r="G175">
        <v>27105</v>
      </c>
      <c r="H175">
        <v>1262</v>
      </c>
      <c r="I175">
        <v>868.04</v>
      </c>
      <c r="J175">
        <v>68</v>
      </c>
      <c r="K175" t="s">
        <v>15</v>
      </c>
    </row>
    <row r="176" spans="1:11" x14ac:dyDescent="0.2">
      <c r="A176" t="s">
        <v>385</v>
      </c>
      <c r="B176" t="s">
        <v>386</v>
      </c>
      <c r="C176" s="2">
        <v>45175</v>
      </c>
      <c r="D176" s="2">
        <v>45182</v>
      </c>
      <c r="E176">
        <f t="shared" si="2"/>
        <v>7</v>
      </c>
      <c r="F176" t="s">
        <v>23</v>
      </c>
      <c r="G176">
        <v>76766</v>
      </c>
      <c r="H176">
        <v>3266</v>
      </c>
      <c r="I176">
        <v>2615.5100000000002</v>
      </c>
      <c r="J176">
        <v>383</v>
      </c>
      <c r="K176" t="s">
        <v>30</v>
      </c>
    </row>
    <row r="177" spans="1:11" x14ac:dyDescent="0.2">
      <c r="A177" t="s">
        <v>387</v>
      </c>
      <c r="B177" t="s">
        <v>388</v>
      </c>
      <c r="C177" s="2">
        <v>44966</v>
      </c>
      <c r="D177" s="2">
        <v>44993</v>
      </c>
      <c r="E177">
        <f t="shared" si="2"/>
        <v>27</v>
      </c>
      <c r="F177" t="s">
        <v>14</v>
      </c>
      <c r="G177">
        <v>16707</v>
      </c>
      <c r="H177">
        <v>239</v>
      </c>
      <c r="I177">
        <v>197.02</v>
      </c>
      <c r="J177">
        <v>22</v>
      </c>
      <c r="K177" t="b">
        <v>0</v>
      </c>
    </row>
    <row r="178" spans="1:11" x14ac:dyDescent="0.2">
      <c r="A178" t="s">
        <v>389</v>
      </c>
      <c r="B178" t="s">
        <v>390</v>
      </c>
      <c r="C178" s="2">
        <v>45098</v>
      </c>
      <c r="D178" s="2">
        <v>45124</v>
      </c>
      <c r="E178">
        <f t="shared" si="2"/>
        <v>26</v>
      </c>
      <c r="F178" t="s">
        <v>14</v>
      </c>
      <c r="G178">
        <v>22976</v>
      </c>
      <c r="H178">
        <v>366</v>
      </c>
      <c r="I178" s="3">
        <v>562.48</v>
      </c>
      <c r="K178" t="s">
        <v>24</v>
      </c>
    </row>
    <row r="179" spans="1:11" x14ac:dyDescent="0.2">
      <c r="A179" t="s">
        <v>391</v>
      </c>
      <c r="B179" t="s">
        <v>392</v>
      </c>
      <c r="C179" s="2">
        <v>44997</v>
      </c>
      <c r="D179" s="2">
        <v>45018</v>
      </c>
      <c r="E179">
        <f t="shared" si="2"/>
        <v>21</v>
      </c>
      <c r="F179" t="s">
        <v>266</v>
      </c>
      <c r="G179">
        <v>45262</v>
      </c>
      <c r="H179">
        <v>1406</v>
      </c>
      <c r="I179">
        <v>1974.81</v>
      </c>
      <c r="J179">
        <v>96</v>
      </c>
      <c r="K179" t="b">
        <v>0</v>
      </c>
    </row>
    <row r="180" spans="1:11" x14ac:dyDescent="0.2">
      <c r="A180" t="s">
        <v>393</v>
      </c>
      <c r="B180" t="s">
        <v>394</v>
      </c>
      <c r="C180" s="2">
        <v>45005</v>
      </c>
      <c r="D180" s="2">
        <v>45012</v>
      </c>
      <c r="E180">
        <f t="shared" si="2"/>
        <v>7</v>
      </c>
      <c r="F180" t="s">
        <v>19</v>
      </c>
      <c r="G180">
        <v>24776</v>
      </c>
      <c r="H180">
        <v>491</v>
      </c>
      <c r="I180">
        <v>701.39</v>
      </c>
      <c r="J180">
        <v>72</v>
      </c>
      <c r="K180" t="s">
        <v>24</v>
      </c>
    </row>
    <row r="181" spans="1:11" x14ac:dyDescent="0.2">
      <c r="A181" t="s">
        <v>395</v>
      </c>
      <c r="B181" t="s">
        <v>396</v>
      </c>
      <c r="C181" s="2">
        <v>45135</v>
      </c>
      <c r="D181" s="2">
        <v>45165</v>
      </c>
      <c r="E181">
        <f t="shared" si="2"/>
        <v>30</v>
      </c>
      <c r="F181" t="s">
        <v>19</v>
      </c>
      <c r="G181">
        <v>31080</v>
      </c>
      <c r="H181">
        <v>903</v>
      </c>
      <c r="I181">
        <v>1725.78</v>
      </c>
      <c r="J181">
        <v>52</v>
      </c>
      <c r="K181" t="b">
        <v>0</v>
      </c>
    </row>
    <row r="182" spans="1:11" x14ac:dyDescent="0.2">
      <c r="A182" t="s">
        <v>397</v>
      </c>
      <c r="B182" t="s">
        <v>398</v>
      </c>
      <c r="C182" s="2">
        <v>44958</v>
      </c>
      <c r="D182" s="2">
        <v>44978</v>
      </c>
      <c r="E182">
        <f t="shared" si="2"/>
        <v>20</v>
      </c>
      <c r="F182" t="s">
        <v>33</v>
      </c>
      <c r="G182">
        <v>67842</v>
      </c>
      <c r="H182">
        <v>1748</v>
      </c>
      <c r="I182">
        <v>2908.44</v>
      </c>
      <c r="K182" t="b">
        <v>1</v>
      </c>
    </row>
    <row r="183" spans="1:11" x14ac:dyDescent="0.2">
      <c r="A183" t="s">
        <v>399</v>
      </c>
      <c r="B183" t="s">
        <v>400</v>
      </c>
      <c r="C183" s="2">
        <v>45226</v>
      </c>
      <c r="D183" s="2">
        <v>45246</v>
      </c>
      <c r="E183">
        <f t="shared" si="2"/>
        <v>20</v>
      </c>
      <c r="F183" t="s">
        <v>23</v>
      </c>
      <c r="G183">
        <v>62373</v>
      </c>
      <c r="H183">
        <v>1994</v>
      </c>
      <c r="I183" s="3">
        <v>1379.66</v>
      </c>
      <c r="J183">
        <v>265</v>
      </c>
      <c r="K183" t="s">
        <v>30</v>
      </c>
    </row>
    <row r="184" spans="1:11" x14ac:dyDescent="0.2">
      <c r="A184" t="s">
        <v>401</v>
      </c>
      <c r="B184" t="s">
        <v>402</v>
      </c>
      <c r="C184" s="2">
        <v>45221</v>
      </c>
      <c r="D184" s="2">
        <v>45225</v>
      </c>
      <c r="E184">
        <f t="shared" si="2"/>
        <v>4</v>
      </c>
      <c r="F184" t="s">
        <v>23</v>
      </c>
      <c r="G184">
        <v>7776</v>
      </c>
      <c r="H184">
        <v>310</v>
      </c>
      <c r="I184" s="3">
        <v>316.58999999999997</v>
      </c>
      <c r="J184">
        <v>29</v>
      </c>
      <c r="K184">
        <v>1</v>
      </c>
    </row>
    <row r="185" spans="1:11" x14ac:dyDescent="0.2">
      <c r="A185" t="s">
        <v>403</v>
      </c>
      <c r="B185" t="s">
        <v>404</v>
      </c>
      <c r="C185" s="2">
        <v>45107</v>
      </c>
      <c r="D185" s="2">
        <v>45117</v>
      </c>
      <c r="E185">
        <f t="shared" si="2"/>
        <v>10</v>
      </c>
      <c r="F185" t="s">
        <v>23</v>
      </c>
      <c r="G185">
        <v>93787</v>
      </c>
      <c r="H185">
        <v>3622</v>
      </c>
      <c r="I185" s="3">
        <v>4176.49</v>
      </c>
      <c r="J185">
        <v>428</v>
      </c>
      <c r="K185" t="b">
        <v>0</v>
      </c>
    </row>
    <row r="186" spans="1:11" x14ac:dyDescent="0.2">
      <c r="A186" t="s">
        <v>405</v>
      </c>
      <c r="B186" t="s">
        <v>406</v>
      </c>
      <c r="C186" s="2">
        <v>45141</v>
      </c>
      <c r="D186" s="2">
        <v>45165</v>
      </c>
      <c r="E186">
        <f t="shared" si="2"/>
        <v>24</v>
      </c>
      <c r="F186" t="s">
        <v>266</v>
      </c>
      <c r="G186">
        <v>56016</v>
      </c>
      <c r="H186">
        <v>1728</v>
      </c>
      <c r="I186">
        <v>1890.33</v>
      </c>
      <c r="J186">
        <v>128</v>
      </c>
      <c r="K186" t="s">
        <v>24</v>
      </c>
    </row>
    <row r="187" spans="1:11" x14ac:dyDescent="0.2">
      <c r="A187" t="s">
        <v>407</v>
      </c>
      <c r="B187" t="s">
        <v>408</v>
      </c>
      <c r="C187" s="2">
        <v>45235</v>
      </c>
      <c r="D187" s="2">
        <v>45237</v>
      </c>
      <c r="E187">
        <f t="shared" si="2"/>
        <v>2</v>
      </c>
      <c r="F187" t="s">
        <v>33</v>
      </c>
      <c r="G187">
        <v>10474</v>
      </c>
      <c r="H187">
        <v>449</v>
      </c>
      <c r="I187">
        <v>675.28</v>
      </c>
      <c r="J187">
        <v>42</v>
      </c>
      <c r="K187" t="s">
        <v>30</v>
      </c>
    </row>
    <row r="188" spans="1:11" x14ac:dyDescent="0.2">
      <c r="A188" t="s">
        <v>409</v>
      </c>
      <c r="B188" t="s">
        <v>410</v>
      </c>
      <c r="C188" s="2">
        <v>45066</v>
      </c>
      <c r="D188" s="2">
        <v>45090</v>
      </c>
      <c r="E188">
        <f t="shared" si="2"/>
        <v>24</v>
      </c>
      <c r="F188" t="s">
        <v>19</v>
      </c>
      <c r="G188">
        <v>59053</v>
      </c>
      <c r="H188">
        <v>1608</v>
      </c>
      <c r="I188">
        <v>2955.25</v>
      </c>
      <c r="J188">
        <v>230</v>
      </c>
      <c r="K188" t="s">
        <v>15</v>
      </c>
    </row>
    <row r="189" spans="1:11" x14ac:dyDescent="0.2">
      <c r="A189" t="s">
        <v>411</v>
      </c>
      <c r="B189" t="s">
        <v>412</v>
      </c>
      <c r="C189" s="2">
        <v>45099</v>
      </c>
      <c r="D189" s="2">
        <v>45128</v>
      </c>
      <c r="E189">
        <f t="shared" si="2"/>
        <v>29</v>
      </c>
      <c r="F189" t="s">
        <v>58</v>
      </c>
      <c r="G189">
        <v>22959</v>
      </c>
      <c r="H189">
        <v>1053</v>
      </c>
      <c r="I189">
        <v>1009.91</v>
      </c>
      <c r="J189">
        <v>100</v>
      </c>
      <c r="K189" t="b">
        <v>1</v>
      </c>
    </row>
    <row r="190" spans="1:11" x14ac:dyDescent="0.2">
      <c r="A190" t="s">
        <v>413</v>
      </c>
      <c r="B190" t="s">
        <v>414</v>
      </c>
      <c r="C190" s="2">
        <v>45011</v>
      </c>
      <c r="D190" s="2">
        <v>45018</v>
      </c>
      <c r="E190">
        <f t="shared" si="2"/>
        <v>7</v>
      </c>
      <c r="F190" t="s">
        <v>415</v>
      </c>
      <c r="G190">
        <v>6530</v>
      </c>
      <c r="H190">
        <v>83</v>
      </c>
      <c r="I190" s="3">
        <v>110.21</v>
      </c>
      <c r="J190">
        <v>15</v>
      </c>
      <c r="K190" t="s">
        <v>30</v>
      </c>
    </row>
    <row r="191" spans="1:11" x14ac:dyDescent="0.2">
      <c r="A191" t="s">
        <v>416</v>
      </c>
      <c r="B191" t="s">
        <v>417</v>
      </c>
      <c r="C191" s="2">
        <v>45245</v>
      </c>
      <c r="D191" s="2">
        <v>45262</v>
      </c>
      <c r="E191">
        <f t="shared" si="2"/>
        <v>17</v>
      </c>
      <c r="F191" t="s">
        <v>19</v>
      </c>
      <c r="G191">
        <v>95856</v>
      </c>
      <c r="H191">
        <v>4618</v>
      </c>
      <c r="I191" s="3">
        <v>7777.24</v>
      </c>
      <c r="K191" t="s">
        <v>30</v>
      </c>
    </row>
    <row r="192" spans="1:11" x14ac:dyDescent="0.2">
      <c r="A192" t="s">
        <v>418</v>
      </c>
      <c r="B192" t="s">
        <v>419</v>
      </c>
      <c r="C192" s="2">
        <v>45230</v>
      </c>
      <c r="D192" s="2">
        <v>45256</v>
      </c>
      <c r="E192">
        <f t="shared" si="2"/>
        <v>26</v>
      </c>
      <c r="F192" t="s">
        <v>19</v>
      </c>
      <c r="G192">
        <v>4748</v>
      </c>
      <c r="H192">
        <v>171</v>
      </c>
      <c r="I192">
        <v>192.26</v>
      </c>
      <c r="J192">
        <v>19</v>
      </c>
      <c r="K192">
        <v>1</v>
      </c>
    </row>
    <row r="193" spans="1:11" x14ac:dyDescent="0.2">
      <c r="A193" t="s">
        <v>420</v>
      </c>
      <c r="B193" t="s">
        <v>421</v>
      </c>
      <c r="C193" s="2">
        <v>45256</v>
      </c>
      <c r="D193" s="2">
        <v>45273</v>
      </c>
      <c r="E193">
        <f t="shared" si="2"/>
        <v>17</v>
      </c>
      <c r="F193" t="s">
        <v>33</v>
      </c>
      <c r="G193">
        <v>98504</v>
      </c>
      <c r="H193">
        <v>2482</v>
      </c>
      <c r="I193" s="3">
        <v>1866.9</v>
      </c>
      <c r="J193">
        <v>138</v>
      </c>
      <c r="K193" t="s">
        <v>30</v>
      </c>
    </row>
    <row r="194" spans="1:11" x14ac:dyDescent="0.2">
      <c r="A194" t="s">
        <v>422</v>
      </c>
      <c r="B194" t="s">
        <v>423</v>
      </c>
      <c r="C194" s="2">
        <v>45020</v>
      </c>
      <c r="D194" s="2">
        <v>45030</v>
      </c>
      <c r="E194">
        <f t="shared" ref="E194:E257" si="3">D194-C194</f>
        <v>10</v>
      </c>
      <c r="F194" t="s">
        <v>19</v>
      </c>
      <c r="G194">
        <v>99098</v>
      </c>
      <c r="H194">
        <v>1772</v>
      </c>
      <c r="I194">
        <v>2148.42</v>
      </c>
      <c r="J194">
        <v>221</v>
      </c>
      <c r="K194">
        <v>1</v>
      </c>
    </row>
    <row r="195" spans="1:11" x14ac:dyDescent="0.2">
      <c r="A195" t="s">
        <v>424</v>
      </c>
      <c r="B195" t="s">
        <v>425</v>
      </c>
      <c r="C195" s="2">
        <v>45121</v>
      </c>
      <c r="D195" s="2">
        <v>45129</v>
      </c>
      <c r="E195">
        <f t="shared" si="3"/>
        <v>8</v>
      </c>
      <c r="F195" t="s">
        <v>19</v>
      </c>
      <c r="G195">
        <v>14545</v>
      </c>
      <c r="H195">
        <v>424</v>
      </c>
      <c r="I195">
        <v>247.12</v>
      </c>
      <c r="J195">
        <v>69</v>
      </c>
      <c r="K195" t="b">
        <v>1</v>
      </c>
    </row>
    <row r="196" spans="1:11" x14ac:dyDescent="0.2">
      <c r="A196" t="s">
        <v>426</v>
      </c>
      <c r="B196" t="s">
        <v>427</v>
      </c>
      <c r="C196" s="2">
        <v>45099</v>
      </c>
      <c r="D196" s="2">
        <v>45125</v>
      </c>
      <c r="E196">
        <f t="shared" si="3"/>
        <v>26</v>
      </c>
      <c r="F196" t="s">
        <v>23</v>
      </c>
      <c r="G196">
        <v>67199</v>
      </c>
      <c r="H196">
        <v>1194</v>
      </c>
      <c r="I196" s="3">
        <v>2284.81</v>
      </c>
      <c r="J196">
        <v>107</v>
      </c>
      <c r="K196" t="b">
        <v>1</v>
      </c>
    </row>
    <row r="197" spans="1:11" x14ac:dyDescent="0.2">
      <c r="A197" t="s">
        <v>428</v>
      </c>
      <c r="B197" t="s">
        <v>429</v>
      </c>
      <c r="C197" s="2">
        <v>45037</v>
      </c>
      <c r="D197" s="2">
        <v>45142</v>
      </c>
      <c r="E197">
        <f t="shared" si="3"/>
        <v>105</v>
      </c>
      <c r="F197" t="s">
        <v>33</v>
      </c>
      <c r="G197">
        <v>35766</v>
      </c>
      <c r="H197">
        <v>595</v>
      </c>
      <c r="I197">
        <v>364.28</v>
      </c>
      <c r="J197">
        <v>101</v>
      </c>
      <c r="K197" t="s">
        <v>15</v>
      </c>
    </row>
    <row r="198" spans="1:11" x14ac:dyDescent="0.2">
      <c r="A198" t="s">
        <v>430</v>
      </c>
      <c r="B198" t="s">
        <v>431</v>
      </c>
      <c r="C198" s="2">
        <v>44936</v>
      </c>
      <c r="D198" s="2">
        <v>45214</v>
      </c>
      <c r="E198">
        <f t="shared" si="3"/>
        <v>278</v>
      </c>
      <c r="F198" t="s">
        <v>33</v>
      </c>
      <c r="G198">
        <v>74530</v>
      </c>
      <c r="H198">
        <v>2585</v>
      </c>
      <c r="I198">
        <v>2992.62</v>
      </c>
      <c r="J198">
        <v>226</v>
      </c>
      <c r="K198">
        <v>1</v>
      </c>
    </row>
    <row r="199" spans="1:11" x14ac:dyDescent="0.2">
      <c r="A199" t="s">
        <v>432</v>
      </c>
      <c r="B199" t="s">
        <v>433</v>
      </c>
      <c r="C199" s="2">
        <v>45106</v>
      </c>
      <c r="D199" s="2">
        <v>45129</v>
      </c>
      <c r="E199">
        <f t="shared" si="3"/>
        <v>23</v>
      </c>
      <c r="F199" t="s">
        <v>14</v>
      </c>
      <c r="G199">
        <v>94557</v>
      </c>
      <c r="H199">
        <v>2924</v>
      </c>
      <c r="I199">
        <v>3786.06</v>
      </c>
      <c r="J199">
        <v>507</v>
      </c>
      <c r="K199">
        <v>1</v>
      </c>
    </row>
    <row r="200" spans="1:11" x14ac:dyDescent="0.2">
      <c r="A200" t="s">
        <v>434</v>
      </c>
      <c r="B200" t="s">
        <v>435</v>
      </c>
      <c r="C200" s="2">
        <v>45260</v>
      </c>
      <c r="D200" s="2">
        <v>45287</v>
      </c>
      <c r="E200">
        <f t="shared" si="3"/>
        <v>27</v>
      </c>
      <c r="F200" t="s">
        <v>23</v>
      </c>
      <c r="G200">
        <v>62087</v>
      </c>
      <c r="H200">
        <v>2285</v>
      </c>
      <c r="I200">
        <v>4519.63</v>
      </c>
      <c r="J200">
        <v>143</v>
      </c>
      <c r="K200" t="b">
        <v>0</v>
      </c>
    </row>
    <row r="201" spans="1:11" x14ac:dyDescent="0.2">
      <c r="A201" t="s">
        <v>437</v>
      </c>
      <c r="B201" t="s">
        <v>438</v>
      </c>
      <c r="C201" s="2">
        <v>44942</v>
      </c>
      <c r="D201" s="2">
        <v>44970</v>
      </c>
      <c r="E201">
        <f t="shared" si="3"/>
        <v>28</v>
      </c>
      <c r="F201" t="s">
        <v>41</v>
      </c>
      <c r="G201">
        <v>96839</v>
      </c>
      <c r="H201">
        <v>4569</v>
      </c>
      <c r="I201">
        <v>3422.33</v>
      </c>
      <c r="K201" t="b">
        <v>0</v>
      </c>
    </row>
    <row r="202" spans="1:11" x14ac:dyDescent="0.2">
      <c r="A202" t="s">
        <v>439</v>
      </c>
      <c r="B202" t="s">
        <v>440</v>
      </c>
      <c r="C202" s="2">
        <v>44932</v>
      </c>
      <c r="D202" s="2">
        <v>44937</v>
      </c>
      <c r="E202">
        <f t="shared" si="3"/>
        <v>5</v>
      </c>
      <c r="F202" t="s">
        <v>33</v>
      </c>
      <c r="G202">
        <v>69840</v>
      </c>
      <c r="H202">
        <v>2185</v>
      </c>
      <c r="I202">
        <v>1467.55</v>
      </c>
      <c r="J202">
        <v>272</v>
      </c>
      <c r="K202" t="s">
        <v>15</v>
      </c>
    </row>
    <row r="203" spans="1:11" x14ac:dyDescent="0.2">
      <c r="A203" t="s">
        <v>441</v>
      </c>
      <c r="B203" t="s">
        <v>442</v>
      </c>
      <c r="C203" s="2">
        <v>45169</v>
      </c>
      <c r="D203" s="2">
        <v>45179</v>
      </c>
      <c r="E203">
        <f t="shared" si="3"/>
        <v>10</v>
      </c>
      <c r="F203" t="s">
        <v>23</v>
      </c>
      <c r="G203">
        <v>55384</v>
      </c>
      <c r="H203">
        <v>1840</v>
      </c>
      <c r="I203">
        <v>944.03</v>
      </c>
      <c r="J203">
        <v>173</v>
      </c>
      <c r="K203" t="b">
        <v>1</v>
      </c>
    </row>
    <row r="204" spans="1:11" x14ac:dyDescent="0.2">
      <c r="A204" t="s">
        <v>443</v>
      </c>
      <c r="B204" t="s">
        <v>444</v>
      </c>
      <c r="C204" s="2">
        <v>45038</v>
      </c>
      <c r="D204" s="2">
        <v>45047</v>
      </c>
      <c r="E204">
        <f t="shared" si="3"/>
        <v>9</v>
      </c>
      <c r="F204" t="s">
        <v>19</v>
      </c>
      <c r="G204">
        <v>52005</v>
      </c>
      <c r="H204">
        <v>706</v>
      </c>
      <c r="I204" s="3">
        <v>517.75</v>
      </c>
      <c r="J204">
        <v>63</v>
      </c>
      <c r="K204">
        <v>0</v>
      </c>
    </row>
    <row r="205" spans="1:11" x14ac:dyDescent="0.2">
      <c r="A205" t="s">
        <v>445</v>
      </c>
      <c r="B205" t="s">
        <v>446</v>
      </c>
      <c r="C205" s="2">
        <v>45115</v>
      </c>
      <c r="D205" s="2">
        <v>45122</v>
      </c>
      <c r="E205">
        <f t="shared" si="3"/>
        <v>7</v>
      </c>
      <c r="F205" t="s">
        <v>33</v>
      </c>
      <c r="G205">
        <v>47576</v>
      </c>
      <c r="H205">
        <v>1841</v>
      </c>
      <c r="I205">
        <v>1492.88</v>
      </c>
      <c r="J205">
        <v>211</v>
      </c>
      <c r="K205" t="b">
        <v>0</v>
      </c>
    </row>
    <row r="206" spans="1:11" x14ac:dyDescent="0.2">
      <c r="A206" t="s">
        <v>447</v>
      </c>
      <c r="B206" t="s">
        <v>448</v>
      </c>
      <c r="C206" s="2">
        <v>44985</v>
      </c>
      <c r="D206" s="2">
        <v>44990</v>
      </c>
      <c r="E206">
        <f t="shared" si="3"/>
        <v>5</v>
      </c>
      <c r="F206" t="s">
        <v>33</v>
      </c>
      <c r="G206">
        <v>40353</v>
      </c>
      <c r="H206">
        <v>1049</v>
      </c>
      <c r="I206">
        <v>1516.72</v>
      </c>
      <c r="J206">
        <v>209</v>
      </c>
      <c r="K206" t="s">
        <v>30</v>
      </c>
    </row>
    <row r="207" spans="1:11" x14ac:dyDescent="0.2">
      <c r="A207" t="s">
        <v>449</v>
      </c>
      <c r="B207" t="s">
        <v>450</v>
      </c>
      <c r="C207" s="2">
        <v>45086</v>
      </c>
      <c r="D207" s="2">
        <v>45185</v>
      </c>
      <c r="E207">
        <f t="shared" si="3"/>
        <v>99</v>
      </c>
      <c r="F207" t="s">
        <v>23</v>
      </c>
      <c r="G207">
        <v>63003</v>
      </c>
      <c r="H207">
        <v>3091</v>
      </c>
      <c r="I207">
        <v>2564.17</v>
      </c>
      <c r="J207">
        <v>256</v>
      </c>
      <c r="K207" t="b">
        <v>1</v>
      </c>
    </row>
    <row r="208" spans="1:11" x14ac:dyDescent="0.2">
      <c r="A208" t="s">
        <v>451</v>
      </c>
      <c r="B208" t="s">
        <v>452</v>
      </c>
      <c r="C208" s="2">
        <v>45086</v>
      </c>
      <c r="D208" s="2">
        <v>45087</v>
      </c>
      <c r="E208">
        <f t="shared" si="3"/>
        <v>1</v>
      </c>
      <c r="F208" t="s">
        <v>33</v>
      </c>
      <c r="G208">
        <v>84211</v>
      </c>
      <c r="H208">
        <v>3614</v>
      </c>
      <c r="I208">
        <v>1918.24</v>
      </c>
      <c r="J208">
        <v>236</v>
      </c>
      <c r="K208">
        <v>0</v>
      </c>
    </row>
    <row r="209" spans="1:11" x14ac:dyDescent="0.2">
      <c r="A209" t="s">
        <v>453</v>
      </c>
      <c r="B209" t="s">
        <v>454</v>
      </c>
      <c r="C209" s="2">
        <v>45119</v>
      </c>
      <c r="D209" s="2">
        <v>45120</v>
      </c>
      <c r="E209">
        <f t="shared" si="3"/>
        <v>1</v>
      </c>
      <c r="F209" t="s">
        <v>19</v>
      </c>
      <c r="G209">
        <v>53733</v>
      </c>
      <c r="H209">
        <v>1660</v>
      </c>
      <c r="I209" s="3">
        <v>2888.28</v>
      </c>
      <c r="J209">
        <v>228</v>
      </c>
      <c r="K209" t="s">
        <v>30</v>
      </c>
    </row>
    <row r="210" spans="1:11" x14ac:dyDescent="0.2">
      <c r="A210" t="s">
        <v>455</v>
      </c>
      <c r="B210" t="s">
        <v>456</v>
      </c>
      <c r="C210" s="2">
        <v>44965</v>
      </c>
      <c r="D210" s="2">
        <v>44986</v>
      </c>
      <c r="E210">
        <f t="shared" si="3"/>
        <v>21</v>
      </c>
      <c r="F210" t="s">
        <v>138</v>
      </c>
      <c r="G210">
        <v>66318</v>
      </c>
      <c r="H210">
        <v>990</v>
      </c>
      <c r="I210">
        <v>1037.9100000000001</v>
      </c>
      <c r="J210">
        <v>122</v>
      </c>
      <c r="K210" t="s">
        <v>24</v>
      </c>
    </row>
    <row r="211" spans="1:11" x14ac:dyDescent="0.2">
      <c r="A211" t="s">
        <v>457</v>
      </c>
      <c r="B211" t="s">
        <v>458</v>
      </c>
      <c r="C211" s="2">
        <v>45051</v>
      </c>
      <c r="D211" s="2">
        <v>45072</v>
      </c>
      <c r="E211">
        <f t="shared" si="3"/>
        <v>21</v>
      </c>
      <c r="F211" t="s">
        <v>415</v>
      </c>
      <c r="G211">
        <v>90474</v>
      </c>
      <c r="H211">
        <v>4014</v>
      </c>
      <c r="I211">
        <v>4136.6099999999997</v>
      </c>
      <c r="J211">
        <v>516</v>
      </c>
      <c r="K211">
        <v>1</v>
      </c>
    </row>
    <row r="212" spans="1:11" x14ac:dyDescent="0.2">
      <c r="A212" t="s">
        <v>459</v>
      </c>
      <c r="B212" t="s">
        <v>460</v>
      </c>
      <c r="C212" s="2">
        <v>45277</v>
      </c>
      <c r="D212" s="2">
        <v>45302</v>
      </c>
      <c r="E212">
        <f t="shared" si="3"/>
        <v>25</v>
      </c>
      <c r="F212" t="s">
        <v>14</v>
      </c>
      <c r="G212">
        <v>24664</v>
      </c>
      <c r="H212">
        <v>1035</v>
      </c>
      <c r="I212" s="3">
        <v>987.1</v>
      </c>
      <c r="J212">
        <v>155</v>
      </c>
      <c r="K212" t="b">
        <v>1</v>
      </c>
    </row>
    <row r="213" spans="1:11" x14ac:dyDescent="0.2">
      <c r="A213" t="s">
        <v>461</v>
      </c>
      <c r="B213" t="s">
        <v>462</v>
      </c>
      <c r="C213" s="2">
        <v>45216</v>
      </c>
      <c r="D213" s="2">
        <v>45230</v>
      </c>
      <c r="E213">
        <f t="shared" si="3"/>
        <v>14</v>
      </c>
      <c r="F213" t="s">
        <v>19</v>
      </c>
      <c r="G213">
        <v>68172</v>
      </c>
      <c r="H213">
        <v>1185</v>
      </c>
      <c r="I213">
        <v>2326.23</v>
      </c>
      <c r="K213" t="s">
        <v>24</v>
      </c>
    </row>
    <row r="214" spans="1:11" x14ac:dyDescent="0.2">
      <c r="A214" t="s">
        <v>463</v>
      </c>
      <c r="B214" t="s">
        <v>464</v>
      </c>
      <c r="C214" s="2">
        <v>45146</v>
      </c>
      <c r="D214" s="2">
        <v>45149</v>
      </c>
      <c r="E214">
        <f t="shared" si="3"/>
        <v>3</v>
      </c>
      <c r="F214" t="s">
        <v>19</v>
      </c>
      <c r="G214">
        <v>86616</v>
      </c>
      <c r="H214">
        <v>1889</v>
      </c>
      <c r="I214">
        <v>1426.52</v>
      </c>
      <c r="K214" t="s">
        <v>15</v>
      </c>
    </row>
    <row r="215" spans="1:11" x14ac:dyDescent="0.2">
      <c r="A215" t="s">
        <v>465</v>
      </c>
      <c r="B215" t="s">
        <v>466</v>
      </c>
      <c r="C215" s="2">
        <v>45258</v>
      </c>
      <c r="D215" s="2">
        <v>45270</v>
      </c>
      <c r="E215">
        <f t="shared" si="3"/>
        <v>12</v>
      </c>
      <c r="F215" t="s">
        <v>23</v>
      </c>
      <c r="G215">
        <v>94264</v>
      </c>
      <c r="H215">
        <v>3934</v>
      </c>
      <c r="I215">
        <v>7267.5</v>
      </c>
      <c r="J215">
        <v>453</v>
      </c>
      <c r="K215">
        <v>1</v>
      </c>
    </row>
    <row r="216" spans="1:11" x14ac:dyDescent="0.2">
      <c r="A216" t="s">
        <v>467</v>
      </c>
      <c r="B216" t="s">
        <v>468</v>
      </c>
      <c r="C216" s="2">
        <v>45177</v>
      </c>
      <c r="D216" s="2">
        <v>45192</v>
      </c>
      <c r="E216">
        <f t="shared" si="3"/>
        <v>15</v>
      </c>
      <c r="F216" t="s">
        <v>14</v>
      </c>
      <c r="G216">
        <v>27736</v>
      </c>
      <c r="H216">
        <v>482</v>
      </c>
      <c r="I216">
        <v>802.63</v>
      </c>
      <c r="J216">
        <v>33</v>
      </c>
      <c r="K216">
        <v>1</v>
      </c>
    </row>
    <row r="217" spans="1:11" x14ac:dyDescent="0.2">
      <c r="A217" t="s">
        <v>469</v>
      </c>
      <c r="B217" t="s">
        <v>470</v>
      </c>
      <c r="C217" s="2">
        <v>45252</v>
      </c>
      <c r="D217" s="2">
        <v>45277</v>
      </c>
      <c r="E217">
        <f t="shared" si="3"/>
        <v>25</v>
      </c>
      <c r="F217" t="s">
        <v>14</v>
      </c>
      <c r="G217">
        <v>95209</v>
      </c>
      <c r="H217">
        <v>4447</v>
      </c>
      <c r="I217">
        <v>2733.66</v>
      </c>
      <c r="J217">
        <v>717</v>
      </c>
      <c r="K217" t="s">
        <v>30</v>
      </c>
    </row>
    <row r="218" spans="1:11" x14ac:dyDescent="0.2">
      <c r="A218" t="s">
        <v>471</v>
      </c>
      <c r="B218" t="s">
        <v>472</v>
      </c>
      <c r="C218" s="2">
        <v>45005</v>
      </c>
      <c r="D218" s="2">
        <v>45035</v>
      </c>
      <c r="E218">
        <f t="shared" si="3"/>
        <v>30</v>
      </c>
      <c r="F218" t="s">
        <v>33</v>
      </c>
      <c r="G218">
        <v>1854</v>
      </c>
      <c r="H218">
        <v>50</v>
      </c>
      <c r="I218">
        <v>99</v>
      </c>
      <c r="J218">
        <v>7</v>
      </c>
      <c r="K218" t="s">
        <v>24</v>
      </c>
    </row>
    <row r="219" spans="1:11" x14ac:dyDescent="0.2">
      <c r="A219" t="s">
        <v>473</v>
      </c>
      <c r="B219" t="s">
        <v>474</v>
      </c>
      <c r="C219" s="2">
        <v>45260</v>
      </c>
      <c r="D219" s="2">
        <v>45265</v>
      </c>
      <c r="E219">
        <f t="shared" si="3"/>
        <v>5</v>
      </c>
      <c r="F219" t="s">
        <v>41</v>
      </c>
      <c r="G219">
        <v>91084</v>
      </c>
      <c r="H219">
        <v>1227</v>
      </c>
      <c r="I219">
        <v>1112.95</v>
      </c>
      <c r="J219">
        <v>119</v>
      </c>
      <c r="K219">
        <v>1</v>
      </c>
    </row>
    <row r="220" spans="1:11" x14ac:dyDescent="0.2">
      <c r="A220" t="s">
        <v>475</v>
      </c>
      <c r="B220" t="s">
        <v>476</v>
      </c>
      <c r="C220" s="2">
        <v>45197</v>
      </c>
      <c r="D220" s="2">
        <v>45202</v>
      </c>
      <c r="E220">
        <f t="shared" si="3"/>
        <v>5</v>
      </c>
      <c r="F220" t="s">
        <v>14</v>
      </c>
      <c r="G220">
        <v>39623</v>
      </c>
      <c r="H220">
        <v>1689</v>
      </c>
      <c r="I220">
        <v>1094.26</v>
      </c>
      <c r="J220">
        <v>241</v>
      </c>
      <c r="K220" t="b">
        <v>0</v>
      </c>
    </row>
    <row r="221" spans="1:11" x14ac:dyDescent="0.2">
      <c r="A221" t="s">
        <v>477</v>
      </c>
      <c r="B221" t="s">
        <v>478</v>
      </c>
      <c r="C221" s="2">
        <v>45230</v>
      </c>
      <c r="D221" s="2">
        <v>45251</v>
      </c>
      <c r="E221">
        <f t="shared" si="3"/>
        <v>21</v>
      </c>
      <c r="F221" t="s">
        <v>33</v>
      </c>
      <c r="G221">
        <v>8392</v>
      </c>
      <c r="H221">
        <v>209</v>
      </c>
      <c r="I221">
        <v>364.49</v>
      </c>
      <c r="J221">
        <v>17</v>
      </c>
      <c r="K221" t="b">
        <v>1</v>
      </c>
    </row>
    <row r="222" spans="1:11" x14ac:dyDescent="0.2">
      <c r="A222" t="s">
        <v>479</v>
      </c>
      <c r="B222" t="s">
        <v>480</v>
      </c>
      <c r="C222" s="2">
        <v>44971</v>
      </c>
      <c r="D222" s="2">
        <v>44984</v>
      </c>
      <c r="E222">
        <f t="shared" si="3"/>
        <v>13</v>
      </c>
      <c r="F222" t="s">
        <v>19</v>
      </c>
      <c r="G222">
        <v>56680</v>
      </c>
      <c r="H222">
        <v>1760</v>
      </c>
      <c r="I222">
        <v>2745.62</v>
      </c>
      <c r="J222">
        <v>205</v>
      </c>
      <c r="K222" t="b">
        <v>0</v>
      </c>
    </row>
    <row r="223" spans="1:11" x14ac:dyDescent="0.2">
      <c r="A223" t="s">
        <v>481</v>
      </c>
      <c r="B223" t="s">
        <v>482</v>
      </c>
      <c r="C223" s="2">
        <v>45159</v>
      </c>
      <c r="D223" s="2">
        <v>45164</v>
      </c>
      <c r="E223">
        <f t="shared" si="3"/>
        <v>5</v>
      </c>
      <c r="F223" t="s">
        <v>14</v>
      </c>
      <c r="G223">
        <v>47717</v>
      </c>
      <c r="H223">
        <v>691</v>
      </c>
      <c r="I223">
        <v>985.25</v>
      </c>
      <c r="J223">
        <v>127</v>
      </c>
      <c r="K223" t="s">
        <v>30</v>
      </c>
    </row>
    <row r="224" spans="1:11" x14ac:dyDescent="0.2">
      <c r="A224" t="s">
        <v>483</v>
      </c>
      <c r="B224" t="s">
        <v>484</v>
      </c>
      <c r="C224" s="2">
        <v>45099</v>
      </c>
      <c r="D224" s="2">
        <v>45105</v>
      </c>
      <c r="E224">
        <f t="shared" si="3"/>
        <v>6</v>
      </c>
      <c r="F224" t="s">
        <v>19</v>
      </c>
      <c r="G224">
        <v>88092</v>
      </c>
      <c r="H224">
        <v>890</v>
      </c>
      <c r="I224" s="3">
        <v>653.23</v>
      </c>
      <c r="J224">
        <v>62</v>
      </c>
      <c r="K224">
        <v>0</v>
      </c>
    </row>
    <row r="225" spans="1:11" x14ac:dyDescent="0.2">
      <c r="A225" t="s">
        <v>486</v>
      </c>
      <c r="B225" t="s">
        <v>487</v>
      </c>
      <c r="C225" s="2">
        <v>45093</v>
      </c>
      <c r="D225" s="2">
        <v>45113</v>
      </c>
      <c r="E225">
        <f t="shared" si="3"/>
        <v>20</v>
      </c>
      <c r="F225" t="s">
        <v>41</v>
      </c>
      <c r="G225">
        <v>51859</v>
      </c>
      <c r="H225">
        <v>1842</v>
      </c>
      <c r="I225">
        <v>2243.08</v>
      </c>
      <c r="K225" t="s">
        <v>30</v>
      </c>
    </row>
    <row r="226" spans="1:11" x14ac:dyDescent="0.2">
      <c r="A226" t="s">
        <v>488</v>
      </c>
      <c r="B226" t="s">
        <v>489</v>
      </c>
      <c r="C226" s="2">
        <v>45059</v>
      </c>
      <c r="D226" s="2">
        <v>45074</v>
      </c>
      <c r="E226">
        <f t="shared" si="3"/>
        <v>15</v>
      </c>
      <c r="F226" t="s">
        <v>138</v>
      </c>
      <c r="G226">
        <v>27309</v>
      </c>
      <c r="H226">
        <v>835</v>
      </c>
      <c r="I226" s="3">
        <v>1395.15</v>
      </c>
      <c r="J226">
        <v>144</v>
      </c>
      <c r="K226" t="b">
        <v>1</v>
      </c>
    </row>
    <row r="227" spans="1:11" x14ac:dyDescent="0.2">
      <c r="A227" t="s">
        <v>490</v>
      </c>
      <c r="B227" t="s">
        <v>491</v>
      </c>
      <c r="C227" s="2">
        <v>45286</v>
      </c>
      <c r="D227" s="2">
        <v>45311</v>
      </c>
      <c r="E227">
        <f t="shared" si="3"/>
        <v>25</v>
      </c>
      <c r="F227" t="s">
        <v>33</v>
      </c>
      <c r="G227">
        <v>88455</v>
      </c>
      <c r="H227">
        <v>2984</v>
      </c>
      <c r="I227" s="3">
        <v>2851.02</v>
      </c>
      <c r="J227">
        <v>583</v>
      </c>
      <c r="K227">
        <v>1</v>
      </c>
    </row>
    <row r="228" spans="1:11" x14ac:dyDescent="0.2">
      <c r="A228" t="s">
        <v>492</v>
      </c>
      <c r="B228" t="s">
        <v>493</v>
      </c>
      <c r="C228" s="2">
        <v>45191</v>
      </c>
      <c r="D228" s="2">
        <v>45202</v>
      </c>
      <c r="E228">
        <f t="shared" si="3"/>
        <v>11</v>
      </c>
      <c r="F228" t="s">
        <v>23</v>
      </c>
      <c r="G228">
        <v>64734</v>
      </c>
      <c r="H228">
        <v>2702</v>
      </c>
      <c r="I228">
        <v>2614.2800000000002</v>
      </c>
      <c r="J228">
        <v>319</v>
      </c>
      <c r="K228" t="s">
        <v>24</v>
      </c>
    </row>
    <row r="229" spans="1:11" x14ac:dyDescent="0.2">
      <c r="A229" t="s">
        <v>494</v>
      </c>
      <c r="B229" t="s">
        <v>495</v>
      </c>
      <c r="C229" s="2">
        <v>45135</v>
      </c>
      <c r="D229" s="2">
        <v>45139</v>
      </c>
      <c r="E229">
        <f t="shared" si="3"/>
        <v>4</v>
      </c>
      <c r="F229" t="s">
        <v>23</v>
      </c>
      <c r="G229">
        <v>71467</v>
      </c>
      <c r="H229">
        <v>2563</v>
      </c>
      <c r="I229" s="3">
        <v>1293.58</v>
      </c>
      <c r="J229">
        <v>323</v>
      </c>
      <c r="K229" t="s">
        <v>24</v>
      </c>
    </row>
    <row r="230" spans="1:11" x14ac:dyDescent="0.2">
      <c r="A230" t="s">
        <v>496</v>
      </c>
      <c r="B230" t="s">
        <v>497</v>
      </c>
      <c r="C230" s="2">
        <v>45280</v>
      </c>
      <c r="D230" s="2">
        <v>45310</v>
      </c>
      <c r="E230">
        <f t="shared" si="3"/>
        <v>30</v>
      </c>
      <c r="F230" t="s">
        <v>23</v>
      </c>
      <c r="G230">
        <v>53662</v>
      </c>
      <c r="H230">
        <v>911</v>
      </c>
      <c r="I230">
        <v>693.6</v>
      </c>
      <c r="J230">
        <v>123</v>
      </c>
      <c r="K230" t="s">
        <v>15</v>
      </c>
    </row>
    <row r="231" spans="1:11" x14ac:dyDescent="0.2">
      <c r="A231" t="s">
        <v>498</v>
      </c>
      <c r="B231" t="s">
        <v>499</v>
      </c>
      <c r="C231" s="2">
        <v>45156</v>
      </c>
      <c r="D231" s="2">
        <v>45165</v>
      </c>
      <c r="E231">
        <f t="shared" si="3"/>
        <v>9</v>
      </c>
      <c r="F231" t="s">
        <v>14</v>
      </c>
      <c r="G231">
        <v>99506</v>
      </c>
      <c r="H231">
        <v>2431</v>
      </c>
      <c r="I231">
        <v>4407.67</v>
      </c>
      <c r="J231">
        <v>461</v>
      </c>
      <c r="K231" t="s">
        <v>30</v>
      </c>
    </row>
    <row r="232" spans="1:11" x14ac:dyDescent="0.2">
      <c r="A232" t="s">
        <v>500</v>
      </c>
      <c r="B232" t="s">
        <v>501</v>
      </c>
      <c r="C232" s="2">
        <v>45040</v>
      </c>
      <c r="D232" s="2">
        <v>45055</v>
      </c>
      <c r="E232">
        <f t="shared" si="3"/>
        <v>15</v>
      </c>
      <c r="F232" t="s">
        <v>33</v>
      </c>
      <c r="G232">
        <v>13688</v>
      </c>
      <c r="H232">
        <v>632</v>
      </c>
      <c r="I232">
        <v>734.78</v>
      </c>
      <c r="J232">
        <v>112</v>
      </c>
      <c r="K232" t="b">
        <v>1</v>
      </c>
    </row>
    <row r="233" spans="1:11" x14ac:dyDescent="0.2">
      <c r="A233" t="s">
        <v>502</v>
      </c>
      <c r="B233" t="s">
        <v>503</v>
      </c>
      <c r="C233" s="2">
        <v>45266</v>
      </c>
      <c r="D233" s="2">
        <v>45275</v>
      </c>
      <c r="E233">
        <f t="shared" si="3"/>
        <v>9</v>
      </c>
      <c r="F233" t="s">
        <v>138</v>
      </c>
      <c r="G233">
        <v>26342</v>
      </c>
      <c r="H233">
        <v>1074</v>
      </c>
      <c r="I233">
        <v>2122.6</v>
      </c>
      <c r="J233">
        <v>81</v>
      </c>
      <c r="K233" t="s">
        <v>15</v>
      </c>
    </row>
    <row r="234" spans="1:11" x14ac:dyDescent="0.2">
      <c r="A234" t="s">
        <v>504</v>
      </c>
      <c r="B234" t="s">
        <v>505</v>
      </c>
      <c r="C234" s="2">
        <v>45198</v>
      </c>
      <c r="D234" s="2">
        <v>45205</v>
      </c>
      <c r="E234">
        <f t="shared" si="3"/>
        <v>7</v>
      </c>
      <c r="F234" t="s">
        <v>33</v>
      </c>
      <c r="G234">
        <v>38157</v>
      </c>
      <c r="H234">
        <v>1231</v>
      </c>
      <c r="I234">
        <v>1346.17</v>
      </c>
      <c r="J234">
        <v>142</v>
      </c>
      <c r="K234">
        <v>1</v>
      </c>
    </row>
    <row r="235" spans="1:11" x14ac:dyDescent="0.2">
      <c r="A235" t="s">
        <v>506</v>
      </c>
      <c r="B235" t="s">
        <v>507</v>
      </c>
      <c r="C235" s="2">
        <v>45208</v>
      </c>
      <c r="D235" s="2">
        <v>45231</v>
      </c>
      <c r="E235">
        <f t="shared" si="3"/>
        <v>23</v>
      </c>
      <c r="F235" t="s">
        <v>14</v>
      </c>
      <c r="G235">
        <v>68863</v>
      </c>
      <c r="H235">
        <v>1392</v>
      </c>
      <c r="I235">
        <v>2189.31</v>
      </c>
      <c r="J235">
        <v>166</v>
      </c>
      <c r="K235">
        <v>0</v>
      </c>
    </row>
    <row r="236" spans="1:11" x14ac:dyDescent="0.2">
      <c r="A236" t="s">
        <v>508</v>
      </c>
      <c r="B236" t="s">
        <v>509</v>
      </c>
      <c r="C236" s="2">
        <v>45065</v>
      </c>
      <c r="D236" s="2">
        <v>45085</v>
      </c>
      <c r="E236">
        <f t="shared" si="3"/>
        <v>20</v>
      </c>
      <c r="F236" t="s">
        <v>33</v>
      </c>
      <c r="G236">
        <v>53083</v>
      </c>
      <c r="H236">
        <v>1172</v>
      </c>
      <c r="I236">
        <v>1081.6099999999999</v>
      </c>
      <c r="J236">
        <v>197</v>
      </c>
      <c r="K236" t="s">
        <v>30</v>
      </c>
    </row>
    <row r="237" spans="1:11" x14ac:dyDescent="0.2">
      <c r="A237" t="s">
        <v>510</v>
      </c>
      <c r="B237" t="s">
        <v>511</v>
      </c>
      <c r="C237" s="2">
        <v>45025</v>
      </c>
      <c r="D237" s="2">
        <v>45040</v>
      </c>
      <c r="E237">
        <f t="shared" si="3"/>
        <v>15</v>
      </c>
      <c r="F237" t="s">
        <v>19</v>
      </c>
      <c r="G237">
        <v>66733</v>
      </c>
      <c r="H237">
        <v>2621</v>
      </c>
      <c r="I237">
        <v>2740.82</v>
      </c>
      <c r="K237">
        <v>0</v>
      </c>
    </row>
    <row r="238" spans="1:11" x14ac:dyDescent="0.2">
      <c r="A238" t="s">
        <v>512</v>
      </c>
      <c r="B238" t="s">
        <v>513</v>
      </c>
      <c r="C238" s="2">
        <v>45280</v>
      </c>
      <c r="D238" s="2">
        <v>45290</v>
      </c>
      <c r="E238">
        <f t="shared" si="3"/>
        <v>10</v>
      </c>
      <c r="F238" t="s">
        <v>138</v>
      </c>
      <c r="G238">
        <v>90045</v>
      </c>
      <c r="H238">
        <v>3966</v>
      </c>
      <c r="I238">
        <v>3117.63</v>
      </c>
      <c r="J238">
        <v>587</v>
      </c>
      <c r="K238" t="b">
        <v>1</v>
      </c>
    </row>
    <row r="239" spans="1:11" x14ac:dyDescent="0.2">
      <c r="A239" t="s">
        <v>514</v>
      </c>
      <c r="B239" t="s">
        <v>515</v>
      </c>
      <c r="C239" s="2">
        <v>45174</v>
      </c>
      <c r="D239" s="2">
        <v>45180</v>
      </c>
      <c r="E239">
        <f t="shared" si="3"/>
        <v>6</v>
      </c>
      <c r="F239" t="s">
        <v>138</v>
      </c>
      <c r="G239">
        <v>35698</v>
      </c>
      <c r="H239">
        <v>1315</v>
      </c>
      <c r="I239" s="3">
        <v>1342.08</v>
      </c>
      <c r="J239">
        <v>262</v>
      </c>
      <c r="K239">
        <v>0</v>
      </c>
    </row>
    <row r="240" spans="1:11" x14ac:dyDescent="0.2">
      <c r="A240" t="s">
        <v>516</v>
      </c>
      <c r="B240" t="s">
        <v>517</v>
      </c>
      <c r="C240" s="2">
        <v>45195</v>
      </c>
      <c r="D240" s="2">
        <v>45214</v>
      </c>
      <c r="E240">
        <f t="shared" si="3"/>
        <v>19</v>
      </c>
      <c r="F240" t="s">
        <v>138</v>
      </c>
      <c r="G240">
        <v>81623</v>
      </c>
      <c r="H240">
        <v>3459</v>
      </c>
      <c r="I240">
        <v>4568.84</v>
      </c>
      <c r="J240">
        <v>211</v>
      </c>
      <c r="K240">
        <v>0</v>
      </c>
    </row>
    <row r="241" spans="1:11" x14ac:dyDescent="0.2">
      <c r="A241" t="s">
        <v>518</v>
      </c>
      <c r="B241" t="s">
        <v>519</v>
      </c>
      <c r="C241" s="2">
        <v>45026</v>
      </c>
      <c r="D241" s="2">
        <v>45031</v>
      </c>
      <c r="E241">
        <f t="shared" si="3"/>
        <v>5</v>
      </c>
      <c r="F241" t="s">
        <v>234</v>
      </c>
      <c r="G241">
        <v>23671</v>
      </c>
      <c r="H241">
        <v>962</v>
      </c>
      <c r="I241">
        <v>1912.13</v>
      </c>
      <c r="J241">
        <v>80</v>
      </c>
      <c r="K241" t="b">
        <v>1</v>
      </c>
    </row>
    <row r="242" spans="1:11" x14ac:dyDescent="0.2">
      <c r="A242" t="s">
        <v>520</v>
      </c>
      <c r="B242" t="s">
        <v>521</v>
      </c>
      <c r="C242" s="2">
        <v>45022</v>
      </c>
      <c r="D242" s="2">
        <v>45092</v>
      </c>
      <c r="E242">
        <f t="shared" si="3"/>
        <v>70</v>
      </c>
      <c r="F242" t="s">
        <v>19</v>
      </c>
      <c r="G242">
        <v>26184</v>
      </c>
      <c r="H242">
        <v>418</v>
      </c>
      <c r="I242" s="3">
        <v>625.45000000000005</v>
      </c>
      <c r="J242">
        <v>46</v>
      </c>
      <c r="K242" t="b">
        <v>1</v>
      </c>
    </row>
    <row r="243" spans="1:11" x14ac:dyDescent="0.2">
      <c r="A243" t="s">
        <v>522</v>
      </c>
      <c r="B243" t="s">
        <v>523</v>
      </c>
      <c r="C243" s="2">
        <v>44937</v>
      </c>
      <c r="D243" s="2">
        <v>45200</v>
      </c>
      <c r="E243">
        <f t="shared" si="3"/>
        <v>263</v>
      </c>
      <c r="F243" t="s">
        <v>33</v>
      </c>
      <c r="G243">
        <v>94384</v>
      </c>
      <c r="H243">
        <v>2544</v>
      </c>
      <c r="I243">
        <v>2032.32</v>
      </c>
      <c r="J243">
        <v>259</v>
      </c>
      <c r="K243" t="s">
        <v>30</v>
      </c>
    </row>
    <row r="244" spans="1:11" x14ac:dyDescent="0.2">
      <c r="A244" t="s">
        <v>524</v>
      </c>
      <c r="B244" t="s">
        <v>525</v>
      </c>
      <c r="C244" s="2">
        <v>44954</v>
      </c>
      <c r="D244" s="2">
        <v>44958</v>
      </c>
      <c r="E244">
        <f t="shared" si="3"/>
        <v>4</v>
      </c>
      <c r="F244" t="s">
        <v>19</v>
      </c>
      <c r="G244">
        <v>43107</v>
      </c>
      <c r="H244">
        <v>694</v>
      </c>
      <c r="I244">
        <v>393.8</v>
      </c>
      <c r="J244">
        <v>36</v>
      </c>
      <c r="K244">
        <v>0</v>
      </c>
    </row>
    <row r="245" spans="1:11" x14ac:dyDescent="0.2">
      <c r="A245" t="s">
        <v>526</v>
      </c>
      <c r="B245" t="s">
        <v>527</v>
      </c>
      <c r="C245" s="2">
        <v>44991</v>
      </c>
      <c r="D245" s="2">
        <v>44993</v>
      </c>
      <c r="E245">
        <f t="shared" si="3"/>
        <v>2</v>
      </c>
      <c r="F245" t="s">
        <v>19</v>
      </c>
      <c r="G245">
        <v>87202</v>
      </c>
      <c r="H245">
        <v>1692</v>
      </c>
      <c r="I245" s="3">
        <v>1166.69</v>
      </c>
      <c r="J245">
        <v>107</v>
      </c>
      <c r="K245" t="s">
        <v>15</v>
      </c>
    </row>
    <row r="246" spans="1:11" x14ac:dyDescent="0.2">
      <c r="A246" t="s">
        <v>528</v>
      </c>
      <c r="B246" t="s">
        <v>529</v>
      </c>
      <c r="C246" s="2">
        <v>44979</v>
      </c>
      <c r="D246" s="2">
        <v>45007</v>
      </c>
      <c r="E246">
        <f t="shared" si="3"/>
        <v>28</v>
      </c>
      <c r="F246" t="s">
        <v>33</v>
      </c>
      <c r="G246">
        <v>52663</v>
      </c>
      <c r="H246">
        <v>2357</v>
      </c>
      <c r="I246">
        <v>3167.41</v>
      </c>
      <c r="J246">
        <v>358</v>
      </c>
      <c r="K246" t="b">
        <v>1</v>
      </c>
    </row>
    <row r="247" spans="1:11" x14ac:dyDescent="0.2">
      <c r="A247" t="s">
        <v>530</v>
      </c>
      <c r="B247" t="s">
        <v>531</v>
      </c>
      <c r="C247" s="2">
        <v>45167</v>
      </c>
      <c r="D247" s="2">
        <v>45178</v>
      </c>
      <c r="E247">
        <f t="shared" si="3"/>
        <v>11</v>
      </c>
      <c r="F247" t="s">
        <v>23</v>
      </c>
      <c r="G247">
        <v>16708</v>
      </c>
      <c r="H247">
        <v>483</v>
      </c>
      <c r="I247">
        <v>795.86</v>
      </c>
      <c r="J247">
        <v>87</v>
      </c>
      <c r="K247">
        <v>1</v>
      </c>
    </row>
    <row r="248" spans="1:11" x14ac:dyDescent="0.2">
      <c r="A248" t="s">
        <v>532</v>
      </c>
      <c r="B248" t="s">
        <v>533</v>
      </c>
      <c r="C248" s="2">
        <v>44953</v>
      </c>
      <c r="D248" s="2">
        <v>44971</v>
      </c>
      <c r="E248">
        <f t="shared" si="3"/>
        <v>18</v>
      </c>
      <c r="F248" t="s">
        <v>14</v>
      </c>
      <c r="G248">
        <v>92906</v>
      </c>
      <c r="H248">
        <v>2918</v>
      </c>
      <c r="I248">
        <v>5575.21</v>
      </c>
      <c r="K248">
        <v>0</v>
      </c>
    </row>
    <row r="249" spans="1:11" x14ac:dyDescent="0.2">
      <c r="A249" t="s">
        <v>534</v>
      </c>
      <c r="B249" t="s">
        <v>535</v>
      </c>
      <c r="C249" s="2">
        <v>44985</v>
      </c>
      <c r="D249" s="2">
        <v>45001</v>
      </c>
      <c r="E249">
        <f t="shared" si="3"/>
        <v>16</v>
      </c>
      <c r="F249" t="s">
        <v>41</v>
      </c>
      <c r="G249">
        <v>50811</v>
      </c>
      <c r="H249">
        <v>870</v>
      </c>
      <c r="I249">
        <v>455.65</v>
      </c>
      <c r="K249" t="b">
        <v>1</v>
      </c>
    </row>
    <row r="250" spans="1:11" x14ac:dyDescent="0.2">
      <c r="A250" t="s">
        <v>536</v>
      </c>
      <c r="B250" t="s">
        <v>537</v>
      </c>
      <c r="C250" s="2">
        <v>44964</v>
      </c>
      <c r="D250" s="2">
        <v>44976</v>
      </c>
      <c r="E250">
        <f t="shared" si="3"/>
        <v>12</v>
      </c>
      <c r="F250" t="s">
        <v>19</v>
      </c>
      <c r="G250">
        <v>3811</v>
      </c>
      <c r="H250">
        <v>85</v>
      </c>
      <c r="I250">
        <v>109.15</v>
      </c>
      <c r="J250">
        <v>7</v>
      </c>
      <c r="K250" t="s">
        <v>15</v>
      </c>
    </row>
    <row r="251" spans="1:11" x14ac:dyDescent="0.2">
      <c r="A251" t="s">
        <v>538</v>
      </c>
      <c r="B251" t="s">
        <v>539</v>
      </c>
      <c r="C251" s="2">
        <v>45004</v>
      </c>
      <c r="D251" s="2">
        <v>45009</v>
      </c>
      <c r="E251">
        <f t="shared" si="3"/>
        <v>5</v>
      </c>
      <c r="F251" t="s">
        <v>19</v>
      </c>
      <c r="G251">
        <v>57250</v>
      </c>
      <c r="H251">
        <v>1099</v>
      </c>
      <c r="I251">
        <v>1325.72</v>
      </c>
      <c r="J251">
        <v>181</v>
      </c>
      <c r="K251" t="s">
        <v>24</v>
      </c>
    </row>
    <row r="252" spans="1:11" x14ac:dyDescent="0.2">
      <c r="A252" t="s">
        <v>540</v>
      </c>
      <c r="B252" t="s">
        <v>541</v>
      </c>
      <c r="C252" s="2">
        <v>45052</v>
      </c>
      <c r="D252" s="2">
        <v>45093</v>
      </c>
      <c r="E252">
        <f t="shared" si="3"/>
        <v>41</v>
      </c>
      <c r="F252" t="s">
        <v>14</v>
      </c>
      <c r="G252">
        <v>73082</v>
      </c>
      <c r="H252">
        <v>1333</v>
      </c>
      <c r="I252" s="3">
        <v>1978.28</v>
      </c>
      <c r="K252" t="s">
        <v>30</v>
      </c>
    </row>
    <row r="253" spans="1:11" x14ac:dyDescent="0.2">
      <c r="A253" t="s">
        <v>542</v>
      </c>
      <c r="B253" t="s">
        <v>543</v>
      </c>
      <c r="C253" s="2">
        <v>45054</v>
      </c>
      <c r="D253" s="2">
        <v>45081</v>
      </c>
      <c r="E253">
        <f t="shared" si="3"/>
        <v>27</v>
      </c>
      <c r="F253" t="s">
        <v>14</v>
      </c>
      <c r="G253">
        <v>35754</v>
      </c>
      <c r="H253">
        <v>1269</v>
      </c>
      <c r="I253">
        <v>1699.66</v>
      </c>
      <c r="J253">
        <v>175</v>
      </c>
      <c r="K253">
        <v>0</v>
      </c>
    </row>
    <row r="254" spans="1:11" x14ac:dyDescent="0.2">
      <c r="A254" t="s">
        <v>544</v>
      </c>
      <c r="B254" t="s">
        <v>545</v>
      </c>
      <c r="C254" s="2">
        <v>45237</v>
      </c>
      <c r="D254" s="2">
        <v>45261</v>
      </c>
      <c r="E254">
        <f t="shared" si="3"/>
        <v>24</v>
      </c>
      <c r="F254" t="s">
        <v>19</v>
      </c>
      <c r="G254">
        <v>96742</v>
      </c>
      <c r="H254">
        <v>1961</v>
      </c>
      <c r="I254">
        <v>3001.43</v>
      </c>
      <c r="J254">
        <v>160</v>
      </c>
      <c r="K254" t="s">
        <v>24</v>
      </c>
    </row>
    <row r="255" spans="1:11" x14ac:dyDescent="0.2">
      <c r="A255" t="s">
        <v>546</v>
      </c>
      <c r="B255" t="s">
        <v>547</v>
      </c>
      <c r="C255" s="2">
        <v>45194</v>
      </c>
      <c r="D255" s="2">
        <v>45207</v>
      </c>
      <c r="E255">
        <f t="shared" si="3"/>
        <v>13</v>
      </c>
      <c r="F255" t="s">
        <v>14</v>
      </c>
      <c r="G255">
        <v>12411</v>
      </c>
      <c r="H255">
        <v>437</v>
      </c>
      <c r="I255">
        <v>649.87</v>
      </c>
      <c r="J255">
        <v>28</v>
      </c>
      <c r="K255" t="b">
        <v>1</v>
      </c>
    </row>
    <row r="256" spans="1:11" x14ac:dyDescent="0.2">
      <c r="A256" t="s">
        <v>548</v>
      </c>
      <c r="B256" t="s">
        <v>549</v>
      </c>
      <c r="C256" s="2">
        <v>45079</v>
      </c>
      <c r="D256" s="2">
        <v>45097</v>
      </c>
      <c r="E256">
        <f t="shared" si="3"/>
        <v>18</v>
      </c>
      <c r="F256" t="s">
        <v>14</v>
      </c>
      <c r="G256">
        <v>3911</v>
      </c>
      <c r="H256">
        <v>48</v>
      </c>
      <c r="I256">
        <v>32.42</v>
      </c>
      <c r="J256">
        <v>2</v>
      </c>
      <c r="K256" t="b">
        <v>1</v>
      </c>
    </row>
    <row r="257" spans="1:11" x14ac:dyDescent="0.2">
      <c r="A257" t="s">
        <v>550</v>
      </c>
      <c r="B257" t="s">
        <v>551</v>
      </c>
      <c r="C257" s="2">
        <v>45083</v>
      </c>
      <c r="D257" s="2">
        <v>45084</v>
      </c>
      <c r="E257">
        <f t="shared" si="3"/>
        <v>1</v>
      </c>
      <c r="F257" t="s">
        <v>23</v>
      </c>
      <c r="G257">
        <v>68270</v>
      </c>
      <c r="H257">
        <v>1069</v>
      </c>
      <c r="I257">
        <v>1816.85</v>
      </c>
      <c r="K257">
        <v>1</v>
      </c>
    </row>
    <row r="258" spans="1:11" x14ac:dyDescent="0.2">
      <c r="A258" t="s">
        <v>552</v>
      </c>
      <c r="B258" t="s">
        <v>553</v>
      </c>
      <c r="C258" s="2">
        <v>44977</v>
      </c>
      <c r="D258" s="2">
        <v>44998</v>
      </c>
      <c r="E258">
        <f t="shared" ref="E258:E321" si="4">D258-C258</f>
        <v>21</v>
      </c>
      <c r="F258" t="s">
        <v>14</v>
      </c>
      <c r="G258">
        <v>84763</v>
      </c>
      <c r="H258">
        <v>1778</v>
      </c>
      <c r="I258">
        <v>1217.6600000000001</v>
      </c>
      <c r="J258">
        <v>308</v>
      </c>
      <c r="K258">
        <v>1</v>
      </c>
    </row>
    <row r="259" spans="1:11" x14ac:dyDescent="0.2">
      <c r="A259" t="s">
        <v>554</v>
      </c>
      <c r="B259" t="s">
        <v>555</v>
      </c>
      <c r="C259" s="2">
        <v>45035</v>
      </c>
      <c r="D259" s="2">
        <v>45049</v>
      </c>
      <c r="E259">
        <f t="shared" si="4"/>
        <v>14</v>
      </c>
      <c r="F259" t="s">
        <v>14</v>
      </c>
      <c r="G259">
        <v>9680</v>
      </c>
      <c r="H259">
        <v>327</v>
      </c>
      <c r="I259">
        <v>506.13</v>
      </c>
      <c r="J259">
        <v>58</v>
      </c>
      <c r="K259">
        <v>0</v>
      </c>
    </row>
    <row r="260" spans="1:11" x14ac:dyDescent="0.2">
      <c r="A260" t="s">
        <v>556</v>
      </c>
      <c r="B260" t="s">
        <v>557</v>
      </c>
      <c r="C260" s="2">
        <v>45011</v>
      </c>
      <c r="D260" s="2">
        <v>45049</v>
      </c>
      <c r="E260">
        <f t="shared" si="4"/>
        <v>38</v>
      </c>
      <c r="F260" t="s">
        <v>41</v>
      </c>
      <c r="G260">
        <v>85896</v>
      </c>
      <c r="H260">
        <v>3181</v>
      </c>
      <c r="I260">
        <v>3576.14</v>
      </c>
      <c r="J260">
        <v>380</v>
      </c>
      <c r="K260" t="s">
        <v>24</v>
      </c>
    </row>
    <row r="261" spans="1:11" x14ac:dyDescent="0.2">
      <c r="A261" t="s">
        <v>558</v>
      </c>
      <c r="B261" t="s">
        <v>559</v>
      </c>
      <c r="C261" s="2">
        <v>44928</v>
      </c>
      <c r="D261" s="2">
        <v>44939</v>
      </c>
      <c r="E261">
        <f t="shared" si="4"/>
        <v>11</v>
      </c>
      <c r="F261" t="s">
        <v>33</v>
      </c>
      <c r="G261">
        <v>84879</v>
      </c>
      <c r="H261">
        <v>2351</v>
      </c>
      <c r="I261" s="3">
        <v>2987.59</v>
      </c>
      <c r="K261" t="s">
        <v>24</v>
      </c>
    </row>
    <row r="262" spans="1:11" x14ac:dyDescent="0.2">
      <c r="A262" t="s">
        <v>560</v>
      </c>
      <c r="B262" t="s">
        <v>561</v>
      </c>
      <c r="C262" s="2">
        <v>45167</v>
      </c>
      <c r="D262" s="2">
        <v>45180</v>
      </c>
      <c r="E262">
        <f t="shared" si="4"/>
        <v>13</v>
      </c>
      <c r="F262" t="s">
        <v>19</v>
      </c>
      <c r="G262">
        <v>72295</v>
      </c>
      <c r="H262">
        <v>2012</v>
      </c>
      <c r="I262">
        <v>3732.15</v>
      </c>
      <c r="J262">
        <v>386</v>
      </c>
      <c r="K262" t="b">
        <v>1</v>
      </c>
    </row>
    <row r="263" spans="1:11" x14ac:dyDescent="0.2">
      <c r="A263" t="s">
        <v>562</v>
      </c>
      <c r="B263" t="s">
        <v>563</v>
      </c>
      <c r="C263" s="2">
        <v>45288</v>
      </c>
      <c r="D263" s="2">
        <v>45294</v>
      </c>
      <c r="E263">
        <f t="shared" si="4"/>
        <v>6</v>
      </c>
      <c r="F263" t="s">
        <v>19</v>
      </c>
      <c r="G263">
        <v>89614</v>
      </c>
      <c r="H263">
        <v>3493</v>
      </c>
      <c r="I263">
        <v>6409.05</v>
      </c>
      <c r="J263">
        <v>318</v>
      </c>
      <c r="K263">
        <v>0</v>
      </c>
    </row>
    <row r="264" spans="1:11" x14ac:dyDescent="0.2">
      <c r="A264" t="s">
        <v>564</v>
      </c>
      <c r="B264" t="s">
        <v>565</v>
      </c>
      <c r="C264" s="2">
        <v>44963</v>
      </c>
      <c r="D264" s="2">
        <v>44974</v>
      </c>
      <c r="E264">
        <f t="shared" si="4"/>
        <v>11</v>
      </c>
      <c r="F264" t="s">
        <v>19</v>
      </c>
      <c r="G264">
        <v>12111</v>
      </c>
      <c r="H264">
        <v>128</v>
      </c>
      <c r="I264">
        <v>221.03</v>
      </c>
      <c r="K264" t="b">
        <v>1</v>
      </c>
    </row>
    <row r="265" spans="1:11" x14ac:dyDescent="0.2">
      <c r="A265" t="s">
        <v>566</v>
      </c>
      <c r="B265" t="s">
        <v>567</v>
      </c>
      <c r="C265" s="2">
        <v>45247</v>
      </c>
      <c r="D265" s="2">
        <v>45267</v>
      </c>
      <c r="E265">
        <f t="shared" si="4"/>
        <v>20</v>
      </c>
      <c r="F265" t="s">
        <v>14</v>
      </c>
      <c r="G265">
        <v>38504</v>
      </c>
      <c r="H265">
        <v>910</v>
      </c>
      <c r="I265">
        <v>1151.3499999999999</v>
      </c>
      <c r="J265">
        <v>172</v>
      </c>
      <c r="K265">
        <v>1</v>
      </c>
    </row>
    <row r="266" spans="1:11" x14ac:dyDescent="0.2">
      <c r="A266" t="s">
        <v>568</v>
      </c>
      <c r="B266" t="s">
        <v>569</v>
      </c>
      <c r="C266" s="2">
        <v>45028</v>
      </c>
      <c r="D266" s="2">
        <v>45055</v>
      </c>
      <c r="E266">
        <f t="shared" si="4"/>
        <v>27</v>
      </c>
      <c r="F266" t="s">
        <v>41</v>
      </c>
      <c r="G266">
        <v>2802</v>
      </c>
      <c r="H266">
        <v>119</v>
      </c>
      <c r="I266">
        <v>190.92</v>
      </c>
      <c r="J266">
        <v>11</v>
      </c>
      <c r="K266" t="s">
        <v>15</v>
      </c>
    </row>
    <row r="267" spans="1:11" x14ac:dyDescent="0.2">
      <c r="A267" t="s">
        <v>570</v>
      </c>
      <c r="B267" t="s">
        <v>571</v>
      </c>
      <c r="C267" s="2">
        <v>45258</v>
      </c>
      <c r="D267" s="2">
        <v>45283</v>
      </c>
      <c r="E267">
        <f t="shared" si="4"/>
        <v>25</v>
      </c>
      <c r="F267" t="s">
        <v>41</v>
      </c>
      <c r="G267">
        <v>9155</v>
      </c>
      <c r="H267">
        <v>312</v>
      </c>
      <c r="I267">
        <v>396.04</v>
      </c>
      <c r="J267">
        <v>58</v>
      </c>
      <c r="K267" t="b">
        <v>0</v>
      </c>
    </row>
    <row r="268" spans="1:11" x14ac:dyDescent="0.2">
      <c r="A268" t="s">
        <v>572</v>
      </c>
      <c r="B268" t="s">
        <v>573</v>
      </c>
      <c r="C268" s="2">
        <v>44999</v>
      </c>
      <c r="D268" s="2">
        <v>45001</v>
      </c>
      <c r="E268">
        <f t="shared" si="4"/>
        <v>2</v>
      </c>
      <c r="F268" t="s">
        <v>23</v>
      </c>
      <c r="G268">
        <v>74656</v>
      </c>
      <c r="H268">
        <v>1753</v>
      </c>
      <c r="I268" s="3">
        <v>3163.13</v>
      </c>
      <c r="J268">
        <v>345</v>
      </c>
      <c r="K268" t="b">
        <v>0</v>
      </c>
    </row>
    <row r="269" spans="1:11" x14ac:dyDescent="0.2">
      <c r="A269" t="s">
        <v>575</v>
      </c>
      <c r="B269" t="s">
        <v>576</v>
      </c>
      <c r="C269" s="2">
        <v>45011</v>
      </c>
      <c r="D269" s="2">
        <v>45032</v>
      </c>
      <c r="E269">
        <f t="shared" si="4"/>
        <v>21</v>
      </c>
      <c r="F269" t="s">
        <v>23</v>
      </c>
      <c r="G269">
        <v>40384</v>
      </c>
      <c r="H269">
        <v>1866</v>
      </c>
      <c r="I269">
        <v>2060.37</v>
      </c>
      <c r="J269">
        <v>278</v>
      </c>
      <c r="K269" t="b">
        <v>1</v>
      </c>
    </row>
    <row r="270" spans="1:11" x14ac:dyDescent="0.2">
      <c r="A270" t="s">
        <v>577</v>
      </c>
      <c r="B270" t="s">
        <v>578</v>
      </c>
      <c r="C270" s="2">
        <v>45218</v>
      </c>
      <c r="D270" s="2">
        <v>45228</v>
      </c>
      <c r="E270">
        <f t="shared" si="4"/>
        <v>10</v>
      </c>
      <c r="F270" t="s">
        <v>33</v>
      </c>
      <c r="G270">
        <v>48254</v>
      </c>
      <c r="H270">
        <v>1973</v>
      </c>
      <c r="I270">
        <v>3857.91</v>
      </c>
      <c r="J270">
        <v>340</v>
      </c>
      <c r="K270" t="s">
        <v>24</v>
      </c>
    </row>
    <row r="271" spans="1:11" x14ac:dyDescent="0.2">
      <c r="A271" t="s">
        <v>579</v>
      </c>
      <c r="B271" t="s">
        <v>580</v>
      </c>
      <c r="C271" s="2">
        <v>45166</v>
      </c>
      <c r="D271" s="2">
        <v>45177</v>
      </c>
      <c r="E271">
        <f t="shared" si="4"/>
        <v>11</v>
      </c>
      <c r="F271" t="s">
        <v>23</v>
      </c>
      <c r="G271">
        <v>22918</v>
      </c>
      <c r="H271">
        <v>472</v>
      </c>
      <c r="I271">
        <v>896.08</v>
      </c>
      <c r="J271">
        <v>76</v>
      </c>
      <c r="K271">
        <v>1</v>
      </c>
    </row>
    <row r="272" spans="1:11" x14ac:dyDescent="0.2">
      <c r="A272" t="s">
        <v>581</v>
      </c>
      <c r="B272" t="s">
        <v>582</v>
      </c>
      <c r="C272" s="2">
        <v>45066</v>
      </c>
      <c r="D272" s="2">
        <v>45085</v>
      </c>
      <c r="E272">
        <f t="shared" si="4"/>
        <v>19</v>
      </c>
      <c r="F272" t="s">
        <v>33</v>
      </c>
      <c r="G272">
        <v>86981</v>
      </c>
      <c r="H272">
        <v>3114</v>
      </c>
      <c r="I272">
        <v>5021.03</v>
      </c>
      <c r="J272">
        <v>482</v>
      </c>
      <c r="K272" t="s">
        <v>30</v>
      </c>
    </row>
    <row r="273" spans="1:11" x14ac:dyDescent="0.2">
      <c r="A273" t="s">
        <v>583</v>
      </c>
      <c r="B273" t="s">
        <v>584</v>
      </c>
      <c r="C273" s="2">
        <v>44968</v>
      </c>
      <c r="D273" s="2">
        <v>44993</v>
      </c>
      <c r="E273">
        <f t="shared" si="4"/>
        <v>25</v>
      </c>
      <c r="F273" t="s">
        <v>14</v>
      </c>
      <c r="G273">
        <v>61713</v>
      </c>
      <c r="H273">
        <v>2087</v>
      </c>
      <c r="I273">
        <v>1918.21</v>
      </c>
      <c r="J273">
        <v>200</v>
      </c>
      <c r="K273" t="s">
        <v>30</v>
      </c>
    </row>
    <row r="274" spans="1:11" x14ac:dyDescent="0.2">
      <c r="A274" t="s">
        <v>585</v>
      </c>
      <c r="B274" t="s">
        <v>586</v>
      </c>
      <c r="C274" s="2">
        <v>45092</v>
      </c>
      <c r="D274" s="2">
        <v>45111</v>
      </c>
      <c r="E274">
        <f t="shared" si="4"/>
        <v>19</v>
      </c>
      <c r="F274" t="s">
        <v>14</v>
      </c>
      <c r="G274">
        <v>31306</v>
      </c>
      <c r="H274">
        <v>815</v>
      </c>
      <c r="I274">
        <v>568.45000000000005</v>
      </c>
      <c r="J274">
        <v>47</v>
      </c>
      <c r="K274" t="b">
        <v>0</v>
      </c>
    </row>
    <row r="275" spans="1:11" x14ac:dyDescent="0.2">
      <c r="A275" t="s">
        <v>587</v>
      </c>
      <c r="B275" t="s">
        <v>588</v>
      </c>
      <c r="C275" s="2">
        <v>45044</v>
      </c>
      <c r="D275" s="2">
        <v>45046</v>
      </c>
      <c r="E275">
        <f t="shared" si="4"/>
        <v>2</v>
      </c>
      <c r="F275" t="s">
        <v>33</v>
      </c>
      <c r="G275">
        <v>17646</v>
      </c>
      <c r="H275">
        <v>435</v>
      </c>
      <c r="I275">
        <v>775.19</v>
      </c>
      <c r="J275">
        <v>44</v>
      </c>
      <c r="K275" t="s">
        <v>15</v>
      </c>
    </row>
    <row r="276" spans="1:11" x14ac:dyDescent="0.2">
      <c r="A276" t="s">
        <v>589</v>
      </c>
      <c r="B276" t="s">
        <v>590</v>
      </c>
      <c r="C276" s="2">
        <v>45221</v>
      </c>
      <c r="D276" s="2">
        <v>45250</v>
      </c>
      <c r="E276">
        <f t="shared" si="4"/>
        <v>29</v>
      </c>
      <c r="F276" t="s">
        <v>14</v>
      </c>
      <c r="G276">
        <v>47843</v>
      </c>
      <c r="H276">
        <v>1135</v>
      </c>
      <c r="I276">
        <v>848.93</v>
      </c>
      <c r="K276" t="b">
        <v>0</v>
      </c>
    </row>
    <row r="277" spans="1:11" x14ac:dyDescent="0.2">
      <c r="A277" t="s">
        <v>591</v>
      </c>
      <c r="B277" t="s">
        <v>592</v>
      </c>
      <c r="C277" s="2">
        <v>45271</v>
      </c>
      <c r="D277" s="2">
        <v>45288</v>
      </c>
      <c r="E277">
        <f t="shared" si="4"/>
        <v>17</v>
      </c>
      <c r="F277" t="s">
        <v>23</v>
      </c>
      <c r="G277">
        <v>97601</v>
      </c>
      <c r="H277">
        <v>3385</v>
      </c>
      <c r="I277">
        <v>6030.01</v>
      </c>
      <c r="J277">
        <v>221</v>
      </c>
      <c r="K277" t="b">
        <v>1</v>
      </c>
    </row>
    <row r="278" spans="1:11" x14ac:dyDescent="0.2">
      <c r="A278" t="s">
        <v>593</v>
      </c>
      <c r="B278" t="s">
        <v>594</v>
      </c>
      <c r="C278" s="2">
        <v>45016</v>
      </c>
      <c r="D278" s="2">
        <v>45018</v>
      </c>
      <c r="E278">
        <f t="shared" si="4"/>
        <v>2</v>
      </c>
      <c r="F278" t="s">
        <v>23</v>
      </c>
      <c r="G278">
        <v>91735</v>
      </c>
      <c r="H278">
        <v>2540</v>
      </c>
      <c r="I278">
        <v>3139.81</v>
      </c>
      <c r="J278">
        <v>131</v>
      </c>
      <c r="K278" t="s">
        <v>15</v>
      </c>
    </row>
    <row r="279" spans="1:11" x14ac:dyDescent="0.2">
      <c r="A279" t="s">
        <v>595</v>
      </c>
      <c r="B279" t="s">
        <v>596</v>
      </c>
      <c r="C279" s="2">
        <v>45069</v>
      </c>
      <c r="D279" s="2">
        <v>45093</v>
      </c>
      <c r="E279">
        <f t="shared" si="4"/>
        <v>24</v>
      </c>
      <c r="F279" t="s">
        <v>14</v>
      </c>
      <c r="G279">
        <v>17371</v>
      </c>
      <c r="H279">
        <v>751</v>
      </c>
      <c r="I279">
        <v>833.49</v>
      </c>
      <c r="J279">
        <v>53</v>
      </c>
      <c r="K279" t="s">
        <v>30</v>
      </c>
    </row>
    <row r="280" spans="1:11" x14ac:dyDescent="0.2">
      <c r="A280" t="s">
        <v>597</v>
      </c>
      <c r="B280" t="s">
        <v>598</v>
      </c>
      <c r="C280" s="2">
        <v>45252</v>
      </c>
      <c r="D280" s="2">
        <v>45275</v>
      </c>
      <c r="E280">
        <f t="shared" si="4"/>
        <v>23</v>
      </c>
      <c r="F280" t="s">
        <v>19</v>
      </c>
      <c r="G280">
        <v>78371</v>
      </c>
      <c r="H280">
        <v>2882</v>
      </c>
      <c r="I280">
        <v>5345.49</v>
      </c>
      <c r="J280">
        <v>453</v>
      </c>
      <c r="K280" t="s">
        <v>24</v>
      </c>
    </row>
    <row r="281" spans="1:11" x14ac:dyDescent="0.2">
      <c r="A281" t="s">
        <v>599</v>
      </c>
      <c r="B281" t="s">
        <v>600</v>
      </c>
      <c r="C281" s="2">
        <v>45167</v>
      </c>
      <c r="D281" s="2">
        <v>45190</v>
      </c>
      <c r="E281">
        <f t="shared" si="4"/>
        <v>23</v>
      </c>
      <c r="F281" t="s">
        <v>58</v>
      </c>
      <c r="G281">
        <v>3049</v>
      </c>
      <c r="H281">
        <v>39</v>
      </c>
      <c r="I281">
        <v>54.83</v>
      </c>
      <c r="J281">
        <v>7</v>
      </c>
      <c r="K281">
        <v>1</v>
      </c>
    </row>
    <row r="282" spans="1:11" x14ac:dyDescent="0.2">
      <c r="A282" t="s">
        <v>601</v>
      </c>
      <c r="B282" t="s">
        <v>602</v>
      </c>
      <c r="C282" s="2">
        <v>45265</v>
      </c>
      <c r="D282" s="2">
        <v>45270</v>
      </c>
      <c r="E282">
        <f t="shared" si="4"/>
        <v>5</v>
      </c>
      <c r="F282" t="s">
        <v>23</v>
      </c>
      <c r="G282">
        <v>32616</v>
      </c>
      <c r="H282">
        <v>1161</v>
      </c>
      <c r="I282" s="3">
        <v>1584.67</v>
      </c>
      <c r="J282">
        <v>229</v>
      </c>
      <c r="K282">
        <v>1</v>
      </c>
    </row>
    <row r="283" spans="1:11" x14ac:dyDescent="0.2">
      <c r="A283" t="s">
        <v>603</v>
      </c>
      <c r="B283" t="s">
        <v>604</v>
      </c>
      <c r="C283" s="2">
        <v>45137</v>
      </c>
      <c r="D283" s="2">
        <v>45153</v>
      </c>
      <c r="E283">
        <f t="shared" si="4"/>
        <v>16</v>
      </c>
      <c r="F283" t="s">
        <v>19</v>
      </c>
      <c r="G283">
        <v>21932</v>
      </c>
      <c r="H283">
        <v>457</v>
      </c>
      <c r="I283">
        <v>611.53</v>
      </c>
      <c r="J283">
        <v>56</v>
      </c>
      <c r="K283" t="b">
        <v>1</v>
      </c>
    </row>
    <row r="284" spans="1:11" x14ac:dyDescent="0.2">
      <c r="A284" t="s">
        <v>605</v>
      </c>
      <c r="B284" t="s">
        <v>606</v>
      </c>
      <c r="C284" s="2">
        <v>45132</v>
      </c>
      <c r="D284" s="2">
        <v>45135</v>
      </c>
      <c r="E284">
        <f t="shared" si="4"/>
        <v>3</v>
      </c>
      <c r="F284" t="s">
        <v>33</v>
      </c>
      <c r="G284">
        <v>30855</v>
      </c>
      <c r="H284">
        <v>1040</v>
      </c>
      <c r="I284" s="3">
        <v>1099.02</v>
      </c>
      <c r="K284" t="b">
        <v>0</v>
      </c>
    </row>
    <row r="285" spans="1:11" x14ac:dyDescent="0.2">
      <c r="A285" t="s">
        <v>607</v>
      </c>
      <c r="B285" t="s">
        <v>608</v>
      </c>
      <c r="C285" s="2">
        <v>45159</v>
      </c>
      <c r="D285" s="2">
        <v>45189</v>
      </c>
      <c r="E285">
        <f t="shared" si="4"/>
        <v>30</v>
      </c>
      <c r="F285" t="s">
        <v>19</v>
      </c>
      <c r="G285">
        <v>62434</v>
      </c>
      <c r="H285">
        <v>2322</v>
      </c>
      <c r="I285">
        <v>3897.39</v>
      </c>
      <c r="J285">
        <v>372</v>
      </c>
      <c r="K285" t="b">
        <v>1</v>
      </c>
    </row>
    <row r="286" spans="1:11" x14ac:dyDescent="0.2">
      <c r="A286" t="s">
        <v>609</v>
      </c>
      <c r="B286" t="s">
        <v>610</v>
      </c>
      <c r="C286" s="2">
        <v>45056</v>
      </c>
      <c r="D286" s="2">
        <v>45059</v>
      </c>
      <c r="E286">
        <f t="shared" si="4"/>
        <v>3</v>
      </c>
      <c r="F286" t="s">
        <v>138</v>
      </c>
      <c r="G286">
        <v>73694</v>
      </c>
      <c r="H286">
        <v>1417</v>
      </c>
      <c r="I286">
        <v>1245.82</v>
      </c>
      <c r="J286">
        <v>177</v>
      </c>
      <c r="K286">
        <v>1</v>
      </c>
    </row>
    <row r="287" spans="1:11" x14ac:dyDescent="0.2">
      <c r="A287" t="s">
        <v>611</v>
      </c>
      <c r="B287" t="s">
        <v>612</v>
      </c>
      <c r="C287" s="2">
        <v>45133</v>
      </c>
      <c r="D287" s="2">
        <v>45138</v>
      </c>
      <c r="E287">
        <f t="shared" si="4"/>
        <v>5</v>
      </c>
      <c r="F287" t="s">
        <v>33</v>
      </c>
      <c r="G287">
        <v>44016</v>
      </c>
      <c r="H287">
        <v>1244</v>
      </c>
      <c r="I287">
        <v>2373.98</v>
      </c>
      <c r="K287" t="s">
        <v>30</v>
      </c>
    </row>
    <row r="288" spans="1:11" x14ac:dyDescent="0.2">
      <c r="A288" t="s">
        <v>613</v>
      </c>
      <c r="B288" t="s">
        <v>614</v>
      </c>
      <c r="C288" s="2">
        <v>44927</v>
      </c>
      <c r="D288" s="2">
        <v>44932</v>
      </c>
      <c r="E288">
        <f t="shared" si="4"/>
        <v>5</v>
      </c>
      <c r="F288" t="s">
        <v>33</v>
      </c>
      <c r="G288">
        <v>8400</v>
      </c>
      <c r="H288">
        <v>147</v>
      </c>
      <c r="I288" s="3">
        <v>270.62</v>
      </c>
      <c r="J288">
        <v>10</v>
      </c>
      <c r="K288">
        <v>1</v>
      </c>
    </row>
    <row r="289" spans="1:11" x14ac:dyDescent="0.2">
      <c r="A289" t="s">
        <v>615</v>
      </c>
      <c r="B289" t="s">
        <v>616</v>
      </c>
      <c r="C289" s="2">
        <v>45138</v>
      </c>
      <c r="D289" s="2">
        <v>45142</v>
      </c>
      <c r="E289">
        <f t="shared" si="4"/>
        <v>4</v>
      </c>
      <c r="F289" t="s">
        <v>266</v>
      </c>
      <c r="G289">
        <v>43642</v>
      </c>
      <c r="H289">
        <v>527</v>
      </c>
      <c r="I289">
        <v>530.28</v>
      </c>
      <c r="J289">
        <v>100</v>
      </c>
      <c r="K289" t="s">
        <v>15</v>
      </c>
    </row>
    <row r="290" spans="1:11" x14ac:dyDescent="0.2">
      <c r="A290" t="s">
        <v>618</v>
      </c>
      <c r="B290" t="s">
        <v>619</v>
      </c>
      <c r="C290" s="2">
        <v>45192</v>
      </c>
      <c r="D290" s="2">
        <v>45209</v>
      </c>
      <c r="E290">
        <f t="shared" si="4"/>
        <v>17</v>
      </c>
      <c r="F290" t="s">
        <v>41</v>
      </c>
      <c r="G290">
        <v>16151</v>
      </c>
      <c r="H290">
        <v>406</v>
      </c>
      <c r="I290">
        <v>647.24</v>
      </c>
      <c r="J290">
        <v>41</v>
      </c>
      <c r="K290" t="s">
        <v>24</v>
      </c>
    </row>
    <row r="291" spans="1:11" x14ac:dyDescent="0.2">
      <c r="A291" t="s">
        <v>620</v>
      </c>
      <c r="B291" t="s">
        <v>621</v>
      </c>
      <c r="C291" s="2">
        <v>45247</v>
      </c>
      <c r="D291" s="2">
        <v>45253</v>
      </c>
      <c r="E291">
        <f t="shared" si="4"/>
        <v>6</v>
      </c>
      <c r="F291" t="s">
        <v>14</v>
      </c>
      <c r="G291">
        <v>52407</v>
      </c>
      <c r="H291">
        <v>1284</v>
      </c>
      <c r="I291">
        <v>1746.03</v>
      </c>
      <c r="J291">
        <v>150</v>
      </c>
      <c r="K291" t="s">
        <v>24</v>
      </c>
    </row>
    <row r="292" spans="1:11" x14ac:dyDescent="0.2">
      <c r="A292" t="s">
        <v>622</v>
      </c>
      <c r="B292" t="s">
        <v>623</v>
      </c>
      <c r="C292" s="2">
        <v>45063</v>
      </c>
      <c r="D292" s="2">
        <v>45086</v>
      </c>
      <c r="E292">
        <f t="shared" si="4"/>
        <v>23</v>
      </c>
      <c r="F292" t="s">
        <v>58</v>
      </c>
      <c r="G292">
        <v>67690</v>
      </c>
      <c r="H292">
        <v>3372</v>
      </c>
      <c r="I292">
        <v>3393.83</v>
      </c>
      <c r="K292">
        <v>0</v>
      </c>
    </row>
    <row r="293" spans="1:11" x14ac:dyDescent="0.2">
      <c r="A293" t="s">
        <v>624</v>
      </c>
      <c r="B293" t="s">
        <v>625</v>
      </c>
      <c r="C293" s="2">
        <v>45151</v>
      </c>
      <c r="D293" s="2">
        <v>45159</v>
      </c>
      <c r="E293">
        <f t="shared" si="4"/>
        <v>8</v>
      </c>
      <c r="F293" t="s">
        <v>14</v>
      </c>
      <c r="G293">
        <v>5499</v>
      </c>
      <c r="H293">
        <v>153</v>
      </c>
      <c r="I293" s="3">
        <v>303.37</v>
      </c>
      <c r="J293">
        <v>15</v>
      </c>
      <c r="K293">
        <v>1</v>
      </c>
    </row>
    <row r="294" spans="1:11" x14ac:dyDescent="0.2">
      <c r="A294" t="s">
        <v>626</v>
      </c>
      <c r="B294" t="s">
        <v>627</v>
      </c>
      <c r="C294" s="2">
        <v>44941</v>
      </c>
      <c r="D294" s="2">
        <v>44944</v>
      </c>
      <c r="E294">
        <f t="shared" si="4"/>
        <v>3</v>
      </c>
      <c r="F294" t="s">
        <v>33</v>
      </c>
      <c r="G294">
        <v>7295</v>
      </c>
      <c r="H294">
        <v>170</v>
      </c>
      <c r="I294">
        <v>91.44</v>
      </c>
      <c r="J294">
        <v>14</v>
      </c>
      <c r="K294">
        <v>1</v>
      </c>
    </row>
    <row r="295" spans="1:11" x14ac:dyDescent="0.2">
      <c r="A295" t="s">
        <v>628</v>
      </c>
      <c r="B295" t="s">
        <v>629</v>
      </c>
      <c r="C295" s="2">
        <v>45049</v>
      </c>
      <c r="D295" s="2">
        <v>45074</v>
      </c>
      <c r="E295">
        <f t="shared" si="4"/>
        <v>25</v>
      </c>
      <c r="F295" t="s">
        <v>14</v>
      </c>
      <c r="G295">
        <v>60040</v>
      </c>
      <c r="H295">
        <v>1994</v>
      </c>
      <c r="I295">
        <v>1752.66</v>
      </c>
      <c r="J295">
        <v>288</v>
      </c>
      <c r="K295" t="s">
        <v>24</v>
      </c>
    </row>
    <row r="296" spans="1:11" x14ac:dyDescent="0.2">
      <c r="A296" t="s">
        <v>630</v>
      </c>
      <c r="B296" t="s">
        <v>631</v>
      </c>
      <c r="C296" s="2">
        <v>44934</v>
      </c>
      <c r="D296" s="2">
        <v>45151</v>
      </c>
      <c r="E296">
        <f t="shared" si="4"/>
        <v>217</v>
      </c>
      <c r="F296" t="s">
        <v>41</v>
      </c>
      <c r="G296">
        <v>13183</v>
      </c>
      <c r="H296">
        <v>178</v>
      </c>
      <c r="I296">
        <v>227.86</v>
      </c>
      <c r="J296">
        <v>9</v>
      </c>
      <c r="K296">
        <v>0</v>
      </c>
    </row>
    <row r="297" spans="1:11" x14ac:dyDescent="0.2">
      <c r="A297" t="s">
        <v>632</v>
      </c>
      <c r="B297" t="s">
        <v>633</v>
      </c>
      <c r="C297" s="2">
        <v>44985</v>
      </c>
      <c r="D297" s="2">
        <v>44997</v>
      </c>
      <c r="E297">
        <f t="shared" si="4"/>
        <v>12</v>
      </c>
      <c r="F297" t="s">
        <v>19</v>
      </c>
      <c r="G297">
        <v>30299</v>
      </c>
      <c r="H297">
        <v>1468</v>
      </c>
      <c r="I297">
        <v>1883.34</v>
      </c>
      <c r="J297">
        <v>232</v>
      </c>
      <c r="K297" t="s">
        <v>15</v>
      </c>
    </row>
    <row r="298" spans="1:11" x14ac:dyDescent="0.2">
      <c r="A298" t="s">
        <v>634</v>
      </c>
      <c r="B298" t="s">
        <v>635</v>
      </c>
      <c r="C298" s="2">
        <v>45005</v>
      </c>
      <c r="D298" s="2">
        <v>45016</v>
      </c>
      <c r="E298">
        <f t="shared" si="4"/>
        <v>11</v>
      </c>
      <c r="F298" t="s">
        <v>19</v>
      </c>
      <c r="G298">
        <v>13874</v>
      </c>
      <c r="H298">
        <v>491</v>
      </c>
      <c r="I298">
        <v>679.25</v>
      </c>
      <c r="J298">
        <v>62</v>
      </c>
      <c r="K298" t="b">
        <v>0</v>
      </c>
    </row>
    <row r="299" spans="1:11" x14ac:dyDescent="0.2">
      <c r="A299" t="s">
        <v>636</v>
      </c>
      <c r="B299" t="s">
        <v>637</v>
      </c>
      <c r="C299" s="2">
        <v>45187</v>
      </c>
      <c r="D299" s="2">
        <v>45190</v>
      </c>
      <c r="E299">
        <f t="shared" si="4"/>
        <v>3</v>
      </c>
      <c r="F299" t="s">
        <v>41</v>
      </c>
      <c r="G299">
        <v>33711</v>
      </c>
      <c r="H299">
        <v>1354</v>
      </c>
      <c r="I299">
        <v>2203.65</v>
      </c>
      <c r="J299">
        <v>190</v>
      </c>
      <c r="K299">
        <v>1</v>
      </c>
    </row>
    <row r="300" spans="1:11" x14ac:dyDescent="0.2">
      <c r="A300" t="s">
        <v>638</v>
      </c>
      <c r="B300" t="s">
        <v>639</v>
      </c>
      <c r="C300" s="2">
        <v>45174</v>
      </c>
      <c r="D300" s="2">
        <v>45188</v>
      </c>
      <c r="E300">
        <f t="shared" si="4"/>
        <v>14</v>
      </c>
      <c r="F300" t="s">
        <v>138</v>
      </c>
      <c r="G300">
        <v>6539</v>
      </c>
      <c r="H300">
        <v>109</v>
      </c>
      <c r="I300" s="3">
        <v>156.44</v>
      </c>
      <c r="J300">
        <v>15</v>
      </c>
      <c r="K300" t="s">
        <v>24</v>
      </c>
    </row>
    <row r="301" spans="1:11" x14ac:dyDescent="0.2">
      <c r="A301" t="s">
        <v>640</v>
      </c>
      <c r="B301" t="s">
        <v>641</v>
      </c>
      <c r="C301" s="2">
        <v>45209</v>
      </c>
      <c r="D301" s="2">
        <v>45220</v>
      </c>
      <c r="E301">
        <f t="shared" si="4"/>
        <v>11</v>
      </c>
      <c r="F301" t="s">
        <v>41</v>
      </c>
      <c r="G301">
        <v>54351</v>
      </c>
      <c r="H301">
        <v>1433</v>
      </c>
      <c r="I301">
        <v>2006.8</v>
      </c>
      <c r="J301">
        <v>184</v>
      </c>
      <c r="K301" t="b">
        <v>1</v>
      </c>
    </row>
    <row r="302" spans="1:11" x14ac:dyDescent="0.2">
      <c r="A302" t="s">
        <v>642</v>
      </c>
      <c r="B302" t="s">
        <v>643</v>
      </c>
      <c r="C302" s="2">
        <v>45233</v>
      </c>
      <c r="D302" s="2">
        <v>45258</v>
      </c>
      <c r="E302">
        <f t="shared" si="4"/>
        <v>25</v>
      </c>
      <c r="F302" t="s">
        <v>23</v>
      </c>
      <c r="G302">
        <v>62267</v>
      </c>
      <c r="H302">
        <v>1675</v>
      </c>
      <c r="I302">
        <v>971.96</v>
      </c>
      <c r="J302">
        <v>230</v>
      </c>
      <c r="K302">
        <v>1</v>
      </c>
    </row>
    <row r="303" spans="1:11" x14ac:dyDescent="0.2">
      <c r="A303" t="s">
        <v>644</v>
      </c>
      <c r="B303" t="s">
        <v>645</v>
      </c>
      <c r="C303" s="2">
        <v>44962</v>
      </c>
      <c r="D303" s="2">
        <v>44965</v>
      </c>
      <c r="E303">
        <f t="shared" si="4"/>
        <v>3</v>
      </c>
      <c r="F303" t="s">
        <v>33</v>
      </c>
      <c r="G303">
        <v>49354</v>
      </c>
      <c r="H303">
        <v>2115</v>
      </c>
      <c r="I303">
        <v>2252.04</v>
      </c>
      <c r="J303">
        <v>322</v>
      </c>
      <c r="K303" t="b">
        <v>1</v>
      </c>
    </row>
    <row r="304" spans="1:11" x14ac:dyDescent="0.2">
      <c r="A304" t="s">
        <v>646</v>
      </c>
      <c r="B304" t="s">
        <v>647</v>
      </c>
      <c r="C304" s="2">
        <v>45139</v>
      </c>
      <c r="D304" s="2">
        <v>45155</v>
      </c>
      <c r="E304">
        <f t="shared" si="4"/>
        <v>16</v>
      </c>
      <c r="F304" t="s">
        <v>19</v>
      </c>
      <c r="G304">
        <v>3557</v>
      </c>
      <c r="H304">
        <v>35</v>
      </c>
      <c r="I304">
        <v>29.68</v>
      </c>
      <c r="J304">
        <v>5</v>
      </c>
      <c r="K304" t="s">
        <v>15</v>
      </c>
    </row>
    <row r="305" spans="1:11" x14ac:dyDescent="0.2">
      <c r="A305" t="s">
        <v>648</v>
      </c>
      <c r="B305" t="s">
        <v>649</v>
      </c>
      <c r="C305" s="2">
        <v>45058</v>
      </c>
      <c r="D305" s="2">
        <v>45063</v>
      </c>
      <c r="E305">
        <f t="shared" si="4"/>
        <v>5</v>
      </c>
      <c r="F305" t="s">
        <v>41</v>
      </c>
      <c r="G305">
        <v>39360</v>
      </c>
      <c r="H305">
        <v>867</v>
      </c>
      <c r="I305">
        <v>778.61</v>
      </c>
      <c r="J305">
        <v>137</v>
      </c>
      <c r="K305">
        <v>1</v>
      </c>
    </row>
    <row r="306" spans="1:11" x14ac:dyDescent="0.2">
      <c r="A306" t="s">
        <v>650</v>
      </c>
      <c r="B306" t="s">
        <v>651</v>
      </c>
      <c r="C306" s="2">
        <v>45079</v>
      </c>
      <c r="D306" s="2">
        <v>45097</v>
      </c>
      <c r="E306">
        <f t="shared" si="4"/>
        <v>18</v>
      </c>
      <c r="F306" t="s">
        <v>19</v>
      </c>
      <c r="G306">
        <v>83018</v>
      </c>
      <c r="H306">
        <v>4088</v>
      </c>
      <c r="I306">
        <v>5443.2</v>
      </c>
      <c r="J306">
        <v>737</v>
      </c>
      <c r="K306" t="s">
        <v>24</v>
      </c>
    </row>
    <row r="307" spans="1:11" x14ac:dyDescent="0.2">
      <c r="A307" t="s">
        <v>652</v>
      </c>
      <c r="B307" t="s">
        <v>653</v>
      </c>
      <c r="C307" s="2">
        <v>45264</v>
      </c>
      <c r="D307" s="2">
        <v>45266</v>
      </c>
      <c r="E307">
        <f t="shared" si="4"/>
        <v>2</v>
      </c>
      <c r="F307" t="s">
        <v>41</v>
      </c>
      <c r="G307">
        <v>3200</v>
      </c>
      <c r="H307">
        <v>92</v>
      </c>
      <c r="I307">
        <v>73.53</v>
      </c>
      <c r="J307">
        <v>7</v>
      </c>
      <c r="K307" t="s">
        <v>15</v>
      </c>
    </row>
    <row r="308" spans="1:11" x14ac:dyDescent="0.2">
      <c r="A308" t="s">
        <v>654</v>
      </c>
      <c r="B308" t="s">
        <v>655</v>
      </c>
      <c r="C308" s="2">
        <v>45202</v>
      </c>
      <c r="D308" s="2">
        <v>45219</v>
      </c>
      <c r="E308">
        <f t="shared" si="4"/>
        <v>17</v>
      </c>
      <c r="F308" t="s">
        <v>19</v>
      </c>
      <c r="G308">
        <v>69497</v>
      </c>
      <c r="H308">
        <v>1758</v>
      </c>
      <c r="I308">
        <v>1654.14</v>
      </c>
      <c r="J308">
        <v>193</v>
      </c>
      <c r="K308" t="s">
        <v>15</v>
      </c>
    </row>
    <row r="309" spans="1:11" x14ac:dyDescent="0.2">
      <c r="A309" t="s">
        <v>656</v>
      </c>
      <c r="B309" t="s">
        <v>657</v>
      </c>
      <c r="C309" s="2">
        <v>45205</v>
      </c>
      <c r="D309" s="2">
        <v>45219</v>
      </c>
      <c r="E309">
        <f t="shared" si="4"/>
        <v>14</v>
      </c>
      <c r="F309" t="s">
        <v>14</v>
      </c>
      <c r="G309">
        <v>47975</v>
      </c>
      <c r="H309">
        <v>709</v>
      </c>
      <c r="I309">
        <v>606.64</v>
      </c>
      <c r="J309">
        <v>136</v>
      </c>
      <c r="K309" t="b">
        <v>0</v>
      </c>
    </row>
    <row r="310" spans="1:11" x14ac:dyDescent="0.2">
      <c r="A310" t="s">
        <v>658</v>
      </c>
      <c r="B310" t="s">
        <v>659</v>
      </c>
      <c r="C310" s="2">
        <v>45023</v>
      </c>
      <c r="D310" s="2">
        <v>45044</v>
      </c>
      <c r="E310">
        <f t="shared" si="4"/>
        <v>21</v>
      </c>
      <c r="F310" t="s">
        <v>41</v>
      </c>
      <c r="G310">
        <v>22357</v>
      </c>
      <c r="H310">
        <v>1094</v>
      </c>
      <c r="I310">
        <v>2103.4899999999998</v>
      </c>
      <c r="J310">
        <v>119</v>
      </c>
      <c r="K310">
        <v>1</v>
      </c>
    </row>
    <row r="311" spans="1:11" x14ac:dyDescent="0.2">
      <c r="A311" t="s">
        <v>660</v>
      </c>
      <c r="B311" t="s">
        <v>661</v>
      </c>
      <c r="C311" s="2">
        <v>45123</v>
      </c>
      <c r="D311" s="2">
        <v>45149</v>
      </c>
      <c r="E311">
        <f t="shared" si="4"/>
        <v>26</v>
      </c>
      <c r="F311" t="s">
        <v>23</v>
      </c>
      <c r="G311">
        <v>78505</v>
      </c>
      <c r="H311">
        <v>847</v>
      </c>
      <c r="I311">
        <v>1623.7</v>
      </c>
      <c r="J311">
        <v>58</v>
      </c>
      <c r="K311" t="b">
        <v>1</v>
      </c>
    </row>
    <row r="312" spans="1:11" x14ac:dyDescent="0.2">
      <c r="A312" t="s">
        <v>662</v>
      </c>
      <c r="B312" t="s">
        <v>663</v>
      </c>
      <c r="C312" s="2">
        <v>44949</v>
      </c>
      <c r="D312" s="2">
        <v>44962</v>
      </c>
      <c r="E312">
        <f t="shared" si="4"/>
        <v>13</v>
      </c>
      <c r="F312" t="s">
        <v>23</v>
      </c>
      <c r="G312">
        <v>3869</v>
      </c>
      <c r="H312">
        <v>152</v>
      </c>
      <c r="I312" s="3">
        <v>215.07</v>
      </c>
      <c r="J312">
        <v>19</v>
      </c>
      <c r="K312" t="b">
        <v>1</v>
      </c>
    </row>
    <row r="313" spans="1:11" x14ac:dyDescent="0.2">
      <c r="A313" t="s">
        <v>664</v>
      </c>
      <c r="B313" t="s">
        <v>665</v>
      </c>
      <c r="C313" s="2">
        <v>45122</v>
      </c>
      <c r="D313" s="2">
        <v>45145</v>
      </c>
      <c r="E313">
        <f t="shared" si="4"/>
        <v>23</v>
      </c>
      <c r="F313" t="s">
        <v>33</v>
      </c>
      <c r="G313">
        <v>62135</v>
      </c>
      <c r="H313">
        <v>2531</v>
      </c>
      <c r="I313">
        <v>4775.45</v>
      </c>
      <c r="J313">
        <v>168</v>
      </c>
      <c r="K313">
        <v>1</v>
      </c>
    </row>
    <row r="314" spans="1:11" x14ac:dyDescent="0.2">
      <c r="A314" t="s">
        <v>666</v>
      </c>
      <c r="B314" t="s">
        <v>667</v>
      </c>
      <c r="C314" s="2">
        <v>45260</v>
      </c>
      <c r="D314" s="2">
        <v>45265</v>
      </c>
      <c r="E314">
        <f t="shared" si="4"/>
        <v>5</v>
      </c>
      <c r="F314" t="s">
        <v>41</v>
      </c>
      <c r="G314">
        <v>51108</v>
      </c>
      <c r="H314">
        <v>1009</v>
      </c>
      <c r="I314">
        <v>1693.83</v>
      </c>
      <c r="J314">
        <v>81</v>
      </c>
      <c r="K314">
        <v>0</v>
      </c>
    </row>
    <row r="315" spans="1:11" x14ac:dyDescent="0.2">
      <c r="A315" t="s">
        <v>668</v>
      </c>
      <c r="B315" t="s">
        <v>669</v>
      </c>
      <c r="C315" s="2">
        <v>44945</v>
      </c>
      <c r="D315" s="2">
        <v>44963</v>
      </c>
      <c r="E315">
        <f t="shared" si="4"/>
        <v>18</v>
      </c>
      <c r="F315" t="s">
        <v>19</v>
      </c>
      <c r="G315">
        <v>95179</v>
      </c>
      <c r="H315">
        <v>3508</v>
      </c>
      <c r="I315">
        <v>4858.3100000000004</v>
      </c>
      <c r="J315">
        <v>700</v>
      </c>
      <c r="K315" t="b">
        <v>0</v>
      </c>
    </row>
    <row r="316" spans="1:11" x14ac:dyDescent="0.2">
      <c r="A316" t="s">
        <v>670</v>
      </c>
      <c r="B316" t="s">
        <v>671</v>
      </c>
      <c r="C316" s="2">
        <v>45096</v>
      </c>
      <c r="D316" s="2">
        <v>45123</v>
      </c>
      <c r="E316">
        <f t="shared" si="4"/>
        <v>27</v>
      </c>
      <c r="F316" t="s">
        <v>23</v>
      </c>
      <c r="G316">
        <v>91272</v>
      </c>
      <c r="H316">
        <v>1251</v>
      </c>
      <c r="I316" s="3">
        <v>637.58000000000004</v>
      </c>
      <c r="J316">
        <v>164</v>
      </c>
      <c r="K316" t="b">
        <v>0</v>
      </c>
    </row>
    <row r="317" spans="1:11" x14ac:dyDescent="0.2">
      <c r="A317" t="s">
        <v>672</v>
      </c>
      <c r="B317" t="s">
        <v>673</v>
      </c>
      <c r="C317" s="2">
        <v>45152</v>
      </c>
      <c r="D317" s="2">
        <v>45155</v>
      </c>
      <c r="E317">
        <f t="shared" si="4"/>
        <v>3</v>
      </c>
      <c r="F317" t="s">
        <v>33</v>
      </c>
      <c r="G317">
        <v>39467</v>
      </c>
      <c r="H317">
        <v>800</v>
      </c>
      <c r="I317">
        <v>1327.02</v>
      </c>
      <c r="K317" t="b">
        <v>0</v>
      </c>
    </row>
    <row r="318" spans="1:11" x14ac:dyDescent="0.2">
      <c r="A318" t="s">
        <v>675</v>
      </c>
      <c r="B318" t="s">
        <v>676</v>
      </c>
      <c r="C318" s="2">
        <v>45160</v>
      </c>
      <c r="D318" s="2">
        <v>45187</v>
      </c>
      <c r="E318">
        <f t="shared" si="4"/>
        <v>27</v>
      </c>
      <c r="F318" t="s">
        <v>33</v>
      </c>
      <c r="G318">
        <v>24328</v>
      </c>
      <c r="H318">
        <v>1010</v>
      </c>
      <c r="I318">
        <v>1569.27</v>
      </c>
      <c r="J318">
        <v>201</v>
      </c>
      <c r="K318" t="b">
        <v>1</v>
      </c>
    </row>
    <row r="319" spans="1:11" x14ac:dyDescent="0.2">
      <c r="A319" t="s">
        <v>678</v>
      </c>
      <c r="B319" t="s">
        <v>679</v>
      </c>
      <c r="C319" s="2">
        <v>45000</v>
      </c>
      <c r="D319" s="2">
        <v>45007</v>
      </c>
      <c r="E319">
        <f t="shared" si="4"/>
        <v>7</v>
      </c>
      <c r="F319" t="s">
        <v>41</v>
      </c>
      <c r="G319">
        <v>92412</v>
      </c>
      <c r="H319">
        <v>4120</v>
      </c>
      <c r="I319">
        <v>5862.27</v>
      </c>
      <c r="J319">
        <v>803</v>
      </c>
      <c r="K319" t="s">
        <v>15</v>
      </c>
    </row>
    <row r="320" spans="1:11" x14ac:dyDescent="0.2">
      <c r="A320" t="s">
        <v>680</v>
      </c>
      <c r="B320" t="s">
        <v>681</v>
      </c>
      <c r="C320" s="2">
        <v>45006</v>
      </c>
      <c r="D320" s="2">
        <v>45021</v>
      </c>
      <c r="E320">
        <f t="shared" si="4"/>
        <v>15</v>
      </c>
      <c r="F320" t="s">
        <v>14</v>
      </c>
      <c r="G320">
        <v>87831</v>
      </c>
      <c r="H320">
        <v>3016</v>
      </c>
      <c r="I320">
        <v>4948.16</v>
      </c>
      <c r="J320">
        <v>350</v>
      </c>
      <c r="K320" t="s">
        <v>24</v>
      </c>
    </row>
    <row r="321" spans="1:11" x14ac:dyDescent="0.2">
      <c r="A321" t="s">
        <v>683</v>
      </c>
      <c r="B321" t="s">
        <v>684</v>
      </c>
      <c r="C321" s="2">
        <v>45062</v>
      </c>
      <c r="D321" s="2">
        <v>45068</v>
      </c>
      <c r="E321">
        <f t="shared" si="4"/>
        <v>6</v>
      </c>
      <c r="F321" t="s">
        <v>19</v>
      </c>
      <c r="G321">
        <v>4987</v>
      </c>
      <c r="H321">
        <v>150</v>
      </c>
      <c r="I321">
        <v>190.41</v>
      </c>
      <c r="J321">
        <v>13</v>
      </c>
      <c r="K321">
        <v>0</v>
      </c>
    </row>
    <row r="322" spans="1:11" x14ac:dyDescent="0.2">
      <c r="A322" t="s">
        <v>685</v>
      </c>
      <c r="B322" t="s">
        <v>686</v>
      </c>
      <c r="C322" s="2">
        <v>45259</v>
      </c>
      <c r="D322" s="2">
        <v>45263</v>
      </c>
      <c r="E322">
        <f t="shared" ref="E322:E385" si="5">D322-C322</f>
        <v>4</v>
      </c>
      <c r="F322" t="s">
        <v>14</v>
      </c>
      <c r="G322">
        <v>59871</v>
      </c>
      <c r="H322">
        <v>980</v>
      </c>
      <c r="I322">
        <v>1525</v>
      </c>
      <c r="J322">
        <v>172</v>
      </c>
      <c r="K322" t="b">
        <v>0</v>
      </c>
    </row>
    <row r="323" spans="1:11" x14ac:dyDescent="0.2">
      <c r="A323" t="s">
        <v>688</v>
      </c>
      <c r="B323" t="s">
        <v>689</v>
      </c>
      <c r="C323" s="2">
        <v>45095</v>
      </c>
      <c r="D323" s="2">
        <v>45120</v>
      </c>
      <c r="E323">
        <f t="shared" si="5"/>
        <v>25</v>
      </c>
      <c r="F323" t="s">
        <v>23</v>
      </c>
      <c r="G323">
        <v>23399</v>
      </c>
      <c r="H323">
        <v>293</v>
      </c>
      <c r="I323">
        <v>557.51</v>
      </c>
      <c r="J323">
        <v>46</v>
      </c>
      <c r="K323" t="b">
        <v>1</v>
      </c>
    </row>
    <row r="324" spans="1:11" x14ac:dyDescent="0.2">
      <c r="A324" t="s">
        <v>690</v>
      </c>
      <c r="B324" t="s">
        <v>691</v>
      </c>
      <c r="C324" s="2">
        <v>45121</v>
      </c>
      <c r="D324" s="2">
        <v>45151</v>
      </c>
      <c r="E324">
        <f t="shared" si="5"/>
        <v>30</v>
      </c>
      <c r="F324" t="s">
        <v>138</v>
      </c>
      <c r="G324">
        <v>47214</v>
      </c>
      <c r="H324">
        <v>694</v>
      </c>
      <c r="I324">
        <v>738.21</v>
      </c>
      <c r="J324">
        <v>106</v>
      </c>
      <c r="K324" t="b">
        <v>1</v>
      </c>
    </row>
    <row r="325" spans="1:11" x14ac:dyDescent="0.2">
      <c r="A325" t="s">
        <v>692</v>
      </c>
      <c r="B325" t="s">
        <v>693</v>
      </c>
      <c r="C325" s="2">
        <v>45144</v>
      </c>
      <c r="D325" s="2">
        <v>45176</v>
      </c>
      <c r="E325">
        <f t="shared" si="5"/>
        <v>32</v>
      </c>
      <c r="F325" t="s">
        <v>23</v>
      </c>
      <c r="G325">
        <v>87416</v>
      </c>
      <c r="H325">
        <v>1669</v>
      </c>
      <c r="I325">
        <v>2607.2800000000002</v>
      </c>
      <c r="J325">
        <v>307</v>
      </c>
      <c r="K325" t="s">
        <v>15</v>
      </c>
    </row>
    <row r="326" spans="1:11" x14ac:dyDescent="0.2">
      <c r="A326" t="s">
        <v>694</v>
      </c>
      <c r="B326" t="s">
        <v>695</v>
      </c>
      <c r="C326" s="2">
        <v>44962</v>
      </c>
      <c r="D326" s="2">
        <v>44971</v>
      </c>
      <c r="E326">
        <f t="shared" si="5"/>
        <v>9</v>
      </c>
      <c r="F326" t="s">
        <v>14</v>
      </c>
      <c r="G326">
        <v>71271</v>
      </c>
      <c r="H326">
        <v>1686</v>
      </c>
      <c r="I326">
        <v>2046.01</v>
      </c>
      <c r="J326">
        <v>258</v>
      </c>
      <c r="K326">
        <v>1</v>
      </c>
    </row>
    <row r="327" spans="1:11" x14ac:dyDescent="0.2">
      <c r="A327" t="s">
        <v>696</v>
      </c>
      <c r="B327" t="s">
        <v>697</v>
      </c>
      <c r="C327" s="2">
        <v>45074</v>
      </c>
      <c r="D327" s="2">
        <v>45082</v>
      </c>
      <c r="E327">
        <f t="shared" si="5"/>
        <v>8</v>
      </c>
      <c r="F327" t="s">
        <v>19</v>
      </c>
      <c r="G327">
        <v>45064</v>
      </c>
      <c r="H327">
        <v>1137</v>
      </c>
      <c r="I327">
        <v>1718.69</v>
      </c>
      <c r="J327">
        <v>105</v>
      </c>
      <c r="K327">
        <v>1</v>
      </c>
    </row>
    <row r="328" spans="1:11" x14ac:dyDescent="0.2">
      <c r="A328" t="s">
        <v>698</v>
      </c>
      <c r="B328" t="s">
        <v>699</v>
      </c>
      <c r="C328" s="2">
        <v>45149</v>
      </c>
      <c r="D328" s="2">
        <v>45157</v>
      </c>
      <c r="E328">
        <f t="shared" si="5"/>
        <v>8</v>
      </c>
      <c r="F328" t="s">
        <v>138</v>
      </c>
      <c r="G328">
        <v>71091</v>
      </c>
      <c r="H328">
        <v>1695</v>
      </c>
      <c r="I328">
        <v>2787.16</v>
      </c>
      <c r="J328">
        <v>261</v>
      </c>
      <c r="K328" t="s">
        <v>24</v>
      </c>
    </row>
    <row r="329" spans="1:11" x14ac:dyDescent="0.2">
      <c r="A329" t="s">
        <v>700</v>
      </c>
      <c r="B329" t="s">
        <v>701</v>
      </c>
      <c r="C329" s="2">
        <v>45287</v>
      </c>
      <c r="D329" s="2">
        <v>45289</v>
      </c>
      <c r="E329">
        <f t="shared" si="5"/>
        <v>2</v>
      </c>
      <c r="F329" t="s">
        <v>14</v>
      </c>
      <c r="G329">
        <v>41818</v>
      </c>
      <c r="H329">
        <v>818</v>
      </c>
      <c r="I329">
        <v>464.77</v>
      </c>
      <c r="J329">
        <v>78</v>
      </c>
      <c r="K329" t="s">
        <v>24</v>
      </c>
    </row>
    <row r="330" spans="1:11" x14ac:dyDescent="0.2">
      <c r="A330" t="s">
        <v>702</v>
      </c>
      <c r="B330" t="s">
        <v>703</v>
      </c>
      <c r="C330" s="2">
        <v>45282</v>
      </c>
      <c r="D330" s="2">
        <v>45303</v>
      </c>
      <c r="E330">
        <f t="shared" si="5"/>
        <v>21</v>
      </c>
      <c r="F330" t="s">
        <v>41</v>
      </c>
      <c r="G330">
        <v>46525</v>
      </c>
      <c r="H330">
        <v>1413</v>
      </c>
      <c r="I330">
        <v>2076.9699999999998</v>
      </c>
      <c r="J330">
        <v>231</v>
      </c>
      <c r="K330" t="b">
        <v>0</v>
      </c>
    </row>
    <row r="331" spans="1:11" x14ac:dyDescent="0.2">
      <c r="A331" t="s">
        <v>704</v>
      </c>
      <c r="B331" t="s">
        <v>705</v>
      </c>
      <c r="C331" s="2">
        <v>45093</v>
      </c>
      <c r="D331" s="2">
        <v>45115</v>
      </c>
      <c r="E331">
        <f t="shared" si="5"/>
        <v>22</v>
      </c>
      <c r="F331" t="s">
        <v>19</v>
      </c>
      <c r="G331">
        <v>20830</v>
      </c>
      <c r="H331">
        <v>895</v>
      </c>
      <c r="I331">
        <v>751.9</v>
      </c>
      <c r="J331">
        <v>127</v>
      </c>
      <c r="K331" t="s">
        <v>24</v>
      </c>
    </row>
    <row r="332" spans="1:11" x14ac:dyDescent="0.2">
      <c r="A332" t="s">
        <v>706</v>
      </c>
      <c r="B332" t="s">
        <v>707</v>
      </c>
      <c r="C332" s="2">
        <v>45118</v>
      </c>
      <c r="D332" s="2">
        <v>45136</v>
      </c>
      <c r="E332">
        <f t="shared" si="5"/>
        <v>18</v>
      </c>
      <c r="F332" t="s">
        <v>41</v>
      </c>
      <c r="G332">
        <v>18429</v>
      </c>
      <c r="H332">
        <v>390</v>
      </c>
      <c r="I332">
        <v>586.97</v>
      </c>
      <c r="J332">
        <v>24</v>
      </c>
      <c r="K332" t="b">
        <v>0</v>
      </c>
    </row>
    <row r="333" spans="1:11" x14ac:dyDescent="0.2">
      <c r="A333" t="s">
        <v>708</v>
      </c>
      <c r="B333" t="s">
        <v>709</v>
      </c>
      <c r="C333" s="2">
        <v>45137</v>
      </c>
      <c r="D333" s="2">
        <v>45138</v>
      </c>
      <c r="E333">
        <f t="shared" si="5"/>
        <v>1</v>
      </c>
      <c r="F333" t="s">
        <v>33</v>
      </c>
      <c r="G333">
        <v>7893</v>
      </c>
      <c r="H333">
        <v>376</v>
      </c>
      <c r="I333">
        <v>452.14</v>
      </c>
      <c r="J333">
        <v>47</v>
      </c>
      <c r="K333">
        <v>0</v>
      </c>
    </row>
    <row r="334" spans="1:11" x14ac:dyDescent="0.2">
      <c r="A334" t="s">
        <v>710</v>
      </c>
      <c r="B334" t="s">
        <v>711</v>
      </c>
      <c r="C334" s="2">
        <v>45014</v>
      </c>
      <c r="D334" s="2">
        <v>45016</v>
      </c>
      <c r="E334">
        <f t="shared" si="5"/>
        <v>2</v>
      </c>
      <c r="F334" t="s">
        <v>33</v>
      </c>
      <c r="G334">
        <v>80909</v>
      </c>
      <c r="H334">
        <v>3635</v>
      </c>
      <c r="I334">
        <v>6035.3</v>
      </c>
      <c r="J334">
        <v>368</v>
      </c>
      <c r="K334" t="s">
        <v>24</v>
      </c>
    </row>
    <row r="335" spans="1:11" x14ac:dyDescent="0.2">
      <c r="A335" t="s">
        <v>712</v>
      </c>
      <c r="B335" t="s">
        <v>713</v>
      </c>
      <c r="C335" s="2">
        <v>45122</v>
      </c>
      <c r="D335" s="2">
        <v>45143</v>
      </c>
      <c r="E335">
        <f t="shared" si="5"/>
        <v>21</v>
      </c>
      <c r="F335" t="s">
        <v>19</v>
      </c>
      <c r="G335">
        <v>48333</v>
      </c>
      <c r="H335">
        <v>796</v>
      </c>
      <c r="I335">
        <v>545.34</v>
      </c>
      <c r="J335">
        <v>79</v>
      </c>
      <c r="K335" t="s">
        <v>15</v>
      </c>
    </row>
    <row r="336" spans="1:11" x14ac:dyDescent="0.2">
      <c r="A336" t="s">
        <v>714</v>
      </c>
      <c r="B336" t="s">
        <v>715</v>
      </c>
      <c r="C336" s="2">
        <v>45225</v>
      </c>
      <c r="D336" s="2">
        <v>45252</v>
      </c>
      <c r="E336">
        <f t="shared" si="5"/>
        <v>27</v>
      </c>
      <c r="F336" t="s">
        <v>23</v>
      </c>
      <c r="G336">
        <v>4436</v>
      </c>
      <c r="H336">
        <v>183</v>
      </c>
      <c r="I336">
        <v>263.43</v>
      </c>
      <c r="J336">
        <v>25</v>
      </c>
      <c r="K336" t="b">
        <v>0</v>
      </c>
    </row>
    <row r="337" spans="1:11" x14ac:dyDescent="0.2">
      <c r="A337" t="s">
        <v>716</v>
      </c>
      <c r="B337" t="s">
        <v>717</v>
      </c>
      <c r="C337" s="2">
        <v>45057</v>
      </c>
      <c r="D337" s="2">
        <v>45080</v>
      </c>
      <c r="E337">
        <f t="shared" si="5"/>
        <v>23</v>
      </c>
      <c r="F337" t="s">
        <v>14</v>
      </c>
      <c r="G337">
        <v>75290</v>
      </c>
      <c r="H337">
        <v>2483</v>
      </c>
      <c r="I337">
        <v>2278.66</v>
      </c>
      <c r="J337">
        <v>244</v>
      </c>
      <c r="K337" t="s">
        <v>15</v>
      </c>
    </row>
    <row r="338" spans="1:11" x14ac:dyDescent="0.2">
      <c r="A338" t="s">
        <v>718</v>
      </c>
      <c r="B338" t="s">
        <v>719</v>
      </c>
      <c r="C338" s="2">
        <v>45165</v>
      </c>
      <c r="D338" s="2">
        <v>45173</v>
      </c>
      <c r="E338">
        <f t="shared" si="5"/>
        <v>8</v>
      </c>
      <c r="F338" t="s">
        <v>14</v>
      </c>
      <c r="G338">
        <v>77213</v>
      </c>
      <c r="H338">
        <v>2522</v>
      </c>
      <c r="I338">
        <v>4487.83</v>
      </c>
      <c r="J338">
        <v>419</v>
      </c>
      <c r="K338" t="b">
        <v>1</v>
      </c>
    </row>
    <row r="339" spans="1:11" x14ac:dyDescent="0.2">
      <c r="A339" t="s">
        <v>720</v>
      </c>
      <c r="B339" t="s">
        <v>721</v>
      </c>
      <c r="C339" s="2">
        <v>45007</v>
      </c>
      <c r="D339" s="2">
        <v>45023</v>
      </c>
      <c r="E339">
        <f t="shared" si="5"/>
        <v>16</v>
      </c>
      <c r="F339" t="s">
        <v>19</v>
      </c>
      <c r="G339">
        <v>6895</v>
      </c>
      <c r="H339">
        <v>176</v>
      </c>
      <c r="I339">
        <v>333.09</v>
      </c>
      <c r="J339">
        <v>10</v>
      </c>
      <c r="K339" t="b">
        <v>0</v>
      </c>
    </row>
    <row r="340" spans="1:11" x14ac:dyDescent="0.2">
      <c r="A340" t="s">
        <v>723</v>
      </c>
      <c r="B340" t="s">
        <v>724</v>
      </c>
      <c r="C340" s="2">
        <v>45103</v>
      </c>
      <c r="D340" s="2">
        <v>45105</v>
      </c>
      <c r="E340">
        <f t="shared" si="5"/>
        <v>2</v>
      </c>
      <c r="F340" t="s">
        <v>266</v>
      </c>
      <c r="G340">
        <v>20738</v>
      </c>
      <c r="H340">
        <v>623</v>
      </c>
      <c r="I340" s="3">
        <v>1242.6300000000001</v>
      </c>
      <c r="J340">
        <v>92</v>
      </c>
      <c r="K340" t="b">
        <v>1</v>
      </c>
    </row>
    <row r="341" spans="1:11" x14ac:dyDescent="0.2">
      <c r="A341" t="s">
        <v>725</v>
      </c>
      <c r="B341" t="s">
        <v>726</v>
      </c>
      <c r="C341" s="2">
        <v>45144</v>
      </c>
      <c r="D341" s="2">
        <v>45146</v>
      </c>
      <c r="E341">
        <f t="shared" si="5"/>
        <v>2</v>
      </c>
      <c r="F341" t="s">
        <v>33</v>
      </c>
      <c r="G341">
        <v>31746</v>
      </c>
      <c r="H341">
        <v>821</v>
      </c>
      <c r="I341">
        <v>1390.78</v>
      </c>
      <c r="J341">
        <v>140</v>
      </c>
      <c r="K341" t="s">
        <v>30</v>
      </c>
    </row>
    <row r="342" spans="1:11" x14ac:dyDescent="0.2">
      <c r="A342" t="s">
        <v>727</v>
      </c>
      <c r="B342" t="s">
        <v>728</v>
      </c>
      <c r="C342" s="2">
        <v>45081</v>
      </c>
      <c r="D342" s="2">
        <v>45089</v>
      </c>
      <c r="E342">
        <f t="shared" si="5"/>
        <v>8</v>
      </c>
      <c r="F342" t="s">
        <v>23</v>
      </c>
      <c r="G342">
        <v>50377</v>
      </c>
      <c r="H342">
        <v>1591</v>
      </c>
      <c r="I342">
        <v>2594.29</v>
      </c>
      <c r="J342">
        <v>240</v>
      </c>
      <c r="K342" t="s">
        <v>15</v>
      </c>
    </row>
    <row r="343" spans="1:11" x14ac:dyDescent="0.2">
      <c r="A343" t="s">
        <v>729</v>
      </c>
      <c r="B343" t="s">
        <v>730</v>
      </c>
      <c r="C343" s="2">
        <v>45174</v>
      </c>
      <c r="D343" s="2">
        <v>45199</v>
      </c>
      <c r="E343">
        <f t="shared" si="5"/>
        <v>25</v>
      </c>
      <c r="F343" t="s">
        <v>14</v>
      </c>
      <c r="G343">
        <v>49404</v>
      </c>
      <c r="H343">
        <v>1734</v>
      </c>
      <c r="I343">
        <v>1427.52</v>
      </c>
      <c r="J343">
        <v>216</v>
      </c>
      <c r="K343" t="s">
        <v>30</v>
      </c>
    </row>
    <row r="344" spans="1:11" x14ac:dyDescent="0.2">
      <c r="A344" t="s">
        <v>731</v>
      </c>
      <c r="B344" t="s">
        <v>732</v>
      </c>
      <c r="C344" s="2">
        <v>45110</v>
      </c>
      <c r="D344" s="2">
        <v>45118</v>
      </c>
      <c r="E344">
        <f t="shared" si="5"/>
        <v>8</v>
      </c>
      <c r="F344" t="s">
        <v>41</v>
      </c>
      <c r="G344">
        <v>55045</v>
      </c>
      <c r="H344">
        <v>2035</v>
      </c>
      <c r="I344">
        <v>2043.16</v>
      </c>
      <c r="J344">
        <v>391</v>
      </c>
      <c r="K344" t="b">
        <v>0</v>
      </c>
    </row>
    <row r="345" spans="1:11" x14ac:dyDescent="0.2">
      <c r="A345" t="s">
        <v>733</v>
      </c>
      <c r="B345" t="s">
        <v>734</v>
      </c>
      <c r="C345" s="2">
        <v>44932</v>
      </c>
      <c r="D345" s="2">
        <v>45083</v>
      </c>
      <c r="E345">
        <f t="shared" si="5"/>
        <v>151</v>
      </c>
      <c r="F345" t="s">
        <v>23</v>
      </c>
      <c r="G345">
        <v>98888</v>
      </c>
      <c r="H345">
        <v>3095</v>
      </c>
      <c r="I345">
        <v>3709.43</v>
      </c>
      <c r="J345">
        <v>293</v>
      </c>
      <c r="K345" t="b">
        <v>1</v>
      </c>
    </row>
    <row r="346" spans="1:11" x14ac:dyDescent="0.2">
      <c r="A346" t="s">
        <v>735</v>
      </c>
      <c r="B346" t="s">
        <v>736</v>
      </c>
      <c r="C346" s="2">
        <v>45056</v>
      </c>
      <c r="D346" s="2">
        <v>45264</v>
      </c>
      <c r="E346">
        <f t="shared" si="5"/>
        <v>208</v>
      </c>
      <c r="F346" t="s">
        <v>14</v>
      </c>
      <c r="G346">
        <v>40790</v>
      </c>
      <c r="H346">
        <v>1584</v>
      </c>
      <c r="I346">
        <v>2629.55</v>
      </c>
      <c r="J346">
        <v>83</v>
      </c>
      <c r="K346" t="b">
        <v>0</v>
      </c>
    </row>
    <row r="347" spans="1:11" x14ac:dyDescent="0.2">
      <c r="A347" t="s">
        <v>737</v>
      </c>
      <c r="B347" t="s">
        <v>738</v>
      </c>
      <c r="C347" s="2">
        <v>45278</v>
      </c>
      <c r="D347" s="2">
        <v>45283</v>
      </c>
      <c r="E347">
        <f t="shared" si="5"/>
        <v>5</v>
      </c>
      <c r="F347" t="s">
        <v>23</v>
      </c>
      <c r="G347">
        <v>6600</v>
      </c>
      <c r="H347">
        <v>103</v>
      </c>
      <c r="I347" s="3">
        <v>192.86</v>
      </c>
      <c r="J347">
        <v>11</v>
      </c>
      <c r="K347" t="s">
        <v>30</v>
      </c>
    </row>
    <row r="348" spans="1:11" x14ac:dyDescent="0.2">
      <c r="A348" t="s">
        <v>739</v>
      </c>
      <c r="B348" t="s">
        <v>740</v>
      </c>
      <c r="C348" s="2">
        <v>45232</v>
      </c>
      <c r="D348" s="2">
        <v>45237</v>
      </c>
      <c r="E348">
        <f t="shared" si="5"/>
        <v>5</v>
      </c>
      <c r="F348" t="s">
        <v>41</v>
      </c>
      <c r="G348">
        <v>95660</v>
      </c>
      <c r="H348">
        <v>1767</v>
      </c>
      <c r="I348">
        <v>1384.81</v>
      </c>
      <c r="K348" t="b">
        <v>0</v>
      </c>
    </row>
    <row r="349" spans="1:11" x14ac:dyDescent="0.2">
      <c r="A349" t="s">
        <v>741</v>
      </c>
      <c r="B349" t="s">
        <v>742</v>
      </c>
      <c r="C349" s="2">
        <v>45073</v>
      </c>
      <c r="D349" s="2">
        <v>45084</v>
      </c>
      <c r="E349">
        <f t="shared" si="5"/>
        <v>11</v>
      </c>
      <c r="F349" t="s">
        <v>41</v>
      </c>
      <c r="G349">
        <v>94179</v>
      </c>
      <c r="H349">
        <v>4026</v>
      </c>
      <c r="I349">
        <v>7583.18</v>
      </c>
      <c r="J349">
        <v>777</v>
      </c>
      <c r="K349">
        <v>0</v>
      </c>
    </row>
    <row r="350" spans="1:11" x14ac:dyDescent="0.2">
      <c r="A350" t="s">
        <v>743</v>
      </c>
      <c r="B350" t="s">
        <v>744</v>
      </c>
      <c r="C350" s="2">
        <v>45107</v>
      </c>
      <c r="D350" s="2">
        <v>45118</v>
      </c>
      <c r="E350">
        <f t="shared" si="5"/>
        <v>11</v>
      </c>
      <c r="F350" t="s">
        <v>41</v>
      </c>
      <c r="G350">
        <v>41764</v>
      </c>
      <c r="H350">
        <v>956</v>
      </c>
      <c r="I350">
        <v>1475.53</v>
      </c>
      <c r="J350">
        <v>77</v>
      </c>
      <c r="K350">
        <v>1</v>
      </c>
    </row>
    <row r="351" spans="1:11" x14ac:dyDescent="0.2">
      <c r="A351" t="s">
        <v>745</v>
      </c>
      <c r="B351" t="s">
        <v>746</v>
      </c>
      <c r="C351" s="2">
        <v>45055</v>
      </c>
      <c r="D351" s="2">
        <v>45068</v>
      </c>
      <c r="E351">
        <f t="shared" si="5"/>
        <v>13</v>
      </c>
      <c r="F351" t="s">
        <v>19</v>
      </c>
      <c r="G351">
        <v>75543</v>
      </c>
      <c r="H351">
        <v>824</v>
      </c>
      <c r="I351">
        <v>1166.9100000000001</v>
      </c>
      <c r="J351">
        <v>138</v>
      </c>
      <c r="K351" t="s">
        <v>30</v>
      </c>
    </row>
    <row r="352" spans="1:11" x14ac:dyDescent="0.2">
      <c r="A352" t="s">
        <v>747</v>
      </c>
      <c r="B352" t="s">
        <v>748</v>
      </c>
      <c r="C352" s="2">
        <v>45264</v>
      </c>
      <c r="D352" s="2">
        <v>45289</v>
      </c>
      <c r="E352">
        <f t="shared" si="5"/>
        <v>25</v>
      </c>
      <c r="F352" t="s">
        <v>41</v>
      </c>
      <c r="G352">
        <v>46714</v>
      </c>
      <c r="H352">
        <v>754</v>
      </c>
      <c r="I352">
        <v>603.02</v>
      </c>
      <c r="J352">
        <v>125</v>
      </c>
      <c r="K352" t="b">
        <v>0</v>
      </c>
    </row>
    <row r="353" spans="1:11" x14ac:dyDescent="0.2">
      <c r="A353" t="s">
        <v>749</v>
      </c>
      <c r="B353" t="s">
        <v>750</v>
      </c>
      <c r="C353" s="2">
        <v>44976</v>
      </c>
      <c r="D353" s="2">
        <v>44997</v>
      </c>
      <c r="E353">
        <f t="shared" si="5"/>
        <v>21</v>
      </c>
      <c r="F353" t="s">
        <v>33</v>
      </c>
      <c r="G353">
        <v>57835</v>
      </c>
      <c r="H353">
        <v>1095</v>
      </c>
      <c r="I353" s="3">
        <v>638.70000000000005</v>
      </c>
      <c r="J353">
        <v>90</v>
      </c>
      <c r="K353" t="b">
        <v>1</v>
      </c>
    </row>
    <row r="354" spans="1:11" x14ac:dyDescent="0.2">
      <c r="A354" t="s">
        <v>751</v>
      </c>
      <c r="B354" t="s">
        <v>752</v>
      </c>
      <c r="C354" s="2">
        <v>45085</v>
      </c>
      <c r="D354" s="2">
        <v>45166</v>
      </c>
      <c r="E354">
        <f t="shared" si="5"/>
        <v>81</v>
      </c>
      <c r="F354" t="s">
        <v>138</v>
      </c>
      <c r="G354">
        <v>74744</v>
      </c>
      <c r="H354">
        <v>3609</v>
      </c>
      <c r="I354">
        <v>4881.88</v>
      </c>
      <c r="J354">
        <v>516</v>
      </c>
      <c r="K354" t="b">
        <v>0</v>
      </c>
    </row>
    <row r="355" spans="1:11" x14ac:dyDescent="0.2">
      <c r="A355" t="s">
        <v>753</v>
      </c>
      <c r="B355" t="s">
        <v>754</v>
      </c>
      <c r="C355" s="2">
        <v>45097</v>
      </c>
      <c r="D355" s="2">
        <v>45113</v>
      </c>
      <c r="E355">
        <f t="shared" si="5"/>
        <v>16</v>
      </c>
      <c r="F355" t="s">
        <v>41</v>
      </c>
      <c r="G355">
        <v>57491</v>
      </c>
      <c r="H355">
        <v>1892</v>
      </c>
      <c r="I355" s="3">
        <v>2795</v>
      </c>
      <c r="J355">
        <v>108</v>
      </c>
      <c r="K355" t="b">
        <v>1</v>
      </c>
    </row>
    <row r="356" spans="1:11" x14ac:dyDescent="0.2">
      <c r="A356" t="s">
        <v>755</v>
      </c>
      <c r="B356" t="s">
        <v>756</v>
      </c>
      <c r="C356" s="2">
        <v>45078</v>
      </c>
      <c r="D356" s="2">
        <v>45079</v>
      </c>
      <c r="E356">
        <f t="shared" si="5"/>
        <v>1</v>
      </c>
      <c r="F356" t="s">
        <v>33</v>
      </c>
      <c r="G356">
        <v>19589</v>
      </c>
      <c r="H356">
        <v>926</v>
      </c>
      <c r="I356">
        <v>755.78</v>
      </c>
      <c r="J356">
        <v>113</v>
      </c>
      <c r="K356">
        <v>1</v>
      </c>
    </row>
    <row r="357" spans="1:11" x14ac:dyDescent="0.2">
      <c r="A357" t="s">
        <v>757</v>
      </c>
      <c r="B357" t="s">
        <v>758</v>
      </c>
      <c r="C357" s="2">
        <v>45029</v>
      </c>
      <c r="D357" s="2">
        <v>45046</v>
      </c>
      <c r="E357">
        <f t="shared" si="5"/>
        <v>17</v>
      </c>
      <c r="F357" t="s">
        <v>33</v>
      </c>
      <c r="G357">
        <v>44484</v>
      </c>
      <c r="H357">
        <v>1468</v>
      </c>
      <c r="I357">
        <v>1959.32</v>
      </c>
      <c r="J357">
        <v>76</v>
      </c>
      <c r="K357" t="b">
        <v>0</v>
      </c>
    </row>
    <row r="358" spans="1:11" x14ac:dyDescent="0.2">
      <c r="A358" t="s">
        <v>759</v>
      </c>
      <c r="B358" t="s">
        <v>760</v>
      </c>
      <c r="C358" s="2">
        <v>45114</v>
      </c>
      <c r="D358" s="2">
        <v>45139</v>
      </c>
      <c r="E358">
        <f t="shared" si="5"/>
        <v>25</v>
      </c>
      <c r="F358" t="s">
        <v>266</v>
      </c>
      <c r="G358">
        <v>83989</v>
      </c>
      <c r="H358">
        <v>2450</v>
      </c>
      <c r="I358">
        <v>4372.6099999999997</v>
      </c>
      <c r="J358">
        <v>461</v>
      </c>
      <c r="K358" t="s">
        <v>24</v>
      </c>
    </row>
    <row r="359" spans="1:11" x14ac:dyDescent="0.2">
      <c r="A359" t="s">
        <v>761</v>
      </c>
      <c r="B359" t="s">
        <v>762</v>
      </c>
      <c r="C359" s="2">
        <v>45011</v>
      </c>
      <c r="D359" s="2">
        <v>45021</v>
      </c>
      <c r="E359">
        <f t="shared" si="5"/>
        <v>10</v>
      </c>
      <c r="F359" t="s">
        <v>41</v>
      </c>
      <c r="G359">
        <v>37212</v>
      </c>
      <c r="H359">
        <v>839</v>
      </c>
      <c r="I359">
        <v>1470.43</v>
      </c>
      <c r="J359">
        <v>164</v>
      </c>
      <c r="K359" t="s">
        <v>24</v>
      </c>
    </row>
    <row r="360" spans="1:11" x14ac:dyDescent="0.2">
      <c r="A360" t="s">
        <v>763</v>
      </c>
      <c r="B360" t="s">
        <v>764</v>
      </c>
      <c r="C360" s="2">
        <v>45173</v>
      </c>
      <c r="D360" s="2">
        <v>45189</v>
      </c>
      <c r="E360">
        <f t="shared" si="5"/>
        <v>16</v>
      </c>
      <c r="F360" t="s">
        <v>14</v>
      </c>
      <c r="G360">
        <v>44525</v>
      </c>
      <c r="H360">
        <v>1525</v>
      </c>
      <c r="I360">
        <v>2883.82</v>
      </c>
      <c r="J360">
        <v>127</v>
      </c>
      <c r="K360">
        <v>1</v>
      </c>
    </row>
    <row r="361" spans="1:11" x14ac:dyDescent="0.2">
      <c r="A361" t="s">
        <v>765</v>
      </c>
      <c r="B361" t="s">
        <v>766</v>
      </c>
      <c r="C361" s="2">
        <v>45100</v>
      </c>
      <c r="D361" s="2">
        <v>45101</v>
      </c>
      <c r="E361">
        <f t="shared" si="5"/>
        <v>1</v>
      </c>
      <c r="F361" t="s">
        <v>33</v>
      </c>
      <c r="G361">
        <v>48202</v>
      </c>
      <c r="H361">
        <v>750</v>
      </c>
      <c r="I361">
        <v>786.62</v>
      </c>
      <c r="J361">
        <v>60</v>
      </c>
      <c r="K361" t="s">
        <v>30</v>
      </c>
    </row>
    <row r="362" spans="1:11" x14ac:dyDescent="0.2">
      <c r="A362" t="s">
        <v>767</v>
      </c>
      <c r="B362" t="s">
        <v>768</v>
      </c>
      <c r="C362" s="2">
        <v>44965</v>
      </c>
      <c r="D362" s="2">
        <v>44987</v>
      </c>
      <c r="E362">
        <f t="shared" si="5"/>
        <v>22</v>
      </c>
      <c r="F362" t="s">
        <v>19</v>
      </c>
      <c r="G362">
        <v>33635</v>
      </c>
      <c r="H362">
        <v>1544</v>
      </c>
      <c r="I362" s="3">
        <v>1508.6</v>
      </c>
      <c r="K362" t="b">
        <v>1</v>
      </c>
    </row>
    <row r="363" spans="1:11" x14ac:dyDescent="0.2">
      <c r="A363" t="s">
        <v>769</v>
      </c>
      <c r="B363" t="s">
        <v>770</v>
      </c>
      <c r="C363" s="2">
        <v>45273</v>
      </c>
      <c r="D363" s="2">
        <v>45296</v>
      </c>
      <c r="E363">
        <f t="shared" si="5"/>
        <v>23</v>
      </c>
      <c r="F363" t="s">
        <v>41</v>
      </c>
      <c r="G363">
        <v>64208</v>
      </c>
      <c r="H363">
        <v>2772</v>
      </c>
      <c r="I363">
        <v>4502.1099999999997</v>
      </c>
      <c r="K363" t="s">
        <v>24</v>
      </c>
    </row>
    <row r="364" spans="1:11" x14ac:dyDescent="0.2">
      <c r="A364" t="s">
        <v>771</v>
      </c>
      <c r="B364" t="s">
        <v>772</v>
      </c>
      <c r="C364" s="2">
        <v>45212</v>
      </c>
      <c r="D364" s="2">
        <v>45235</v>
      </c>
      <c r="E364">
        <f t="shared" si="5"/>
        <v>23</v>
      </c>
      <c r="F364" t="s">
        <v>14</v>
      </c>
      <c r="G364">
        <v>34828</v>
      </c>
      <c r="H364">
        <v>790</v>
      </c>
      <c r="I364">
        <v>905.87</v>
      </c>
      <c r="K364">
        <v>0</v>
      </c>
    </row>
    <row r="365" spans="1:11" x14ac:dyDescent="0.2">
      <c r="A365" t="s">
        <v>773</v>
      </c>
      <c r="B365" t="s">
        <v>774</v>
      </c>
      <c r="C365" s="2">
        <v>44934</v>
      </c>
      <c r="D365" s="2">
        <v>44948</v>
      </c>
      <c r="E365">
        <f t="shared" si="5"/>
        <v>14</v>
      </c>
      <c r="F365" t="s">
        <v>33</v>
      </c>
      <c r="G365">
        <v>19711</v>
      </c>
      <c r="H365">
        <v>948</v>
      </c>
      <c r="I365">
        <v>598.49</v>
      </c>
      <c r="J365">
        <v>129</v>
      </c>
      <c r="K365" t="s">
        <v>30</v>
      </c>
    </row>
    <row r="366" spans="1:11" x14ac:dyDescent="0.2">
      <c r="A366" t="s">
        <v>775</v>
      </c>
      <c r="B366" t="s">
        <v>776</v>
      </c>
      <c r="C366" s="2">
        <v>45115</v>
      </c>
      <c r="D366" s="2">
        <v>45133</v>
      </c>
      <c r="E366">
        <f t="shared" si="5"/>
        <v>18</v>
      </c>
      <c r="F366" t="s">
        <v>19</v>
      </c>
      <c r="G366">
        <v>4420</v>
      </c>
      <c r="H366">
        <v>190</v>
      </c>
      <c r="I366">
        <v>175.6</v>
      </c>
      <c r="J366">
        <v>19</v>
      </c>
      <c r="K366" t="b">
        <v>1</v>
      </c>
    </row>
    <row r="367" spans="1:11" x14ac:dyDescent="0.2">
      <c r="A367" t="s">
        <v>777</v>
      </c>
      <c r="B367" t="s">
        <v>778</v>
      </c>
      <c r="C367" s="2">
        <v>45226</v>
      </c>
      <c r="D367" s="2">
        <v>45229</v>
      </c>
      <c r="E367">
        <f t="shared" si="5"/>
        <v>3</v>
      </c>
      <c r="F367" t="s">
        <v>14</v>
      </c>
      <c r="G367">
        <v>97752</v>
      </c>
      <c r="H367">
        <v>3582</v>
      </c>
      <c r="I367">
        <v>4040.04</v>
      </c>
      <c r="J367">
        <v>626</v>
      </c>
      <c r="K367">
        <v>1</v>
      </c>
    </row>
    <row r="368" spans="1:11" x14ac:dyDescent="0.2">
      <c r="A368" t="s">
        <v>779</v>
      </c>
      <c r="B368" t="s">
        <v>780</v>
      </c>
      <c r="C368" s="2">
        <v>45117</v>
      </c>
      <c r="D368" s="2">
        <v>45119</v>
      </c>
      <c r="E368">
        <f t="shared" si="5"/>
        <v>2</v>
      </c>
      <c r="F368" t="s">
        <v>33</v>
      </c>
      <c r="G368">
        <v>1301</v>
      </c>
      <c r="H368">
        <v>19</v>
      </c>
      <c r="I368">
        <v>17.84</v>
      </c>
      <c r="J368">
        <v>2</v>
      </c>
      <c r="K368" t="s">
        <v>24</v>
      </c>
    </row>
    <row r="369" spans="1:11" x14ac:dyDescent="0.2">
      <c r="A369" t="s">
        <v>781</v>
      </c>
      <c r="B369" t="s">
        <v>782</v>
      </c>
      <c r="C369" s="2">
        <v>44939</v>
      </c>
      <c r="D369" s="2">
        <v>44946</v>
      </c>
      <c r="E369">
        <f t="shared" si="5"/>
        <v>7</v>
      </c>
      <c r="F369" t="s">
        <v>41</v>
      </c>
      <c r="G369">
        <v>46236</v>
      </c>
      <c r="H369">
        <v>1346</v>
      </c>
      <c r="I369">
        <v>1343.72</v>
      </c>
      <c r="J369">
        <v>251</v>
      </c>
      <c r="K369" t="s">
        <v>15</v>
      </c>
    </row>
    <row r="370" spans="1:11" x14ac:dyDescent="0.2">
      <c r="A370" t="s">
        <v>783</v>
      </c>
      <c r="B370" t="s">
        <v>784</v>
      </c>
      <c r="C370" s="2">
        <v>45094</v>
      </c>
      <c r="D370" s="2">
        <v>45113</v>
      </c>
      <c r="E370">
        <f t="shared" si="5"/>
        <v>19</v>
      </c>
      <c r="F370" t="s">
        <v>23</v>
      </c>
      <c r="G370">
        <v>67235</v>
      </c>
      <c r="H370">
        <v>2033</v>
      </c>
      <c r="I370">
        <v>1912.37</v>
      </c>
      <c r="J370">
        <v>384</v>
      </c>
      <c r="K370" t="b">
        <v>0</v>
      </c>
    </row>
    <row r="371" spans="1:11" x14ac:dyDescent="0.2">
      <c r="A371" t="s">
        <v>785</v>
      </c>
      <c r="B371" t="s">
        <v>786</v>
      </c>
      <c r="C371" s="2">
        <v>44959</v>
      </c>
      <c r="D371" s="2">
        <v>44961</v>
      </c>
      <c r="E371">
        <f t="shared" si="5"/>
        <v>2</v>
      </c>
      <c r="F371" t="s">
        <v>41</v>
      </c>
      <c r="G371">
        <v>55240</v>
      </c>
      <c r="H371">
        <v>1066</v>
      </c>
      <c r="I371">
        <v>599.36</v>
      </c>
      <c r="J371">
        <v>79</v>
      </c>
      <c r="K371">
        <v>1</v>
      </c>
    </row>
    <row r="372" spans="1:11" x14ac:dyDescent="0.2">
      <c r="A372" t="s">
        <v>787</v>
      </c>
      <c r="B372" t="s">
        <v>788</v>
      </c>
      <c r="C372" s="2">
        <v>45285</v>
      </c>
      <c r="D372" s="2">
        <v>45292</v>
      </c>
      <c r="E372">
        <f t="shared" si="5"/>
        <v>7</v>
      </c>
      <c r="F372" t="s">
        <v>41</v>
      </c>
      <c r="G372">
        <v>66726</v>
      </c>
      <c r="H372">
        <v>880</v>
      </c>
      <c r="I372">
        <v>1280.97</v>
      </c>
      <c r="J372">
        <v>44</v>
      </c>
      <c r="K372" t="b">
        <v>1</v>
      </c>
    </row>
    <row r="373" spans="1:11" x14ac:dyDescent="0.2">
      <c r="A373" t="s">
        <v>789</v>
      </c>
      <c r="B373" t="s">
        <v>790</v>
      </c>
      <c r="C373" s="2">
        <v>44998</v>
      </c>
      <c r="D373" s="2">
        <v>45006</v>
      </c>
      <c r="E373">
        <f t="shared" si="5"/>
        <v>8</v>
      </c>
      <c r="F373" t="s">
        <v>41</v>
      </c>
      <c r="G373">
        <v>11492</v>
      </c>
      <c r="H373">
        <v>471</v>
      </c>
      <c r="I373">
        <v>657.49</v>
      </c>
      <c r="J373">
        <v>93</v>
      </c>
      <c r="K373" t="b">
        <v>1</v>
      </c>
    </row>
    <row r="374" spans="1:11" x14ac:dyDescent="0.2">
      <c r="A374" t="s">
        <v>792</v>
      </c>
      <c r="B374" t="s">
        <v>793</v>
      </c>
      <c r="C374" s="2">
        <v>44946</v>
      </c>
      <c r="D374" s="2">
        <v>44965</v>
      </c>
      <c r="E374">
        <f t="shared" si="5"/>
        <v>19</v>
      </c>
      <c r="F374" t="s">
        <v>23</v>
      </c>
      <c r="G374">
        <v>7102</v>
      </c>
      <c r="H374">
        <v>105</v>
      </c>
      <c r="I374">
        <v>155.41</v>
      </c>
      <c r="J374">
        <v>19</v>
      </c>
      <c r="K374" t="b">
        <v>1</v>
      </c>
    </row>
    <row r="375" spans="1:11" x14ac:dyDescent="0.2">
      <c r="A375" t="s">
        <v>794</v>
      </c>
      <c r="B375" t="s">
        <v>795</v>
      </c>
      <c r="C375" s="2">
        <v>44976</v>
      </c>
      <c r="D375" s="2">
        <v>44992</v>
      </c>
      <c r="E375">
        <f t="shared" si="5"/>
        <v>16</v>
      </c>
      <c r="F375" t="s">
        <v>23</v>
      </c>
      <c r="G375">
        <v>51336</v>
      </c>
      <c r="H375">
        <v>1733</v>
      </c>
      <c r="I375">
        <v>1366.41</v>
      </c>
      <c r="J375">
        <v>101</v>
      </c>
      <c r="K375" t="b">
        <v>1</v>
      </c>
    </row>
    <row r="376" spans="1:11" x14ac:dyDescent="0.2">
      <c r="A376" t="s">
        <v>796</v>
      </c>
      <c r="B376" t="s">
        <v>797</v>
      </c>
      <c r="C376" s="2">
        <v>45125</v>
      </c>
      <c r="D376" s="2">
        <v>45126</v>
      </c>
      <c r="E376">
        <f t="shared" si="5"/>
        <v>1</v>
      </c>
      <c r="F376" t="s">
        <v>138</v>
      </c>
      <c r="G376">
        <v>86314</v>
      </c>
      <c r="H376">
        <v>4096</v>
      </c>
      <c r="I376">
        <v>3864.5</v>
      </c>
      <c r="J376">
        <v>716</v>
      </c>
      <c r="K376" t="b">
        <v>0</v>
      </c>
    </row>
    <row r="377" spans="1:11" x14ac:dyDescent="0.2">
      <c r="A377" t="s">
        <v>798</v>
      </c>
      <c r="B377" t="s">
        <v>799</v>
      </c>
      <c r="C377" s="2">
        <v>45283</v>
      </c>
      <c r="D377" s="2">
        <v>45295</v>
      </c>
      <c r="E377">
        <f t="shared" si="5"/>
        <v>12</v>
      </c>
      <c r="F377" t="s">
        <v>19</v>
      </c>
      <c r="G377">
        <v>27641</v>
      </c>
      <c r="H377">
        <v>1245</v>
      </c>
      <c r="I377">
        <v>1779.63</v>
      </c>
      <c r="J377">
        <v>147</v>
      </c>
      <c r="K377" t="s">
        <v>30</v>
      </c>
    </row>
    <row r="378" spans="1:11" x14ac:dyDescent="0.2">
      <c r="A378" t="s">
        <v>800</v>
      </c>
      <c r="B378" t="s">
        <v>801</v>
      </c>
      <c r="C378" s="2">
        <v>45006</v>
      </c>
      <c r="D378" s="2">
        <v>45029</v>
      </c>
      <c r="E378">
        <f t="shared" si="5"/>
        <v>23</v>
      </c>
      <c r="F378" t="s">
        <v>19</v>
      </c>
      <c r="G378">
        <v>35584</v>
      </c>
      <c r="H378">
        <v>751</v>
      </c>
      <c r="I378">
        <v>1050.98</v>
      </c>
      <c r="J378">
        <v>66</v>
      </c>
      <c r="K378">
        <v>0</v>
      </c>
    </row>
    <row r="379" spans="1:11" x14ac:dyDescent="0.2">
      <c r="A379" t="s">
        <v>802</v>
      </c>
      <c r="B379" t="s">
        <v>803</v>
      </c>
      <c r="C379" s="2">
        <v>45177</v>
      </c>
      <c r="D379" s="2">
        <v>45180</v>
      </c>
      <c r="E379">
        <f t="shared" si="5"/>
        <v>3</v>
      </c>
      <c r="F379" t="s">
        <v>23</v>
      </c>
      <c r="G379">
        <v>33745</v>
      </c>
      <c r="H379">
        <v>1486</v>
      </c>
      <c r="I379">
        <v>1871.61</v>
      </c>
      <c r="J379">
        <v>270</v>
      </c>
      <c r="K379" t="s">
        <v>15</v>
      </c>
    </row>
    <row r="380" spans="1:11" x14ac:dyDescent="0.2">
      <c r="A380" t="s">
        <v>804</v>
      </c>
      <c r="B380" t="s">
        <v>805</v>
      </c>
      <c r="C380" s="2">
        <v>45070</v>
      </c>
      <c r="D380" s="2">
        <v>45089</v>
      </c>
      <c r="E380">
        <f t="shared" si="5"/>
        <v>19</v>
      </c>
      <c r="F380" t="s">
        <v>19</v>
      </c>
      <c r="G380">
        <v>24093</v>
      </c>
      <c r="H380">
        <v>241</v>
      </c>
      <c r="I380">
        <v>247.17</v>
      </c>
      <c r="J380">
        <v>19</v>
      </c>
      <c r="K380" t="b">
        <v>0</v>
      </c>
    </row>
    <row r="381" spans="1:11" x14ac:dyDescent="0.2">
      <c r="A381" t="s">
        <v>807</v>
      </c>
      <c r="B381" t="s">
        <v>808</v>
      </c>
      <c r="C381" s="2">
        <v>45116</v>
      </c>
      <c r="D381" s="2">
        <v>45145</v>
      </c>
      <c r="E381">
        <f t="shared" si="5"/>
        <v>29</v>
      </c>
      <c r="F381" t="s">
        <v>33</v>
      </c>
      <c r="G381">
        <v>67105</v>
      </c>
      <c r="H381">
        <v>718</v>
      </c>
      <c r="I381">
        <v>1342.23</v>
      </c>
      <c r="J381">
        <v>137</v>
      </c>
      <c r="K381" t="b">
        <v>1</v>
      </c>
    </row>
    <row r="382" spans="1:11" x14ac:dyDescent="0.2">
      <c r="A382" t="s">
        <v>809</v>
      </c>
      <c r="B382" t="s">
        <v>810</v>
      </c>
      <c r="C382" s="2">
        <v>44943</v>
      </c>
      <c r="D382" s="2">
        <v>45047</v>
      </c>
      <c r="E382">
        <f t="shared" si="5"/>
        <v>104</v>
      </c>
      <c r="F382" t="s">
        <v>19</v>
      </c>
      <c r="G382">
        <v>52885</v>
      </c>
      <c r="H382">
        <v>1803</v>
      </c>
      <c r="I382">
        <v>1820.41</v>
      </c>
      <c r="J382">
        <v>145</v>
      </c>
      <c r="K382" t="b">
        <v>0</v>
      </c>
    </row>
    <row r="383" spans="1:11" x14ac:dyDescent="0.2">
      <c r="A383" t="s">
        <v>811</v>
      </c>
      <c r="B383" t="s">
        <v>812</v>
      </c>
      <c r="C383" s="2">
        <v>45278</v>
      </c>
      <c r="D383" s="2">
        <v>45295</v>
      </c>
      <c r="E383">
        <f t="shared" si="5"/>
        <v>17</v>
      </c>
      <c r="F383" t="s">
        <v>138</v>
      </c>
      <c r="G383">
        <v>37631</v>
      </c>
      <c r="H383">
        <v>925</v>
      </c>
      <c r="I383">
        <v>1094.67</v>
      </c>
      <c r="K383">
        <v>1</v>
      </c>
    </row>
    <row r="384" spans="1:11" x14ac:dyDescent="0.2">
      <c r="A384" t="s">
        <v>813</v>
      </c>
      <c r="B384" t="s">
        <v>814</v>
      </c>
      <c r="C384" s="2">
        <v>45257</v>
      </c>
      <c r="D384" s="2">
        <v>45286</v>
      </c>
      <c r="E384">
        <f t="shared" si="5"/>
        <v>29</v>
      </c>
      <c r="F384" t="s">
        <v>23</v>
      </c>
      <c r="G384">
        <v>73991</v>
      </c>
      <c r="H384">
        <v>1883</v>
      </c>
      <c r="I384">
        <v>2856.83</v>
      </c>
      <c r="J384">
        <v>157</v>
      </c>
      <c r="K384">
        <v>0</v>
      </c>
    </row>
    <row r="385" spans="1:11" x14ac:dyDescent="0.2">
      <c r="A385" t="s">
        <v>815</v>
      </c>
      <c r="B385" t="s">
        <v>816</v>
      </c>
      <c r="C385" s="2">
        <v>45024</v>
      </c>
      <c r="D385" s="2">
        <v>45051</v>
      </c>
      <c r="E385">
        <f t="shared" si="5"/>
        <v>27</v>
      </c>
      <c r="F385" t="s">
        <v>138</v>
      </c>
      <c r="G385">
        <v>5014</v>
      </c>
      <c r="H385">
        <v>163</v>
      </c>
      <c r="I385">
        <v>214.27</v>
      </c>
      <c r="J385">
        <v>21</v>
      </c>
      <c r="K385" t="b">
        <v>1</v>
      </c>
    </row>
    <row r="386" spans="1:11" x14ac:dyDescent="0.2">
      <c r="A386" t="s">
        <v>817</v>
      </c>
      <c r="B386" t="s">
        <v>818</v>
      </c>
      <c r="C386" s="2">
        <v>45159</v>
      </c>
      <c r="D386" s="2">
        <v>45165</v>
      </c>
      <c r="E386">
        <f t="shared" ref="E386:E449" si="6">D386-C386</f>
        <v>6</v>
      </c>
      <c r="F386" t="s">
        <v>19</v>
      </c>
      <c r="G386">
        <v>12093</v>
      </c>
      <c r="H386">
        <v>213</v>
      </c>
      <c r="I386">
        <v>217.33</v>
      </c>
      <c r="K386" t="s">
        <v>15</v>
      </c>
    </row>
    <row r="387" spans="1:11" x14ac:dyDescent="0.2">
      <c r="A387" t="s">
        <v>819</v>
      </c>
      <c r="B387" t="s">
        <v>820</v>
      </c>
      <c r="C387" s="2">
        <v>45035</v>
      </c>
      <c r="D387" s="2">
        <v>45048</v>
      </c>
      <c r="E387">
        <f t="shared" si="6"/>
        <v>13</v>
      </c>
      <c r="F387" t="s">
        <v>14</v>
      </c>
      <c r="G387">
        <v>19070</v>
      </c>
      <c r="H387">
        <v>352</v>
      </c>
      <c r="I387">
        <v>406.02</v>
      </c>
      <c r="J387">
        <v>27</v>
      </c>
      <c r="K387" t="b">
        <v>1</v>
      </c>
    </row>
    <row r="388" spans="1:11" x14ac:dyDescent="0.2">
      <c r="A388" t="s">
        <v>821</v>
      </c>
      <c r="B388" t="s">
        <v>822</v>
      </c>
      <c r="C388" s="2">
        <v>44944</v>
      </c>
      <c r="D388" s="2">
        <v>45231</v>
      </c>
      <c r="E388">
        <f t="shared" si="6"/>
        <v>287</v>
      </c>
      <c r="F388" t="s">
        <v>19</v>
      </c>
      <c r="G388">
        <v>36777</v>
      </c>
      <c r="H388">
        <v>1080</v>
      </c>
      <c r="I388">
        <v>1827.06</v>
      </c>
      <c r="J388">
        <v>138</v>
      </c>
      <c r="K388">
        <v>0</v>
      </c>
    </row>
    <row r="389" spans="1:11" x14ac:dyDescent="0.2">
      <c r="A389" t="s">
        <v>823</v>
      </c>
      <c r="B389" t="s">
        <v>824</v>
      </c>
      <c r="C389" s="2">
        <v>45097</v>
      </c>
      <c r="D389" s="2">
        <v>45102</v>
      </c>
      <c r="E389">
        <f t="shared" si="6"/>
        <v>5</v>
      </c>
      <c r="F389" t="s">
        <v>14</v>
      </c>
      <c r="G389">
        <v>57958</v>
      </c>
      <c r="H389">
        <v>2328</v>
      </c>
      <c r="I389" s="3">
        <v>2135.23</v>
      </c>
      <c r="J389">
        <v>280</v>
      </c>
      <c r="K389" t="s">
        <v>15</v>
      </c>
    </row>
    <row r="390" spans="1:11" x14ac:dyDescent="0.2">
      <c r="A390" t="s">
        <v>825</v>
      </c>
      <c r="B390" t="s">
        <v>826</v>
      </c>
      <c r="C390" s="2">
        <v>45216</v>
      </c>
      <c r="D390" s="2">
        <v>45234</v>
      </c>
      <c r="E390">
        <f t="shared" si="6"/>
        <v>18</v>
      </c>
      <c r="F390" t="s">
        <v>41</v>
      </c>
      <c r="G390">
        <v>83074</v>
      </c>
      <c r="H390">
        <v>2889</v>
      </c>
      <c r="I390">
        <v>2060.96</v>
      </c>
      <c r="J390">
        <v>175</v>
      </c>
      <c r="K390">
        <v>0</v>
      </c>
    </row>
    <row r="391" spans="1:11" x14ac:dyDescent="0.2">
      <c r="A391" t="s">
        <v>827</v>
      </c>
      <c r="B391" t="s">
        <v>828</v>
      </c>
      <c r="C391" s="2">
        <v>45210</v>
      </c>
      <c r="D391" s="2">
        <v>45211</v>
      </c>
      <c r="E391">
        <f t="shared" si="6"/>
        <v>1</v>
      </c>
      <c r="F391" t="s">
        <v>23</v>
      </c>
      <c r="G391">
        <v>11729</v>
      </c>
      <c r="H391">
        <v>256</v>
      </c>
      <c r="I391">
        <v>248.25</v>
      </c>
      <c r="J391">
        <v>44</v>
      </c>
      <c r="K391" t="s">
        <v>15</v>
      </c>
    </row>
    <row r="392" spans="1:11" x14ac:dyDescent="0.2">
      <c r="A392" t="s">
        <v>829</v>
      </c>
      <c r="B392" t="s">
        <v>830</v>
      </c>
      <c r="C392" s="2">
        <v>45046</v>
      </c>
      <c r="D392" s="2">
        <v>45076</v>
      </c>
      <c r="E392">
        <f t="shared" si="6"/>
        <v>30</v>
      </c>
      <c r="F392" t="s">
        <v>41</v>
      </c>
      <c r="G392">
        <v>46017</v>
      </c>
      <c r="H392">
        <v>1252</v>
      </c>
      <c r="I392">
        <v>2221.4299999999998</v>
      </c>
      <c r="J392">
        <v>125</v>
      </c>
      <c r="K392" t="s">
        <v>30</v>
      </c>
    </row>
    <row r="393" spans="1:11" x14ac:dyDescent="0.2">
      <c r="A393" t="s">
        <v>831</v>
      </c>
      <c r="B393" t="s">
        <v>832</v>
      </c>
      <c r="C393" s="2">
        <v>44968</v>
      </c>
      <c r="D393" s="2">
        <v>45253</v>
      </c>
      <c r="E393">
        <f t="shared" si="6"/>
        <v>285</v>
      </c>
      <c r="F393" t="s">
        <v>14</v>
      </c>
      <c r="G393">
        <v>67320</v>
      </c>
      <c r="H393">
        <v>1132</v>
      </c>
      <c r="I393" s="3">
        <v>717.1</v>
      </c>
      <c r="J393">
        <v>154</v>
      </c>
      <c r="K393" t="s">
        <v>24</v>
      </c>
    </row>
    <row r="394" spans="1:11" x14ac:dyDescent="0.2">
      <c r="A394" t="s">
        <v>833</v>
      </c>
      <c r="B394" t="s">
        <v>834</v>
      </c>
      <c r="C394" s="2">
        <v>45001</v>
      </c>
      <c r="D394" s="2">
        <v>45025</v>
      </c>
      <c r="E394">
        <f t="shared" si="6"/>
        <v>24</v>
      </c>
      <c r="F394" t="s">
        <v>191</v>
      </c>
      <c r="G394">
        <v>28751</v>
      </c>
      <c r="H394">
        <v>373</v>
      </c>
      <c r="I394" s="3">
        <v>741.35</v>
      </c>
      <c r="J394">
        <v>47</v>
      </c>
      <c r="K394" t="s">
        <v>30</v>
      </c>
    </row>
    <row r="395" spans="1:11" x14ac:dyDescent="0.2">
      <c r="A395" t="s">
        <v>835</v>
      </c>
      <c r="B395" t="s">
        <v>836</v>
      </c>
      <c r="C395" s="2">
        <v>45016</v>
      </c>
      <c r="D395" s="2">
        <v>45036</v>
      </c>
      <c r="E395">
        <f t="shared" si="6"/>
        <v>20</v>
      </c>
      <c r="F395" t="s">
        <v>41</v>
      </c>
      <c r="G395">
        <v>79069</v>
      </c>
      <c r="H395">
        <v>3266</v>
      </c>
      <c r="I395" s="3">
        <v>4283.37</v>
      </c>
      <c r="J395">
        <v>414</v>
      </c>
      <c r="K395" t="b">
        <v>0</v>
      </c>
    </row>
    <row r="396" spans="1:11" x14ac:dyDescent="0.2">
      <c r="A396" t="s">
        <v>837</v>
      </c>
      <c r="B396" t="s">
        <v>838</v>
      </c>
      <c r="C396" s="2">
        <v>45004</v>
      </c>
      <c r="D396" s="2">
        <v>45172</v>
      </c>
      <c r="E396">
        <f t="shared" si="6"/>
        <v>168</v>
      </c>
      <c r="F396" t="s">
        <v>14</v>
      </c>
      <c r="G396">
        <v>55748</v>
      </c>
      <c r="H396">
        <v>1149</v>
      </c>
      <c r="I396">
        <v>2271.88</v>
      </c>
      <c r="J396">
        <v>75</v>
      </c>
      <c r="K396" t="b">
        <v>0</v>
      </c>
    </row>
    <row r="397" spans="1:11" x14ac:dyDescent="0.2">
      <c r="A397" t="s">
        <v>839</v>
      </c>
      <c r="B397" t="s">
        <v>840</v>
      </c>
      <c r="C397" s="2">
        <v>44971</v>
      </c>
      <c r="D397" s="2">
        <v>45048</v>
      </c>
      <c r="E397">
        <f t="shared" si="6"/>
        <v>77</v>
      </c>
      <c r="F397" t="s">
        <v>19</v>
      </c>
      <c r="G397">
        <v>6801</v>
      </c>
      <c r="H397">
        <v>116</v>
      </c>
      <c r="I397">
        <v>221.39</v>
      </c>
      <c r="J397">
        <v>13</v>
      </c>
      <c r="K397" t="s">
        <v>15</v>
      </c>
    </row>
    <row r="398" spans="1:11" x14ac:dyDescent="0.2">
      <c r="A398" t="s">
        <v>841</v>
      </c>
      <c r="B398" t="s">
        <v>842</v>
      </c>
      <c r="C398" s="2">
        <v>45062</v>
      </c>
      <c r="D398" s="2">
        <v>45080</v>
      </c>
      <c r="E398">
        <f t="shared" si="6"/>
        <v>18</v>
      </c>
      <c r="F398" t="s">
        <v>14</v>
      </c>
      <c r="G398">
        <v>20190</v>
      </c>
      <c r="H398">
        <v>760</v>
      </c>
      <c r="I398">
        <v>896.21</v>
      </c>
      <c r="J398">
        <v>89</v>
      </c>
      <c r="K398" t="b">
        <v>1</v>
      </c>
    </row>
    <row r="399" spans="1:11" x14ac:dyDescent="0.2">
      <c r="A399" t="s">
        <v>844</v>
      </c>
      <c r="B399" t="s">
        <v>845</v>
      </c>
      <c r="C399" s="2">
        <v>45142</v>
      </c>
      <c r="D399" s="2">
        <v>45154</v>
      </c>
      <c r="E399">
        <f t="shared" si="6"/>
        <v>12</v>
      </c>
      <c r="F399" t="s">
        <v>14</v>
      </c>
      <c r="G399">
        <v>50689</v>
      </c>
      <c r="H399">
        <v>1760</v>
      </c>
      <c r="I399">
        <v>1404.02</v>
      </c>
      <c r="K399" t="s">
        <v>24</v>
      </c>
    </row>
    <row r="400" spans="1:11" x14ac:dyDescent="0.2">
      <c r="A400" t="s">
        <v>846</v>
      </c>
      <c r="B400" t="s">
        <v>847</v>
      </c>
      <c r="C400" s="2">
        <v>45170</v>
      </c>
      <c r="D400" s="2">
        <v>45187</v>
      </c>
      <c r="E400">
        <f t="shared" si="6"/>
        <v>17</v>
      </c>
      <c r="F400" t="s">
        <v>41</v>
      </c>
      <c r="G400">
        <v>51993</v>
      </c>
      <c r="H400">
        <v>1836</v>
      </c>
      <c r="I400">
        <v>1372.09</v>
      </c>
      <c r="J400">
        <v>323</v>
      </c>
      <c r="K400">
        <v>1</v>
      </c>
    </row>
    <row r="401" spans="1:11" x14ac:dyDescent="0.2">
      <c r="A401" t="s">
        <v>848</v>
      </c>
      <c r="B401" t="s">
        <v>849</v>
      </c>
      <c r="C401" s="2">
        <v>45230</v>
      </c>
      <c r="D401" s="2">
        <v>45243</v>
      </c>
      <c r="E401">
        <f t="shared" si="6"/>
        <v>13</v>
      </c>
      <c r="F401" t="s">
        <v>14</v>
      </c>
      <c r="G401">
        <v>30592</v>
      </c>
      <c r="H401">
        <v>586</v>
      </c>
      <c r="I401" s="3">
        <v>503.95</v>
      </c>
      <c r="J401">
        <v>77</v>
      </c>
      <c r="K401">
        <v>1</v>
      </c>
    </row>
    <row r="402" spans="1:11" x14ac:dyDescent="0.2">
      <c r="A402" t="s">
        <v>850</v>
      </c>
      <c r="B402" t="s">
        <v>851</v>
      </c>
      <c r="C402" s="2">
        <v>45241</v>
      </c>
      <c r="D402" s="2">
        <v>45247</v>
      </c>
      <c r="E402">
        <f t="shared" si="6"/>
        <v>6</v>
      </c>
      <c r="F402" t="s">
        <v>14</v>
      </c>
      <c r="G402">
        <v>11647</v>
      </c>
      <c r="H402">
        <v>224</v>
      </c>
      <c r="I402">
        <v>350.6</v>
      </c>
      <c r="J402">
        <v>14</v>
      </c>
      <c r="K402" t="b">
        <v>1</v>
      </c>
    </row>
    <row r="403" spans="1:11" x14ac:dyDescent="0.2">
      <c r="A403" t="s">
        <v>852</v>
      </c>
      <c r="B403" t="s">
        <v>853</v>
      </c>
      <c r="C403" s="2">
        <v>45264</v>
      </c>
      <c r="D403" s="2">
        <v>45291</v>
      </c>
      <c r="E403">
        <f t="shared" si="6"/>
        <v>27</v>
      </c>
      <c r="F403" t="s">
        <v>23</v>
      </c>
      <c r="G403">
        <v>9716</v>
      </c>
      <c r="H403">
        <v>182</v>
      </c>
      <c r="I403">
        <v>165.52</v>
      </c>
      <c r="K403" t="b">
        <v>1</v>
      </c>
    </row>
    <row r="404" spans="1:11" x14ac:dyDescent="0.2">
      <c r="A404" t="s">
        <v>854</v>
      </c>
      <c r="B404" t="s">
        <v>855</v>
      </c>
      <c r="C404" s="2">
        <v>44942</v>
      </c>
      <c r="D404" s="2">
        <v>44949</v>
      </c>
      <c r="E404">
        <f t="shared" si="6"/>
        <v>7</v>
      </c>
      <c r="F404" t="s">
        <v>33</v>
      </c>
      <c r="G404">
        <v>89891</v>
      </c>
      <c r="H404">
        <v>1523</v>
      </c>
      <c r="I404">
        <v>1541.49</v>
      </c>
      <c r="J404">
        <v>113</v>
      </c>
      <c r="K404" t="s">
        <v>30</v>
      </c>
    </row>
    <row r="405" spans="1:11" x14ac:dyDescent="0.2">
      <c r="A405" t="s">
        <v>857</v>
      </c>
      <c r="B405" t="s">
        <v>858</v>
      </c>
      <c r="C405" s="2">
        <v>45172</v>
      </c>
      <c r="D405" s="2">
        <v>45197</v>
      </c>
      <c r="E405">
        <f t="shared" si="6"/>
        <v>25</v>
      </c>
      <c r="F405" t="s">
        <v>138</v>
      </c>
      <c r="G405">
        <v>88545</v>
      </c>
      <c r="H405">
        <v>3207</v>
      </c>
      <c r="I405" s="3">
        <v>3762.35</v>
      </c>
      <c r="K405">
        <v>1</v>
      </c>
    </row>
    <row r="406" spans="1:11" x14ac:dyDescent="0.2">
      <c r="A406" t="s">
        <v>859</v>
      </c>
      <c r="B406" t="s">
        <v>860</v>
      </c>
      <c r="C406" s="2">
        <v>44982</v>
      </c>
      <c r="D406" s="2">
        <v>45002</v>
      </c>
      <c r="E406">
        <f t="shared" si="6"/>
        <v>20</v>
      </c>
      <c r="F406" t="s">
        <v>23</v>
      </c>
      <c r="G406">
        <v>90912</v>
      </c>
      <c r="H406">
        <v>3992</v>
      </c>
      <c r="I406">
        <v>7464.44</v>
      </c>
      <c r="J406">
        <v>418</v>
      </c>
      <c r="K406" t="s">
        <v>15</v>
      </c>
    </row>
    <row r="407" spans="1:11" x14ac:dyDescent="0.2">
      <c r="A407" t="s">
        <v>861</v>
      </c>
      <c r="B407" t="s">
        <v>862</v>
      </c>
      <c r="C407" s="2">
        <v>44964</v>
      </c>
      <c r="D407" s="2">
        <v>44973</v>
      </c>
      <c r="E407">
        <f t="shared" si="6"/>
        <v>9</v>
      </c>
      <c r="F407" t="s">
        <v>19</v>
      </c>
      <c r="G407">
        <v>71316</v>
      </c>
      <c r="H407">
        <v>2779</v>
      </c>
      <c r="I407" s="3">
        <v>2178.9899999999998</v>
      </c>
      <c r="J407">
        <v>234</v>
      </c>
      <c r="K407">
        <v>0</v>
      </c>
    </row>
    <row r="408" spans="1:11" x14ac:dyDescent="0.2">
      <c r="A408" t="s">
        <v>863</v>
      </c>
      <c r="B408" t="s">
        <v>864</v>
      </c>
      <c r="C408" s="2">
        <v>45002</v>
      </c>
      <c r="D408" s="2">
        <v>45013</v>
      </c>
      <c r="E408">
        <f t="shared" si="6"/>
        <v>11</v>
      </c>
      <c r="F408" t="s">
        <v>23</v>
      </c>
      <c r="G408">
        <v>3368</v>
      </c>
      <c r="H408">
        <v>140</v>
      </c>
      <c r="I408">
        <v>71.06</v>
      </c>
      <c r="J408">
        <v>11</v>
      </c>
      <c r="K408" t="b">
        <v>0</v>
      </c>
    </row>
    <row r="409" spans="1:11" x14ac:dyDescent="0.2">
      <c r="A409" t="s">
        <v>866</v>
      </c>
      <c r="B409" t="s">
        <v>867</v>
      </c>
      <c r="C409" s="2">
        <v>45067</v>
      </c>
      <c r="D409" s="2">
        <v>45074</v>
      </c>
      <c r="E409">
        <f t="shared" si="6"/>
        <v>7</v>
      </c>
      <c r="F409" t="s">
        <v>266</v>
      </c>
      <c r="G409">
        <v>78575</v>
      </c>
      <c r="H409">
        <v>2058</v>
      </c>
      <c r="I409">
        <v>-1214.52</v>
      </c>
      <c r="J409">
        <v>119</v>
      </c>
      <c r="K409">
        <v>0</v>
      </c>
    </row>
    <row r="410" spans="1:11" x14ac:dyDescent="0.2">
      <c r="A410" t="s">
        <v>868</v>
      </c>
      <c r="B410" t="s">
        <v>869</v>
      </c>
      <c r="C410" s="2">
        <v>45291</v>
      </c>
      <c r="D410" s="2">
        <v>45302</v>
      </c>
      <c r="E410">
        <f t="shared" si="6"/>
        <v>11</v>
      </c>
      <c r="F410" t="s">
        <v>41</v>
      </c>
      <c r="G410">
        <v>7655</v>
      </c>
      <c r="H410">
        <v>276</v>
      </c>
      <c r="I410">
        <v>512.57000000000005</v>
      </c>
      <c r="J410">
        <v>14</v>
      </c>
      <c r="K410" t="s">
        <v>30</v>
      </c>
    </row>
    <row r="411" spans="1:11" x14ac:dyDescent="0.2">
      <c r="A411" t="s">
        <v>870</v>
      </c>
      <c r="B411" t="s">
        <v>871</v>
      </c>
      <c r="C411" s="2">
        <v>45198</v>
      </c>
      <c r="D411" s="2">
        <v>45227</v>
      </c>
      <c r="E411">
        <f t="shared" si="6"/>
        <v>29</v>
      </c>
      <c r="F411" t="s">
        <v>23</v>
      </c>
      <c r="G411">
        <v>71031</v>
      </c>
      <c r="H411">
        <v>1716</v>
      </c>
      <c r="I411">
        <v>2524.71</v>
      </c>
      <c r="J411">
        <v>112</v>
      </c>
      <c r="K411">
        <v>1</v>
      </c>
    </row>
    <row r="412" spans="1:11" x14ac:dyDescent="0.2">
      <c r="A412" t="s">
        <v>872</v>
      </c>
      <c r="B412" t="s">
        <v>873</v>
      </c>
      <c r="C412" s="2">
        <v>45156</v>
      </c>
      <c r="D412" s="2">
        <v>45177</v>
      </c>
      <c r="E412">
        <f t="shared" si="6"/>
        <v>21</v>
      </c>
      <c r="F412" t="s">
        <v>23</v>
      </c>
      <c r="G412">
        <v>77429</v>
      </c>
      <c r="H412">
        <v>2401</v>
      </c>
      <c r="I412" s="3">
        <v>2183.86</v>
      </c>
      <c r="J412">
        <v>182</v>
      </c>
      <c r="K412" t="s">
        <v>24</v>
      </c>
    </row>
    <row r="413" spans="1:11" x14ac:dyDescent="0.2">
      <c r="A413" t="s">
        <v>874</v>
      </c>
      <c r="B413" t="s">
        <v>875</v>
      </c>
      <c r="C413" s="2">
        <v>45286</v>
      </c>
      <c r="D413" s="2">
        <v>45299</v>
      </c>
      <c r="E413">
        <f t="shared" si="6"/>
        <v>13</v>
      </c>
      <c r="F413" t="s">
        <v>33</v>
      </c>
      <c r="G413">
        <v>92083</v>
      </c>
      <c r="H413">
        <v>2694</v>
      </c>
      <c r="I413">
        <v>2063.0300000000002</v>
      </c>
      <c r="J413">
        <v>308</v>
      </c>
      <c r="K413" t="b">
        <v>1</v>
      </c>
    </row>
    <row r="414" spans="1:11" x14ac:dyDescent="0.2">
      <c r="A414" t="s">
        <v>876</v>
      </c>
      <c r="B414" t="s">
        <v>877</v>
      </c>
      <c r="C414" s="2">
        <v>45209</v>
      </c>
      <c r="D414" s="2">
        <v>45213</v>
      </c>
      <c r="E414">
        <f t="shared" si="6"/>
        <v>4</v>
      </c>
      <c r="F414" t="s">
        <v>14</v>
      </c>
      <c r="G414">
        <v>88922</v>
      </c>
      <c r="H414">
        <v>1518</v>
      </c>
      <c r="I414">
        <v>1429.05</v>
      </c>
      <c r="K414" t="s">
        <v>24</v>
      </c>
    </row>
    <row r="415" spans="1:11" x14ac:dyDescent="0.2">
      <c r="A415" t="s">
        <v>878</v>
      </c>
      <c r="B415" t="s">
        <v>879</v>
      </c>
      <c r="C415" s="2">
        <v>45158</v>
      </c>
      <c r="D415" s="2">
        <v>45179</v>
      </c>
      <c r="E415">
        <f t="shared" si="6"/>
        <v>21</v>
      </c>
      <c r="F415" t="s">
        <v>234</v>
      </c>
      <c r="G415">
        <v>56766</v>
      </c>
      <c r="H415">
        <v>1446</v>
      </c>
      <c r="I415">
        <v>971.99</v>
      </c>
      <c r="J415">
        <v>102</v>
      </c>
      <c r="K415" t="s">
        <v>24</v>
      </c>
    </row>
    <row r="416" spans="1:11" x14ac:dyDescent="0.2">
      <c r="A416" t="s">
        <v>880</v>
      </c>
      <c r="B416" t="s">
        <v>881</v>
      </c>
      <c r="C416" s="2">
        <v>45159</v>
      </c>
      <c r="D416" s="2">
        <v>45169</v>
      </c>
      <c r="E416">
        <f t="shared" si="6"/>
        <v>10</v>
      </c>
      <c r="F416" t="s">
        <v>41</v>
      </c>
      <c r="G416">
        <v>14403</v>
      </c>
      <c r="H416">
        <v>699</v>
      </c>
      <c r="I416">
        <v>1336.7</v>
      </c>
      <c r="J416">
        <v>79</v>
      </c>
      <c r="K416">
        <v>1</v>
      </c>
    </row>
    <row r="417" spans="1:11" x14ac:dyDescent="0.2">
      <c r="A417" t="s">
        <v>882</v>
      </c>
      <c r="B417" t="s">
        <v>883</v>
      </c>
      <c r="C417" s="2">
        <v>45087</v>
      </c>
      <c r="D417" s="2">
        <v>45102</v>
      </c>
      <c r="E417">
        <f t="shared" si="6"/>
        <v>15</v>
      </c>
      <c r="F417" t="s">
        <v>41</v>
      </c>
      <c r="G417">
        <v>33097</v>
      </c>
      <c r="H417">
        <v>660</v>
      </c>
      <c r="I417" s="3">
        <v>1106.3599999999999</v>
      </c>
      <c r="J417">
        <v>66</v>
      </c>
      <c r="K417" t="s">
        <v>15</v>
      </c>
    </row>
    <row r="418" spans="1:11" x14ac:dyDescent="0.2">
      <c r="A418" t="s">
        <v>884</v>
      </c>
      <c r="B418" t="s">
        <v>885</v>
      </c>
      <c r="C418" s="2">
        <v>45118</v>
      </c>
      <c r="D418" s="2">
        <v>45119</v>
      </c>
      <c r="E418">
        <f t="shared" si="6"/>
        <v>1</v>
      </c>
      <c r="F418" t="s">
        <v>14</v>
      </c>
      <c r="G418">
        <v>79657</v>
      </c>
      <c r="H418">
        <v>1222</v>
      </c>
      <c r="I418">
        <v>1458.56</v>
      </c>
      <c r="J418">
        <v>94</v>
      </c>
      <c r="K418" t="s">
        <v>30</v>
      </c>
    </row>
    <row r="419" spans="1:11" x14ac:dyDescent="0.2">
      <c r="A419" t="s">
        <v>886</v>
      </c>
      <c r="B419" t="s">
        <v>887</v>
      </c>
      <c r="C419" s="2">
        <v>45169</v>
      </c>
      <c r="D419" s="2">
        <v>45184</v>
      </c>
      <c r="E419">
        <f t="shared" si="6"/>
        <v>15</v>
      </c>
      <c r="F419" t="s">
        <v>19</v>
      </c>
      <c r="G419">
        <v>11966</v>
      </c>
      <c r="H419">
        <v>320</v>
      </c>
      <c r="I419">
        <v>575.17999999999995</v>
      </c>
      <c r="J419">
        <v>16</v>
      </c>
      <c r="K419" t="b">
        <v>1</v>
      </c>
    </row>
    <row r="420" spans="1:11" x14ac:dyDescent="0.2">
      <c r="A420" t="s">
        <v>889</v>
      </c>
      <c r="B420" t="s">
        <v>890</v>
      </c>
      <c r="C420" s="2">
        <v>44970</v>
      </c>
      <c r="D420" s="2">
        <v>44990</v>
      </c>
      <c r="E420">
        <f t="shared" si="6"/>
        <v>20</v>
      </c>
      <c r="F420" t="s">
        <v>41</v>
      </c>
      <c r="G420">
        <v>94848</v>
      </c>
      <c r="H420">
        <v>3946</v>
      </c>
      <c r="I420">
        <v>3449.54</v>
      </c>
      <c r="J420">
        <v>473</v>
      </c>
      <c r="K420">
        <v>0</v>
      </c>
    </row>
    <row r="421" spans="1:11" x14ac:dyDescent="0.2">
      <c r="A421" t="s">
        <v>892</v>
      </c>
      <c r="B421" t="s">
        <v>893</v>
      </c>
      <c r="C421" s="2">
        <v>44976</v>
      </c>
      <c r="D421" s="2">
        <v>44997</v>
      </c>
      <c r="E421">
        <f t="shared" si="6"/>
        <v>21</v>
      </c>
      <c r="F421" t="s">
        <v>14</v>
      </c>
      <c r="G421">
        <v>53921</v>
      </c>
      <c r="H421">
        <v>1794</v>
      </c>
      <c r="I421" s="3">
        <v>2826.77</v>
      </c>
      <c r="J421">
        <v>274</v>
      </c>
      <c r="K421" t="s">
        <v>15</v>
      </c>
    </row>
    <row r="422" spans="1:11" x14ac:dyDescent="0.2">
      <c r="A422" t="s">
        <v>894</v>
      </c>
      <c r="B422" t="s">
        <v>895</v>
      </c>
      <c r="C422" s="2">
        <v>44993</v>
      </c>
      <c r="D422" s="2">
        <v>45015</v>
      </c>
      <c r="E422">
        <f t="shared" si="6"/>
        <v>22</v>
      </c>
      <c r="F422" t="s">
        <v>41</v>
      </c>
      <c r="G422">
        <v>50726</v>
      </c>
      <c r="H422">
        <v>1888</v>
      </c>
      <c r="I422">
        <v>3368.57</v>
      </c>
      <c r="J422">
        <v>158</v>
      </c>
      <c r="K422">
        <v>0</v>
      </c>
    </row>
    <row r="423" spans="1:11" x14ac:dyDescent="0.2">
      <c r="A423" t="s">
        <v>896</v>
      </c>
      <c r="B423" t="s">
        <v>897</v>
      </c>
      <c r="C423" s="2">
        <v>45214</v>
      </c>
      <c r="D423" s="2">
        <v>45231</v>
      </c>
      <c r="E423">
        <f t="shared" si="6"/>
        <v>17</v>
      </c>
      <c r="F423" t="s">
        <v>14</v>
      </c>
      <c r="G423">
        <v>51300</v>
      </c>
      <c r="H423">
        <v>902</v>
      </c>
      <c r="I423">
        <v>933.71</v>
      </c>
      <c r="J423">
        <v>62</v>
      </c>
      <c r="K423" t="b">
        <v>0</v>
      </c>
    </row>
    <row r="424" spans="1:11" x14ac:dyDescent="0.2">
      <c r="A424" t="s">
        <v>898</v>
      </c>
      <c r="B424" t="s">
        <v>899</v>
      </c>
      <c r="C424" s="2">
        <v>45137</v>
      </c>
      <c r="D424" s="2">
        <v>45162</v>
      </c>
      <c r="E424">
        <f t="shared" si="6"/>
        <v>25</v>
      </c>
      <c r="F424" t="s">
        <v>415</v>
      </c>
      <c r="G424">
        <v>23677</v>
      </c>
      <c r="H424">
        <v>822</v>
      </c>
      <c r="I424" s="3">
        <v>1344.95</v>
      </c>
      <c r="K424" t="s">
        <v>30</v>
      </c>
    </row>
    <row r="425" spans="1:11" x14ac:dyDescent="0.2">
      <c r="A425" t="s">
        <v>900</v>
      </c>
      <c r="B425" t="s">
        <v>901</v>
      </c>
      <c r="C425" s="2">
        <v>45143</v>
      </c>
      <c r="D425" s="2">
        <v>45156</v>
      </c>
      <c r="E425">
        <f t="shared" si="6"/>
        <v>13</v>
      </c>
      <c r="F425" t="s">
        <v>41</v>
      </c>
      <c r="G425">
        <v>56609</v>
      </c>
      <c r="H425">
        <v>1298</v>
      </c>
      <c r="I425">
        <v>1223.51</v>
      </c>
      <c r="J425">
        <v>118</v>
      </c>
      <c r="K425" t="s">
        <v>15</v>
      </c>
    </row>
    <row r="426" spans="1:11" x14ac:dyDescent="0.2">
      <c r="A426" t="s">
        <v>902</v>
      </c>
      <c r="B426" t="s">
        <v>903</v>
      </c>
      <c r="C426" s="2">
        <v>45074</v>
      </c>
      <c r="D426" s="2">
        <v>45081</v>
      </c>
      <c r="E426">
        <f t="shared" si="6"/>
        <v>7</v>
      </c>
      <c r="F426" t="s">
        <v>19</v>
      </c>
      <c r="G426">
        <v>97825</v>
      </c>
      <c r="H426">
        <v>4242</v>
      </c>
      <c r="I426">
        <v>4022.63</v>
      </c>
      <c r="J426">
        <v>354</v>
      </c>
      <c r="K426" t="s">
        <v>15</v>
      </c>
    </row>
    <row r="427" spans="1:11" x14ac:dyDescent="0.2">
      <c r="A427" t="s">
        <v>904</v>
      </c>
      <c r="B427" t="s">
        <v>905</v>
      </c>
      <c r="C427" s="2">
        <v>45222</v>
      </c>
      <c r="D427" s="2">
        <v>45228</v>
      </c>
      <c r="E427">
        <f t="shared" si="6"/>
        <v>6</v>
      </c>
      <c r="F427" t="s">
        <v>41</v>
      </c>
      <c r="G427">
        <v>57661</v>
      </c>
      <c r="H427">
        <v>2028</v>
      </c>
      <c r="I427">
        <v>1339.67</v>
      </c>
      <c r="J427">
        <v>362</v>
      </c>
      <c r="K427">
        <v>0</v>
      </c>
    </row>
    <row r="428" spans="1:11" x14ac:dyDescent="0.2">
      <c r="A428" t="s">
        <v>906</v>
      </c>
      <c r="B428" t="s">
        <v>907</v>
      </c>
      <c r="C428" s="2">
        <v>45173</v>
      </c>
      <c r="D428" s="2">
        <v>45177</v>
      </c>
      <c r="E428">
        <f t="shared" si="6"/>
        <v>4</v>
      </c>
      <c r="F428" t="s">
        <v>23</v>
      </c>
      <c r="G428">
        <v>32024</v>
      </c>
      <c r="H428">
        <v>574</v>
      </c>
      <c r="I428">
        <v>665.89</v>
      </c>
      <c r="J428">
        <v>99</v>
      </c>
      <c r="K428" t="b">
        <v>1</v>
      </c>
    </row>
    <row r="429" spans="1:11" x14ac:dyDescent="0.2">
      <c r="A429" t="s">
        <v>908</v>
      </c>
      <c r="B429" t="s">
        <v>909</v>
      </c>
      <c r="C429" s="2">
        <v>45211</v>
      </c>
      <c r="D429" s="2">
        <v>45213</v>
      </c>
      <c r="E429">
        <f t="shared" si="6"/>
        <v>2</v>
      </c>
      <c r="F429" t="s">
        <v>41</v>
      </c>
      <c r="G429">
        <v>71313</v>
      </c>
      <c r="H429">
        <v>897</v>
      </c>
      <c r="I429">
        <v>1430.33</v>
      </c>
      <c r="J429">
        <v>105</v>
      </c>
      <c r="K429" t="b">
        <v>0</v>
      </c>
    </row>
    <row r="430" spans="1:11" x14ac:dyDescent="0.2">
      <c r="A430" t="s">
        <v>910</v>
      </c>
      <c r="B430" t="s">
        <v>911</v>
      </c>
      <c r="C430" s="2">
        <v>45220</v>
      </c>
      <c r="D430" s="2">
        <v>45233</v>
      </c>
      <c r="E430">
        <f t="shared" si="6"/>
        <v>13</v>
      </c>
      <c r="F430" t="s">
        <v>14</v>
      </c>
      <c r="G430">
        <v>54006</v>
      </c>
      <c r="H430">
        <v>632</v>
      </c>
      <c r="I430">
        <v>1207.33</v>
      </c>
      <c r="J430">
        <v>77</v>
      </c>
      <c r="K430">
        <v>0</v>
      </c>
    </row>
    <row r="431" spans="1:11" x14ac:dyDescent="0.2">
      <c r="A431" t="s">
        <v>912</v>
      </c>
      <c r="B431" t="s">
        <v>913</v>
      </c>
      <c r="C431" s="2">
        <v>45214</v>
      </c>
      <c r="D431" s="2">
        <v>45240</v>
      </c>
      <c r="E431">
        <f t="shared" si="6"/>
        <v>26</v>
      </c>
      <c r="F431" t="s">
        <v>19</v>
      </c>
      <c r="G431">
        <v>96285</v>
      </c>
      <c r="H431">
        <v>2393</v>
      </c>
      <c r="I431">
        <v>3363.83</v>
      </c>
      <c r="J431">
        <v>197</v>
      </c>
      <c r="K431" t="s">
        <v>15</v>
      </c>
    </row>
    <row r="432" spans="1:11" x14ac:dyDescent="0.2">
      <c r="A432" t="s">
        <v>914</v>
      </c>
      <c r="B432" t="s">
        <v>915</v>
      </c>
      <c r="C432" s="2">
        <v>45241</v>
      </c>
      <c r="D432" s="2">
        <v>45245</v>
      </c>
      <c r="E432">
        <f t="shared" si="6"/>
        <v>4</v>
      </c>
      <c r="F432" t="s">
        <v>58</v>
      </c>
      <c r="G432">
        <v>16338</v>
      </c>
      <c r="H432">
        <v>337</v>
      </c>
      <c r="I432">
        <v>604.82000000000005</v>
      </c>
      <c r="J432">
        <v>20</v>
      </c>
      <c r="K432" t="s">
        <v>30</v>
      </c>
    </row>
    <row r="433" spans="1:11" x14ac:dyDescent="0.2">
      <c r="A433" t="s">
        <v>916</v>
      </c>
      <c r="B433" t="s">
        <v>917</v>
      </c>
      <c r="C433" s="2">
        <v>45238</v>
      </c>
      <c r="D433" s="2">
        <v>45262</v>
      </c>
      <c r="E433">
        <f t="shared" si="6"/>
        <v>24</v>
      </c>
      <c r="F433" t="s">
        <v>41</v>
      </c>
      <c r="G433">
        <v>69027</v>
      </c>
      <c r="H433">
        <v>2474</v>
      </c>
      <c r="I433">
        <v>4289.28</v>
      </c>
      <c r="J433">
        <v>336</v>
      </c>
      <c r="K433" t="s">
        <v>15</v>
      </c>
    </row>
    <row r="434" spans="1:11" x14ac:dyDescent="0.2">
      <c r="A434" t="s">
        <v>918</v>
      </c>
      <c r="B434" t="s">
        <v>919</v>
      </c>
      <c r="C434" s="2">
        <v>45063</v>
      </c>
      <c r="D434" s="2">
        <v>45093</v>
      </c>
      <c r="E434">
        <f t="shared" si="6"/>
        <v>30</v>
      </c>
      <c r="F434" t="s">
        <v>19</v>
      </c>
      <c r="G434">
        <v>93772</v>
      </c>
      <c r="H434">
        <v>2810</v>
      </c>
      <c r="I434">
        <v>2135.64</v>
      </c>
      <c r="J434">
        <v>181</v>
      </c>
      <c r="K434">
        <v>1</v>
      </c>
    </row>
    <row r="435" spans="1:11" x14ac:dyDescent="0.2">
      <c r="A435" t="s">
        <v>921</v>
      </c>
      <c r="B435" t="s">
        <v>922</v>
      </c>
      <c r="C435" s="2">
        <v>45066</v>
      </c>
      <c r="D435" s="2">
        <v>45094</v>
      </c>
      <c r="E435">
        <f t="shared" si="6"/>
        <v>28</v>
      </c>
      <c r="F435" t="s">
        <v>14</v>
      </c>
      <c r="G435">
        <v>81135</v>
      </c>
      <c r="H435">
        <v>1674</v>
      </c>
      <c r="I435">
        <v>2056.89</v>
      </c>
      <c r="J435">
        <v>196</v>
      </c>
      <c r="K435" t="s">
        <v>30</v>
      </c>
    </row>
    <row r="436" spans="1:11" x14ac:dyDescent="0.2">
      <c r="A436" t="s">
        <v>923</v>
      </c>
      <c r="B436" t="s">
        <v>924</v>
      </c>
      <c r="C436" s="2">
        <v>45100</v>
      </c>
      <c r="D436" s="2">
        <v>45107</v>
      </c>
      <c r="E436">
        <f t="shared" si="6"/>
        <v>7</v>
      </c>
      <c r="F436" t="s">
        <v>33</v>
      </c>
      <c r="G436">
        <v>20508</v>
      </c>
      <c r="H436">
        <v>327</v>
      </c>
      <c r="I436">
        <v>220.85</v>
      </c>
      <c r="J436">
        <v>62</v>
      </c>
      <c r="K436" t="s">
        <v>30</v>
      </c>
    </row>
    <row r="437" spans="1:11" x14ac:dyDescent="0.2">
      <c r="A437" t="s">
        <v>925</v>
      </c>
      <c r="B437" t="s">
        <v>926</v>
      </c>
      <c r="C437" s="2">
        <v>45000</v>
      </c>
      <c r="D437" s="2">
        <v>45007</v>
      </c>
      <c r="E437">
        <f t="shared" si="6"/>
        <v>7</v>
      </c>
      <c r="F437" t="s">
        <v>19</v>
      </c>
      <c r="G437">
        <v>4051</v>
      </c>
      <c r="H437">
        <v>61</v>
      </c>
      <c r="I437">
        <v>92.92</v>
      </c>
      <c r="J437">
        <v>11</v>
      </c>
      <c r="K437" t="s">
        <v>15</v>
      </c>
    </row>
    <row r="438" spans="1:11" x14ac:dyDescent="0.2">
      <c r="A438" t="s">
        <v>927</v>
      </c>
      <c r="B438" t="s">
        <v>928</v>
      </c>
      <c r="C438" s="2">
        <v>44999</v>
      </c>
      <c r="D438" s="2">
        <v>45024</v>
      </c>
      <c r="E438">
        <f t="shared" si="6"/>
        <v>25</v>
      </c>
      <c r="F438" t="s">
        <v>14</v>
      </c>
      <c r="G438">
        <v>49747</v>
      </c>
      <c r="H438">
        <v>2218</v>
      </c>
      <c r="I438">
        <v>4269.32</v>
      </c>
      <c r="J438">
        <v>190</v>
      </c>
      <c r="K438" t="b">
        <v>1</v>
      </c>
    </row>
    <row r="439" spans="1:11" x14ac:dyDescent="0.2">
      <c r="A439" t="s">
        <v>929</v>
      </c>
      <c r="B439" t="s">
        <v>930</v>
      </c>
      <c r="C439" s="2">
        <v>44973</v>
      </c>
      <c r="D439" s="2">
        <v>44992</v>
      </c>
      <c r="E439">
        <f t="shared" si="6"/>
        <v>19</v>
      </c>
      <c r="F439" t="s">
        <v>138</v>
      </c>
      <c r="G439">
        <v>88142</v>
      </c>
      <c r="H439">
        <v>1739</v>
      </c>
      <c r="I439">
        <v>1227.0999999999999</v>
      </c>
      <c r="J439">
        <v>249</v>
      </c>
      <c r="K439" t="s">
        <v>30</v>
      </c>
    </row>
    <row r="440" spans="1:11" x14ac:dyDescent="0.2">
      <c r="A440" t="s">
        <v>931</v>
      </c>
      <c r="B440" t="s">
        <v>932</v>
      </c>
      <c r="C440" s="2">
        <v>45141</v>
      </c>
      <c r="D440" s="2">
        <v>45165</v>
      </c>
      <c r="E440">
        <f t="shared" si="6"/>
        <v>24</v>
      </c>
      <c r="F440" t="s">
        <v>41</v>
      </c>
      <c r="G440">
        <v>88235</v>
      </c>
      <c r="H440">
        <v>3182</v>
      </c>
      <c r="I440">
        <v>5093.82</v>
      </c>
      <c r="J440">
        <v>385</v>
      </c>
      <c r="K440">
        <v>1</v>
      </c>
    </row>
    <row r="441" spans="1:11" x14ac:dyDescent="0.2">
      <c r="A441" t="s">
        <v>933</v>
      </c>
      <c r="B441" t="s">
        <v>934</v>
      </c>
      <c r="C441" s="2">
        <v>45086</v>
      </c>
      <c r="D441" s="2">
        <v>45110</v>
      </c>
      <c r="E441">
        <f t="shared" si="6"/>
        <v>24</v>
      </c>
      <c r="F441" t="s">
        <v>19</v>
      </c>
      <c r="G441">
        <v>55021</v>
      </c>
      <c r="H441">
        <v>2334</v>
      </c>
      <c r="I441">
        <v>3380.47</v>
      </c>
      <c r="J441">
        <v>423</v>
      </c>
      <c r="K441">
        <v>0</v>
      </c>
    </row>
    <row r="442" spans="1:11" x14ac:dyDescent="0.2">
      <c r="A442" t="s">
        <v>935</v>
      </c>
      <c r="B442" t="s">
        <v>936</v>
      </c>
      <c r="C442" s="2">
        <v>45217</v>
      </c>
      <c r="D442" s="2">
        <v>45227</v>
      </c>
      <c r="E442">
        <f t="shared" si="6"/>
        <v>10</v>
      </c>
      <c r="F442" t="s">
        <v>33</v>
      </c>
      <c r="G442">
        <v>67412</v>
      </c>
      <c r="H442">
        <v>2329</v>
      </c>
      <c r="I442">
        <v>3203.32</v>
      </c>
      <c r="J442">
        <v>211</v>
      </c>
      <c r="K442" t="b">
        <v>1</v>
      </c>
    </row>
    <row r="443" spans="1:11" x14ac:dyDescent="0.2">
      <c r="A443" t="s">
        <v>937</v>
      </c>
      <c r="B443" t="s">
        <v>938</v>
      </c>
      <c r="C443" s="2">
        <v>45006</v>
      </c>
      <c r="D443" s="2">
        <v>45033</v>
      </c>
      <c r="E443">
        <f t="shared" si="6"/>
        <v>27</v>
      </c>
      <c r="F443" t="s">
        <v>23</v>
      </c>
      <c r="G443">
        <v>59335</v>
      </c>
      <c r="H443">
        <v>2633</v>
      </c>
      <c r="I443">
        <v>2857.28</v>
      </c>
      <c r="J443">
        <v>133</v>
      </c>
      <c r="K443" t="b">
        <v>1</v>
      </c>
    </row>
    <row r="444" spans="1:11" x14ac:dyDescent="0.2">
      <c r="A444" t="s">
        <v>939</v>
      </c>
      <c r="B444" t="s">
        <v>940</v>
      </c>
      <c r="C444" s="2">
        <v>45272</v>
      </c>
      <c r="D444" s="2">
        <v>45295</v>
      </c>
      <c r="E444">
        <f t="shared" si="6"/>
        <v>23</v>
      </c>
      <c r="F444" t="s">
        <v>23</v>
      </c>
      <c r="G444">
        <v>57179</v>
      </c>
      <c r="H444">
        <v>1469</v>
      </c>
      <c r="I444">
        <v>1517.03</v>
      </c>
      <c r="J444">
        <v>109</v>
      </c>
      <c r="K444" t="b">
        <v>1</v>
      </c>
    </row>
    <row r="445" spans="1:11" x14ac:dyDescent="0.2">
      <c r="A445" t="s">
        <v>941</v>
      </c>
      <c r="B445" t="s">
        <v>942</v>
      </c>
      <c r="C445" s="2">
        <v>45153</v>
      </c>
      <c r="D445" s="2">
        <v>45175</v>
      </c>
      <c r="E445">
        <f t="shared" si="6"/>
        <v>22</v>
      </c>
      <c r="F445" t="s">
        <v>41</v>
      </c>
      <c r="G445">
        <v>33093</v>
      </c>
      <c r="H445">
        <v>1596</v>
      </c>
      <c r="I445">
        <v>906.33</v>
      </c>
      <c r="J445">
        <v>163</v>
      </c>
      <c r="K445" t="s">
        <v>30</v>
      </c>
    </row>
    <row r="446" spans="1:11" x14ac:dyDescent="0.2">
      <c r="A446" t="s">
        <v>943</v>
      </c>
      <c r="B446" t="s">
        <v>944</v>
      </c>
      <c r="C446" s="2">
        <v>45153</v>
      </c>
      <c r="D446" s="2">
        <v>45160</v>
      </c>
      <c r="E446">
        <f t="shared" si="6"/>
        <v>7</v>
      </c>
      <c r="F446" t="s">
        <v>41</v>
      </c>
      <c r="G446">
        <v>70678</v>
      </c>
      <c r="H446">
        <v>1083</v>
      </c>
      <c r="I446">
        <v>895.49</v>
      </c>
      <c r="J446">
        <v>105</v>
      </c>
      <c r="K446" t="b">
        <v>1</v>
      </c>
    </row>
    <row r="447" spans="1:11" x14ac:dyDescent="0.2">
      <c r="A447" t="s">
        <v>945</v>
      </c>
      <c r="B447" t="s">
        <v>946</v>
      </c>
      <c r="C447" s="2">
        <v>45189</v>
      </c>
      <c r="D447" s="2">
        <v>45218</v>
      </c>
      <c r="E447">
        <f t="shared" si="6"/>
        <v>29</v>
      </c>
      <c r="F447" t="s">
        <v>41</v>
      </c>
      <c r="G447">
        <v>81738</v>
      </c>
      <c r="H447">
        <v>1151</v>
      </c>
      <c r="I447">
        <v>601.70000000000005</v>
      </c>
      <c r="J447">
        <v>194</v>
      </c>
      <c r="K447" t="s">
        <v>15</v>
      </c>
    </row>
    <row r="448" spans="1:11" x14ac:dyDescent="0.2">
      <c r="A448" t="s">
        <v>947</v>
      </c>
      <c r="B448" t="s">
        <v>948</v>
      </c>
      <c r="C448" s="2">
        <v>45072</v>
      </c>
      <c r="D448" s="2">
        <v>45091</v>
      </c>
      <c r="E448">
        <f t="shared" si="6"/>
        <v>19</v>
      </c>
      <c r="F448" t="s">
        <v>23</v>
      </c>
      <c r="G448">
        <v>40734</v>
      </c>
      <c r="H448">
        <v>1480</v>
      </c>
      <c r="I448">
        <v>2030.75</v>
      </c>
      <c r="J448">
        <v>225</v>
      </c>
      <c r="K448" t="b">
        <v>1</v>
      </c>
    </row>
    <row r="449" spans="1:11" x14ac:dyDescent="0.2">
      <c r="A449" t="s">
        <v>949</v>
      </c>
      <c r="B449" t="s">
        <v>950</v>
      </c>
      <c r="C449" s="2">
        <v>45196</v>
      </c>
      <c r="D449" s="2">
        <v>45223</v>
      </c>
      <c r="E449">
        <f t="shared" si="6"/>
        <v>27</v>
      </c>
      <c r="F449" t="s">
        <v>138</v>
      </c>
      <c r="G449">
        <v>73615</v>
      </c>
      <c r="H449">
        <v>3512</v>
      </c>
      <c r="I449">
        <v>2313.63</v>
      </c>
      <c r="K449">
        <v>1</v>
      </c>
    </row>
    <row r="450" spans="1:11" x14ac:dyDescent="0.2">
      <c r="A450" t="s">
        <v>951</v>
      </c>
      <c r="B450" t="s">
        <v>952</v>
      </c>
      <c r="C450" s="2">
        <v>45129</v>
      </c>
      <c r="D450" s="2">
        <v>45139</v>
      </c>
      <c r="E450">
        <f t="shared" ref="E450:E513" si="7">D450-C450</f>
        <v>10</v>
      </c>
      <c r="F450" t="s">
        <v>23</v>
      </c>
      <c r="G450">
        <v>74523</v>
      </c>
      <c r="H450">
        <v>3156</v>
      </c>
      <c r="I450" s="3">
        <v>5710.87</v>
      </c>
      <c r="J450">
        <v>374</v>
      </c>
      <c r="K450" t="b">
        <v>0</v>
      </c>
    </row>
    <row r="451" spans="1:11" x14ac:dyDescent="0.2">
      <c r="A451" t="s">
        <v>953</v>
      </c>
      <c r="B451" t="s">
        <v>954</v>
      </c>
      <c r="C451" s="2">
        <v>45031</v>
      </c>
      <c r="D451" s="2">
        <v>45043</v>
      </c>
      <c r="E451">
        <f t="shared" si="7"/>
        <v>12</v>
      </c>
      <c r="F451" t="s">
        <v>14</v>
      </c>
      <c r="G451">
        <v>95476</v>
      </c>
      <c r="H451">
        <v>1246</v>
      </c>
      <c r="I451">
        <v>1600.75</v>
      </c>
      <c r="J451">
        <v>80</v>
      </c>
      <c r="K451">
        <v>1</v>
      </c>
    </row>
    <row r="452" spans="1:11" x14ac:dyDescent="0.2">
      <c r="A452" t="s">
        <v>955</v>
      </c>
      <c r="B452" t="s">
        <v>956</v>
      </c>
      <c r="C452" s="2">
        <v>44997</v>
      </c>
      <c r="D452" s="2">
        <v>45012</v>
      </c>
      <c r="E452">
        <f t="shared" si="7"/>
        <v>15</v>
      </c>
      <c r="F452" t="s">
        <v>138</v>
      </c>
      <c r="G452">
        <v>18019</v>
      </c>
      <c r="H452">
        <v>381</v>
      </c>
      <c r="I452" s="3">
        <v>590.37</v>
      </c>
      <c r="J452">
        <v>70</v>
      </c>
      <c r="K452" t="s">
        <v>30</v>
      </c>
    </row>
    <row r="453" spans="1:11" x14ac:dyDescent="0.2">
      <c r="A453" t="s">
        <v>957</v>
      </c>
      <c r="B453" t="s">
        <v>958</v>
      </c>
      <c r="C453" s="2">
        <v>44988</v>
      </c>
      <c r="D453" s="2">
        <v>44990</v>
      </c>
      <c r="E453">
        <f t="shared" si="7"/>
        <v>2</v>
      </c>
      <c r="F453" t="s">
        <v>33</v>
      </c>
      <c r="G453">
        <v>84613</v>
      </c>
      <c r="H453">
        <v>3994</v>
      </c>
      <c r="I453">
        <v>4458.4399999999996</v>
      </c>
      <c r="J453">
        <v>760</v>
      </c>
      <c r="K453" t="b">
        <v>1</v>
      </c>
    </row>
    <row r="454" spans="1:11" x14ac:dyDescent="0.2">
      <c r="A454" t="s">
        <v>959</v>
      </c>
      <c r="B454" t="s">
        <v>960</v>
      </c>
      <c r="C454" s="2">
        <v>45147</v>
      </c>
      <c r="D454" s="2">
        <v>45168</v>
      </c>
      <c r="E454">
        <f t="shared" si="7"/>
        <v>21</v>
      </c>
      <c r="F454" t="s">
        <v>33</v>
      </c>
      <c r="G454">
        <v>92794</v>
      </c>
      <c r="H454">
        <v>1867</v>
      </c>
      <c r="I454">
        <v>2503.4</v>
      </c>
      <c r="J454">
        <v>367</v>
      </c>
      <c r="K454" t="b">
        <v>1</v>
      </c>
    </row>
    <row r="455" spans="1:11" x14ac:dyDescent="0.2">
      <c r="A455" t="s">
        <v>961</v>
      </c>
      <c r="B455" t="s">
        <v>962</v>
      </c>
      <c r="C455" s="2">
        <v>45287</v>
      </c>
      <c r="D455" s="2">
        <v>45308</v>
      </c>
      <c r="E455">
        <f t="shared" si="7"/>
        <v>21</v>
      </c>
      <c r="F455" t="s">
        <v>23</v>
      </c>
      <c r="G455">
        <v>87672</v>
      </c>
      <c r="H455">
        <v>3616</v>
      </c>
      <c r="I455">
        <v>6920.98</v>
      </c>
      <c r="J455">
        <v>651</v>
      </c>
      <c r="K455" t="s">
        <v>15</v>
      </c>
    </row>
    <row r="456" spans="1:11" x14ac:dyDescent="0.2">
      <c r="A456" t="s">
        <v>963</v>
      </c>
      <c r="B456" t="s">
        <v>964</v>
      </c>
      <c r="C456" s="2">
        <v>45189</v>
      </c>
      <c r="D456" s="2">
        <v>45269</v>
      </c>
      <c r="E456">
        <f t="shared" si="7"/>
        <v>80</v>
      </c>
      <c r="F456" t="s">
        <v>23</v>
      </c>
      <c r="G456">
        <v>74847</v>
      </c>
      <c r="H456">
        <v>3218</v>
      </c>
      <c r="I456">
        <v>2008.36</v>
      </c>
      <c r="J456">
        <v>244</v>
      </c>
      <c r="K456">
        <v>0</v>
      </c>
    </row>
    <row r="457" spans="1:11" x14ac:dyDescent="0.2">
      <c r="A457" t="s">
        <v>965</v>
      </c>
      <c r="B457" t="s">
        <v>966</v>
      </c>
      <c r="C457" s="2">
        <v>44948</v>
      </c>
      <c r="D457" s="2">
        <v>44967</v>
      </c>
      <c r="E457">
        <f t="shared" si="7"/>
        <v>19</v>
      </c>
      <c r="F457" t="s">
        <v>23</v>
      </c>
      <c r="G457">
        <v>83750</v>
      </c>
      <c r="H457">
        <v>2497</v>
      </c>
      <c r="I457">
        <v>2199.62</v>
      </c>
      <c r="J457">
        <v>142</v>
      </c>
      <c r="K457" t="b">
        <v>1</v>
      </c>
    </row>
    <row r="458" spans="1:11" x14ac:dyDescent="0.2">
      <c r="A458" t="s">
        <v>967</v>
      </c>
      <c r="B458" t="s">
        <v>968</v>
      </c>
      <c r="C458" s="2">
        <v>44966</v>
      </c>
      <c r="D458" s="2">
        <v>44995</v>
      </c>
      <c r="E458">
        <f t="shared" si="7"/>
        <v>29</v>
      </c>
      <c r="F458" t="s">
        <v>19</v>
      </c>
      <c r="G458">
        <v>80634</v>
      </c>
      <c r="H458">
        <v>2052</v>
      </c>
      <c r="I458">
        <v>3426.8</v>
      </c>
      <c r="J458">
        <v>280</v>
      </c>
      <c r="K458" t="s">
        <v>24</v>
      </c>
    </row>
    <row r="459" spans="1:11" x14ac:dyDescent="0.2">
      <c r="A459" t="s">
        <v>969</v>
      </c>
      <c r="B459" t="s">
        <v>970</v>
      </c>
      <c r="C459" s="2">
        <v>45220</v>
      </c>
      <c r="D459" s="2">
        <v>45249</v>
      </c>
      <c r="E459">
        <f t="shared" si="7"/>
        <v>29</v>
      </c>
      <c r="F459" t="s">
        <v>19</v>
      </c>
      <c r="G459">
        <v>29251</v>
      </c>
      <c r="H459">
        <v>819</v>
      </c>
      <c r="I459">
        <v>530.79999999999995</v>
      </c>
      <c r="J459">
        <v>153</v>
      </c>
      <c r="K459">
        <v>1</v>
      </c>
    </row>
    <row r="460" spans="1:11" x14ac:dyDescent="0.2">
      <c r="A460" t="s">
        <v>971</v>
      </c>
      <c r="B460" t="s">
        <v>972</v>
      </c>
      <c r="C460" s="2">
        <v>45075</v>
      </c>
      <c r="D460" s="2">
        <v>45102</v>
      </c>
      <c r="E460">
        <f t="shared" si="7"/>
        <v>27</v>
      </c>
      <c r="F460" t="s">
        <v>33</v>
      </c>
      <c r="G460">
        <v>26945</v>
      </c>
      <c r="H460">
        <v>514</v>
      </c>
      <c r="I460">
        <v>315.33</v>
      </c>
      <c r="J460">
        <v>39</v>
      </c>
      <c r="K460" t="s">
        <v>30</v>
      </c>
    </row>
    <row r="461" spans="1:11" x14ac:dyDescent="0.2">
      <c r="A461" t="s">
        <v>973</v>
      </c>
      <c r="B461" t="s">
        <v>974</v>
      </c>
      <c r="C461" s="2">
        <v>45093</v>
      </c>
      <c r="D461" s="2">
        <v>45102</v>
      </c>
      <c r="E461">
        <f t="shared" si="7"/>
        <v>9</v>
      </c>
      <c r="F461" t="s">
        <v>14</v>
      </c>
      <c r="G461">
        <v>91852</v>
      </c>
      <c r="H461">
        <v>4186</v>
      </c>
      <c r="I461">
        <v>4363.12</v>
      </c>
      <c r="K461" t="b">
        <v>0</v>
      </c>
    </row>
    <row r="462" spans="1:11" x14ac:dyDescent="0.2">
      <c r="A462" t="s">
        <v>975</v>
      </c>
      <c r="B462" t="s">
        <v>976</v>
      </c>
      <c r="C462" s="2">
        <v>45162</v>
      </c>
      <c r="D462" s="2">
        <v>45169</v>
      </c>
      <c r="E462">
        <f t="shared" si="7"/>
        <v>7</v>
      </c>
      <c r="F462" t="s">
        <v>138</v>
      </c>
      <c r="G462">
        <v>33217</v>
      </c>
      <c r="H462">
        <v>930</v>
      </c>
      <c r="I462">
        <v>593.57000000000005</v>
      </c>
      <c r="J462">
        <v>158</v>
      </c>
      <c r="K462" t="b">
        <v>1</v>
      </c>
    </row>
    <row r="463" spans="1:11" x14ac:dyDescent="0.2">
      <c r="A463" t="s">
        <v>977</v>
      </c>
      <c r="B463" t="s">
        <v>978</v>
      </c>
      <c r="C463" s="2">
        <v>44972</v>
      </c>
      <c r="D463" s="2">
        <v>44989</v>
      </c>
      <c r="E463">
        <f t="shared" si="7"/>
        <v>17</v>
      </c>
      <c r="F463" t="s">
        <v>14</v>
      </c>
      <c r="G463">
        <v>9308</v>
      </c>
      <c r="H463">
        <v>421</v>
      </c>
      <c r="I463">
        <v>579.98</v>
      </c>
      <c r="J463">
        <v>25</v>
      </c>
      <c r="K463" t="b">
        <v>0</v>
      </c>
    </row>
    <row r="464" spans="1:11" x14ac:dyDescent="0.2">
      <c r="A464" t="s">
        <v>979</v>
      </c>
      <c r="B464" t="s">
        <v>980</v>
      </c>
      <c r="C464" s="2">
        <v>45150</v>
      </c>
      <c r="D464" s="2">
        <v>45151</v>
      </c>
      <c r="E464">
        <f t="shared" si="7"/>
        <v>1</v>
      </c>
      <c r="F464" t="s">
        <v>23</v>
      </c>
      <c r="G464">
        <v>6949</v>
      </c>
      <c r="H464">
        <v>98</v>
      </c>
      <c r="I464">
        <v>82.26</v>
      </c>
      <c r="J464">
        <v>10</v>
      </c>
      <c r="K464" t="b">
        <v>1</v>
      </c>
    </row>
    <row r="465" spans="1:11" x14ac:dyDescent="0.2">
      <c r="A465" t="s">
        <v>981</v>
      </c>
      <c r="B465" t="s">
        <v>982</v>
      </c>
      <c r="C465" s="2">
        <v>45129</v>
      </c>
      <c r="D465" s="2">
        <v>45139</v>
      </c>
      <c r="E465">
        <f t="shared" si="7"/>
        <v>10</v>
      </c>
      <c r="F465" t="s">
        <v>41</v>
      </c>
      <c r="G465">
        <v>52990</v>
      </c>
      <c r="H465">
        <v>2624</v>
      </c>
      <c r="I465">
        <v>4837.47</v>
      </c>
      <c r="J465">
        <v>398</v>
      </c>
      <c r="K465" t="s">
        <v>30</v>
      </c>
    </row>
    <row r="466" spans="1:11" x14ac:dyDescent="0.2">
      <c r="A466" t="s">
        <v>983</v>
      </c>
      <c r="B466" t="s">
        <v>984</v>
      </c>
      <c r="C466" s="2">
        <v>45040</v>
      </c>
      <c r="D466" s="2">
        <v>45041</v>
      </c>
      <c r="E466">
        <f t="shared" si="7"/>
        <v>1</v>
      </c>
      <c r="F466" t="s">
        <v>191</v>
      </c>
      <c r="G466">
        <v>2150</v>
      </c>
      <c r="H466">
        <v>59</v>
      </c>
      <c r="I466">
        <v>98.84</v>
      </c>
      <c r="J466">
        <v>5</v>
      </c>
      <c r="K466">
        <v>0</v>
      </c>
    </row>
    <row r="467" spans="1:11" x14ac:dyDescent="0.2">
      <c r="A467" t="s">
        <v>985</v>
      </c>
      <c r="B467" t="s">
        <v>986</v>
      </c>
      <c r="C467" s="2">
        <v>45188</v>
      </c>
      <c r="D467" s="2">
        <v>45195</v>
      </c>
      <c r="E467">
        <f t="shared" si="7"/>
        <v>7</v>
      </c>
      <c r="F467" t="s">
        <v>19</v>
      </c>
      <c r="G467">
        <v>90480</v>
      </c>
      <c r="H467">
        <v>1077</v>
      </c>
      <c r="I467">
        <v>1668.87</v>
      </c>
      <c r="J467">
        <v>67</v>
      </c>
      <c r="K467">
        <v>1</v>
      </c>
    </row>
    <row r="468" spans="1:11" x14ac:dyDescent="0.2">
      <c r="A468" t="s">
        <v>987</v>
      </c>
      <c r="B468" t="s">
        <v>988</v>
      </c>
      <c r="C468" s="2">
        <v>45021</v>
      </c>
      <c r="D468" s="2">
        <v>45026</v>
      </c>
      <c r="E468">
        <f t="shared" si="7"/>
        <v>5</v>
      </c>
      <c r="F468" t="s">
        <v>138</v>
      </c>
      <c r="G468">
        <v>75740</v>
      </c>
      <c r="H468">
        <v>872</v>
      </c>
      <c r="I468">
        <v>1242.96</v>
      </c>
      <c r="J468">
        <v>144</v>
      </c>
      <c r="K468" t="s">
        <v>30</v>
      </c>
    </row>
    <row r="469" spans="1:11" x14ac:dyDescent="0.2">
      <c r="A469" t="s">
        <v>989</v>
      </c>
      <c r="B469" t="s">
        <v>990</v>
      </c>
      <c r="C469" s="2">
        <v>45257</v>
      </c>
      <c r="D469" s="2">
        <v>45263</v>
      </c>
      <c r="E469">
        <f t="shared" si="7"/>
        <v>6</v>
      </c>
      <c r="F469" t="s">
        <v>41</v>
      </c>
      <c r="G469">
        <v>67617</v>
      </c>
      <c r="H469">
        <v>2694</v>
      </c>
      <c r="I469" s="3">
        <v>4836.2700000000004</v>
      </c>
      <c r="J469">
        <v>389</v>
      </c>
      <c r="K469" t="b">
        <v>0</v>
      </c>
    </row>
    <row r="470" spans="1:11" x14ac:dyDescent="0.2">
      <c r="A470" t="s">
        <v>991</v>
      </c>
      <c r="B470" t="s">
        <v>992</v>
      </c>
      <c r="C470" s="2">
        <v>45001</v>
      </c>
      <c r="D470" s="2">
        <v>45029</v>
      </c>
      <c r="E470">
        <f t="shared" si="7"/>
        <v>28</v>
      </c>
      <c r="F470" t="s">
        <v>33</v>
      </c>
      <c r="G470">
        <v>95841</v>
      </c>
      <c r="H470">
        <v>3484</v>
      </c>
      <c r="I470" s="3">
        <v>2907.72</v>
      </c>
      <c r="J470">
        <v>690</v>
      </c>
      <c r="K470" t="b">
        <v>1</v>
      </c>
    </row>
    <row r="471" spans="1:11" x14ac:dyDescent="0.2">
      <c r="A471" t="s">
        <v>993</v>
      </c>
      <c r="B471" t="s">
        <v>994</v>
      </c>
      <c r="C471" s="2">
        <v>45005</v>
      </c>
      <c r="D471" s="2">
        <v>45016</v>
      </c>
      <c r="E471">
        <f t="shared" si="7"/>
        <v>11</v>
      </c>
      <c r="F471" t="s">
        <v>14</v>
      </c>
      <c r="G471">
        <v>17896</v>
      </c>
      <c r="H471">
        <v>753</v>
      </c>
      <c r="I471">
        <v>1362.68</v>
      </c>
      <c r="J471">
        <v>76</v>
      </c>
      <c r="K471" t="b">
        <v>0</v>
      </c>
    </row>
    <row r="472" spans="1:11" x14ac:dyDescent="0.2">
      <c r="A472" t="s">
        <v>995</v>
      </c>
      <c r="B472" t="s">
        <v>996</v>
      </c>
      <c r="C472" s="2">
        <v>45017</v>
      </c>
      <c r="D472" s="2">
        <v>45024</v>
      </c>
      <c r="E472">
        <f t="shared" si="7"/>
        <v>7</v>
      </c>
      <c r="F472" t="s">
        <v>19</v>
      </c>
      <c r="G472">
        <v>47175</v>
      </c>
      <c r="H472">
        <v>670</v>
      </c>
      <c r="I472">
        <v>1128.44</v>
      </c>
      <c r="J472">
        <v>39</v>
      </c>
      <c r="K472">
        <v>1</v>
      </c>
    </row>
    <row r="473" spans="1:11" x14ac:dyDescent="0.2">
      <c r="A473" t="s">
        <v>997</v>
      </c>
      <c r="B473" t="s">
        <v>998</v>
      </c>
      <c r="C473" s="2">
        <v>45164</v>
      </c>
      <c r="D473" s="2">
        <v>45180</v>
      </c>
      <c r="E473">
        <f t="shared" si="7"/>
        <v>16</v>
      </c>
      <c r="F473" t="s">
        <v>14</v>
      </c>
      <c r="G473">
        <v>8805</v>
      </c>
      <c r="H473">
        <v>100</v>
      </c>
      <c r="I473">
        <v>162.22</v>
      </c>
      <c r="J473">
        <v>16</v>
      </c>
      <c r="K473" t="s">
        <v>24</v>
      </c>
    </row>
    <row r="474" spans="1:11" x14ac:dyDescent="0.2">
      <c r="A474" t="s">
        <v>999</v>
      </c>
      <c r="B474" t="s">
        <v>1000</v>
      </c>
      <c r="C474" s="2">
        <v>45156</v>
      </c>
      <c r="D474" s="2">
        <v>45180</v>
      </c>
      <c r="E474">
        <f t="shared" si="7"/>
        <v>24</v>
      </c>
      <c r="F474" t="s">
        <v>19</v>
      </c>
      <c r="G474">
        <v>6237</v>
      </c>
      <c r="H474">
        <v>189</v>
      </c>
      <c r="I474">
        <v>253.62</v>
      </c>
      <c r="J474">
        <v>24</v>
      </c>
      <c r="K474" t="s">
        <v>30</v>
      </c>
    </row>
    <row r="475" spans="1:11" x14ac:dyDescent="0.2">
      <c r="A475" t="s">
        <v>1001</v>
      </c>
      <c r="B475" t="s">
        <v>1002</v>
      </c>
      <c r="C475" s="2">
        <v>45256</v>
      </c>
      <c r="D475" s="2">
        <v>45269</v>
      </c>
      <c r="E475">
        <f t="shared" si="7"/>
        <v>13</v>
      </c>
      <c r="F475" t="s">
        <v>19</v>
      </c>
      <c r="G475">
        <v>21056</v>
      </c>
      <c r="H475">
        <v>537</v>
      </c>
      <c r="I475">
        <v>466.85</v>
      </c>
      <c r="J475">
        <v>44</v>
      </c>
      <c r="K475" t="b">
        <v>0</v>
      </c>
    </row>
    <row r="476" spans="1:11" x14ac:dyDescent="0.2">
      <c r="A476" t="s">
        <v>1003</v>
      </c>
      <c r="B476" t="s">
        <v>1004</v>
      </c>
      <c r="C476" s="2">
        <v>45248</v>
      </c>
      <c r="D476" s="2">
        <v>45272</v>
      </c>
      <c r="E476">
        <f t="shared" si="7"/>
        <v>24</v>
      </c>
      <c r="F476" t="s">
        <v>23</v>
      </c>
      <c r="G476">
        <v>46543</v>
      </c>
      <c r="H476">
        <v>1325</v>
      </c>
      <c r="I476">
        <v>1504.3</v>
      </c>
      <c r="J476">
        <v>221</v>
      </c>
      <c r="K476" t="b">
        <v>0</v>
      </c>
    </row>
    <row r="477" spans="1:11" x14ac:dyDescent="0.2">
      <c r="A477" t="s">
        <v>1005</v>
      </c>
      <c r="B477" t="s">
        <v>1006</v>
      </c>
      <c r="C477" s="2">
        <v>45167</v>
      </c>
      <c r="D477" s="2">
        <v>45178</v>
      </c>
      <c r="E477">
        <f t="shared" si="7"/>
        <v>11</v>
      </c>
      <c r="F477" t="s">
        <v>14</v>
      </c>
      <c r="G477">
        <v>57556</v>
      </c>
      <c r="H477">
        <v>2858</v>
      </c>
      <c r="I477">
        <v>4831.04</v>
      </c>
      <c r="J477">
        <v>230</v>
      </c>
      <c r="K477">
        <v>1</v>
      </c>
    </row>
    <row r="478" spans="1:11" x14ac:dyDescent="0.2">
      <c r="A478" t="s">
        <v>1007</v>
      </c>
      <c r="B478" t="s">
        <v>1008</v>
      </c>
      <c r="C478" s="2">
        <v>45067</v>
      </c>
      <c r="D478" s="2">
        <v>45082</v>
      </c>
      <c r="E478">
        <f t="shared" si="7"/>
        <v>15</v>
      </c>
      <c r="F478" t="s">
        <v>191</v>
      </c>
      <c r="G478">
        <v>4343</v>
      </c>
      <c r="H478">
        <v>212</v>
      </c>
      <c r="I478">
        <v>116.11</v>
      </c>
      <c r="K478" t="s">
        <v>24</v>
      </c>
    </row>
    <row r="479" spans="1:11" x14ac:dyDescent="0.2">
      <c r="A479" t="s">
        <v>1009</v>
      </c>
      <c r="B479" t="s">
        <v>1010</v>
      </c>
      <c r="C479" s="2">
        <v>44964</v>
      </c>
      <c r="D479" s="2">
        <v>44977</v>
      </c>
      <c r="E479">
        <f t="shared" si="7"/>
        <v>13</v>
      </c>
      <c r="F479" t="s">
        <v>41</v>
      </c>
      <c r="G479">
        <v>14500</v>
      </c>
      <c r="H479">
        <v>691</v>
      </c>
      <c r="I479">
        <v>1156.0999999999999</v>
      </c>
      <c r="J479">
        <v>44</v>
      </c>
      <c r="K479" t="b">
        <v>1</v>
      </c>
    </row>
    <row r="480" spans="1:11" x14ac:dyDescent="0.2">
      <c r="A480" t="s">
        <v>1011</v>
      </c>
      <c r="B480" t="s">
        <v>1012</v>
      </c>
      <c r="C480" s="2">
        <v>44956</v>
      </c>
      <c r="D480" s="2">
        <v>44976</v>
      </c>
      <c r="E480">
        <f t="shared" si="7"/>
        <v>20</v>
      </c>
      <c r="F480" t="s">
        <v>138</v>
      </c>
      <c r="G480">
        <v>54222</v>
      </c>
      <c r="H480">
        <v>2242</v>
      </c>
      <c r="I480">
        <v>1928.36</v>
      </c>
      <c r="J480">
        <v>246</v>
      </c>
      <c r="K480" t="s">
        <v>24</v>
      </c>
    </row>
    <row r="481" spans="1:11" x14ac:dyDescent="0.2">
      <c r="A481" t="s">
        <v>1013</v>
      </c>
      <c r="B481" t="s">
        <v>1014</v>
      </c>
      <c r="C481" s="2">
        <v>45257</v>
      </c>
      <c r="D481" s="2">
        <v>45282</v>
      </c>
      <c r="E481">
        <f t="shared" si="7"/>
        <v>25</v>
      </c>
      <c r="F481" t="s">
        <v>23</v>
      </c>
      <c r="G481">
        <v>30375</v>
      </c>
      <c r="H481">
        <v>734</v>
      </c>
      <c r="I481">
        <v>525.88</v>
      </c>
      <c r="J481">
        <v>82</v>
      </c>
      <c r="K481" t="b">
        <v>0</v>
      </c>
    </row>
    <row r="482" spans="1:11" x14ac:dyDescent="0.2">
      <c r="A482" t="s">
        <v>1015</v>
      </c>
      <c r="B482" t="s">
        <v>1016</v>
      </c>
      <c r="C482" s="2">
        <v>45241</v>
      </c>
      <c r="D482" s="2">
        <v>45247</v>
      </c>
      <c r="E482">
        <f t="shared" si="7"/>
        <v>6</v>
      </c>
      <c r="F482" t="s">
        <v>33</v>
      </c>
      <c r="G482">
        <v>10662</v>
      </c>
      <c r="H482">
        <v>282</v>
      </c>
      <c r="I482">
        <v>189.94</v>
      </c>
      <c r="J482">
        <v>35</v>
      </c>
      <c r="K482">
        <v>1</v>
      </c>
    </row>
    <row r="483" spans="1:11" x14ac:dyDescent="0.2">
      <c r="A483" t="s">
        <v>1017</v>
      </c>
      <c r="B483" t="s">
        <v>1018</v>
      </c>
      <c r="C483" s="2">
        <v>45224</v>
      </c>
      <c r="D483" s="2">
        <v>45254</v>
      </c>
      <c r="E483">
        <f t="shared" si="7"/>
        <v>30</v>
      </c>
      <c r="F483" t="s">
        <v>191</v>
      </c>
      <c r="G483">
        <v>17964</v>
      </c>
      <c r="H483">
        <v>574</v>
      </c>
      <c r="I483">
        <v>310.45999999999998</v>
      </c>
      <c r="J483">
        <v>89</v>
      </c>
      <c r="K483" t="b">
        <v>1</v>
      </c>
    </row>
    <row r="484" spans="1:11" x14ac:dyDescent="0.2">
      <c r="A484" t="s">
        <v>1019</v>
      </c>
      <c r="B484" t="s">
        <v>1020</v>
      </c>
      <c r="C484" s="2">
        <v>44948</v>
      </c>
      <c r="D484" s="2">
        <v>44964</v>
      </c>
      <c r="E484">
        <f t="shared" si="7"/>
        <v>16</v>
      </c>
      <c r="F484" t="s">
        <v>33</v>
      </c>
      <c r="G484">
        <v>60638</v>
      </c>
      <c r="H484">
        <v>2620</v>
      </c>
      <c r="I484">
        <v>3367.69</v>
      </c>
      <c r="J484">
        <v>487</v>
      </c>
      <c r="K484" t="s">
        <v>24</v>
      </c>
    </row>
    <row r="485" spans="1:11" x14ac:dyDescent="0.2">
      <c r="A485" t="s">
        <v>1021</v>
      </c>
      <c r="B485" t="s">
        <v>1022</v>
      </c>
      <c r="C485" s="2">
        <v>45260</v>
      </c>
      <c r="D485" s="2">
        <v>45276</v>
      </c>
      <c r="E485">
        <f t="shared" si="7"/>
        <v>16</v>
      </c>
      <c r="F485" t="s">
        <v>41</v>
      </c>
      <c r="G485">
        <v>74666</v>
      </c>
      <c r="H485">
        <v>951</v>
      </c>
      <c r="I485">
        <v>786.85</v>
      </c>
      <c r="J485">
        <v>67</v>
      </c>
      <c r="K485" t="s">
        <v>24</v>
      </c>
    </row>
    <row r="486" spans="1:11" x14ac:dyDescent="0.2">
      <c r="A486" t="s">
        <v>1023</v>
      </c>
      <c r="B486" t="s">
        <v>1024</v>
      </c>
      <c r="C486" s="2">
        <v>45183</v>
      </c>
      <c r="D486" s="2">
        <v>45201</v>
      </c>
      <c r="E486">
        <f t="shared" si="7"/>
        <v>18</v>
      </c>
      <c r="F486" t="s">
        <v>41</v>
      </c>
      <c r="G486">
        <v>86067</v>
      </c>
      <c r="H486">
        <v>2321</v>
      </c>
      <c r="I486" s="3">
        <v>4605.21</v>
      </c>
      <c r="J486">
        <v>134</v>
      </c>
      <c r="K486" t="s">
        <v>24</v>
      </c>
    </row>
    <row r="487" spans="1:11" x14ac:dyDescent="0.2">
      <c r="A487" t="s">
        <v>1025</v>
      </c>
      <c r="B487" t="s">
        <v>1026</v>
      </c>
      <c r="C487" s="2">
        <v>44979</v>
      </c>
      <c r="D487" s="2">
        <v>44999</v>
      </c>
      <c r="E487">
        <f t="shared" si="7"/>
        <v>20</v>
      </c>
      <c r="F487" t="s">
        <v>23</v>
      </c>
      <c r="G487">
        <v>68215</v>
      </c>
      <c r="H487">
        <v>907</v>
      </c>
      <c r="I487">
        <v>1235.02</v>
      </c>
      <c r="K487">
        <v>0</v>
      </c>
    </row>
    <row r="488" spans="1:11" x14ac:dyDescent="0.2">
      <c r="A488" t="s">
        <v>1027</v>
      </c>
      <c r="B488" t="s">
        <v>1028</v>
      </c>
      <c r="C488" s="2">
        <v>45292</v>
      </c>
      <c r="D488" s="2">
        <v>45302</v>
      </c>
      <c r="E488">
        <f t="shared" si="7"/>
        <v>10</v>
      </c>
      <c r="F488" t="s">
        <v>138</v>
      </c>
      <c r="G488">
        <v>70042</v>
      </c>
      <c r="H488">
        <v>2142</v>
      </c>
      <c r="I488">
        <v>1514.03</v>
      </c>
      <c r="J488">
        <v>153</v>
      </c>
      <c r="K488" t="b">
        <v>1</v>
      </c>
    </row>
    <row r="489" spans="1:11" x14ac:dyDescent="0.2">
      <c r="A489" t="s">
        <v>1029</v>
      </c>
      <c r="B489" t="s">
        <v>1030</v>
      </c>
      <c r="C489" s="2">
        <v>45257</v>
      </c>
      <c r="D489" s="2">
        <v>45283</v>
      </c>
      <c r="E489">
        <f t="shared" si="7"/>
        <v>26</v>
      </c>
      <c r="F489" t="s">
        <v>23</v>
      </c>
      <c r="G489">
        <v>14284</v>
      </c>
      <c r="H489">
        <v>656</v>
      </c>
      <c r="I489">
        <v>1005.74</v>
      </c>
      <c r="J489">
        <v>97</v>
      </c>
      <c r="K489" t="s">
        <v>24</v>
      </c>
    </row>
    <row r="490" spans="1:11" x14ac:dyDescent="0.2">
      <c r="A490" t="s">
        <v>1031</v>
      </c>
      <c r="B490" t="s">
        <v>1032</v>
      </c>
      <c r="C490" s="2">
        <v>45151</v>
      </c>
      <c r="D490" s="2">
        <v>45173</v>
      </c>
      <c r="E490">
        <f t="shared" si="7"/>
        <v>22</v>
      </c>
      <c r="F490" t="s">
        <v>23</v>
      </c>
      <c r="G490">
        <v>73789</v>
      </c>
      <c r="H490">
        <v>3047</v>
      </c>
      <c r="I490">
        <v>5626.64</v>
      </c>
      <c r="J490">
        <v>484</v>
      </c>
      <c r="K490">
        <v>0</v>
      </c>
    </row>
    <row r="491" spans="1:11" x14ac:dyDescent="0.2">
      <c r="A491" t="s">
        <v>1033</v>
      </c>
      <c r="B491" t="s">
        <v>1034</v>
      </c>
      <c r="C491" s="2">
        <v>45239</v>
      </c>
      <c r="D491" s="2">
        <v>45267</v>
      </c>
      <c r="E491">
        <f t="shared" si="7"/>
        <v>28</v>
      </c>
      <c r="F491" t="s">
        <v>23</v>
      </c>
      <c r="G491">
        <v>85664</v>
      </c>
      <c r="H491">
        <v>1637</v>
      </c>
      <c r="I491">
        <v>2648.29</v>
      </c>
      <c r="J491">
        <v>274</v>
      </c>
      <c r="K491" t="s">
        <v>30</v>
      </c>
    </row>
    <row r="492" spans="1:11" x14ac:dyDescent="0.2">
      <c r="A492" t="s">
        <v>1035</v>
      </c>
      <c r="B492" t="s">
        <v>1036</v>
      </c>
      <c r="C492" s="2">
        <v>45071</v>
      </c>
      <c r="D492" s="2">
        <v>45079</v>
      </c>
      <c r="E492">
        <f t="shared" si="7"/>
        <v>8</v>
      </c>
      <c r="F492" t="s">
        <v>138</v>
      </c>
      <c r="G492">
        <v>94468</v>
      </c>
      <c r="H492">
        <v>4632</v>
      </c>
      <c r="I492">
        <v>2847.1</v>
      </c>
      <c r="J492">
        <v>400</v>
      </c>
      <c r="K492">
        <v>1</v>
      </c>
    </row>
    <row r="493" spans="1:11" x14ac:dyDescent="0.2">
      <c r="A493" t="s">
        <v>1037</v>
      </c>
      <c r="B493" t="s">
        <v>1038</v>
      </c>
      <c r="C493" s="2">
        <v>45274</v>
      </c>
      <c r="D493" s="2">
        <v>45277</v>
      </c>
      <c r="E493">
        <f t="shared" si="7"/>
        <v>3</v>
      </c>
      <c r="F493" t="s">
        <v>33</v>
      </c>
      <c r="G493">
        <v>62389</v>
      </c>
      <c r="H493">
        <v>2289</v>
      </c>
      <c r="I493">
        <v>4220.5200000000004</v>
      </c>
      <c r="J493">
        <v>219</v>
      </c>
      <c r="K493" t="s">
        <v>24</v>
      </c>
    </row>
    <row r="494" spans="1:11" x14ac:dyDescent="0.2">
      <c r="A494" t="s">
        <v>1039</v>
      </c>
      <c r="B494" t="s">
        <v>1040</v>
      </c>
      <c r="C494" s="2">
        <v>45258</v>
      </c>
      <c r="D494" s="2">
        <v>45278</v>
      </c>
      <c r="E494">
        <f t="shared" si="7"/>
        <v>20</v>
      </c>
      <c r="F494" t="s">
        <v>58</v>
      </c>
      <c r="G494">
        <v>10435</v>
      </c>
      <c r="H494">
        <v>108</v>
      </c>
      <c r="I494">
        <v>182.62</v>
      </c>
      <c r="J494">
        <v>13</v>
      </c>
      <c r="K494" t="b">
        <v>1</v>
      </c>
    </row>
    <row r="495" spans="1:11" x14ac:dyDescent="0.2">
      <c r="A495" t="s">
        <v>1041</v>
      </c>
      <c r="B495" t="s">
        <v>1042</v>
      </c>
      <c r="C495" s="2">
        <v>45212</v>
      </c>
      <c r="D495" s="2">
        <v>45216</v>
      </c>
      <c r="E495">
        <f t="shared" si="7"/>
        <v>4</v>
      </c>
      <c r="F495" t="s">
        <v>19</v>
      </c>
      <c r="G495">
        <v>55340</v>
      </c>
      <c r="H495">
        <v>1118</v>
      </c>
      <c r="I495">
        <v>824.48</v>
      </c>
      <c r="J495">
        <v>66</v>
      </c>
      <c r="K495">
        <v>0</v>
      </c>
    </row>
    <row r="496" spans="1:11" x14ac:dyDescent="0.2">
      <c r="A496" t="s">
        <v>1043</v>
      </c>
      <c r="B496" t="s">
        <v>1044</v>
      </c>
      <c r="C496" s="2">
        <v>45263</v>
      </c>
      <c r="D496" s="2">
        <v>45292</v>
      </c>
      <c r="E496">
        <f t="shared" si="7"/>
        <v>29</v>
      </c>
      <c r="F496" t="s">
        <v>23</v>
      </c>
      <c r="G496">
        <v>45078</v>
      </c>
      <c r="H496">
        <v>920</v>
      </c>
      <c r="I496">
        <v>531.46</v>
      </c>
      <c r="J496">
        <v>130</v>
      </c>
      <c r="K496">
        <v>0</v>
      </c>
    </row>
    <row r="497" spans="1:11" x14ac:dyDescent="0.2">
      <c r="A497" t="s">
        <v>1045</v>
      </c>
      <c r="B497" t="s">
        <v>1046</v>
      </c>
      <c r="C497" s="2">
        <v>45003</v>
      </c>
      <c r="D497" s="2">
        <v>45004</v>
      </c>
      <c r="E497">
        <f t="shared" si="7"/>
        <v>1</v>
      </c>
      <c r="F497" t="s">
        <v>14</v>
      </c>
      <c r="G497">
        <v>79832</v>
      </c>
      <c r="H497">
        <v>1019</v>
      </c>
      <c r="I497">
        <v>1361.35</v>
      </c>
      <c r="J497">
        <v>201</v>
      </c>
      <c r="K497" t="s">
        <v>30</v>
      </c>
    </row>
    <row r="498" spans="1:11" x14ac:dyDescent="0.2">
      <c r="A498" t="s">
        <v>1047</v>
      </c>
      <c r="B498" t="s">
        <v>1048</v>
      </c>
      <c r="C498" s="2">
        <v>44999</v>
      </c>
      <c r="D498" s="2">
        <v>45027</v>
      </c>
      <c r="E498">
        <f t="shared" si="7"/>
        <v>28</v>
      </c>
      <c r="F498" t="s">
        <v>138</v>
      </c>
      <c r="G498">
        <v>52293</v>
      </c>
      <c r="H498">
        <v>2530</v>
      </c>
      <c r="I498">
        <v>1857.16</v>
      </c>
      <c r="J498">
        <v>263</v>
      </c>
      <c r="K498" t="s">
        <v>15</v>
      </c>
    </row>
    <row r="499" spans="1:11" x14ac:dyDescent="0.2">
      <c r="A499" t="s">
        <v>1049</v>
      </c>
      <c r="B499" t="s">
        <v>1050</v>
      </c>
      <c r="C499" s="2">
        <v>45262</v>
      </c>
      <c r="D499" s="2">
        <v>45263</v>
      </c>
      <c r="E499">
        <f t="shared" si="7"/>
        <v>1</v>
      </c>
      <c r="F499" t="s">
        <v>19</v>
      </c>
      <c r="G499">
        <v>96981</v>
      </c>
      <c r="H499">
        <v>2825</v>
      </c>
      <c r="I499">
        <v>4949.08</v>
      </c>
      <c r="J499">
        <v>460</v>
      </c>
      <c r="K499">
        <v>1</v>
      </c>
    </row>
    <row r="500" spans="1:11" x14ac:dyDescent="0.2">
      <c r="A500" t="s">
        <v>1051</v>
      </c>
      <c r="B500" t="s">
        <v>1052</v>
      </c>
      <c r="C500" s="2">
        <v>44957</v>
      </c>
      <c r="D500" s="2">
        <v>45231</v>
      </c>
      <c r="E500">
        <f t="shared" si="7"/>
        <v>274</v>
      </c>
      <c r="F500" t="s">
        <v>41</v>
      </c>
      <c r="G500">
        <v>79781</v>
      </c>
      <c r="H500">
        <v>3656</v>
      </c>
      <c r="I500" s="3">
        <v>3793.11</v>
      </c>
      <c r="K500" t="s">
        <v>15</v>
      </c>
    </row>
    <row r="501" spans="1:11" x14ac:dyDescent="0.2">
      <c r="A501" t="s">
        <v>1053</v>
      </c>
      <c r="B501" t="s">
        <v>1054</v>
      </c>
      <c r="C501" s="2">
        <v>45213</v>
      </c>
      <c r="D501" s="2">
        <v>45215</v>
      </c>
      <c r="E501">
        <f t="shared" si="7"/>
        <v>2</v>
      </c>
      <c r="F501" t="s">
        <v>14</v>
      </c>
      <c r="G501">
        <v>61403</v>
      </c>
      <c r="H501">
        <v>1405</v>
      </c>
      <c r="I501">
        <v>2626.42</v>
      </c>
      <c r="J501">
        <v>97</v>
      </c>
      <c r="K501" t="b">
        <v>1</v>
      </c>
    </row>
    <row r="502" spans="1:11" x14ac:dyDescent="0.2">
      <c r="A502" t="s">
        <v>1055</v>
      </c>
      <c r="B502" t="s">
        <v>1056</v>
      </c>
      <c r="C502" s="2">
        <v>44992</v>
      </c>
      <c r="D502" s="2">
        <v>45020</v>
      </c>
      <c r="E502">
        <f t="shared" si="7"/>
        <v>28</v>
      </c>
      <c r="F502" t="s">
        <v>33</v>
      </c>
      <c r="G502">
        <v>30124</v>
      </c>
      <c r="H502">
        <v>452</v>
      </c>
      <c r="I502">
        <v>609.54</v>
      </c>
      <c r="J502">
        <v>62</v>
      </c>
      <c r="K502">
        <v>1</v>
      </c>
    </row>
    <row r="503" spans="1:11" x14ac:dyDescent="0.2">
      <c r="A503" t="s">
        <v>1057</v>
      </c>
      <c r="B503" t="s">
        <v>1058</v>
      </c>
      <c r="C503" s="2">
        <v>45277</v>
      </c>
      <c r="D503" s="2">
        <v>45278</v>
      </c>
      <c r="E503">
        <f t="shared" si="7"/>
        <v>1</v>
      </c>
      <c r="F503" t="s">
        <v>41</v>
      </c>
      <c r="G503">
        <v>96435</v>
      </c>
      <c r="H503">
        <v>2794</v>
      </c>
      <c r="I503">
        <v>2162.58</v>
      </c>
      <c r="J503">
        <v>265</v>
      </c>
      <c r="K503" t="s">
        <v>30</v>
      </c>
    </row>
    <row r="504" spans="1:11" x14ac:dyDescent="0.2">
      <c r="A504" t="s">
        <v>1059</v>
      </c>
      <c r="B504" t="s">
        <v>1060</v>
      </c>
      <c r="C504" s="2">
        <v>45270</v>
      </c>
      <c r="D504" s="2">
        <v>45279</v>
      </c>
      <c r="E504">
        <f t="shared" si="7"/>
        <v>9</v>
      </c>
      <c r="F504" t="s">
        <v>19</v>
      </c>
      <c r="G504">
        <v>44919</v>
      </c>
      <c r="H504">
        <v>653</v>
      </c>
      <c r="I504">
        <v>463.24</v>
      </c>
      <c r="K504" t="b">
        <v>1</v>
      </c>
    </row>
    <row r="505" spans="1:11" x14ac:dyDescent="0.2">
      <c r="A505" t="s">
        <v>1061</v>
      </c>
      <c r="B505" t="s">
        <v>1062</v>
      </c>
      <c r="C505" s="2">
        <v>45112</v>
      </c>
      <c r="D505" s="2">
        <v>45142</v>
      </c>
      <c r="E505">
        <f t="shared" si="7"/>
        <v>30</v>
      </c>
      <c r="F505" t="s">
        <v>14</v>
      </c>
      <c r="G505">
        <v>36247</v>
      </c>
      <c r="H505">
        <v>1067</v>
      </c>
      <c r="I505">
        <v>1456.14</v>
      </c>
      <c r="J505">
        <v>154</v>
      </c>
      <c r="K505">
        <v>1</v>
      </c>
    </row>
    <row r="506" spans="1:11" x14ac:dyDescent="0.2">
      <c r="A506" t="s">
        <v>1063</v>
      </c>
      <c r="B506" t="s">
        <v>1064</v>
      </c>
      <c r="C506" s="2">
        <v>45101</v>
      </c>
      <c r="D506" s="2">
        <v>45102</v>
      </c>
      <c r="E506">
        <f t="shared" si="7"/>
        <v>1</v>
      </c>
      <c r="F506" t="s">
        <v>41</v>
      </c>
      <c r="G506">
        <v>95758</v>
      </c>
      <c r="H506">
        <v>4482</v>
      </c>
      <c r="I506">
        <v>7363.14</v>
      </c>
      <c r="J506">
        <v>801</v>
      </c>
      <c r="K506">
        <v>1</v>
      </c>
    </row>
    <row r="507" spans="1:11" x14ac:dyDescent="0.2">
      <c r="A507" t="s">
        <v>1065</v>
      </c>
      <c r="B507" t="s">
        <v>1066</v>
      </c>
      <c r="C507" s="2">
        <v>45042</v>
      </c>
      <c r="D507" s="2">
        <v>45052</v>
      </c>
      <c r="E507">
        <f t="shared" si="7"/>
        <v>10</v>
      </c>
      <c r="F507" t="s">
        <v>19</v>
      </c>
      <c r="G507">
        <v>92747</v>
      </c>
      <c r="H507">
        <v>2859</v>
      </c>
      <c r="I507">
        <v>4780.99</v>
      </c>
      <c r="K507" t="s">
        <v>15</v>
      </c>
    </row>
    <row r="508" spans="1:11" x14ac:dyDescent="0.2">
      <c r="A508" t="s">
        <v>1067</v>
      </c>
      <c r="B508" t="s">
        <v>1068</v>
      </c>
      <c r="C508" s="2">
        <v>45078</v>
      </c>
      <c r="D508" s="2">
        <v>45093</v>
      </c>
      <c r="E508">
        <f t="shared" si="7"/>
        <v>15</v>
      </c>
      <c r="F508" t="s">
        <v>14</v>
      </c>
      <c r="G508">
        <v>63752</v>
      </c>
      <c r="H508">
        <v>2209</v>
      </c>
      <c r="I508">
        <v>2018.22</v>
      </c>
      <c r="J508">
        <v>239</v>
      </c>
      <c r="K508" t="b">
        <v>1</v>
      </c>
    </row>
    <row r="509" spans="1:11" x14ac:dyDescent="0.2">
      <c r="A509" t="s">
        <v>1069</v>
      </c>
      <c r="B509" t="s">
        <v>1070</v>
      </c>
      <c r="C509" s="2">
        <v>45203</v>
      </c>
      <c r="D509" s="2">
        <v>45216</v>
      </c>
      <c r="E509">
        <f t="shared" si="7"/>
        <v>13</v>
      </c>
      <c r="F509" t="s">
        <v>41</v>
      </c>
      <c r="G509">
        <v>57573</v>
      </c>
      <c r="H509">
        <v>936</v>
      </c>
      <c r="I509">
        <v>754.76</v>
      </c>
      <c r="K509" t="s">
        <v>30</v>
      </c>
    </row>
    <row r="510" spans="1:11" x14ac:dyDescent="0.2">
      <c r="A510" t="s">
        <v>1071</v>
      </c>
      <c r="B510" t="s">
        <v>1072</v>
      </c>
      <c r="C510" s="2">
        <v>44946</v>
      </c>
      <c r="D510" s="2">
        <v>44970</v>
      </c>
      <c r="E510">
        <f t="shared" si="7"/>
        <v>24</v>
      </c>
      <c r="F510" t="s">
        <v>41</v>
      </c>
      <c r="G510">
        <v>60101</v>
      </c>
      <c r="H510">
        <v>706</v>
      </c>
      <c r="I510">
        <v>370.74</v>
      </c>
      <c r="J510">
        <v>121</v>
      </c>
      <c r="K510" t="s">
        <v>30</v>
      </c>
    </row>
    <row r="511" spans="1:11" x14ac:dyDescent="0.2">
      <c r="A511" t="s">
        <v>1073</v>
      </c>
      <c r="B511" t="s">
        <v>1074</v>
      </c>
      <c r="C511" s="2">
        <v>45243</v>
      </c>
      <c r="D511" s="2">
        <v>45262</v>
      </c>
      <c r="E511">
        <f t="shared" si="7"/>
        <v>19</v>
      </c>
      <c r="F511" t="s">
        <v>14</v>
      </c>
      <c r="G511">
        <v>27646</v>
      </c>
      <c r="H511">
        <v>398</v>
      </c>
      <c r="I511" s="3">
        <v>604.48</v>
      </c>
      <c r="J511">
        <v>62</v>
      </c>
      <c r="K511" t="b">
        <v>1</v>
      </c>
    </row>
    <row r="512" spans="1:11" x14ac:dyDescent="0.2">
      <c r="A512" t="s">
        <v>1075</v>
      </c>
      <c r="B512" t="s">
        <v>1076</v>
      </c>
      <c r="C512" s="2">
        <v>45010</v>
      </c>
      <c r="D512" s="2">
        <v>45016</v>
      </c>
      <c r="E512">
        <f t="shared" si="7"/>
        <v>6</v>
      </c>
      <c r="F512" t="s">
        <v>14</v>
      </c>
      <c r="G512">
        <v>24049</v>
      </c>
      <c r="H512">
        <v>816</v>
      </c>
      <c r="I512">
        <v>501.72</v>
      </c>
      <c r="J512">
        <v>71</v>
      </c>
      <c r="K512" t="b">
        <v>1</v>
      </c>
    </row>
    <row r="513" spans="1:11" x14ac:dyDescent="0.2">
      <c r="A513" t="s">
        <v>1077</v>
      </c>
      <c r="B513" t="s">
        <v>1078</v>
      </c>
      <c r="C513" s="2">
        <v>45246</v>
      </c>
      <c r="D513" s="2">
        <v>45250</v>
      </c>
      <c r="E513">
        <f t="shared" si="7"/>
        <v>4</v>
      </c>
      <c r="F513" t="s">
        <v>14</v>
      </c>
      <c r="G513">
        <v>80605</v>
      </c>
      <c r="H513">
        <v>1112</v>
      </c>
      <c r="I513">
        <v>1257.83</v>
      </c>
      <c r="J513">
        <v>207</v>
      </c>
      <c r="K513">
        <v>0</v>
      </c>
    </row>
    <row r="514" spans="1:11" x14ac:dyDescent="0.2">
      <c r="A514" t="s">
        <v>1079</v>
      </c>
      <c r="B514" t="s">
        <v>1080</v>
      </c>
      <c r="C514" s="2">
        <v>45151</v>
      </c>
      <c r="D514" s="2">
        <v>45153</v>
      </c>
      <c r="E514">
        <f t="shared" ref="E514:E577" si="8">D514-C514</f>
        <v>2</v>
      </c>
      <c r="F514" t="s">
        <v>19</v>
      </c>
      <c r="G514">
        <v>99116</v>
      </c>
      <c r="H514">
        <v>2481</v>
      </c>
      <c r="I514">
        <v>3479.66</v>
      </c>
      <c r="J514">
        <v>181</v>
      </c>
      <c r="K514" t="b">
        <v>0</v>
      </c>
    </row>
    <row r="515" spans="1:11" x14ac:dyDescent="0.2">
      <c r="A515" t="s">
        <v>1082</v>
      </c>
      <c r="B515" t="s">
        <v>1083</v>
      </c>
      <c r="C515" s="2">
        <v>45113</v>
      </c>
      <c r="D515" s="2">
        <v>45125</v>
      </c>
      <c r="E515">
        <f t="shared" si="8"/>
        <v>12</v>
      </c>
      <c r="F515" t="s">
        <v>14</v>
      </c>
      <c r="G515">
        <v>98379</v>
      </c>
      <c r="H515">
        <v>3148</v>
      </c>
      <c r="I515">
        <v>5999.03</v>
      </c>
      <c r="K515" t="s">
        <v>15</v>
      </c>
    </row>
    <row r="516" spans="1:11" x14ac:dyDescent="0.2">
      <c r="A516" t="s">
        <v>1084</v>
      </c>
      <c r="B516" t="s">
        <v>1085</v>
      </c>
      <c r="C516" s="2">
        <v>45154</v>
      </c>
      <c r="D516" s="2">
        <v>45161</v>
      </c>
      <c r="E516">
        <f t="shared" si="8"/>
        <v>7</v>
      </c>
      <c r="F516" t="s">
        <v>41</v>
      </c>
      <c r="G516">
        <v>69385</v>
      </c>
      <c r="H516">
        <v>1772</v>
      </c>
      <c r="I516">
        <v>1714.77</v>
      </c>
      <c r="J516">
        <v>96</v>
      </c>
      <c r="K516" t="b">
        <v>1</v>
      </c>
    </row>
    <row r="517" spans="1:11" x14ac:dyDescent="0.2">
      <c r="A517" t="s">
        <v>1086</v>
      </c>
      <c r="B517" t="s">
        <v>1087</v>
      </c>
      <c r="C517" s="2">
        <v>45156</v>
      </c>
      <c r="D517" s="2">
        <v>45177</v>
      </c>
      <c r="E517">
        <f t="shared" si="8"/>
        <v>21</v>
      </c>
      <c r="F517" t="s">
        <v>14</v>
      </c>
      <c r="G517">
        <v>41158</v>
      </c>
      <c r="H517">
        <v>681</v>
      </c>
      <c r="I517">
        <v>595.64</v>
      </c>
      <c r="K517" t="b">
        <v>1</v>
      </c>
    </row>
    <row r="518" spans="1:11" x14ac:dyDescent="0.2">
      <c r="A518" t="s">
        <v>1088</v>
      </c>
      <c r="B518" t="s">
        <v>1089</v>
      </c>
      <c r="C518" s="2">
        <v>45167</v>
      </c>
      <c r="D518" s="2">
        <v>45174</v>
      </c>
      <c r="E518">
        <f t="shared" si="8"/>
        <v>7</v>
      </c>
      <c r="F518" t="s">
        <v>14</v>
      </c>
      <c r="G518">
        <v>66417</v>
      </c>
      <c r="H518">
        <v>1391</v>
      </c>
      <c r="I518" s="3">
        <v>2060.41</v>
      </c>
      <c r="J518">
        <v>127</v>
      </c>
      <c r="K518" t="b">
        <v>0</v>
      </c>
    </row>
    <row r="519" spans="1:11" x14ac:dyDescent="0.2">
      <c r="A519" t="s">
        <v>1090</v>
      </c>
      <c r="B519" t="s">
        <v>1091</v>
      </c>
      <c r="C519" s="2">
        <v>45274</v>
      </c>
      <c r="D519" s="2">
        <v>45288</v>
      </c>
      <c r="E519">
        <f t="shared" si="8"/>
        <v>14</v>
      </c>
      <c r="F519" t="s">
        <v>19</v>
      </c>
      <c r="G519">
        <v>24289</v>
      </c>
      <c r="H519">
        <v>1144</v>
      </c>
      <c r="I519" s="3">
        <v>1634.61</v>
      </c>
      <c r="J519">
        <v>134</v>
      </c>
      <c r="K519" t="b">
        <v>0</v>
      </c>
    </row>
    <row r="520" spans="1:11" x14ac:dyDescent="0.2">
      <c r="A520" t="s">
        <v>1092</v>
      </c>
      <c r="B520" t="s">
        <v>1093</v>
      </c>
      <c r="C520" s="2">
        <v>45163</v>
      </c>
      <c r="D520" s="2">
        <v>45187</v>
      </c>
      <c r="E520">
        <f t="shared" si="8"/>
        <v>24</v>
      </c>
      <c r="F520" t="s">
        <v>14</v>
      </c>
      <c r="G520">
        <v>10823</v>
      </c>
      <c r="H520">
        <v>400</v>
      </c>
      <c r="I520">
        <v>399.27</v>
      </c>
      <c r="J520">
        <v>40</v>
      </c>
      <c r="K520">
        <v>1</v>
      </c>
    </row>
    <row r="521" spans="1:11" x14ac:dyDescent="0.2">
      <c r="A521" t="s">
        <v>1094</v>
      </c>
      <c r="B521" t="s">
        <v>1095</v>
      </c>
      <c r="C521" s="2">
        <v>45184</v>
      </c>
      <c r="D521" s="2">
        <v>45213</v>
      </c>
      <c r="E521">
        <f t="shared" si="8"/>
        <v>29</v>
      </c>
      <c r="F521" t="s">
        <v>23</v>
      </c>
      <c r="G521">
        <v>61160</v>
      </c>
      <c r="H521">
        <v>1825</v>
      </c>
      <c r="I521">
        <v>3453.18</v>
      </c>
      <c r="K521" t="s">
        <v>24</v>
      </c>
    </row>
    <row r="522" spans="1:11" x14ac:dyDescent="0.2">
      <c r="A522" t="s">
        <v>1096</v>
      </c>
      <c r="B522" t="s">
        <v>1097</v>
      </c>
      <c r="C522" s="2">
        <v>45029</v>
      </c>
      <c r="D522" s="2">
        <v>45041</v>
      </c>
      <c r="E522">
        <f t="shared" si="8"/>
        <v>12</v>
      </c>
      <c r="F522" t="s">
        <v>33</v>
      </c>
      <c r="G522">
        <v>42975</v>
      </c>
      <c r="H522">
        <v>451</v>
      </c>
      <c r="I522">
        <v>797.05</v>
      </c>
      <c r="K522" t="s">
        <v>30</v>
      </c>
    </row>
    <row r="523" spans="1:11" x14ac:dyDescent="0.2">
      <c r="A523" t="s">
        <v>1098</v>
      </c>
      <c r="B523" t="s">
        <v>1099</v>
      </c>
      <c r="C523" s="2">
        <v>45058</v>
      </c>
      <c r="D523" s="2">
        <v>45174</v>
      </c>
      <c r="E523">
        <f t="shared" si="8"/>
        <v>116</v>
      </c>
      <c r="F523" t="s">
        <v>33</v>
      </c>
      <c r="G523">
        <v>10540</v>
      </c>
      <c r="H523">
        <v>523</v>
      </c>
      <c r="I523">
        <v>437.21</v>
      </c>
      <c r="J523">
        <v>95</v>
      </c>
      <c r="K523" t="s">
        <v>15</v>
      </c>
    </row>
    <row r="524" spans="1:11" x14ac:dyDescent="0.2">
      <c r="A524" t="s">
        <v>1100</v>
      </c>
      <c r="B524" t="s">
        <v>1101</v>
      </c>
      <c r="C524" s="2">
        <v>45173</v>
      </c>
      <c r="D524" s="2">
        <v>45182</v>
      </c>
      <c r="E524">
        <f t="shared" si="8"/>
        <v>9</v>
      </c>
      <c r="F524" t="s">
        <v>23</v>
      </c>
      <c r="G524">
        <v>17364</v>
      </c>
      <c r="H524">
        <v>640</v>
      </c>
      <c r="I524">
        <v>549.58000000000004</v>
      </c>
      <c r="J524">
        <v>124</v>
      </c>
      <c r="K524">
        <v>1</v>
      </c>
    </row>
    <row r="525" spans="1:11" x14ac:dyDescent="0.2">
      <c r="A525" t="s">
        <v>1102</v>
      </c>
      <c r="B525" t="s">
        <v>1103</v>
      </c>
      <c r="C525" s="2">
        <v>44979</v>
      </c>
      <c r="D525" s="2">
        <v>44993</v>
      </c>
      <c r="E525">
        <f t="shared" si="8"/>
        <v>14</v>
      </c>
      <c r="F525" t="s">
        <v>14</v>
      </c>
      <c r="G525">
        <v>5611</v>
      </c>
      <c r="H525">
        <v>127</v>
      </c>
      <c r="I525">
        <v>161.09</v>
      </c>
      <c r="J525">
        <v>10</v>
      </c>
      <c r="K525" t="b">
        <v>1</v>
      </c>
    </row>
    <row r="526" spans="1:11" x14ac:dyDescent="0.2">
      <c r="A526" t="s">
        <v>1104</v>
      </c>
      <c r="B526" t="s">
        <v>1105</v>
      </c>
      <c r="C526" s="2">
        <v>44990</v>
      </c>
      <c r="D526" s="2">
        <v>45011</v>
      </c>
      <c r="E526">
        <f t="shared" si="8"/>
        <v>21</v>
      </c>
      <c r="F526" t="s">
        <v>14</v>
      </c>
      <c r="G526">
        <v>28663</v>
      </c>
      <c r="H526">
        <v>1294</v>
      </c>
      <c r="I526">
        <v>2148.5</v>
      </c>
      <c r="J526">
        <v>203</v>
      </c>
      <c r="K526" t="b">
        <v>0</v>
      </c>
    </row>
    <row r="527" spans="1:11" x14ac:dyDescent="0.2">
      <c r="A527" t="s">
        <v>1106</v>
      </c>
      <c r="B527" t="s">
        <v>1107</v>
      </c>
      <c r="C527" s="2">
        <v>45066</v>
      </c>
      <c r="D527" s="2">
        <v>45067</v>
      </c>
      <c r="E527">
        <f t="shared" si="8"/>
        <v>1</v>
      </c>
      <c r="F527" t="s">
        <v>41</v>
      </c>
      <c r="G527">
        <v>52991</v>
      </c>
      <c r="H527">
        <v>1077</v>
      </c>
      <c r="I527">
        <v>609.65</v>
      </c>
      <c r="J527">
        <v>161</v>
      </c>
      <c r="K527">
        <v>0</v>
      </c>
    </row>
    <row r="528" spans="1:11" x14ac:dyDescent="0.2">
      <c r="A528" t="s">
        <v>1108</v>
      </c>
      <c r="B528" t="s">
        <v>1109</v>
      </c>
      <c r="C528" s="2">
        <v>45160</v>
      </c>
      <c r="D528" s="2">
        <v>45268</v>
      </c>
      <c r="E528">
        <f t="shared" si="8"/>
        <v>108</v>
      </c>
      <c r="F528" t="s">
        <v>23</v>
      </c>
      <c r="G528">
        <v>58679</v>
      </c>
      <c r="H528">
        <v>1863</v>
      </c>
      <c r="I528">
        <v>2869.03</v>
      </c>
      <c r="J528">
        <v>189</v>
      </c>
      <c r="K528" t="s">
        <v>30</v>
      </c>
    </row>
    <row r="529" spans="1:11" x14ac:dyDescent="0.2">
      <c r="A529" t="s">
        <v>1110</v>
      </c>
      <c r="B529" t="s">
        <v>1111</v>
      </c>
      <c r="C529" s="2">
        <v>45040</v>
      </c>
      <c r="D529" s="2">
        <v>45065</v>
      </c>
      <c r="E529">
        <f t="shared" si="8"/>
        <v>25</v>
      </c>
      <c r="F529" t="s">
        <v>14</v>
      </c>
      <c r="G529">
        <v>31977</v>
      </c>
      <c r="H529">
        <v>1133</v>
      </c>
      <c r="I529" s="3">
        <v>1668.18</v>
      </c>
      <c r="J529">
        <v>59</v>
      </c>
      <c r="K529">
        <v>1</v>
      </c>
    </row>
    <row r="530" spans="1:11" x14ac:dyDescent="0.2">
      <c r="A530" t="s">
        <v>1112</v>
      </c>
      <c r="B530" t="s">
        <v>1113</v>
      </c>
      <c r="C530" s="2">
        <v>44940</v>
      </c>
      <c r="D530" s="2">
        <v>44942</v>
      </c>
      <c r="E530">
        <f t="shared" si="8"/>
        <v>2</v>
      </c>
      <c r="F530" t="s">
        <v>23</v>
      </c>
      <c r="G530">
        <v>95704</v>
      </c>
      <c r="H530">
        <v>1803</v>
      </c>
      <c r="I530">
        <v>1527.54</v>
      </c>
      <c r="J530">
        <v>276</v>
      </c>
      <c r="K530">
        <v>0</v>
      </c>
    </row>
    <row r="531" spans="1:11" x14ac:dyDescent="0.2">
      <c r="A531" t="s">
        <v>1114</v>
      </c>
      <c r="B531" t="s">
        <v>1115</v>
      </c>
      <c r="C531" s="2">
        <v>45118</v>
      </c>
      <c r="D531" s="2">
        <v>45147</v>
      </c>
      <c r="E531">
        <f t="shared" si="8"/>
        <v>29</v>
      </c>
      <c r="F531" t="s">
        <v>14</v>
      </c>
      <c r="G531">
        <v>50115</v>
      </c>
      <c r="H531">
        <v>2462</v>
      </c>
      <c r="I531" s="3">
        <v>3747.24</v>
      </c>
      <c r="J531">
        <v>472</v>
      </c>
      <c r="K531" t="s">
        <v>30</v>
      </c>
    </row>
    <row r="532" spans="1:11" x14ac:dyDescent="0.2">
      <c r="A532" t="s">
        <v>1116</v>
      </c>
      <c r="B532" t="s">
        <v>1117</v>
      </c>
      <c r="C532" s="2">
        <v>45118</v>
      </c>
      <c r="D532" s="2">
        <v>45122</v>
      </c>
      <c r="E532">
        <f t="shared" si="8"/>
        <v>4</v>
      </c>
      <c r="F532" t="s">
        <v>33</v>
      </c>
      <c r="G532">
        <v>92007</v>
      </c>
      <c r="H532">
        <v>3673</v>
      </c>
      <c r="I532">
        <v>7016.44</v>
      </c>
      <c r="J532">
        <v>531</v>
      </c>
      <c r="K532" t="s">
        <v>24</v>
      </c>
    </row>
    <row r="533" spans="1:11" x14ac:dyDescent="0.2">
      <c r="A533" t="s">
        <v>1118</v>
      </c>
      <c r="B533" t="s">
        <v>1119</v>
      </c>
      <c r="C533" s="2">
        <v>44977</v>
      </c>
      <c r="D533" s="2">
        <v>44987</v>
      </c>
      <c r="E533">
        <f t="shared" si="8"/>
        <v>10</v>
      </c>
      <c r="F533" t="s">
        <v>19</v>
      </c>
      <c r="G533">
        <v>89223</v>
      </c>
      <c r="H533">
        <v>2883</v>
      </c>
      <c r="I533">
        <v>1643.83</v>
      </c>
      <c r="J533">
        <v>332</v>
      </c>
      <c r="K533" t="s">
        <v>24</v>
      </c>
    </row>
    <row r="534" spans="1:11" x14ac:dyDescent="0.2">
      <c r="A534" t="s">
        <v>1120</v>
      </c>
      <c r="B534" t="s">
        <v>1121</v>
      </c>
      <c r="C534" s="2">
        <v>45001</v>
      </c>
      <c r="D534" s="2">
        <v>45006</v>
      </c>
      <c r="E534">
        <f t="shared" si="8"/>
        <v>5</v>
      </c>
      <c r="F534" t="s">
        <v>14</v>
      </c>
      <c r="G534">
        <v>61890</v>
      </c>
      <c r="H534">
        <v>1065</v>
      </c>
      <c r="I534">
        <v>1043.1400000000001</v>
      </c>
      <c r="J534">
        <v>137</v>
      </c>
      <c r="K534">
        <v>0</v>
      </c>
    </row>
    <row r="535" spans="1:11" x14ac:dyDescent="0.2">
      <c r="A535" t="s">
        <v>1122</v>
      </c>
      <c r="B535" t="s">
        <v>1123</v>
      </c>
      <c r="C535" s="2">
        <v>45168</v>
      </c>
      <c r="D535" s="2">
        <v>45177</v>
      </c>
      <c r="E535">
        <f t="shared" si="8"/>
        <v>9</v>
      </c>
      <c r="F535" t="s">
        <v>415</v>
      </c>
      <c r="G535">
        <v>67387</v>
      </c>
      <c r="H535">
        <v>819</v>
      </c>
      <c r="I535">
        <v>947.8</v>
      </c>
      <c r="J535">
        <v>65</v>
      </c>
      <c r="K535" t="b">
        <v>0</v>
      </c>
    </row>
    <row r="536" spans="1:11" x14ac:dyDescent="0.2">
      <c r="A536" t="s">
        <v>1124</v>
      </c>
      <c r="B536" t="s">
        <v>1125</v>
      </c>
      <c r="C536" s="2">
        <v>45288</v>
      </c>
      <c r="D536" s="2">
        <v>45303</v>
      </c>
      <c r="E536">
        <f t="shared" si="8"/>
        <v>15</v>
      </c>
      <c r="F536" t="s">
        <v>19</v>
      </c>
      <c r="G536">
        <v>19071</v>
      </c>
      <c r="H536">
        <v>434</v>
      </c>
      <c r="I536">
        <v>802.42</v>
      </c>
      <c r="J536">
        <v>70</v>
      </c>
      <c r="K536">
        <v>1</v>
      </c>
    </row>
    <row r="537" spans="1:11" x14ac:dyDescent="0.2">
      <c r="A537" t="s">
        <v>1126</v>
      </c>
      <c r="B537" t="s">
        <v>1127</v>
      </c>
      <c r="C537" s="2">
        <v>44997</v>
      </c>
      <c r="D537" s="2">
        <v>45201</v>
      </c>
      <c r="E537">
        <f t="shared" si="8"/>
        <v>204</v>
      </c>
      <c r="F537" t="s">
        <v>14</v>
      </c>
      <c r="G537">
        <v>60275</v>
      </c>
      <c r="H537">
        <v>2418</v>
      </c>
      <c r="I537">
        <v>4699.12</v>
      </c>
      <c r="J537">
        <v>391</v>
      </c>
      <c r="K537">
        <v>1</v>
      </c>
    </row>
    <row r="538" spans="1:11" x14ac:dyDescent="0.2">
      <c r="A538" t="s">
        <v>1128</v>
      </c>
      <c r="B538" t="s">
        <v>1129</v>
      </c>
      <c r="C538" s="2">
        <v>45037</v>
      </c>
      <c r="D538" s="2">
        <v>45067</v>
      </c>
      <c r="E538">
        <f t="shared" si="8"/>
        <v>30</v>
      </c>
      <c r="F538" t="s">
        <v>33</v>
      </c>
      <c r="G538">
        <v>73369</v>
      </c>
      <c r="H538">
        <v>1524</v>
      </c>
      <c r="I538">
        <v>1777.25</v>
      </c>
      <c r="K538" t="s">
        <v>24</v>
      </c>
    </row>
    <row r="539" spans="1:11" x14ac:dyDescent="0.2">
      <c r="A539" t="s">
        <v>1130</v>
      </c>
      <c r="B539" t="s">
        <v>1131</v>
      </c>
      <c r="C539" s="2">
        <v>45238</v>
      </c>
      <c r="D539" s="2">
        <v>45267</v>
      </c>
      <c r="E539">
        <f t="shared" si="8"/>
        <v>29</v>
      </c>
      <c r="F539" t="s">
        <v>41</v>
      </c>
      <c r="G539">
        <v>12938</v>
      </c>
      <c r="H539">
        <v>408</v>
      </c>
      <c r="I539">
        <v>663.02</v>
      </c>
      <c r="J539">
        <v>74</v>
      </c>
      <c r="K539" t="s">
        <v>30</v>
      </c>
    </row>
    <row r="540" spans="1:11" x14ac:dyDescent="0.2">
      <c r="A540" t="s">
        <v>1132</v>
      </c>
      <c r="B540" t="s">
        <v>1133</v>
      </c>
      <c r="C540" s="2">
        <v>45074</v>
      </c>
      <c r="D540" s="2">
        <v>45100</v>
      </c>
      <c r="E540">
        <f t="shared" si="8"/>
        <v>26</v>
      </c>
      <c r="F540" t="s">
        <v>23</v>
      </c>
      <c r="G540">
        <v>36195</v>
      </c>
      <c r="H540">
        <v>1415</v>
      </c>
      <c r="I540">
        <v>1835.95</v>
      </c>
      <c r="J540">
        <v>127</v>
      </c>
      <c r="K540">
        <v>0</v>
      </c>
    </row>
    <row r="541" spans="1:11" x14ac:dyDescent="0.2">
      <c r="A541" t="s">
        <v>1134</v>
      </c>
      <c r="B541" t="s">
        <v>1135</v>
      </c>
      <c r="C541" s="2">
        <v>45049</v>
      </c>
      <c r="D541" s="2">
        <v>45079</v>
      </c>
      <c r="E541">
        <f t="shared" si="8"/>
        <v>30</v>
      </c>
      <c r="F541" t="s">
        <v>19</v>
      </c>
      <c r="G541">
        <v>92680</v>
      </c>
      <c r="H541">
        <v>1326</v>
      </c>
      <c r="I541">
        <v>1732.65</v>
      </c>
      <c r="J541">
        <v>261</v>
      </c>
      <c r="K541" t="b">
        <v>0</v>
      </c>
    </row>
    <row r="542" spans="1:11" x14ac:dyDescent="0.2">
      <c r="A542" t="s">
        <v>1136</v>
      </c>
      <c r="B542" t="s">
        <v>1137</v>
      </c>
      <c r="C542" s="2">
        <v>45161</v>
      </c>
      <c r="D542" s="2">
        <v>45168</v>
      </c>
      <c r="E542">
        <f t="shared" si="8"/>
        <v>7</v>
      </c>
      <c r="F542" t="s">
        <v>23</v>
      </c>
      <c r="G542">
        <v>5000</v>
      </c>
      <c r="H542">
        <v>187</v>
      </c>
      <c r="I542">
        <v>171.51</v>
      </c>
      <c r="J542">
        <v>20</v>
      </c>
      <c r="K542" t="b">
        <v>1</v>
      </c>
    </row>
    <row r="543" spans="1:11" x14ac:dyDescent="0.2">
      <c r="A543" t="s">
        <v>1139</v>
      </c>
      <c r="B543" t="s">
        <v>1140</v>
      </c>
      <c r="C543" s="2">
        <v>45182</v>
      </c>
      <c r="D543" s="2">
        <v>45186</v>
      </c>
      <c r="E543">
        <f t="shared" si="8"/>
        <v>4</v>
      </c>
      <c r="F543" t="s">
        <v>14</v>
      </c>
      <c r="G543">
        <v>71588</v>
      </c>
      <c r="H543">
        <v>978</v>
      </c>
      <c r="I543">
        <v>807.27</v>
      </c>
      <c r="J543">
        <v>74</v>
      </c>
      <c r="K543">
        <v>1</v>
      </c>
    </row>
    <row r="544" spans="1:11" x14ac:dyDescent="0.2">
      <c r="A544" t="s">
        <v>1141</v>
      </c>
      <c r="B544" t="s">
        <v>1142</v>
      </c>
      <c r="C544" s="2">
        <v>45190</v>
      </c>
      <c r="D544" s="2">
        <v>45220</v>
      </c>
      <c r="E544">
        <f t="shared" si="8"/>
        <v>30</v>
      </c>
      <c r="F544" t="s">
        <v>14</v>
      </c>
      <c r="G544">
        <v>94610</v>
      </c>
      <c r="H544">
        <v>4598</v>
      </c>
      <c r="I544">
        <v>4285.37</v>
      </c>
      <c r="J544">
        <v>472</v>
      </c>
      <c r="K544" t="b">
        <v>1</v>
      </c>
    </row>
    <row r="545" spans="1:11" x14ac:dyDescent="0.2">
      <c r="A545" t="s">
        <v>1143</v>
      </c>
      <c r="B545" t="s">
        <v>1144</v>
      </c>
      <c r="C545" s="2">
        <v>45076</v>
      </c>
      <c r="D545" s="2">
        <v>45097</v>
      </c>
      <c r="E545">
        <f t="shared" si="8"/>
        <v>21</v>
      </c>
      <c r="F545" t="s">
        <v>41</v>
      </c>
      <c r="G545">
        <v>98856</v>
      </c>
      <c r="H545">
        <v>2919</v>
      </c>
      <c r="I545">
        <v>3895.38</v>
      </c>
      <c r="J545">
        <v>338</v>
      </c>
      <c r="K545" t="b">
        <v>0</v>
      </c>
    </row>
    <row r="546" spans="1:11" x14ac:dyDescent="0.2">
      <c r="A546" t="s">
        <v>1145</v>
      </c>
      <c r="B546" t="s">
        <v>1146</v>
      </c>
      <c r="C546" s="2">
        <v>45050</v>
      </c>
      <c r="D546" s="2">
        <v>45074</v>
      </c>
      <c r="E546">
        <f t="shared" si="8"/>
        <v>24</v>
      </c>
      <c r="F546" t="s">
        <v>23</v>
      </c>
      <c r="G546">
        <v>39304</v>
      </c>
      <c r="H546">
        <v>629</v>
      </c>
      <c r="I546">
        <v>342.01</v>
      </c>
      <c r="J546">
        <v>37</v>
      </c>
      <c r="K546" t="s">
        <v>24</v>
      </c>
    </row>
    <row r="547" spans="1:11" x14ac:dyDescent="0.2">
      <c r="A547" t="s">
        <v>1147</v>
      </c>
      <c r="B547" t="s">
        <v>1148</v>
      </c>
      <c r="C547" s="2">
        <v>45181</v>
      </c>
      <c r="D547" s="2">
        <v>45291</v>
      </c>
      <c r="E547">
        <f t="shared" si="8"/>
        <v>110</v>
      </c>
      <c r="F547" t="s">
        <v>19</v>
      </c>
      <c r="G547">
        <v>70449</v>
      </c>
      <c r="H547">
        <v>1669</v>
      </c>
      <c r="I547">
        <v>3105.8</v>
      </c>
      <c r="J547">
        <v>228</v>
      </c>
      <c r="K547">
        <v>1</v>
      </c>
    </row>
    <row r="548" spans="1:11" x14ac:dyDescent="0.2">
      <c r="A548" t="s">
        <v>1149</v>
      </c>
      <c r="B548" t="s">
        <v>1150</v>
      </c>
      <c r="C548" s="2">
        <v>45023</v>
      </c>
      <c r="D548" s="2">
        <v>45137</v>
      </c>
      <c r="E548">
        <f t="shared" si="8"/>
        <v>114</v>
      </c>
      <c r="F548" t="s">
        <v>19</v>
      </c>
      <c r="G548">
        <v>83986</v>
      </c>
      <c r="H548">
        <v>2228</v>
      </c>
      <c r="I548">
        <v>1636.3</v>
      </c>
      <c r="J548">
        <v>311</v>
      </c>
      <c r="K548">
        <v>1</v>
      </c>
    </row>
    <row r="549" spans="1:11" x14ac:dyDescent="0.2">
      <c r="A549" t="s">
        <v>1151</v>
      </c>
      <c r="B549" t="s">
        <v>1152</v>
      </c>
      <c r="C549" s="2">
        <v>45196</v>
      </c>
      <c r="D549" s="2">
        <v>45197</v>
      </c>
      <c r="E549">
        <f t="shared" si="8"/>
        <v>1</v>
      </c>
      <c r="F549" t="s">
        <v>41</v>
      </c>
      <c r="G549">
        <v>90643</v>
      </c>
      <c r="H549">
        <v>3655</v>
      </c>
      <c r="I549">
        <v>3034.14</v>
      </c>
      <c r="J549">
        <v>587</v>
      </c>
      <c r="K549">
        <v>0</v>
      </c>
    </row>
    <row r="550" spans="1:11" x14ac:dyDescent="0.2">
      <c r="A550" t="s">
        <v>1153</v>
      </c>
      <c r="B550" t="s">
        <v>1154</v>
      </c>
      <c r="C550" s="2">
        <v>45186</v>
      </c>
      <c r="D550" s="2">
        <v>45215</v>
      </c>
      <c r="E550">
        <f t="shared" si="8"/>
        <v>29</v>
      </c>
      <c r="F550" t="s">
        <v>14</v>
      </c>
      <c r="G550">
        <v>21764</v>
      </c>
      <c r="H550">
        <v>864</v>
      </c>
      <c r="I550">
        <v>1103.69</v>
      </c>
      <c r="J550">
        <v>46</v>
      </c>
      <c r="K550" t="b">
        <v>1</v>
      </c>
    </row>
    <row r="551" spans="1:11" x14ac:dyDescent="0.2">
      <c r="A551" t="s">
        <v>1155</v>
      </c>
      <c r="B551" t="s">
        <v>1156</v>
      </c>
      <c r="C551" s="2">
        <v>45167</v>
      </c>
      <c r="D551" s="2">
        <v>45197</v>
      </c>
      <c r="E551">
        <f t="shared" si="8"/>
        <v>30</v>
      </c>
      <c r="F551" t="s">
        <v>19</v>
      </c>
      <c r="G551">
        <v>87027</v>
      </c>
      <c r="H551">
        <v>3000</v>
      </c>
      <c r="I551">
        <v>4695.5200000000004</v>
      </c>
      <c r="J551">
        <v>393</v>
      </c>
      <c r="K551" t="s">
        <v>24</v>
      </c>
    </row>
    <row r="552" spans="1:11" x14ac:dyDescent="0.2">
      <c r="A552" t="s">
        <v>1158</v>
      </c>
      <c r="B552" t="s">
        <v>1159</v>
      </c>
      <c r="C552" s="2">
        <v>45125</v>
      </c>
      <c r="D552" s="2">
        <v>45155</v>
      </c>
      <c r="E552">
        <f t="shared" si="8"/>
        <v>30</v>
      </c>
      <c r="F552" t="s">
        <v>41</v>
      </c>
      <c r="G552">
        <v>39494</v>
      </c>
      <c r="H552">
        <v>562</v>
      </c>
      <c r="I552">
        <v>361.7</v>
      </c>
      <c r="J552">
        <v>32</v>
      </c>
      <c r="K552">
        <v>0</v>
      </c>
    </row>
    <row r="553" spans="1:11" x14ac:dyDescent="0.2">
      <c r="A553" t="s">
        <v>1160</v>
      </c>
      <c r="B553" t="s">
        <v>1161</v>
      </c>
      <c r="C553" s="2">
        <v>44935</v>
      </c>
      <c r="D553" s="2">
        <v>45186</v>
      </c>
      <c r="E553">
        <f t="shared" si="8"/>
        <v>251</v>
      </c>
      <c r="F553" t="s">
        <v>33</v>
      </c>
      <c r="G553">
        <v>4373</v>
      </c>
      <c r="H553">
        <v>70</v>
      </c>
      <c r="I553">
        <v>68.36</v>
      </c>
      <c r="J553">
        <v>10</v>
      </c>
      <c r="K553" t="s">
        <v>15</v>
      </c>
    </row>
    <row r="554" spans="1:11" x14ac:dyDescent="0.2">
      <c r="A554" t="s">
        <v>1162</v>
      </c>
      <c r="B554" t="s">
        <v>1163</v>
      </c>
      <c r="C554" s="2">
        <v>45050</v>
      </c>
      <c r="D554" s="2">
        <v>45056</v>
      </c>
      <c r="E554">
        <f t="shared" si="8"/>
        <v>6</v>
      </c>
      <c r="F554" t="s">
        <v>33</v>
      </c>
      <c r="G554">
        <v>13161</v>
      </c>
      <c r="H554">
        <v>180</v>
      </c>
      <c r="I554">
        <v>351.54</v>
      </c>
      <c r="J554">
        <v>10</v>
      </c>
      <c r="K554" t="b">
        <v>1</v>
      </c>
    </row>
    <row r="555" spans="1:11" x14ac:dyDescent="0.2">
      <c r="A555" t="s">
        <v>1164</v>
      </c>
      <c r="B555" t="s">
        <v>1165</v>
      </c>
      <c r="C555" s="2">
        <v>45224</v>
      </c>
      <c r="D555" s="2">
        <v>45225</v>
      </c>
      <c r="E555">
        <f t="shared" si="8"/>
        <v>1</v>
      </c>
      <c r="F555" t="s">
        <v>14</v>
      </c>
      <c r="G555">
        <v>98532</v>
      </c>
      <c r="H555">
        <v>3260</v>
      </c>
      <c r="I555">
        <v>2912.86</v>
      </c>
      <c r="J555">
        <v>608</v>
      </c>
      <c r="K555" t="b">
        <v>1</v>
      </c>
    </row>
    <row r="556" spans="1:11" x14ac:dyDescent="0.2">
      <c r="A556" t="s">
        <v>1166</v>
      </c>
      <c r="B556" t="s">
        <v>1167</v>
      </c>
      <c r="C556" s="2">
        <v>44949</v>
      </c>
      <c r="D556" s="2">
        <v>44953</v>
      </c>
      <c r="E556">
        <f t="shared" si="8"/>
        <v>4</v>
      </c>
      <c r="F556" t="s">
        <v>19</v>
      </c>
      <c r="G556">
        <v>93658</v>
      </c>
      <c r="H556">
        <v>4222</v>
      </c>
      <c r="I556">
        <v>4093.55</v>
      </c>
      <c r="J556">
        <v>655</v>
      </c>
      <c r="K556" t="s">
        <v>15</v>
      </c>
    </row>
    <row r="557" spans="1:11" x14ac:dyDescent="0.2">
      <c r="A557" t="s">
        <v>1168</v>
      </c>
      <c r="B557" t="s">
        <v>1169</v>
      </c>
      <c r="C557" s="2">
        <v>45256</v>
      </c>
      <c r="D557" s="2">
        <v>45259</v>
      </c>
      <c r="E557">
        <f t="shared" si="8"/>
        <v>3</v>
      </c>
      <c r="F557" t="s">
        <v>138</v>
      </c>
      <c r="G557">
        <v>28350</v>
      </c>
      <c r="H557">
        <v>775</v>
      </c>
      <c r="I557">
        <v>1359.93</v>
      </c>
      <c r="K557" t="b">
        <v>0</v>
      </c>
    </row>
    <row r="558" spans="1:11" x14ac:dyDescent="0.2">
      <c r="A558" t="s">
        <v>1170</v>
      </c>
      <c r="B558" t="s">
        <v>1171</v>
      </c>
      <c r="C558" s="2">
        <v>45164</v>
      </c>
      <c r="D558" s="2">
        <v>45188</v>
      </c>
      <c r="E558">
        <f t="shared" si="8"/>
        <v>24</v>
      </c>
      <c r="F558" t="s">
        <v>23</v>
      </c>
      <c r="G558">
        <v>94008</v>
      </c>
      <c r="H558">
        <v>1544</v>
      </c>
      <c r="I558" s="3">
        <v>888.3</v>
      </c>
      <c r="J558">
        <v>179</v>
      </c>
      <c r="K558" t="b">
        <v>0</v>
      </c>
    </row>
    <row r="559" spans="1:11" x14ac:dyDescent="0.2">
      <c r="A559" t="s">
        <v>1172</v>
      </c>
      <c r="B559" t="s">
        <v>1173</v>
      </c>
      <c r="C559" s="2">
        <v>45020</v>
      </c>
      <c r="D559" s="2">
        <v>45028</v>
      </c>
      <c r="E559">
        <f t="shared" si="8"/>
        <v>8</v>
      </c>
      <c r="F559" t="s">
        <v>14</v>
      </c>
      <c r="G559">
        <v>95297</v>
      </c>
      <c r="H559">
        <v>3080</v>
      </c>
      <c r="I559">
        <v>3686.51</v>
      </c>
      <c r="J559">
        <v>214</v>
      </c>
      <c r="K559">
        <v>1</v>
      </c>
    </row>
    <row r="560" spans="1:11" x14ac:dyDescent="0.2">
      <c r="A560" t="s">
        <v>1174</v>
      </c>
      <c r="B560" t="s">
        <v>1175</v>
      </c>
      <c r="C560" s="2">
        <v>45161</v>
      </c>
      <c r="D560" s="2">
        <v>45176</v>
      </c>
      <c r="E560">
        <f t="shared" si="8"/>
        <v>15</v>
      </c>
      <c r="F560" t="s">
        <v>33</v>
      </c>
      <c r="G560">
        <v>26351</v>
      </c>
      <c r="H560">
        <v>1119</v>
      </c>
      <c r="I560">
        <v>1196.69</v>
      </c>
      <c r="K560" t="s">
        <v>30</v>
      </c>
    </row>
    <row r="561" spans="1:11" x14ac:dyDescent="0.2">
      <c r="A561" t="s">
        <v>1176</v>
      </c>
      <c r="B561" t="s">
        <v>1177</v>
      </c>
      <c r="C561" s="2">
        <v>45030</v>
      </c>
      <c r="D561" s="2">
        <v>45058</v>
      </c>
      <c r="E561">
        <f t="shared" si="8"/>
        <v>28</v>
      </c>
      <c r="F561" t="s">
        <v>14</v>
      </c>
      <c r="G561">
        <v>89668</v>
      </c>
      <c r="H561">
        <v>3556</v>
      </c>
      <c r="I561">
        <v>3466.67</v>
      </c>
      <c r="J561">
        <v>641</v>
      </c>
      <c r="K561">
        <v>0</v>
      </c>
    </row>
    <row r="562" spans="1:11" x14ac:dyDescent="0.2">
      <c r="A562" t="s">
        <v>1179</v>
      </c>
      <c r="B562" t="s">
        <v>1180</v>
      </c>
      <c r="C562" s="2">
        <v>45029</v>
      </c>
      <c r="D562" s="2">
        <v>45058</v>
      </c>
      <c r="E562">
        <f t="shared" si="8"/>
        <v>29</v>
      </c>
      <c r="F562" t="s">
        <v>23</v>
      </c>
      <c r="G562">
        <v>16305</v>
      </c>
      <c r="H562">
        <v>737</v>
      </c>
      <c r="I562">
        <v>684.34</v>
      </c>
      <c r="J562">
        <v>136</v>
      </c>
      <c r="K562" t="s">
        <v>30</v>
      </c>
    </row>
    <row r="563" spans="1:11" x14ac:dyDescent="0.2">
      <c r="A563" t="s">
        <v>1181</v>
      </c>
      <c r="B563" t="s">
        <v>1182</v>
      </c>
      <c r="C563" s="2">
        <v>45085</v>
      </c>
      <c r="D563" s="2">
        <v>45104</v>
      </c>
      <c r="E563">
        <f t="shared" si="8"/>
        <v>19</v>
      </c>
      <c r="F563" t="s">
        <v>23</v>
      </c>
      <c r="G563">
        <v>76353</v>
      </c>
      <c r="H563">
        <v>1612</v>
      </c>
      <c r="I563">
        <v>1026.94</v>
      </c>
      <c r="J563">
        <v>80</v>
      </c>
      <c r="K563">
        <v>1</v>
      </c>
    </row>
    <row r="564" spans="1:11" x14ac:dyDescent="0.2">
      <c r="A564" t="s">
        <v>1183</v>
      </c>
      <c r="B564" t="s">
        <v>1184</v>
      </c>
      <c r="C564" s="2">
        <v>45110</v>
      </c>
      <c r="D564" s="2">
        <v>45205</v>
      </c>
      <c r="E564">
        <f t="shared" si="8"/>
        <v>95</v>
      </c>
      <c r="F564" t="s">
        <v>138</v>
      </c>
      <c r="G564">
        <v>77797</v>
      </c>
      <c r="H564">
        <v>1381</v>
      </c>
      <c r="I564">
        <v>1342.66</v>
      </c>
      <c r="J564">
        <v>192</v>
      </c>
      <c r="K564" t="s">
        <v>30</v>
      </c>
    </row>
    <row r="565" spans="1:11" x14ac:dyDescent="0.2">
      <c r="A565" t="s">
        <v>1185</v>
      </c>
      <c r="B565" t="s">
        <v>1186</v>
      </c>
      <c r="C565" s="2">
        <v>45258</v>
      </c>
      <c r="D565" s="2">
        <v>45276</v>
      </c>
      <c r="E565">
        <f t="shared" si="8"/>
        <v>18</v>
      </c>
      <c r="F565" t="s">
        <v>19</v>
      </c>
      <c r="G565">
        <v>66953</v>
      </c>
      <c r="H565">
        <v>3025</v>
      </c>
      <c r="I565">
        <v>1707.85</v>
      </c>
      <c r="J565">
        <v>477</v>
      </c>
      <c r="K565" t="b">
        <v>1</v>
      </c>
    </row>
    <row r="566" spans="1:11" x14ac:dyDescent="0.2">
      <c r="A566" t="s">
        <v>1187</v>
      </c>
      <c r="B566" t="s">
        <v>1188</v>
      </c>
      <c r="C566" s="2">
        <v>44951</v>
      </c>
      <c r="D566" s="2">
        <v>44960</v>
      </c>
      <c r="E566">
        <f t="shared" si="8"/>
        <v>9</v>
      </c>
      <c r="F566" t="s">
        <v>33</v>
      </c>
      <c r="G566">
        <v>58458</v>
      </c>
      <c r="H566">
        <v>2122</v>
      </c>
      <c r="I566">
        <v>3546.81</v>
      </c>
      <c r="J566">
        <v>303</v>
      </c>
      <c r="K566" t="b">
        <v>1</v>
      </c>
    </row>
    <row r="567" spans="1:11" x14ac:dyDescent="0.2">
      <c r="A567" t="s">
        <v>1189</v>
      </c>
      <c r="B567" t="s">
        <v>1190</v>
      </c>
      <c r="C567" s="2">
        <v>44990</v>
      </c>
      <c r="D567" s="2">
        <v>44999</v>
      </c>
      <c r="E567">
        <f t="shared" si="8"/>
        <v>9</v>
      </c>
      <c r="F567" t="s">
        <v>41</v>
      </c>
      <c r="G567">
        <v>21358</v>
      </c>
      <c r="H567">
        <v>479</v>
      </c>
      <c r="I567">
        <v>525.63</v>
      </c>
      <c r="J567">
        <v>29</v>
      </c>
      <c r="K567" t="s">
        <v>15</v>
      </c>
    </row>
    <row r="568" spans="1:11" x14ac:dyDescent="0.2">
      <c r="A568" t="s">
        <v>1191</v>
      </c>
      <c r="B568" t="s">
        <v>1192</v>
      </c>
      <c r="C568" s="2">
        <v>45131</v>
      </c>
      <c r="D568" s="2">
        <v>45132</v>
      </c>
      <c r="E568">
        <f t="shared" si="8"/>
        <v>1</v>
      </c>
      <c r="F568" t="s">
        <v>138</v>
      </c>
      <c r="G568">
        <v>4267</v>
      </c>
      <c r="H568">
        <v>169</v>
      </c>
      <c r="I568">
        <v>197.03</v>
      </c>
      <c r="J568">
        <v>13</v>
      </c>
      <c r="K568" t="s">
        <v>15</v>
      </c>
    </row>
    <row r="569" spans="1:11" x14ac:dyDescent="0.2">
      <c r="A569" t="s">
        <v>1193</v>
      </c>
      <c r="B569" t="s">
        <v>1194</v>
      </c>
      <c r="C569" s="2">
        <v>45124</v>
      </c>
      <c r="D569" s="2">
        <v>45147</v>
      </c>
      <c r="E569">
        <f t="shared" si="8"/>
        <v>23</v>
      </c>
      <c r="F569" t="s">
        <v>41</v>
      </c>
      <c r="G569">
        <v>83745</v>
      </c>
      <c r="H569">
        <v>3567</v>
      </c>
      <c r="I569">
        <v>6564.68</v>
      </c>
      <c r="J569">
        <v>312</v>
      </c>
      <c r="K569">
        <v>1</v>
      </c>
    </row>
    <row r="570" spans="1:11" x14ac:dyDescent="0.2">
      <c r="A570" t="s">
        <v>1195</v>
      </c>
      <c r="B570" t="s">
        <v>1196</v>
      </c>
      <c r="C570" s="2">
        <v>45281</v>
      </c>
      <c r="D570" s="2">
        <v>45300</v>
      </c>
      <c r="E570">
        <f t="shared" si="8"/>
        <v>19</v>
      </c>
      <c r="F570" t="s">
        <v>14</v>
      </c>
      <c r="G570">
        <v>90588</v>
      </c>
      <c r="H570">
        <v>3134</v>
      </c>
      <c r="I570">
        <v>4660.5200000000004</v>
      </c>
      <c r="J570">
        <v>547</v>
      </c>
      <c r="K570">
        <v>1</v>
      </c>
    </row>
    <row r="571" spans="1:11" x14ac:dyDescent="0.2">
      <c r="A571" t="s">
        <v>1197</v>
      </c>
      <c r="B571" t="s">
        <v>1198</v>
      </c>
      <c r="C571" s="2">
        <v>45192</v>
      </c>
      <c r="D571" s="2">
        <v>45208</v>
      </c>
      <c r="E571">
        <f t="shared" si="8"/>
        <v>16</v>
      </c>
      <c r="F571" t="s">
        <v>41</v>
      </c>
      <c r="G571">
        <v>39513</v>
      </c>
      <c r="H571">
        <v>1482</v>
      </c>
      <c r="I571" s="3">
        <v>758.92</v>
      </c>
      <c r="J571">
        <v>177</v>
      </c>
      <c r="K571" t="s">
        <v>24</v>
      </c>
    </row>
    <row r="572" spans="1:11" x14ac:dyDescent="0.2">
      <c r="A572" t="s">
        <v>1199</v>
      </c>
      <c r="B572" t="s">
        <v>1200</v>
      </c>
      <c r="C572" s="2">
        <v>45085</v>
      </c>
      <c r="D572" s="2">
        <v>45147</v>
      </c>
      <c r="E572">
        <f t="shared" si="8"/>
        <v>62</v>
      </c>
      <c r="F572" t="s">
        <v>19</v>
      </c>
      <c r="G572">
        <v>27092</v>
      </c>
      <c r="H572">
        <v>677</v>
      </c>
      <c r="I572">
        <v>1296.29</v>
      </c>
      <c r="J572">
        <v>83</v>
      </c>
      <c r="K572">
        <v>1</v>
      </c>
    </row>
    <row r="573" spans="1:11" x14ac:dyDescent="0.2">
      <c r="A573" t="s">
        <v>1201</v>
      </c>
      <c r="B573" t="s">
        <v>1202</v>
      </c>
      <c r="C573" s="2">
        <v>45235</v>
      </c>
      <c r="D573" s="2">
        <v>45259</v>
      </c>
      <c r="E573">
        <f t="shared" si="8"/>
        <v>24</v>
      </c>
      <c r="F573" t="s">
        <v>33</v>
      </c>
      <c r="G573">
        <v>12338</v>
      </c>
      <c r="H573">
        <v>389</v>
      </c>
      <c r="I573">
        <v>332.87</v>
      </c>
      <c r="J573">
        <v>74</v>
      </c>
      <c r="K573" t="b">
        <v>1</v>
      </c>
    </row>
    <row r="574" spans="1:11" x14ac:dyDescent="0.2">
      <c r="A574" t="s">
        <v>1203</v>
      </c>
      <c r="B574" t="s">
        <v>1204</v>
      </c>
      <c r="C574" s="2">
        <v>45077</v>
      </c>
      <c r="D574" s="2">
        <v>45100</v>
      </c>
      <c r="E574">
        <f t="shared" si="8"/>
        <v>23</v>
      </c>
      <c r="F574" t="s">
        <v>41</v>
      </c>
      <c r="G574">
        <v>1412</v>
      </c>
      <c r="H574">
        <v>43</v>
      </c>
      <c r="I574" s="3">
        <v>28.44</v>
      </c>
      <c r="J574">
        <v>6</v>
      </c>
      <c r="K574" t="s">
        <v>30</v>
      </c>
    </row>
    <row r="575" spans="1:11" x14ac:dyDescent="0.2">
      <c r="A575" t="s">
        <v>1205</v>
      </c>
      <c r="B575" t="s">
        <v>1206</v>
      </c>
      <c r="C575" s="2">
        <v>45265</v>
      </c>
      <c r="D575" s="2">
        <v>45270</v>
      </c>
      <c r="E575">
        <f t="shared" si="8"/>
        <v>5</v>
      </c>
      <c r="F575" t="s">
        <v>138</v>
      </c>
      <c r="G575">
        <v>8543</v>
      </c>
      <c r="H575">
        <v>375</v>
      </c>
      <c r="I575">
        <v>619.57000000000005</v>
      </c>
      <c r="J575">
        <v>69</v>
      </c>
      <c r="K575">
        <v>0</v>
      </c>
    </row>
    <row r="576" spans="1:11" x14ac:dyDescent="0.2">
      <c r="A576" t="s">
        <v>1207</v>
      </c>
      <c r="B576" t="s">
        <v>1208</v>
      </c>
      <c r="C576" s="2">
        <v>45145</v>
      </c>
      <c r="D576" s="2">
        <v>45152</v>
      </c>
      <c r="E576">
        <f t="shared" si="8"/>
        <v>7</v>
      </c>
      <c r="F576" t="s">
        <v>19</v>
      </c>
      <c r="G576">
        <v>34496</v>
      </c>
      <c r="H576">
        <v>1503</v>
      </c>
      <c r="I576">
        <v>1879.83</v>
      </c>
      <c r="J576">
        <v>178</v>
      </c>
      <c r="K576" t="s">
        <v>24</v>
      </c>
    </row>
    <row r="577" spans="1:11" x14ac:dyDescent="0.2">
      <c r="A577" t="s">
        <v>1209</v>
      </c>
      <c r="B577" t="s">
        <v>1210</v>
      </c>
      <c r="C577" s="2">
        <v>45155</v>
      </c>
      <c r="D577" s="2">
        <v>45158</v>
      </c>
      <c r="E577">
        <f t="shared" si="8"/>
        <v>3</v>
      </c>
      <c r="F577" t="s">
        <v>19</v>
      </c>
      <c r="G577">
        <v>61692</v>
      </c>
      <c r="H577">
        <v>2671</v>
      </c>
      <c r="I577" s="3">
        <v>3073.4</v>
      </c>
      <c r="J577">
        <v>193</v>
      </c>
      <c r="K577" t="s">
        <v>24</v>
      </c>
    </row>
    <row r="578" spans="1:11" x14ac:dyDescent="0.2">
      <c r="A578" t="s">
        <v>1212</v>
      </c>
      <c r="B578" t="s">
        <v>1213</v>
      </c>
      <c r="C578" s="2">
        <v>45107</v>
      </c>
      <c r="D578" s="2">
        <v>45120</v>
      </c>
      <c r="E578">
        <f t="shared" ref="E578:E641" si="9">D578-C578</f>
        <v>13</v>
      </c>
      <c r="F578" t="s">
        <v>19</v>
      </c>
      <c r="G578">
        <v>90084</v>
      </c>
      <c r="H578">
        <v>940</v>
      </c>
      <c r="I578">
        <v>-821.8</v>
      </c>
      <c r="J578">
        <v>178</v>
      </c>
      <c r="K578" t="s">
        <v>24</v>
      </c>
    </row>
    <row r="579" spans="1:11" x14ac:dyDescent="0.2">
      <c r="A579" t="s">
        <v>1214</v>
      </c>
      <c r="B579" t="s">
        <v>1215</v>
      </c>
      <c r="C579" s="2">
        <v>45254</v>
      </c>
      <c r="D579" s="2">
        <v>45276</v>
      </c>
      <c r="E579">
        <f t="shared" si="9"/>
        <v>22</v>
      </c>
      <c r="F579" t="s">
        <v>14</v>
      </c>
      <c r="G579">
        <v>93920</v>
      </c>
      <c r="H579">
        <v>3755</v>
      </c>
      <c r="I579" s="3">
        <v>4961.13</v>
      </c>
      <c r="J579">
        <v>446</v>
      </c>
      <c r="K579">
        <v>1</v>
      </c>
    </row>
    <row r="580" spans="1:11" x14ac:dyDescent="0.2">
      <c r="A580" t="s">
        <v>1216</v>
      </c>
      <c r="B580" t="s">
        <v>1217</v>
      </c>
      <c r="C580" s="2">
        <v>44965</v>
      </c>
      <c r="D580" s="2">
        <v>44978</v>
      </c>
      <c r="E580">
        <f t="shared" si="9"/>
        <v>13</v>
      </c>
      <c r="F580" t="s">
        <v>14</v>
      </c>
      <c r="G580">
        <v>45425</v>
      </c>
      <c r="H580">
        <v>1832</v>
      </c>
      <c r="I580">
        <v>1670.01</v>
      </c>
      <c r="J580">
        <v>141</v>
      </c>
      <c r="K580">
        <v>1</v>
      </c>
    </row>
    <row r="581" spans="1:11" x14ac:dyDescent="0.2">
      <c r="A581" t="s">
        <v>1218</v>
      </c>
      <c r="B581" t="s">
        <v>1219</v>
      </c>
      <c r="C581" s="2">
        <v>45189</v>
      </c>
      <c r="D581" s="2">
        <v>45190</v>
      </c>
      <c r="E581">
        <f t="shared" si="9"/>
        <v>1</v>
      </c>
      <c r="F581" t="s">
        <v>14</v>
      </c>
      <c r="G581">
        <v>39756</v>
      </c>
      <c r="H581">
        <v>1476</v>
      </c>
      <c r="I581">
        <v>2734.1</v>
      </c>
      <c r="J581">
        <v>140</v>
      </c>
      <c r="K581" t="b">
        <v>1</v>
      </c>
    </row>
    <row r="582" spans="1:11" x14ac:dyDescent="0.2">
      <c r="A582" t="s">
        <v>1220</v>
      </c>
      <c r="B582" t="s">
        <v>1221</v>
      </c>
      <c r="C582" s="2">
        <v>44942</v>
      </c>
      <c r="D582" s="2">
        <v>44944</v>
      </c>
      <c r="E582">
        <f t="shared" si="9"/>
        <v>2</v>
      </c>
      <c r="F582" t="s">
        <v>41</v>
      </c>
      <c r="G582">
        <v>19888</v>
      </c>
      <c r="H582">
        <v>800</v>
      </c>
      <c r="I582">
        <v>658.25</v>
      </c>
      <c r="J582">
        <v>46</v>
      </c>
      <c r="K582">
        <v>0</v>
      </c>
    </row>
    <row r="583" spans="1:11" x14ac:dyDescent="0.2">
      <c r="A583" t="s">
        <v>1222</v>
      </c>
      <c r="B583" t="s">
        <v>1223</v>
      </c>
      <c r="C583" s="2">
        <v>45151</v>
      </c>
      <c r="D583" s="2">
        <v>45167</v>
      </c>
      <c r="E583">
        <f t="shared" si="9"/>
        <v>16</v>
      </c>
      <c r="F583" t="s">
        <v>14</v>
      </c>
      <c r="G583">
        <v>36735</v>
      </c>
      <c r="H583">
        <v>1604</v>
      </c>
      <c r="I583">
        <v>2929.76</v>
      </c>
      <c r="J583">
        <v>192</v>
      </c>
      <c r="K583" t="b">
        <v>1</v>
      </c>
    </row>
    <row r="584" spans="1:11" x14ac:dyDescent="0.2">
      <c r="A584" t="s">
        <v>1224</v>
      </c>
      <c r="B584" t="s">
        <v>1225</v>
      </c>
      <c r="C584" s="2">
        <v>44961</v>
      </c>
      <c r="D584" s="2">
        <v>44975</v>
      </c>
      <c r="E584">
        <f t="shared" si="9"/>
        <v>14</v>
      </c>
      <c r="F584" t="s">
        <v>19</v>
      </c>
      <c r="G584">
        <v>48295</v>
      </c>
      <c r="H584">
        <v>1391</v>
      </c>
      <c r="I584">
        <v>1862.7</v>
      </c>
      <c r="J584">
        <v>247</v>
      </c>
      <c r="K584">
        <v>0</v>
      </c>
    </row>
    <row r="585" spans="1:11" x14ac:dyDescent="0.2">
      <c r="A585" t="s">
        <v>1226</v>
      </c>
      <c r="B585" t="s">
        <v>1227</v>
      </c>
      <c r="C585" s="2">
        <v>45112</v>
      </c>
      <c r="D585" s="2">
        <v>45139</v>
      </c>
      <c r="E585">
        <f t="shared" si="9"/>
        <v>27</v>
      </c>
      <c r="F585" t="s">
        <v>19</v>
      </c>
      <c r="G585">
        <v>84042</v>
      </c>
      <c r="H585">
        <v>2528</v>
      </c>
      <c r="I585">
        <v>4405.63</v>
      </c>
      <c r="K585" t="b">
        <v>1</v>
      </c>
    </row>
    <row r="586" spans="1:11" x14ac:dyDescent="0.2">
      <c r="A586" t="s">
        <v>1228</v>
      </c>
      <c r="B586" t="s">
        <v>1229</v>
      </c>
      <c r="C586" s="2">
        <v>45236</v>
      </c>
      <c r="D586" s="2">
        <v>45251</v>
      </c>
      <c r="E586">
        <f t="shared" si="9"/>
        <v>15</v>
      </c>
      <c r="F586" t="s">
        <v>33</v>
      </c>
      <c r="G586">
        <v>86999</v>
      </c>
      <c r="H586">
        <v>1303</v>
      </c>
      <c r="I586">
        <v>2044.76</v>
      </c>
      <c r="J586">
        <v>247</v>
      </c>
      <c r="K586" t="s">
        <v>30</v>
      </c>
    </row>
    <row r="587" spans="1:11" x14ac:dyDescent="0.2">
      <c r="A587" t="s">
        <v>1230</v>
      </c>
      <c r="B587" t="s">
        <v>1231</v>
      </c>
      <c r="C587" s="2">
        <v>45116</v>
      </c>
      <c r="D587" s="2">
        <v>45130</v>
      </c>
      <c r="E587">
        <f t="shared" si="9"/>
        <v>14</v>
      </c>
      <c r="F587" t="s">
        <v>23</v>
      </c>
      <c r="G587">
        <v>18955</v>
      </c>
      <c r="H587">
        <v>481</v>
      </c>
      <c r="I587">
        <v>743.17</v>
      </c>
      <c r="J587">
        <v>33</v>
      </c>
      <c r="K587">
        <v>1</v>
      </c>
    </row>
    <row r="588" spans="1:11" x14ac:dyDescent="0.2">
      <c r="A588" t="s">
        <v>1232</v>
      </c>
      <c r="B588" t="s">
        <v>1233</v>
      </c>
      <c r="C588" s="2">
        <v>45220</v>
      </c>
      <c r="D588" s="2">
        <v>45226</v>
      </c>
      <c r="E588">
        <f t="shared" si="9"/>
        <v>6</v>
      </c>
      <c r="F588" t="s">
        <v>41</v>
      </c>
      <c r="G588">
        <v>38841</v>
      </c>
      <c r="H588">
        <v>1387</v>
      </c>
      <c r="I588">
        <v>1368.3</v>
      </c>
      <c r="J588">
        <v>148</v>
      </c>
      <c r="K588" t="b">
        <v>0</v>
      </c>
    </row>
    <row r="589" spans="1:11" x14ac:dyDescent="0.2">
      <c r="A589" t="s">
        <v>1234</v>
      </c>
      <c r="B589" t="s">
        <v>1235</v>
      </c>
      <c r="C589" s="2">
        <v>45087</v>
      </c>
      <c r="D589" s="2">
        <v>45088</v>
      </c>
      <c r="E589">
        <f t="shared" si="9"/>
        <v>1</v>
      </c>
      <c r="F589" t="s">
        <v>41</v>
      </c>
      <c r="G589">
        <v>71640</v>
      </c>
      <c r="H589">
        <v>2952</v>
      </c>
      <c r="I589">
        <v>2511.6999999999998</v>
      </c>
      <c r="K589" t="b">
        <v>0</v>
      </c>
    </row>
    <row r="590" spans="1:11" x14ac:dyDescent="0.2">
      <c r="A590" t="s">
        <v>1236</v>
      </c>
      <c r="B590" t="s">
        <v>1237</v>
      </c>
      <c r="C590" s="2">
        <v>44985</v>
      </c>
      <c r="D590" s="2">
        <v>45004</v>
      </c>
      <c r="E590">
        <f t="shared" si="9"/>
        <v>19</v>
      </c>
      <c r="F590" t="s">
        <v>14</v>
      </c>
      <c r="G590">
        <v>66510</v>
      </c>
      <c r="H590">
        <v>1242</v>
      </c>
      <c r="I590">
        <v>1013.88</v>
      </c>
      <c r="J590">
        <v>221</v>
      </c>
      <c r="K590">
        <v>1</v>
      </c>
    </row>
    <row r="591" spans="1:11" x14ac:dyDescent="0.2">
      <c r="A591" t="s">
        <v>1239</v>
      </c>
      <c r="B591" t="s">
        <v>1240</v>
      </c>
      <c r="C591" s="2">
        <v>45022</v>
      </c>
      <c r="D591" s="2">
        <v>45051</v>
      </c>
      <c r="E591">
        <f t="shared" si="9"/>
        <v>29</v>
      </c>
      <c r="F591" t="s">
        <v>19</v>
      </c>
      <c r="G591">
        <v>35911</v>
      </c>
      <c r="H591">
        <v>557</v>
      </c>
      <c r="I591">
        <v>994.68</v>
      </c>
      <c r="J591">
        <v>57</v>
      </c>
      <c r="K591" t="s">
        <v>24</v>
      </c>
    </row>
    <row r="592" spans="1:11" x14ac:dyDescent="0.2">
      <c r="A592" t="s">
        <v>1241</v>
      </c>
      <c r="B592" t="s">
        <v>1242</v>
      </c>
      <c r="C592" s="2">
        <v>45214</v>
      </c>
      <c r="D592" s="2">
        <v>45216</v>
      </c>
      <c r="E592">
        <f t="shared" si="9"/>
        <v>2</v>
      </c>
      <c r="F592" t="s">
        <v>138</v>
      </c>
      <c r="G592">
        <v>60031</v>
      </c>
      <c r="H592">
        <v>2192</v>
      </c>
      <c r="I592" s="3">
        <v>3793.56</v>
      </c>
      <c r="J592">
        <v>317</v>
      </c>
      <c r="K592">
        <v>1</v>
      </c>
    </row>
    <row r="593" spans="1:11" x14ac:dyDescent="0.2">
      <c r="A593" t="s">
        <v>1243</v>
      </c>
      <c r="B593" t="s">
        <v>1244</v>
      </c>
      <c r="C593" s="2">
        <v>45287</v>
      </c>
      <c r="D593" s="2">
        <v>45309</v>
      </c>
      <c r="E593">
        <f t="shared" si="9"/>
        <v>22</v>
      </c>
      <c r="F593" t="s">
        <v>191</v>
      </c>
      <c r="G593">
        <v>89726</v>
      </c>
      <c r="H593">
        <v>904</v>
      </c>
      <c r="I593">
        <v>1049.42</v>
      </c>
      <c r="J593">
        <v>142</v>
      </c>
      <c r="K593">
        <v>1</v>
      </c>
    </row>
    <row r="594" spans="1:11" x14ac:dyDescent="0.2">
      <c r="A594" t="s">
        <v>1245</v>
      </c>
      <c r="B594" t="s">
        <v>1246</v>
      </c>
      <c r="C594" s="2">
        <v>45073</v>
      </c>
      <c r="D594" s="2">
        <v>45076</v>
      </c>
      <c r="E594">
        <f t="shared" si="9"/>
        <v>3</v>
      </c>
      <c r="F594" t="s">
        <v>23</v>
      </c>
      <c r="G594">
        <v>8357</v>
      </c>
      <c r="H594">
        <v>143</v>
      </c>
      <c r="I594">
        <v>99.9</v>
      </c>
      <c r="J594">
        <v>16</v>
      </c>
      <c r="K594">
        <v>1</v>
      </c>
    </row>
    <row r="595" spans="1:11" x14ac:dyDescent="0.2">
      <c r="A595" t="s">
        <v>1247</v>
      </c>
      <c r="B595" t="s">
        <v>1248</v>
      </c>
      <c r="C595" s="2">
        <v>45029</v>
      </c>
      <c r="D595" s="2">
        <v>45054</v>
      </c>
      <c r="E595">
        <f t="shared" si="9"/>
        <v>25</v>
      </c>
      <c r="F595" t="s">
        <v>33</v>
      </c>
      <c r="G595">
        <v>33479</v>
      </c>
      <c r="H595">
        <v>373</v>
      </c>
      <c r="I595">
        <v>400.37</v>
      </c>
      <c r="J595">
        <v>35</v>
      </c>
      <c r="K595" t="s">
        <v>24</v>
      </c>
    </row>
    <row r="596" spans="1:11" x14ac:dyDescent="0.2">
      <c r="A596" t="s">
        <v>1249</v>
      </c>
      <c r="B596" t="s">
        <v>1250</v>
      </c>
      <c r="C596" s="2">
        <v>45158</v>
      </c>
      <c r="D596" s="2">
        <v>45187</v>
      </c>
      <c r="E596">
        <f t="shared" si="9"/>
        <v>29</v>
      </c>
      <c r="F596" t="s">
        <v>19</v>
      </c>
      <c r="G596">
        <v>62476</v>
      </c>
      <c r="H596">
        <v>1041</v>
      </c>
      <c r="I596">
        <v>1487.6</v>
      </c>
      <c r="J596">
        <v>202</v>
      </c>
      <c r="K596">
        <v>0</v>
      </c>
    </row>
    <row r="597" spans="1:11" x14ac:dyDescent="0.2">
      <c r="A597" t="s">
        <v>1251</v>
      </c>
      <c r="B597" t="s">
        <v>1252</v>
      </c>
      <c r="C597" s="2">
        <v>44971</v>
      </c>
      <c r="D597" s="2">
        <v>44980</v>
      </c>
      <c r="E597">
        <f t="shared" si="9"/>
        <v>9</v>
      </c>
      <c r="F597" t="s">
        <v>23</v>
      </c>
      <c r="G597">
        <v>45811</v>
      </c>
      <c r="H597">
        <v>790</v>
      </c>
      <c r="I597">
        <v>933.47</v>
      </c>
      <c r="J597">
        <v>153</v>
      </c>
      <c r="K597" t="s">
        <v>30</v>
      </c>
    </row>
    <row r="598" spans="1:11" x14ac:dyDescent="0.2">
      <c r="A598" t="s">
        <v>1253</v>
      </c>
      <c r="B598" t="s">
        <v>1254</v>
      </c>
      <c r="C598" s="2">
        <v>45090</v>
      </c>
      <c r="D598" s="2">
        <v>45113</v>
      </c>
      <c r="E598">
        <f t="shared" si="9"/>
        <v>23</v>
      </c>
      <c r="F598" t="s">
        <v>41</v>
      </c>
      <c r="G598">
        <v>37208</v>
      </c>
      <c r="H598">
        <v>949</v>
      </c>
      <c r="I598">
        <v>1585.1</v>
      </c>
      <c r="J598">
        <v>88</v>
      </c>
      <c r="K598" t="b">
        <v>0</v>
      </c>
    </row>
    <row r="599" spans="1:11" x14ac:dyDescent="0.2">
      <c r="A599" t="s">
        <v>1255</v>
      </c>
      <c r="B599" t="s">
        <v>1256</v>
      </c>
      <c r="C599" s="2">
        <v>45208</v>
      </c>
      <c r="D599" s="2">
        <v>45218</v>
      </c>
      <c r="E599">
        <f t="shared" si="9"/>
        <v>10</v>
      </c>
      <c r="F599" t="s">
        <v>23</v>
      </c>
      <c r="G599">
        <v>21150</v>
      </c>
      <c r="H599">
        <v>551</v>
      </c>
      <c r="I599">
        <v>1100.04</v>
      </c>
      <c r="J599">
        <v>67</v>
      </c>
      <c r="K599" t="s">
        <v>15</v>
      </c>
    </row>
    <row r="600" spans="1:11" x14ac:dyDescent="0.2">
      <c r="A600" t="s">
        <v>1257</v>
      </c>
      <c r="B600" t="s">
        <v>1258</v>
      </c>
      <c r="C600" s="2">
        <v>45007</v>
      </c>
      <c r="D600" s="2">
        <v>45031</v>
      </c>
      <c r="E600">
        <f t="shared" si="9"/>
        <v>24</v>
      </c>
      <c r="F600" t="s">
        <v>14</v>
      </c>
      <c r="G600">
        <v>72180</v>
      </c>
      <c r="H600">
        <v>3245</v>
      </c>
      <c r="I600">
        <v>2552.84</v>
      </c>
      <c r="J600">
        <v>635</v>
      </c>
      <c r="K600" t="b">
        <v>0</v>
      </c>
    </row>
    <row r="601" spans="1:11" x14ac:dyDescent="0.2">
      <c r="A601" t="s">
        <v>1259</v>
      </c>
      <c r="B601" t="s">
        <v>1260</v>
      </c>
      <c r="C601" s="2">
        <v>45253</v>
      </c>
      <c r="D601" s="2">
        <v>45269</v>
      </c>
      <c r="E601">
        <f t="shared" si="9"/>
        <v>16</v>
      </c>
      <c r="F601" t="s">
        <v>41</v>
      </c>
      <c r="G601">
        <v>44286</v>
      </c>
      <c r="H601">
        <v>1346</v>
      </c>
      <c r="I601" s="3">
        <v>1601.04</v>
      </c>
      <c r="J601">
        <v>68</v>
      </c>
      <c r="K601" t="b">
        <v>0</v>
      </c>
    </row>
    <row r="602" spans="1:11" x14ac:dyDescent="0.2">
      <c r="A602" t="s">
        <v>1261</v>
      </c>
      <c r="B602" t="s">
        <v>1262</v>
      </c>
      <c r="C602" s="2">
        <v>45041</v>
      </c>
      <c r="D602" s="2">
        <v>45048</v>
      </c>
      <c r="E602">
        <f t="shared" si="9"/>
        <v>7</v>
      </c>
      <c r="F602" t="s">
        <v>41</v>
      </c>
      <c r="G602">
        <v>69450</v>
      </c>
      <c r="H602">
        <v>2704</v>
      </c>
      <c r="I602">
        <v>3100.07</v>
      </c>
      <c r="J602">
        <v>302</v>
      </c>
      <c r="K602" t="s">
        <v>24</v>
      </c>
    </row>
    <row r="603" spans="1:11" x14ac:dyDescent="0.2">
      <c r="A603" t="s">
        <v>1263</v>
      </c>
      <c r="B603" t="s">
        <v>1264</v>
      </c>
      <c r="C603" s="2">
        <v>44998</v>
      </c>
      <c r="D603" s="2">
        <v>45024</v>
      </c>
      <c r="E603">
        <f t="shared" si="9"/>
        <v>26</v>
      </c>
      <c r="F603" t="s">
        <v>41</v>
      </c>
      <c r="G603">
        <v>22352</v>
      </c>
      <c r="H603">
        <v>316</v>
      </c>
      <c r="I603">
        <v>302.33</v>
      </c>
      <c r="J603">
        <v>20</v>
      </c>
      <c r="K603" t="b">
        <v>1</v>
      </c>
    </row>
    <row r="604" spans="1:11" x14ac:dyDescent="0.2">
      <c r="A604" t="s">
        <v>1265</v>
      </c>
      <c r="B604" t="s">
        <v>1266</v>
      </c>
      <c r="C604" s="2">
        <v>45111</v>
      </c>
      <c r="D604" s="2">
        <v>45120</v>
      </c>
      <c r="E604">
        <f t="shared" si="9"/>
        <v>9</v>
      </c>
      <c r="F604" t="s">
        <v>138</v>
      </c>
      <c r="G604">
        <v>56069</v>
      </c>
      <c r="H604">
        <v>1066</v>
      </c>
      <c r="I604">
        <v>849.75</v>
      </c>
      <c r="J604">
        <v>134</v>
      </c>
      <c r="K604">
        <v>1</v>
      </c>
    </row>
    <row r="605" spans="1:11" x14ac:dyDescent="0.2">
      <c r="A605" t="s">
        <v>1267</v>
      </c>
      <c r="B605" t="s">
        <v>1268</v>
      </c>
      <c r="C605" s="2">
        <v>45209</v>
      </c>
      <c r="D605" s="2">
        <v>45210</v>
      </c>
      <c r="E605">
        <f t="shared" si="9"/>
        <v>1</v>
      </c>
      <c r="F605" t="s">
        <v>14</v>
      </c>
      <c r="G605">
        <v>15397</v>
      </c>
      <c r="H605">
        <v>586</v>
      </c>
      <c r="I605">
        <v>350.74</v>
      </c>
      <c r="J605">
        <v>31</v>
      </c>
      <c r="K605">
        <v>1</v>
      </c>
    </row>
    <row r="606" spans="1:11" x14ac:dyDescent="0.2">
      <c r="A606" t="s">
        <v>1269</v>
      </c>
      <c r="B606" t="s">
        <v>1270</v>
      </c>
      <c r="C606" s="2">
        <v>44960</v>
      </c>
      <c r="D606" s="2">
        <v>44982</v>
      </c>
      <c r="E606">
        <f t="shared" si="9"/>
        <v>22</v>
      </c>
      <c r="F606" t="s">
        <v>23</v>
      </c>
      <c r="G606">
        <v>42555</v>
      </c>
      <c r="H606">
        <v>515</v>
      </c>
      <c r="I606">
        <v>-942.8</v>
      </c>
      <c r="J606">
        <v>57</v>
      </c>
      <c r="K606">
        <v>1</v>
      </c>
    </row>
    <row r="607" spans="1:11" x14ac:dyDescent="0.2">
      <c r="A607" t="s">
        <v>1271</v>
      </c>
      <c r="B607" t="s">
        <v>1272</v>
      </c>
      <c r="C607" s="2">
        <v>45172</v>
      </c>
      <c r="D607" s="2">
        <v>45181</v>
      </c>
      <c r="E607">
        <f t="shared" si="9"/>
        <v>9</v>
      </c>
      <c r="F607" t="s">
        <v>23</v>
      </c>
      <c r="G607">
        <v>47959</v>
      </c>
      <c r="H607">
        <v>1413</v>
      </c>
      <c r="I607">
        <v>1596.37</v>
      </c>
      <c r="J607">
        <v>117</v>
      </c>
      <c r="K607" t="b">
        <v>1</v>
      </c>
    </row>
    <row r="608" spans="1:11" x14ac:dyDescent="0.2">
      <c r="A608" t="s">
        <v>1273</v>
      </c>
      <c r="B608" t="s">
        <v>1274</v>
      </c>
      <c r="C608" s="2">
        <v>45221</v>
      </c>
      <c r="D608" s="2">
        <v>45249</v>
      </c>
      <c r="E608">
        <f t="shared" si="9"/>
        <v>28</v>
      </c>
      <c r="F608" t="s">
        <v>138</v>
      </c>
      <c r="G608">
        <v>1728</v>
      </c>
      <c r="H608">
        <v>58</v>
      </c>
      <c r="I608">
        <v>72.23</v>
      </c>
      <c r="J608">
        <v>7</v>
      </c>
      <c r="K608" t="s">
        <v>24</v>
      </c>
    </row>
    <row r="609" spans="1:11" x14ac:dyDescent="0.2">
      <c r="A609" t="s">
        <v>1276</v>
      </c>
      <c r="B609" t="s">
        <v>1277</v>
      </c>
      <c r="C609" s="2">
        <v>45089</v>
      </c>
      <c r="D609" s="2">
        <v>45096</v>
      </c>
      <c r="E609">
        <f t="shared" si="9"/>
        <v>7</v>
      </c>
      <c r="F609" t="s">
        <v>23</v>
      </c>
      <c r="G609">
        <v>51517</v>
      </c>
      <c r="H609">
        <v>1755</v>
      </c>
      <c r="I609">
        <v>3291.35</v>
      </c>
      <c r="J609">
        <v>349</v>
      </c>
      <c r="K609" t="s">
        <v>30</v>
      </c>
    </row>
    <row r="610" spans="1:11" x14ac:dyDescent="0.2">
      <c r="A610" t="s">
        <v>1278</v>
      </c>
      <c r="B610" t="s">
        <v>1279</v>
      </c>
      <c r="C610" s="2">
        <v>45275</v>
      </c>
      <c r="D610" s="2">
        <v>45283</v>
      </c>
      <c r="E610">
        <f t="shared" si="9"/>
        <v>8</v>
      </c>
      <c r="F610" t="s">
        <v>23</v>
      </c>
      <c r="G610">
        <v>67234</v>
      </c>
      <c r="H610">
        <v>734</v>
      </c>
      <c r="I610">
        <v>1221.7</v>
      </c>
      <c r="J610">
        <v>124</v>
      </c>
      <c r="K610" t="s">
        <v>30</v>
      </c>
    </row>
    <row r="611" spans="1:11" x14ac:dyDescent="0.2">
      <c r="A611" t="s">
        <v>1280</v>
      </c>
      <c r="B611" t="s">
        <v>1281</v>
      </c>
      <c r="C611" s="2">
        <v>45209</v>
      </c>
      <c r="D611" s="2">
        <v>45232</v>
      </c>
      <c r="E611">
        <f t="shared" si="9"/>
        <v>23</v>
      </c>
      <c r="F611" t="s">
        <v>14</v>
      </c>
      <c r="G611">
        <v>40954</v>
      </c>
      <c r="H611">
        <v>937</v>
      </c>
      <c r="I611" s="3">
        <v>651.91999999999996</v>
      </c>
      <c r="J611">
        <v>165</v>
      </c>
      <c r="K611" t="s">
        <v>24</v>
      </c>
    </row>
    <row r="612" spans="1:11" x14ac:dyDescent="0.2">
      <c r="A612" t="s">
        <v>1282</v>
      </c>
      <c r="B612" t="s">
        <v>1283</v>
      </c>
      <c r="C612" s="2">
        <v>44993</v>
      </c>
      <c r="D612" s="2">
        <v>45008</v>
      </c>
      <c r="E612">
        <f t="shared" si="9"/>
        <v>15</v>
      </c>
      <c r="F612" t="s">
        <v>23</v>
      </c>
      <c r="G612">
        <v>48280</v>
      </c>
      <c r="H612">
        <v>1711</v>
      </c>
      <c r="I612">
        <v>2306.65</v>
      </c>
      <c r="K612" t="s">
        <v>15</v>
      </c>
    </row>
    <row r="613" spans="1:11" x14ac:dyDescent="0.2">
      <c r="A613" t="s">
        <v>1284</v>
      </c>
      <c r="B613" t="s">
        <v>1285</v>
      </c>
      <c r="C613" s="2">
        <v>44955</v>
      </c>
      <c r="D613" s="2">
        <v>44981</v>
      </c>
      <c r="E613">
        <f t="shared" si="9"/>
        <v>26</v>
      </c>
      <c r="F613" t="s">
        <v>14</v>
      </c>
      <c r="G613">
        <v>80459</v>
      </c>
      <c r="H613">
        <v>1284</v>
      </c>
      <c r="I613">
        <v>1493.78</v>
      </c>
      <c r="J613">
        <v>72</v>
      </c>
      <c r="K613" t="s">
        <v>30</v>
      </c>
    </row>
    <row r="614" spans="1:11" x14ac:dyDescent="0.2">
      <c r="A614" t="s">
        <v>1286</v>
      </c>
      <c r="B614" t="s">
        <v>1287</v>
      </c>
      <c r="C614" s="2">
        <v>45082</v>
      </c>
      <c r="D614" s="2">
        <v>45083</v>
      </c>
      <c r="E614">
        <f t="shared" si="9"/>
        <v>1</v>
      </c>
      <c r="F614" t="s">
        <v>19</v>
      </c>
      <c r="G614">
        <v>17779</v>
      </c>
      <c r="H614">
        <v>672</v>
      </c>
      <c r="I614">
        <v>1139.5899999999999</v>
      </c>
      <c r="J614">
        <v>54</v>
      </c>
      <c r="K614" t="s">
        <v>24</v>
      </c>
    </row>
    <row r="615" spans="1:11" x14ac:dyDescent="0.2">
      <c r="A615" t="s">
        <v>1288</v>
      </c>
      <c r="B615" t="s">
        <v>1289</v>
      </c>
      <c r="C615" s="2">
        <v>45290</v>
      </c>
      <c r="D615" s="2">
        <v>45311</v>
      </c>
      <c r="E615">
        <f t="shared" si="9"/>
        <v>21</v>
      </c>
      <c r="F615" t="s">
        <v>41</v>
      </c>
      <c r="G615">
        <v>64932</v>
      </c>
      <c r="H615">
        <v>2586</v>
      </c>
      <c r="I615">
        <v>4102.3</v>
      </c>
      <c r="K615" t="s">
        <v>30</v>
      </c>
    </row>
    <row r="616" spans="1:11" x14ac:dyDescent="0.2">
      <c r="A616" t="s">
        <v>1290</v>
      </c>
      <c r="B616" t="s">
        <v>1291</v>
      </c>
      <c r="C616" s="2">
        <v>45192</v>
      </c>
      <c r="D616" s="2">
        <v>45194</v>
      </c>
      <c r="E616">
        <f t="shared" si="9"/>
        <v>2</v>
      </c>
      <c r="F616" t="s">
        <v>33</v>
      </c>
      <c r="G616">
        <v>73936</v>
      </c>
      <c r="H616">
        <v>3643</v>
      </c>
      <c r="I616">
        <v>5594.22</v>
      </c>
      <c r="J616">
        <v>382</v>
      </c>
      <c r="K616">
        <v>1</v>
      </c>
    </row>
    <row r="617" spans="1:11" x14ac:dyDescent="0.2">
      <c r="A617" t="s">
        <v>1292</v>
      </c>
      <c r="B617" t="s">
        <v>1293</v>
      </c>
      <c r="C617" s="2">
        <v>45055</v>
      </c>
      <c r="D617" s="2">
        <v>45083</v>
      </c>
      <c r="E617">
        <f t="shared" si="9"/>
        <v>28</v>
      </c>
      <c r="F617" t="s">
        <v>41</v>
      </c>
      <c r="G617">
        <v>25466</v>
      </c>
      <c r="H617">
        <v>468</v>
      </c>
      <c r="I617">
        <v>473.06</v>
      </c>
      <c r="J617">
        <v>30</v>
      </c>
      <c r="K617">
        <v>0</v>
      </c>
    </row>
    <row r="618" spans="1:11" x14ac:dyDescent="0.2">
      <c r="A618" t="s">
        <v>1294</v>
      </c>
      <c r="B618" t="s">
        <v>1295</v>
      </c>
      <c r="C618" s="2">
        <v>45067</v>
      </c>
      <c r="D618" s="2">
        <v>45086</v>
      </c>
      <c r="E618">
        <f t="shared" si="9"/>
        <v>19</v>
      </c>
      <c r="F618" t="s">
        <v>14</v>
      </c>
      <c r="G618">
        <v>37939</v>
      </c>
      <c r="H618">
        <v>1631</v>
      </c>
      <c r="I618">
        <v>2784.84</v>
      </c>
      <c r="J618">
        <v>253</v>
      </c>
      <c r="K618" t="s">
        <v>24</v>
      </c>
    </row>
    <row r="619" spans="1:11" x14ac:dyDescent="0.2">
      <c r="A619" t="s">
        <v>1296</v>
      </c>
      <c r="B619" t="s">
        <v>1297</v>
      </c>
      <c r="C619" s="2">
        <v>44936</v>
      </c>
      <c r="D619" s="2">
        <v>45227</v>
      </c>
      <c r="E619">
        <f t="shared" si="9"/>
        <v>291</v>
      </c>
      <c r="F619" t="s">
        <v>19</v>
      </c>
      <c r="G619">
        <v>70896</v>
      </c>
      <c r="H619">
        <v>2184</v>
      </c>
      <c r="I619">
        <v>1263.6300000000001</v>
      </c>
      <c r="J619">
        <v>207</v>
      </c>
      <c r="K619" t="b">
        <v>0</v>
      </c>
    </row>
    <row r="620" spans="1:11" x14ac:dyDescent="0.2">
      <c r="A620" t="s">
        <v>1298</v>
      </c>
      <c r="B620" t="s">
        <v>1299</v>
      </c>
      <c r="C620" s="2">
        <v>45255</v>
      </c>
      <c r="D620" s="2">
        <v>45283</v>
      </c>
      <c r="E620">
        <f t="shared" si="9"/>
        <v>28</v>
      </c>
      <c r="F620" t="s">
        <v>14</v>
      </c>
      <c r="G620">
        <v>36270</v>
      </c>
      <c r="H620">
        <v>904</v>
      </c>
      <c r="I620">
        <v>668.45</v>
      </c>
      <c r="J620">
        <v>81</v>
      </c>
      <c r="K620" t="s">
        <v>30</v>
      </c>
    </row>
    <row r="621" spans="1:11" x14ac:dyDescent="0.2">
      <c r="A621" t="s">
        <v>1300</v>
      </c>
      <c r="B621" t="s">
        <v>1301</v>
      </c>
      <c r="C621" s="2">
        <v>45005</v>
      </c>
      <c r="D621" s="2">
        <v>45019</v>
      </c>
      <c r="E621">
        <f t="shared" si="9"/>
        <v>14</v>
      </c>
      <c r="F621" t="s">
        <v>41</v>
      </c>
      <c r="G621">
        <v>60163</v>
      </c>
      <c r="H621">
        <v>896</v>
      </c>
      <c r="I621">
        <v>899.08</v>
      </c>
      <c r="K621" t="s">
        <v>30</v>
      </c>
    </row>
    <row r="622" spans="1:11" x14ac:dyDescent="0.2">
      <c r="A622" t="s">
        <v>1302</v>
      </c>
      <c r="B622" t="s">
        <v>1303</v>
      </c>
      <c r="C622" s="2">
        <v>45236</v>
      </c>
      <c r="D622" s="2">
        <v>45254</v>
      </c>
      <c r="E622">
        <f t="shared" si="9"/>
        <v>18</v>
      </c>
      <c r="F622" t="s">
        <v>41</v>
      </c>
      <c r="G622">
        <v>83637</v>
      </c>
      <c r="H622">
        <v>3296</v>
      </c>
      <c r="I622">
        <v>2027.74</v>
      </c>
      <c r="J622">
        <v>589</v>
      </c>
      <c r="K622" t="b">
        <v>1</v>
      </c>
    </row>
    <row r="623" spans="1:11" x14ac:dyDescent="0.2">
      <c r="A623" t="s">
        <v>1304</v>
      </c>
      <c r="B623" t="s">
        <v>1305</v>
      </c>
      <c r="C623" s="2">
        <v>44948</v>
      </c>
      <c r="D623" s="2">
        <v>44971</v>
      </c>
      <c r="E623">
        <f t="shared" si="9"/>
        <v>23</v>
      </c>
      <c r="F623" t="s">
        <v>33</v>
      </c>
      <c r="G623">
        <v>52934</v>
      </c>
      <c r="H623">
        <v>1028</v>
      </c>
      <c r="I623">
        <v>876.36</v>
      </c>
      <c r="J623">
        <v>114</v>
      </c>
      <c r="K623" t="s">
        <v>15</v>
      </c>
    </row>
    <row r="624" spans="1:11" x14ac:dyDescent="0.2">
      <c r="A624" t="s">
        <v>1306</v>
      </c>
      <c r="B624" t="s">
        <v>1307</v>
      </c>
      <c r="C624" s="2">
        <v>44950</v>
      </c>
      <c r="D624" s="2">
        <v>44966</v>
      </c>
      <c r="E624">
        <f t="shared" si="9"/>
        <v>16</v>
      </c>
      <c r="F624" t="s">
        <v>19</v>
      </c>
      <c r="G624">
        <v>65895</v>
      </c>
      <c r="H624">
        <v>1637</v>
      </c>
      <c r="I624">
        <v>2856.94</v>
      </c>
      <c r="J624">
        <v>322</v>
      </c>
      <c r="K624">
        <v>0</v>
      </c>
    </row>
    <row r="625" spans="1:11" x14ac:dyDescent="0.2">
      <c r="A625" t="s">
        <v>1308</v>
      </c>
      <c r="B625" t="s">
        <v>1309</v>
      </c>
      <c r="C625" s="2">
        <v>45062</v>
      </c>
      <c r="D625" s="2">
        <v>45088</v>
      </c>
      <c r="E625">
        <f t="shared" si="9"/>
        <v>26</v>
      </c>
      <c r="F625" t="s">
        <v>19</v>
      </c>
      <c r="G625">
        <v>33307</v>
      </c>
      <c r="H625">
        <v>416</v>
      </c>
      <c r="I625">
        <v>799.71</v>
      </c>
      <c r="J625">
        <v>61</v>
      </c>
      <c r="K625" t="b">
        <v>1</v>
      </c>
    </row>
    <row r="626" spans="1:11" x14ac:dyDescent="0.2">
      <c r="A626" t="s">
        <v>1310</v>
      </c>
      <c r="B626" t="s">
        <v>1311</v>
      </c>
      <c r="C626" s="2">
        <v>44973</v>
      </c>
      <c r="D626" s="2">
        <v>45140</v>
      </c>
      <c r="E626">
        <f t="shared" si="9"/>
        <v>167</v>
      </c>
      <c r="F626" t="s">
        <v>41</v>
      </c>
      <c r="G626">
        <v>55098</v>
      </c>
      <c r="H626">
        <v>2317</v>
      </c>
      <c r="I626">
        <v>2217.15</v>
      </c>
      <c r="K626">
        <v>1</v>
      </c>
    </row>
    <row r="627" spans="1:11" x14ac:dyDescent="0.2">
      <c r="A627" t="s">
        <v>1312</v>
      </c>
      <c r="B627" t="s">
        <v>1313</v>
      </c>
      <c r="C627" s="2">
        <v>45248</v>
      </c>
      <c r="D627" s="2">
        <v>45271</v>
      </c>
      <c r="E627">
        <f t="shared" si="9"/>
        <v>23</v>
      </c>
      <c r="F627" t="s">
        <v>23</v>
      </c>
      <c r="G627">
        <v>61921</v>
      </c>
      <c r="H627">
        <v>2517</v>
      </c>
      <c r="I627" s="3">
        <v>2257.1799999999998</v>
      </c>
      <c r="J627">
        <v>137</v>
      </c>
      <c r="K627" t="b">
        <v>0</v>
      </c>
    </row>
    <row r="628" spans="1:11" x14ac:dyDescent="0.2">
      <c r="A628" t="s">
        <v>1314</v>
      </c>
      <c r="B628" t="s">
        <v>1315</v>
      </c>
      <c r="C628" s="2">
        <v>45081</v>
      </c>
      <c r="D628" s="2">
        <v>45109</v>
      </c>
      <c r="E628">
        <f t="shared" si="9"/>
        <v>28</v>
      </c>
      <c r="F628" t="s">
        <v>14</v>
      </c>
      <c r="G628">
        <v>6486</v>
      </c>
      <c r="H628">
        <v>255</v>
      </c>
      <c r="I628">
        <v>234.56</v>
      </c>
      <c r="J628">
        <v>17</v>
      </c>
      <c r="K628" t="s">
        <v>15</v>
      </c>
    </row>
    <row r="629" spans="1:11" x14ac:dyDescent="0.2">
      <c r="A629" t="s">
        <v>1316</v>
      </c>
      <c r="B629" t="s">
        <v>1317</v>
      </c>
      <c r="C629" s="2">
        <v>45277</v>
      </c>
      <c r="D629" s="2">
        <v>45301</v>
      </c>
      <c r="E629">
        <f t="shared" si="9"/>
        <v>24</v>
      </c>
      <c r="F629" t="s">
        <v>19</v>
      </c>
      <c r="G629">
        <v>9335</v>
      </c>
      <c r="H629">
        <v>205</v>
      </c>
      <c r="I629">
        <v>187.9</v>
      </c>
      <c r="J629">
        <v>29</v>
      </c>
      <c r="K629" t="b">
        <v>1</v>
      </c>
    </row>
    <row r="630" spans="1:11" x14ac:dyDescent="0.2">
      <c r="A630" t="s">
        <v>1318</v>
      </c>
      <c r="B630" t="s">
        <v>1319</v>
      </c>
      <c r="C630" s="2">
        <v>45279</v>
      </c>
      <c r="D630" s="2">
        <v>45281</v>
      </c>
      <c r="E630">
        <f t="shared" si="9"/>
        <v>2</v>
      </c>
      <c r="F630" t="s">
        <v>41</v>
      </c>
      <c r="G630">
        <v>87900</v>
      </c>
      <c r="H630">
        <v>1488</v>
      </c>
      <c r="I630">
        <v>824.2</v>
      </c>
      <c r="J630">
        <v>275</v>
      </c>
      <c r="K630" t="s">
        <v>24</v>
      </c>
    </row>
    <row r="631" spans="1:11" x14ac:dyDescent="0.2">
      <c r="A631" t="s">
        <v>1321</v>
      </c>
      <c r="B631" t="s">
        <v>1322</v>
      </c>
      <c r="C631" s="2">
        <v>45152</v>
      </c>
      <c r="D631" s="2">
        <v>45162</v>
      </c>
      <c r="E631">
        <f t="shared" si="9"/>
        <v>10</v>
      </c>
      <c r="F631" t="s">
        <v>41</v>
      </c>
      <c r="G631">
        <v>90112</v>
      </c>
      <c r="H631">
        <v>3199</v>
      </c>
      <c r="I631" s="3">
        <v>6047.31</v>
      </c>
      <c r="J631">
        <v>459</v>
      </c>
      <c r="K631" t="s">
        <v>30</v>
      </c>
    </row>
    <row r="632" spans="1:11" x14ac:dyDescent="0.2">
      <c r="A632" t="s">
        <v>1323</v>
      </c>
      <c r="B632" t="s">
        <v>1324</v>
      </c>
      <c r="C632" s="2">
        <v>45101</v>
      </c>
      <c r="D632" s="2">
        <v>45113</v>
      </c>
      <c r="E632">
        <f t="shared" si="9"/>
        <v>12</v>
      </c>
      <c r="F632" t="s">
        <v>41</v>
      </c>
      <c r="G632">
        <v>98203</v>
      </c>
      <c r="H632">
        <v>2931</v>
      </c>
      <c r="I632" s="3">
        <v>2405.02</v>
      </c>
      <c r="J632">
        <v>205</v>
      </c>
      <c r="K632" t="s">
        <v>30</v>
      </c>
    </row>
    <row r="633" spans="1:11" x14ac:dyDescent="0.2">
      <c r="A633" t="s">
        <v>1325</v>
      </c>
      <c r="B633" t="s">
        <v>1326</v>
      </c>
      <c r="C633" s="2">
        <v>45090</v>
      </c>
      <c r="D633" s="2">
        <v>45093</v>
      </c>
      <c r="E633">
        <f t="shared" si="9"/>
        <v>3</v>
      </c>
      <c r="F633" t="s">
        <v>33</v>
      </c>
      <c r="G633">
        <v>12130</v>
      </c>
      <c r="H633">
        <v>207</v>
      </c>
      <c r="I633">
        <v>233.91</v>
      </c>
      <c r="J633">
        <v>13</v>
      </c>
      <c r="K633" t="s">
        <v>15</v>
      </c>
    </row>
    <row r="634" spans="1:11" x14ac:dyDescent="0.2">
      <c r="A634" t="s">
        <v>1327</v>
      </c>
      <c r="B634" t="s">
        <v>1328</v>
      </c>
      <c r="C634" s="2">
        <v>45131</v>
      </c>
      <c r="D634" s="2">
        <v>45151</v>
      </c>
      <c r="E634">
        <f t="shared" si="9"/>
        <v>20</v>
      </c>
      <c r="F634" t="s">
        <v>19</v>
      </c>
      <c r="G634">
        <v>88508</v>
      </c>
      <c r="H634">
        <v>3313</v>
      </c>
      <c r="I634">
        <v>1704.64</v>
      </c>
      <c r="J634">
        <v>585</v>
      </c>
      <c r="K634" t="s">
        <v>30</v>
      </c>
    </row>
    <row r="635" spans="1:11" x14ac:dyDescent="0.2">
      <c r="A635" t="s">
        <v>1329</v>
      </c>
      <c r="B635" t="s">
        <v>1330</v>
      </c>
      <c r="C635" s="2">
        <v>45214</v>
      </c>
      <c r="D635" s="2">
        <v>45226</v>
      </c>
      <c r="E635">
        <f t="shared" si="9"/>
        <v>12</v>
      </c>
      <c r="F635" t="s">
        <v>14</v>
      </c>
      <c r="G635">
        <v>61566</v>
      </c>
      <c r="H635">
        <v>3056</v>
      </c>
      <c r="I635">
        <v>5460.87</v>
      </c>
      <c r="J635">
        <v>216</v>
      </c>
      <c r="K635" t="s">
        <v>24</v>
      </c>
    </row>
    <row r="636" spans="1:11" x14ac:dyDescent="0.2">
      <c r="A636" t="s">
        <v>1331</v>
      </c>
      <c r="B636" t="s">
        <v>1332</v>
      </c>
      <c r="C636" s="2">
        <v>44989</v>
      </c>
      <c r="D636" s="2">
        <v>45004</v>
      </c>
      <c r="E636">
        <f t="shared" si="9"/>
        <v>15</v>
      </c>
      <c r="F636" t="s">
        <v>19</v>
      </c>
      <c r="G636">
        <v>67703</v>
      </c>
      <c r="H636">
        <v>2700</v>
      </c>
      <c r="I636" s="3">
        <v>4311.1899999999996</v>
      </c>
      <c r="J636">
        <v>345</v>
      </c>
      <c r="K636" t="b">
        <v>1</v>
      </c>
    </row>
    <row r="637" spans="1:11" x14ac:dyDescent="0.2">
      <c r="A637" t="s">
        <v>1333</v>
      </c>
      <c r="B637" t="s">
        <v>1334</v>
      </c>
      <c r="C637" s="2">
        <v>44976</v>
      </c>
      <c r="D637" s="2">
        <v>45003</v>
      </c>
      <c r="E637">
        <f t="shared" si="9"/>
        <v>27</v>
      </c>
      <c r="F637" t="s">
        <v>138</v>
      </c>
      <c r="G637">
        <v>28192</v>
      </c>
      <c r="H637">
        <v>1116</v>
      </c>
      <c r="I637">
        <v>2142.87</v>
      </c>
      <c r="J637">
        <v>62</v>
      </c>
      <c r="K637" t="b">
        <v>1</v>
      </c>
    </row>
    <row r="638" spans="1:11" x14ac:dyDescent="0.2">
      <c r="A638" t="s">
        <v>1336</v>
      </c>
      <c r="B638" t="s">
        <v>1337</v>
      </c>
      <c r="C638" s="2">
        <v>45123</v>
      </c>
      <c r="D638" s="2">
        <v>45139</v>
      </c>
      <c r="E638">
        <f t="shared" si="9"/>
        <v>16</v>
      </c>
      <c r="F638" t="s">
        <v>41</v>
      </c>
      <c r="G638">
        <v>2062</v>
      </c>
      <c r="H638">
        <v>99</v>
      </c>
      <c r="I638">
        <v>165.57</v>
      </c>
      <c r="J638">
        <v>6</v>
      </c>
      <c r="K638" t="s">
        <v>30</v>
      </c>
    </row>
    <row r="639" spans="1:11" x14ac:dyDescent="0.2">
      <c r="A639" t="s">
        <v>1338</v>
      </c>
      <c r="B639" t="s">
        <v>1339</v>
      </c>
      <c r="C639" s="2">
        <v>45008</v>
      </c>
      <c r="D639" s="2">
        <v>45026</v>
      </c>
      <c r="E639">
        <f t="shared" si="9"/>
        <v>18</v>
      </c>
      <c r="F639" t="s">
        <v>14</v>
      </c>
      <c r="G639">
        <v>85076</v>
      </c>
      <c r="H639">
        <v>1541</v>
      </c>
      <c r="I639">
        <v>1495.63</v>
      </c>
      <c r="J639">
        <v>232</v>
      </c>
      <c r="K639" t="s">
        <v>30</v>
      </c>
    </row>
    <row r="640" spans="1:11" x14ac:dyDescent="0.2">
      <c r="A640" t="s">
        <v>1340</v>
      </c>
      <c r="B640" t="s">
        <v>1341</v>
      </c>
      <c r="C640" s="2">
        <v>45087</v>
      </c>
      <c r="D640" s="2">
        <v>45093</v>
      </c>
      <c r="E640">
        <f t="shared" si="9"/>
        <v>6</v>
      </c>
      <c r="F640" t="s">
        <v>19</v>
      </c>
      <c r="G640">
        <v>90780</v>
      </c>
      <c r="H640">
        <v>2961</v>
      </c>
      <c r="I640">
        <v>2581.4299999999998</v>
      </c>
      <c r="J640">
        <v>454</v>
      </c>
      <c r="K640">
        <v>1</v>
      </c>
    </row>
    <row r="641" spans="1:11" x14ac:dyDescent="0.2">
      <c r="A641" t="s">
        <v>1342</v>
      </c>
      <c r="B641" t="s">
        <v>1343</v>
      </c>
      <c r="C641" s="2">
        <v>45190</v>
      </c>
      <c r="D641" s="2">
        <v>45202</v>
      </c>
      <c r="E641">
        <f t="shared" si="9"/>
        <v>12</v>
      </c>
      <c r="F641" t="s">
        <v>33</v>
      </c>
      <c r="G641">
        <v>22545</v>
      </c>
      <c r="H641">
        <v>1108</v>
      </c>
      <c r="I641">
        <v>1713.6</v>
      </c>
      <c r="J641">
        <v>112</v>
      </c>
      <c r="K641" t="b">
        <v>0</v>
      </c>
    </row>
    <row r="642" spans="1:11" x14ac:dyDescent="0.2">
      <c r="A642" t="s">
        <v>1344</v>
      </c>
      <c r="B642" t="s">
        <v>1345</v>
      </c>
      <c r="C642" s="2">
        <v>45203</v>
      </c>
      <c r="D642" s="2">
        <v>45269</v>
      </c>
      <c r="E642">
        <f t="shared" ref="E642:E705" si="10">D642-C642</f>
        <v>66</v>
      </c>
      <c r="F642" t="s">
        <v>23</v>
      </c>
      <c r="G642">
        <v>22689</v>
      </c>
      <c r="H642">
        <v>376</v>
      </c>
      <c r="I642">
        <v>393.36</v>
      </c>
      <c r="J642">
        <v>30</v>
      </c>
      <c r="K642" t="s">
        <v>15</v>
      </c>
    </row>
    <row r="643" spans="1:11" x14ac:dyDescent="0.2">
      <c r="A643" t="s">
        <v>1346</v>
      </c>
      <c r="B643" t="s">
        <v>1347</v>
      </c>
      <c r="C643" s="2">
        <v>45123</v>
      </c>
      <c r="D643" s="2">
        <v>45128</v>
      </c>
      <c r="E643">
        <f t="shared" si="10"/>
        <v>5</v>
      </c>
      <c r="F643" t="s">
        <v>19</v>
      </c>
      <c r="G643">
        <v>12174</v>
      </c>
      <c r="H643">
        <v>462</v>
      </c>
      <c r="I643" s="3">
        <v>623.39</v>
      </c>
      <c r="J643">
        <v>79</v>
      </c>
      <c r="K643" t="b">
        <v>1</v>
      </c>
    </row>
    <row r="644" spans="1:11" x14ac:dyDescent="0.2">
      <c r="A644" t="s">
        <v>1348</v>
      </c>
      <c r="B644" t="s">
        <v>1349</v>
      </c>
      <c r="C644" s="2">
        <v>45037</v>
      </c>
      <c r="D644" s="2">
        <v>45049</v>
      </c>
      <c r="E644">
        <f t="shared" si="10"/>
        <v>12</v>
      </c>
      <c r="F644" t="s">
        <v>23</v>
      </c>
      <c r="G644">
        <v>89461</v>
      </c>
      <c r="H644">
        <v>2990</v>
      </c>
      <c r="I644">
        <v>1523.06</v>
      </c>
      <c r="J644">
        <v>246</v>
      </c>
      <c r="K644" t="s">
        <v>15</v>
      </c>
    </row>
    <row r="645" spans="1:11" x14ac:dyDescent="0.2">
      <c r="A645" t="s">
        <v>1350</v>
      </c>
      <c r="B645" t="s">
        <v>1351</v>
      </c>
      <c r="C645" s="2">
        <v>45071</v>
      </c>
      <c r="D645" s="2">
        <v>45095</v>
      </c>
      <c r="E645">
        <f t="shared" si="10"/>
        <v>24</v>
      </c>
      <c r="F645" t="s">
        <v>23</v>
      </c>
      <c r="G645">
        <v>10348</v>
      </c>
      <c r="H645">
        <v>346</v>
      </c>
      <c r="I645">
        <v>205.12</v>
      </c>
      <c r="J645">
        <v>45</v>
      </c>
      <c r="K645">
        <v>1</v>
      </c>
    </row>
    <row r="646" spans="1:11" x14ac:dyDescent="0.2">
      <c r="A646" t="s">
        <v>1352</v>
      </c>
      <c r="B646" t="s">
        <v>1353</v>
      </c>
      <c r="C646" s="2">
        <v>45261</v>
      </c>
      <c r="D646" s="2">
        <v>45279</v>
      </c>
      <c r="E646">
        <f t="shared" si="10"/>
        <v>18</v>
      </c>
      <c r="F646" t="s">
        <v>19</v>
      </c>
      <c r="G646">
        <v>24714</v>
      </c>
      <c r="H646">
        <v>936</v>
      </c>
      <c r="I646">
        <v>1219.6600000000001</v>
      </c>
      <c r="J646">
        <v>182</v>
      </c>
      <c r="K646" t="b">
        <v>1</v>
      </c>
    </row>
    <row r="647" spans="1:11" x14ac:dyDescent="0.2">
      <c r="A647" t="s">
        <v>1354</v>
      </c>
      <c r="B647" t="s">
        <v>1355</v>
      </c>
      <c r="C647" s="2">
        <v>44931</v>
      </c>
      <c r="D647" s="2">
        <v>44949</v>
      </c>
      <c r="E647">
        <f t="shared" si="10"/>
        <v>18</v>
      </c>
      <c r="F647" t="s">
        <v>19</v>
      </c>
      <c r="G647">
        <v>39102</v>
      </c>
      <c r="H647">
        <v>1845</v>
      </c>
      <c r="I647">
        <v>2489.1</v>
      </c>
      <c r="J647">
        <v>133</v>
      </c>
      <c r="K647">
        <v>1</v>
      </c>
    </row>
    <row r="648" spans="1:11" x14ac:dyDescent="0.2">
      <c r="A648" t="s">
        <v>1356</v>
      </c>
      <c r="B648" t="s">
        <v>1357</v>
      </c>
      <c r="C648" s="2">
        <v>45062</v>
      </c>
      <c r="D648" s="2">
        <v>45067</v>
      </c>
      <c r="E648">
        <f t="shared" si="10"/>
        <v>5</v>
      </c>
      <c r="F648" t="s">
        <v>41</v>
      </c>
      <c r="G648">
        <v>75460</v>
      </c>
      <c r="H648">
        <v>3116</v>
      </c>
      <c r="I648">
        <v>5070.29</v>
      </c>
      <c r="K648">
        <v>1</v>
      </c>
    </row>
    <row r="649" spans="1:11" x14ac:dyDescent="0.2">
      <c r="A649" t="s">
        <v>1358</v>
      </c>
      <c r="B649" t="s">
        <v>1359</v>
      </c>
      <c r="C649" s="2">
        <v>45114</v>
      </c>
      <c r="D649" s="2">
        <v>45125</v>
      </c>
      <c r="E649">
        <f t="shared" si="10"/>
        <v>11</v>
      </c>
      <c r="F649" t="s">
        <v>23</v>
      </c>
      <c r="G649">
        <v>90930</v>
      </c>
      <c r="H649">
        <v>1113</v>
      </c>
      <c r="I649">
        <v>776.82</v>
      </c>
      <c r="J649">
        <v>86</v>
      </c>
      <c r="K649">
        <v>0</v>
      </c>
    </row>
    <row r="650" spans="1:11" x14ac:dyDescent="0.2">
      <c r="A650" t="s">
        <v>1360</v>
      </c>
      <c r="B650" t="s">
        <v>1361</v>
      </c>
      <c r="C650" s="2">
        <v>44953</v>
      </c>
      <c r="D650" s="2">
        <v>44977</v>
      </c>
      <c r="E650">
        <f t="shared" si="10"/>
        <v>24</v>
      </c>
      <c r="F650" t="s">
        <v>33</v>
      </c>
      <c r="G650">
        <v>7801</v>
      </c>
      <c r="H650">
        <v>344</v>
      </c>
      <c r="I650">
        <v>436.8</v>
      </c>
      <c r="J650">
        <v>46</v>
      </c>
      <c r="K650" t="s">
        <v>30</v>
      </c>
    </row>
    <row r="651" spans="1:11" x14ac:dyDescent="0.2">
      <c r="A651" t="s">
        <v>1362</v>
      </c>
      <c r="B651" t="s">
        <v>1363</v>
      </c>
      <c r="C651" s="2">
        <v>45210</v>
      </c>
      <c r="D651" s="2">
        <v>45231</v>
      </c>
      <c r="E651">
        <f t="shared" si="10"/>
        <v>21</v>
      </c>
      <c r="F651" t="s">
        <v>33</v>
      </c>
      <c r="G651">
        <v>73267</v>
      </c>
      <c r="H651">
        <v>1393</v>
      </c>
      <c r="I651">
        <v>1102.8</v>
      </c>
      <c r="J651">
        <v>148</v>
      </c>
      <c r="K651" t="s">
        <v>24</v>
      </c>
    </row>
    <row r="652" spans="1:11" x14ac:dyDescent="0.2">
      <c r="A652" t="s">
        <v>1364</v>
      </c>
      <c r="B652" t="s">
        <v>1365</v>
      </c>
      <c r="C652" s="2">
        <v>45157</v>
      </c>
      <c r="D652" s="2">
        <v>45169</v>
      </c>
      <c r="E652">
        <f t="shared" si="10"/>
        <v>12</v>
      </c>
      <c r="F652" t="s">
        <v>33</v>
      </c>
      <c r="G652">
        <v>49136</v>
      </c>
      <c r="H652">
        <v>1232</v>
      </c>
      <c r="I652">
        <v>788.23</v>
      </c>
      <c r="J652">
        <v>239</v>
      </c>
      <c r="K652">
        <v>0</v>
      </c>
    </row>
    <row r="653" spans="1:11" x14ac:dyDescent="0.2">
      <c r="A653" t="s">
        <v>1366</v>
      </c>
      <c r="B653" t="s">
        <v>1367</v>
      </c>
      <c r="C653" s="2">
        <v>45246</v>
      </c>
      <c r="D653" s="2">
        <v>45260</v>
      </c>
      <c r="E653">
        <f t="shared" si="10"/>
        <v>14</v>
      </c>
      <c r="F653" t="s">
        <v>41</v>
      </c>
      <c r="G653">
        <v>24625</v>
      </c>
      <c r="H653">
        <v>701</v>
      </c>
      <c r="I653">
        <v>782.14</v>
      </c>
      <c r="J653">
        <v>63</v>
      </c>
      <c r="K653" t="s">
        <v>15</v>
      </c>
    </row>
    <row r="654" spans="1:11" x14ac:dyDescent="0.2">
      <c r="A654" t="s">
        <v>1368</v>
      </c>
      <c r="B654" t="s">
        <v>1369</v>
      </c>
      <c r="C654" s="2">
        <v>44976</v>
      </c>
      <c r="D654" s="2">
        <v>44982</v>
      </c>
      <c r="E654">
        <f t="shared" si="10"/>
        <v>6</v>
      </c>
      <c r="F654" t="s">
        <v>41</v>
      </c>
      <c r="G654">
        <v>83873</v>
      </c>
      <c r="H654">
        <v>2452</v>
      </c>
      <c r="I654">
        <v>1826.75</v>
      </c>
      <c r="J654">
        <v>269</v>
      </c>
      <c r="K654" t="s">
        <v>24</v>
      </c>
    </row>
    <row r="655" spans="1:11" x14ac:dyDescent="0.2">
      <c r="A655" t="s">
        <v>1370</v>
      </c>
      <c r="B655" t="s">
        <v>1371</v>
      </c>
      <c r="C655" s="2">
        <v>45100</v>
      </c>
      <c r="D655" s="2">
        <v>45119</v>
      </c>
      <c r="E655">
        <f t="shared" si="10"/>
        <v>19</v>
      </c>
      <c r="F655" t="s">
        <v>19</v>
      </c>
      <c r="G655">
        <v>73592</v>
      </c>
      <c r="H655">
        <v>2016</v>
      </c>
      <c r="I655">
        <v>1678.67</v>
      </c>
      <c r="J655">
        <v>398</v>
      </c>
      <c r="K655" t="s">
        <v>15</v>
      </c>
    </row>
    <row r="656" spans="1:11" x14ac:dyDescent="0.2">
      <c r="A656" t="s">
        <v>1372</v>
      </c>
      <c r="B656" t="s">
        <v>1373</v>
      </c>
      <c r="C656" s="2">
        <v>45000</v>
      </c>
      <c r="D656" s="2">
        <v>45013</v>
      </c>
      <c r="E656">
        <f t="shared" si="10"/>
        <v>13</v>
      </c>
      <c r="F656" t="s">
        <v>41</v>
      </c>
      <c r="G656">
        <v>78052</v>
      </c>
      <c r="H656">
        <v>3707</v>
      </c>
      <c r="I656">
        <v>3619.26</v>
      </c>
      <c r="J656">
        <v>483</v>
      </c>
      <c r="K656" t="s">
        <v>30</v>
      </c>
    </row>
    <row r="657" spans="1:11" x14ac:dyDescent="0.2">
      <c r="A657" t="s">
        <v>1374</v>
      </c>
      <c r="B657" t="s">
        <v>1375</v>
      </c>
      <c r="C657" s="2">
        <v>45183</v>
      </c>
      <c r="D657" s="2">
        <v>45195</v>
      </c>
      <c r="E657">
        <f t="shared" si="10"/>
        <v>12</v>
      </c>
      <c r="F657" t="s">
        <v>138</v>
      </c>
      <c r="G657">
        <v>45261</v>
      </c>
      <c r="H657">
        <v>1730</v>
      </c>
      <c r="I657">
        <v>1538.11</v>
      </c>
      <c r="J657">
        <v>216</v>
      </c>
      <c r="K657" t="s">
        <v>24</v>
      </c>
    </row>
    <row r="658" spans="1:11" x14ac:dyDescent="0.2">
      <c r="A658" t="s">
        <v>1377</v>
      </c>
      <c r="B658" t="s">
        <v>1378</v>
      </c>
      <c r="C658" s="2">
        <v>44946</v>
      </c>
      <c r="D658" s="2">
        <v>44961</v>
      </c>
      <c r="E658">
        <f t="shared" si="10"/>
        <v>15</v>
      </c>
      <c r="F658" t="s">
        <v>14</v>
      </c>
      <c r="G658">
        <v>2542</v>
      </c>
      <c r="H658">
        <v>89</v>
      </c>
      <c r="I658">
        <v>56.19</v>
      </c>
      <c r="J658">
        <v>7</v>
      </c>
      <c r="K658">
        <v>0</v>
      </c>
    </row>
    <row r="659" spans="1:11" x14ac:dyDescent="0.2">
      <c r="A659" t="s">
        <v>1379</v>
      </c>
      <c r="B659" t="s">
        <v>1380</v>
      </c>
      <c r="C659" s="2">
        <v>45169</v>
      </c>
      <c r="D659" s="2">
        <v>45181</v>
      </c>
      <c r="E659">
        <f t="shared" si="10"/>
        <v>12</v>
      </c>
      <c r="F659" t="s">
        <v>33</v>
      </c>
      <c r="G659">
        <v>22677</v>
      </c>
      <c r="H659">
        <v>271</v>
      </c>
      <c r="I659">
        <v>172.05</v>
      </c>
      <c r="J659">
        <v>42</v>
      </c>
      <c r="K659" t="s">
        <v>15</v>
      </c>
    </row>
    <row r="660" spans="1:11" x14ac:dyDescent="0.2">
      <c r="A660" t="s">
        <v>1381</v>
      </c>
      <c r="B660" t="s">
        <v>1382</v>
      </c>
      <c r="C660" s="2">
        <v>45190</v>
      </c>
      <c r="D660" s="2">
        <v>45215</v>
      </c>
      <c r="E660">
        <f t="shared" si="10"/>
        <v>25</v>
      </c>
      <c r="F660" t="s">
        <v>33</v>
      </c>
      <c r="G660">
        <v>47732</v>
      </c>
      <c r="H660">
        <v>2203</v>
      </c>
      <c r="I660">
        <v>1740.09</v>
      </c>
      <c r="J660">
        <v>114</v>
      </c>
      <c r="K660">
        <v>0</v>
      </c>
    </row>
    <row r="661" spans="1:11" x14ac:dyDescent="0.2">
      <c r="A661" t="s">
        <v>1383</v>
      </c>
      <c r="B661" t="s">
        <v>1384</v>
      </c>
      <c r="C661" s="2">
        <v>45090</v>
      </c>
      <c r="D661" s="2">
        <v>45100</v>
      </c>
      <c r="E661">
        <f t="shared" si="10"/>
        <v>10</v>
      </c>
      <c r="F661" t="s">
        <v>41</v>
      </c>
      <c r="G661">
        <v>51343</v>
      </c>
      <c r="H661">
        <v>2381</v>
      </c>
      <c r="I661">
        <v>1371.07</v>
      </c>
      <c r="J661">
        <v>136</v>
      </c>
      <c r="K661" t="s">
        <v>30</v>
      </c>
    </row>
    <row r="662" spans="1:11" x14ac:dyDescent="0.2">
      <c r="A662" t="s">
        <v>1385</v>
      </c>
      <c r="B662" t="s">
        <v>1386</v>
      </c>
      <c r="C662" s="2">
        <v>45080</v>
      </c>
      <c r="D662" s="2">
        <v>45085</v>
      </c>
      <c r="E662">
        <f t="shared" si="10"/>
        <v>5</v>
      </c>
      <c r="F662" t="s">
        <v>19</v>
      </c>
      <c r="G662">
        <v>40081</v>
      </c>
      <c r="H662">
        <v>1651</v>
      </c>
      <c r="I662">
        <v>2376.92</v>
      </c>
      <c r="J662">
        <v>230</v>
      </c>
      <c r="K662" t="s">
        <v>24</v>
      </c>
    </row>
    <row r="663" spans="1:11" x14ac:dyDescent="0.2">
      <c r="A663" t="s">
        <v>1387</v>
      </c>
      <c r="B663" t="s">
        <v>1388</v>
      </c>
      <c r="C663" s="2">
        <v>45187</v>
      </c>
      <c r="D663" s="2">
        <v>45214</v>
      </c>
      <c r="E663">
        <f t="shared" si="10"/>
        <v>27</v>
      </c>
      <c r="F663" t="s">
        <v>58</v>
      </c>
      <c r="G663">
        <v>63856</v>
      </c>
      <c r="H663">
        <v>656</v>
      </c>
      <c r="I663">
        <v>610.73</v>
      </c>
      <c r="K663" t="s">
        <v>24</v>
      </c>
    </row>
    <row r="664" spans="1:11" x14ac:dyDescent="0.2">
      <c r="A664" t="s">
        <v>1389</v>
      </c>
      <c r="B664" t="s">
        <v>1390</v>
      </c>
      <c r="C664" s="2">
        <v>45013</v>
      </c>
      <c r="D664" s="2">
        <v>45080</v>
      </c>
      <c r="E664">
        <f t="shared" si="10"/>
        <v>67</v>
      </c>
      <c r="F664" t="s">
        <v>19</v>
      </c>
      <c r="G664">
        <v>94105</v>
      </c>
      <c r="H664">
        <v>1156</v>
      </c>
      <c r="I664">
        <v>1063.08</v>
      </c>
      <c r="J664">
        <v>223</v>
      </c>
      <c r="K664" t="b">
        <v>1</v>
      </c>
    </row>
    <row r="665" spans="1:11" x14ac:dyDescent="0.2">
      <c r="A665" t="s">
        <v>1391</v>
      </c>
      <c r="B665" t="s">
        <v>1392</v>
      </c>
      <c r="C665" s="2">
        <v>45096</v>
      </c>
      <c r="D665" s="2">
        <v>45121</v>
      </c>
      <c r="E665">
        <f t="shared" si="10"/>
        <v>25</v>
      </c>
      <c r="F665" t="s">
        <v>138</v>
      </c>
      <c r="G665">
        <v>89858</v>
      </c>
      <c r="H665">
        <v>1708</v>
      </c>
      <c r="I665">
        <v>1704.58</v>
      </c>
      <c r="J665">
        <v>316</v>
      </c>
      <c r="K665">
        <v>1</v>
      </c>
    </row>
    <row r="666" spans="1:11" x14ac:dyDescent="0.2">
      <c r="A666" t="s">
        <v>1393</v>
      </c>
      <c r="B666" t="s">
        <v>1394</v>
      </c>
      <c r="C666" s="2">
        <v>45225</v>
      </c>
      <c r="D666" s="2">
        <v>45254</v>
      </c>
      <c r="E666">
        <f t="shared" si="10"/>
        <v>29</v>
      </c>
      <c r="F666" t="s">
        <v>14</v>
      </c>
      <c r="G666">
        <v>20065</v>
      </c>
      <c r="H666">
        <v>306</v>
      </c>
      <c r="I666" s="3">
        <v>457.22</v>
      </c>
      <c r="J666">
        <v>48</v>
      </c>
      <c r="K666">
        <v>1</v>
      </c>
    </row>
    <row r="667" spans="1:11" x14ac:dyDescent="0.2">
      <c r="A667" t="s">
        <v>1395</v>
      </c>
      <c r="B667" t="s">
        <v>1396</v>
      </c>
      <c r="C667" s="2">
        <v>45279</v>
      </c>
      <c r="D667" s="2">
        <v>45295</v>
      </c>
      <c r="E667">
        <f t="shared" si="10"/>
        <v>16</v>
      </c>
      <c r="F667" t="s">
        <v>41</v>
      </c>
      <c r="G667">
        <v>84460</v>
      </c>
      <c r="H667">
        <v>2192</v>
      </c>
      <c r="I667">
        <v>3958.64</v>
      </c>
      <c r="J667">
        <v>378</v>
      </c>
      <c r="K667">
        <v>0</v>
      </c>
    </row>
    <row r="668" spans="1:11" x14ac:dyDescent="0.2">
      <c r="A668" t="s">
        <v>1397</v>
      </c>
      <c r="B668" t="s">
        <v>1398</v>
      </c>
      <c r="C668" s="2">
        <v>45062</v>
      </c>
      <c r="D668" s="2">
        <v>45084</v>
      </c>
      <c r="E668">
        <f t="shared" si="10"/>
        <v>22</v>
      </c>
      <c r="F668" t="s">
        <v>19</v>
      </c>
      <c r="G668">
        <v>89092</v>
      </c>
      <c r="H668">
        <v>4178</v>
      </c>
      <c r="I668">
        <v>6846.2</v>
      </c>
      <c r="K668" t="s">
        <v>24</v>
      </c>
    </row>
    <row r="669" spans="1:11" x14ac:dyDescent="0.2">
      <c r="A669" t="s">
        <v>1399</v>
      </c>
      <c r="B669" t="s">
        <v>1400</v>
      </c>
      <c r="C669" s="2">
        <v>45223</v>
      </c>
      <c r="D669" s="2">
        <v>45241</v>
      </c>
      <c r="E669">
        <f t="shared" si="10"/>
        <v>18</v>
      </c>
      <c r="F669" t="s">
        <v>33</v>
      </c>
      <c r="G669">
        <v>55693</v>
      </c>
      <c r="H669">
        <v>1608</v>
      </c>
      <c r="I669">
        <v>2558.8000000000002</v>
      </c>
      <c r="J669">
        <v>110</v>
      </c>
      <c r="K669" t="s">
        <v>15</v>
      </c>
    </row>
    <row r="670" spans="1:11" x14ac:dyDescent="0.2">
      <c r="A670" t="s">
        <v>1401</v>
      </c>
      <c r="B670" t="s">
        <v>1402</v>
      </c>
      <c r="C670" s="2">
        <v>45225</v>
      </c>
      <c r="D670" s="2">
        <v>45239</v>
      </c>
      <c r="E670">
        <f t="shared" si="10"/>
        <v>14</v>
      </c>
      <c r="F670" t="s">
        <v>234</v>
      </c>
      <c r="G670">
        <v>27962</v>
      </c>
      <c r="H670">
        <v>294</v>
      </c>
      <c r="I670" s="3">
        <v>360.62</v>
      </c>
      <c r="J670">
        <v>48</v>
      </c>
      <c r="K670">
        <v>0</v>
      </c>
    </row>
    <row r="671" spans="1:11" x14ac:dyDescent="0.2">
      <c r="A671" t="s">
        <v>1403</v>
      </c>
      <c r="B671" t="s">
        <v>1404</v>
      </c>
      <c r="C671" s="2">
        <v>45244</v>
      </c>
      <c r="D671" s="2">
        <v>45256</v>
      </c>
      <c r="E671">
        <f t="shared" si="10"/>
        <v>12</v>
      </c>
      <c r="F671" t="s">
        <v>14</v>
      </c>
      <c r="G671">
        <v>29295</v>
      </c>
      <c r="H671">
        <v>624</v>
      </c>
      <c r="I671" s="3">
        <v>961.4</v>
      </c>
      <c r="J671">
        <v>50</v>
      </c>
      <c r="K671">
        <v>0</v>
      </c>
    </row>
    <row r="672" spans="1:11" x14ac:dyDescent="0.2">
      <c r="A672" t="s">
        <v>1405</v>
      </c>
      <c r="B672" t="s">
        <v>1406</v>
      </c>
      <c r="C672" s="2">
        <v>45275</v>
      </c>
      <c r="D672" s="2">
        <v>45289</v>
      </c>
      <c r="E672">
        <f t="shared" si="10"/>
        <v>14</v>
      </c>
      <c r="F672" t="s">
        <v>41</v>
      </c>
      <c r="G672">
        <v>14807</v>
      </c>
      <c r="H672">
        <v>174</v>
      </c>
      <c r="I672">
        <v>231.27</v>
      </c>
      <c r="J672">
        <v>17</v>
      </c>
      <c r="K672" t="b">
        <v>0</v>
      </c>
    </row>
    <row r="673" spans="1:11" x14ac:dyDescent="0.2">
      <c r="A673" t="s">
        <v>1407</v>
      </c>
      <c r="B673" t="s">
        <v>1408</v>
      </c>
      <c r="C673" s="2">
        <v>45285</v>
      </c>
      <c r="D673" s="2">
        <v>45288</v>
      </c>
      <c r="E673">
        <f t="shared" si="10"/>
        <v>3</v>
      </c>
      <c r="F673" t="s">
        <v>33</v>
      </c>
      <c r="G673">
        <v>43348</v>
      </c>
      <c r="H673">
        <v>496</v>
      </c>
      <c r="I673" s="3">
        <v>408.89</v>
      </c>
      <c r="J673">
        <v>85</v>
      </c>
      <c r="K673" t="s">
        <v>24</v>
      </c>
    </row>
    <row r="674" spans="1:11" x14ac:dyDescent="0.2">
      <c r="A674" t="s">
        <v>1409</v>
      </c>
      <c r="B674" t="s">
        <v>1410</v>
      </c>
      <c r="C674" s="2">
        <v>45087</v>
      </c>
      <c r="D674" s="2">
        <v>45107</v>
      </c>
      <c r="E674">
        <f t="shared" si="10"/>
        <v>20</v>
      </c>
      <c r="F674" t="s">
        <v>33</v>
      </c>
      <c r="G674">
        <v>27432</v>
      </c>
      <c r="H674">
        <v>576</v>
      </c>
      <c r="I674">
        <v>468.22</v>
      </c>
      <c r="J674">
        <v>75</v>
      </c>
      <c r="K674">
        <v>1</v>
      </c>
    </row>
    <row r="675" spans="1:11" x14ac:dyDescent="0.2">
      <c r="A675" t="s">
        <v>1411</v>
      </c>
      <c r="B675" t="s">
        <v>1412</v>
      </c>
      <c r="C675" s="2">
        <v>45031</v>
      </c>
      <c r="D675" s="2">
        <v>45040</v>
      </c>
      <c r="E675">
        <f t="shared" si="10"/>
        <v>9</v>
      </c>
      <c r="F675" t="s">
        <v>41</v>
      </c>
      <c r="G675">
        <v>84285</v>
      </c>
      <c r="H675">
        <v>1772</v>
      </c>
      <c r="I675">
        <v>1673.81</v>
      </c>
      <c r="J675">
        <v>317</v>
      </c>
      <c r="K675" t="s">
        <v>24</v>
      </c>
    </row>
    <row r="676" spans="1:11" x14ac:dyDescent="0.2">
      <c r="A676" t="s">
        <v>1413</v>
      </c>
      <c r="B676" t="s">
        <v>1414</v>
      </c>
      <c r="C676" s="2">
        <v>45168</v>
      </c>
      <c r="D676" s="2">
        <v>45197</v>
      </c>
      <c r="E676">
        <f t="shared" si="10"/>
        <v>29</v>
      </c>
      <c r="F676" t="s">
        <v>14</v>
      </c>
      <c r="G676">
        <v>92792</v>
      </c>
      <c r="H676">
        <v>3849</v>
      </c>
      <c r="I676" s="3">
        <v>7183.02</v>
      </c>
      <c r="J676">
        <v>315</v>
      </c>
      <c r="K676" t="s">
        <v>30</v>
      </c>
    </row>
    <row r="677" spans="1:11" x14ac:dyDescent="0.2">
      <c r="A677" t="s">
        <v>1415</v>
      </c>
      <c r="B677" t="s">
        <v>1416</v>
      </c>
      <c r="C677" s="2">
        <v>44958</v>
      </c>
      <c r="D677" s="2">
        <v>44963</v>
      </c>
      <c r="E677">
        <f t="shared" si="10"/>
        <v>5</v>
      </c>
      <c r="F677" t="s">
        <v>138</v>
      </c>
      <c r="G677">
        <v>58854</v>
      </c>
      <c r="H677">
        <v>2883</v>
      </c>
      <c r="I677">
        <v>3808.8</v>
      </c>
      <c r="J677">
        <v>406</v>
      </c>
      <c r="K677">
        <v>0</v>
      </c>
    </row>
    <row r="678" spans="1:11" x14ac:dyDescent="0.2">
      <c r="A678" t="s">
        <v>1417</v>
      </c>
      <c r="B678" t="s">
        <v>1418</v>
      </c>
      <c r="C678" s="2">
        <v>45214</v>
      </c>
      <c r="D678" s="2">
        <v>45225</v>
      </c>
      <c r="E678">
        <f t="shared" si="10"/>
        <v>11</v>
      </c>
      <c r="F678" t="s">
        <v>14</v>
      </c>
      <c r="G678">
        <v>41262</v>
      </c>
      <c r="H678">
        <v>1025</v>
      </c>
      <c r="I678">
        <v>-1640.88</v>
      </c>
      <c r="J678">
        <v>64</v>
      </c>
      <c r="K678" t="b">
        <v>0</v>
      </c>
    </row>
    <row r="679" spans="1:11" x14ac:dyDescent="0.2">
      <c r="A679" t="s">
        <v>1419</v>
      </c>
      <c r="B679" t="s">
        <v>1420</v>
      </c>
      <c r="C679" s="2">
        <v>45196</v>
      </c>
      <c r="D679" s="2">
        <v>45226</v>
      </c>
      <c r="E679">
        <f t="shared" si="10"/>
        <v>30</v>
      </c>
      <c r="F679" t="s">
        <v>14</v>
      </c>
      <c r="G679">
        <v>38080</v>
      </c>
      <c r="H679">
        <v>1034</v>
      </c>
      <c r="I679">
        <v>1054.51</v>
      </c>
      <c r="J679">
        <v>151</v>
      </c>
      <c r="K679" t="b">
        <v>0</v>
      </c>
    </row>
    <row r="680" spans="1:11" x14ac:dyDescent="0.2">
      <c r="A680" t="s">
        <v>1421</v>
      </c>
      <c r="B680" t="s">
        <v>1422</v>
      </c>
      <c r="C680" s="2">
        <v>45162</v>
      </c>
      <c r="D680" s="2">
        <v>45174</v>
      </c>
      <c r="E680">
        <f t="shared" si="10"/>
        <v>12</v>
      </c>
      <c r="F680" t="s">
        <v>41</v>
      </c>
      <c r="G680">
        <v>2324</v>
      </c>
      <c r="H680">
        <v>101</v>
      </c>
      <c r="I680">
        <v>112.27</v>
      </c>
      <c r="K680">
        <v>1</v>
      </c>
    </row>
    <row r="681" spans="1:11" x14ac:dyDescent="0.2">
      <c r="A681" t="s">
        <v>1423</v>
      </c>
      <c r="B681" t="s">
        <v>1424</v>
      </c>
      <c r="C681" s="2">
        <v>45108</v>
      </c>
      <c r="D681" s="2">
        <v>45129</v>
      </c>
      <c r="E681">
        <f t="shared" si="10"/>
        <v>21</v>
      </c>
      <c r="F681" t="s">
        <v>19</v>
      </c>
      <c r="G681">
        <v>92267</v>
      </c>
      <c r="H681">
        <v>1912</v>
      </c>
      <c r="I681" s="3">
        <v>1316.12</v>
      </c>
      <c r="J681">
        <v>263</v>
      </c>
      <c r="K681">
        <v>1</v>
      </c>
    </row>
    <row r="682" spans="1:11" x14ac:dyDescent="0.2">
      <c r="A682" t="s">
        <v>1425</v>
      </c>
      <c r="B682" t="s">
        <v>1426</v>
      </c>
      <c r="C682" s="2">
        <v>45275</v>
      </c>
      <c r="D682" s="2">
        <v>45290</v>
      </c>
      <c r="E682">
        <f t="shared" si="10"/>
        <v>15</v>
      </c>
      <c r="F682" t="s">
        <v>41</v>
      </c>
      <c r="G682">
        <v>36909</v>
      </c>
      <c r="H682">
        <v>599</v>
      </c>
      <c r="I682">
        <v>453.41</v>
      </c>
      <c r="J682">
        <v>53</v>
      </c>
      <c r="K682">
        <v>1</v>
      </c>
    </row>
    <row r="683" spans="1:11" x14ac:dyDescent="0.2">
      <c r="A683" t="s">
        <v>1427</v>
      </c>
      <c r="B683" t="s">
        <v>1428</v>
      </c>
      <c r="C683" s="2">
        <v>45239</v>
      </c>
      <c r="D683" s="2">
        <v>45254</v>
      </c>
      <c r="E683">
        <f t="shared" si="10"/>
        <v>15</v>
      </c>
      <c r="F683" t="s">
        <v>41</v>
      </c>
      <c r="G683">
        <v>90339</v>
      </c>
      <c r="H683">
        <v>3986</v>
      </c>
      <c r="I683">
        <v>6939.76</v>
      </c>
      <c r="J683">
        <v>218</v>
      </c>
      <c r="K683" t="s">
        <v>30</v>
      </c>
    </row>
    <row r="684" spans="1:11" x14ac:dyDescent="0.2">
      <c r="A684" t="s">
        <v>1429</v>
      </c>
      <c r="B684" t="s">
        <v>1430</v>
      </c>
      <c r="C684" s="2">
        <v>45069</v>
      </c>
      <c r="D684" s="2">
        <v>45094</v>
      </c>
      <c r="E684">
        <f t="shared" si="10"/>
        <v>25</v>
      </c>
      <c r="F684" t="s">
        <v>23</v>
      </c>
      <c r="G684">
        <v>20870</v>
      </c>
      <c r="H684">
        <v>247</v>
      </c>
      <c r="I684" s="3">
        <v>340.18</v>
      </c>
      <c r="J684">
        <v>16</v>
      </c>
      <c r="K684" t="b">
        <v>0</v>
      </c>
    </row>
    <row r="685" spans="1:11" x14ac:dyDescent="0.2">
      <c r="A685" t="s">
        <v>1431</v>
      </c>
      <c r="B685" t="s">
        <v>1432</v>
      </c>
      <c r="C685" s="2">
        <v>45079</v>
      </c>
      <c r="D685" s="2">
        <v>45097</v>
      </c>
      <c r="E685">
        <f t="shared" si="10"/>
        <v>18</v>
      </c>
      <c r="F685" t="s">
        <v>14</v>
      </c>
      <c r="G685">
        <v>35578</v>
      </c>
      <c r="H685">
        <v>1237</v>
      </c>
      <c r="I685">
        <v>1244.79</v>
      </c>
      <c r="J685">
        <v>177</v>
      </c>
      <c r="K685" t="s">
        <v>15</v>
      </c>
    </row>
    <row r="686" spans="1:11" x14ac:dyDescent="0.2">
      <c r="A686" t="s">
        <v>1433</v>
      </c>
      <c r="B686" t="s">
        <v>1434</v>
      </c>
      <c r="C686" s="2">
        <v>45280</v>
      </c>
      <c r="D686" s="2">
        <v>45308</v>
      </c>
      <c r="E686">
        <f t="shared" si="10"/>
        <v>28</v>
      </c>
      <c r="F686" t="s">
        <v>19</v>
      </c>
      <c r="G686">
        <v>73124</v>
      </c>
      <c r="H686">
        <v>2375</v>
      </c>
      <c r="I686">
        <v>4047.66</v>
      </c>
      <c r="J686">
        <v>451</v>
      </c>
      <c r="K686" t="s">
        <v>30</v>
      </c>
    </row>
    <row r="687" spans="1:11" x14ac:dyDescent="0.2">
      <c r="A687" t="s">
        <v>1435</v>
      </c>
      <c r="B687" t="s">
        <v>1436</v>
      </c>
      <c r="C687" s="2">
        <v>45105</v>
      </c>
      <c r="D687" s="2">
        <v>45127</v>
      </c>
      <c r="E687">
        <f t="shared" si="10"/>
        <v>22</v>
      </c>
      <c r="F687" t="s">
        <v>33</v>
      </c>
      <c r="G687">
        <v>27790</v>
      </c>
      <c r="H687">
        <v>662</v>
      </c>
      <c r="I687">
        <v>575.79</v>
      </c>
      <c r="J687">
        <v>53</v>
      </c>
      <c r="K687" t="b">
        <v>1</v>
      </c>
    </row>
    <row r="688" spans="1:11" x14ac:dyDescent="0.2">
      <c r="A688" t="s">
        <v>1437</v>
      </c>
      <c r="B688" t="s">
        <v>1438</v>
      </c>
      <c r="C688" s="2">
        <v>45067</v>
      </c>
      <c r="D688" s="2">
        <v>45073</v>
      </c>
      <c r="E688">
        <f t="shared" si="10"/>
        <v>6</v>
      </c>
      <c r="F688" t="s">
        <v>415</v>
      </c>
      <c r="G688">
        <v>26289</v>
      </c>
      <c r="H688">
        <v>594</v>
      </c>
      <c r="I688">
        <v>1166.6500000000001</v>
      </c>
      <c r="K688">
        <v>0</v>
      </c>
    </row>
    <row r="689" spans="1:11" x14ac:dyDescent="0.2">
      <c r="A689" t="s">
        <v>1439</v>
      </c>
      <c r="B689" t="s">
        <v>1440</v>
      </c>
      <c r="C689" s="2">
        <v>45205</v>
      </c>
      <c r="D689" s="2">
        <v>45234</v>
      </c>
      <c r="E689">
        <f t="shared" si="10"/>
        <v>29</v>
      </c>
      <c r="F689" t="s">
        <v>33</v>
      </c>
      <c r="G689">
        <v>56129</v>
      </c>
      <c r="H689">
        <v>2294</v>
      </c>
      <c r="I689">
        <v>2333.52</v>
      </c>
      <c r="J689">
        <v>412</v>
      </c>
      <c r="K689">
        <v>1</v>
      </c>
    </row>
    <row r="690" spans="1:11" x14ac:dyDescent="0.2">
      <c r="A690" t="s">
        <v>1441</v>
      </c>
      <c r="B690" t="s">
        <v>1442</v>
      </c>
      <c r="C690" s="2">
        <v>45103</v>
      </c>
      <c r="D690" s="2">
        <v>45105</v>
      </c>
      <c r="E690">
        <f t="shared" si="10"/>
        <v>2</v>
      </c>
      <c r="F690" t="s">
        <v>41</v>
      </c>
      <c r="G690">
        <v>94714</v>
      </c>
      <c r="H690">
        <v>1274</v>
      </c>
      <c r="I690">
        <v>1281.5999999999999</v>
      </c>
      <c r="J690">
        <v>163</v>
      </c>
      <c r="K690" t="b">
        <v>0</v>
      </c>
    </row>
    <row r="691" spans="1:11" x14ac:dyDescent="0.2">
      <c r="A691" t="s">
        <v>1443</v>
      </c>
      <c r="B691" t="s">
        <v>1444</v>
      </c>
      <c r="C691" s="2">
        <v>45075</v>
      </c>
      <c r="D691" s="2">
        <v>45086</v>
      </c>
      <c r="E691">
        <f t="shared" si="10"/>
        <v>11</v>
      </c>
      <c r="F691" t="s">
        <v>19</v>
      </c>
      <c r="G691">
        <v>95246</v>
      </c>
      <c r="H691">
        <v>1854</v>
      </c>
      <c r="I691">
        <v>1794.43</v>
      </c>
      <c r="J691">
        <v>278</v>
      </c>
      <c r="K691">
        <v>0</v>
      </c>
    </row>
    <row r="692" spans="1:11" x14ac:dyDescent="0.2">
      <c r="A692" t="s">
        <v>1446</v>
      </c>
      <c r="B692" t="s">
        <v>1447</v>
      </c>
      <c r="C692" s="2">
        <v>45292</v>
      </c>
      <c r="D692" s="2">
        <v>45309</v>
      </c>
      <c r="E692">
        <f t="shared" si="10"/>
        <v>17</v>
      </c>
      <c r="F692" t="s">
        <v>23</v>
      </c>
      <c r="G692">
        <v>16485</v>
      </c>
      <c r="H692">
        <v>647</v>
      </c>
      <c r="I692">
        <v>442.01</v>
      </c>
      <c r="J692">
        <v>111</v>
      </c>
      <c r="K692" t="s">
        <v>24</v>
      </c>
    </row>
    <row r="693" spans="1:11" x14ac:dyDescent="0.2">
      <c r="A693" t="s">
        <v>1448</v>
      </c>
      <c r="B693" t="s">
        <v>1449</v>
      </c>
      <c r="C693" s="2">
        <v>45153</v>
      </c>
      <c r="D693" s="2">
        <v>45183</v>
      </c>
      <c r="E693">
        <f t="shared" si="10"/>
        <v>30</v>
      </c>
      <c r="F693" t="s">
        <v>33</v>
      </c>
      <c r="G693">
        <v>45482</v>
      </c>
      <c r="H693">
        <v>1452</v>
      </c>
      <c r="I693">
        <v>968.06</v>
      </c>
      <c r="J693">
        <v>129</v>
      </c>
      <c r="K693" t="s">
        <v>30</v>
      </c>
    </row>
    <row r="694" spans="1:11" x14ac:dyDescent="0.2">
      <c r="A694" t="s">
        <v>1450</v>
      </c>
      <c r="B694" t="s">
        <v>1451</v>
      </c>
      <c r="C694" s="2">
        <v>45036</v>
      </c>
      <c r="D694" s="2">
        <v>45064</v>
      </c>
      <c r="E694">
        <f t="shared" si="10"/>
        <v>28</v>
      </c>
      <c r="F694" t="s">
        <v>138</v>
      </c>
      <c r="G694">
        <v>87188</v>
      </c>
      <c r="H694">
        <v>1318</v>
      </c>
      <c r="I694">
        <v>1940.3</v>
      </c>
      <c r="J694">
        <v>124</v>
      </c>
      <c r="K694" t="b">
        <v>1</v>
      </c>
    </row>
    <row r="695" spans="1:11" x14ac:dyDescent="0.2">
      <c r="A695" t="s">
        <v>1452</v>
      </c>
      <c r="B695" t="s">
        <v>1453</v>
      </c>
      <c r="C695" s="2">
        <v>45209</v>
      </c>
      <c r="D695" s="2">
        <v>45214</v>
      </c>
      <c r="E695">
        <f t="shared" si="10"/>
        <v>5</v>
      </c>
      <c r="F695" t="s">
        <v>41</v>
      </c>
      <c r="G695">
        <v>5748</v>
      </c>
      <c r="H695">
        <v>260</v>
      </c>
      <c r="I695">
        <v>471.3</v>
      </c>
      <c r="J695">
        <v>13</v>
      </c>
      <c r="K695" t="s">
        <v>24</v>
      </c>
    </row>
    <row r="696" spans="1:11" x14ac:dyDescent="0.2">
      <c r="A696" t="s">
        <v>1454</v>
      </c>
      <c r="B696" t="s">
        <v>1455</v>
      </c>
      <c r="C696" s="2">
        <v>45242</v>
      </c>
      <c r="D696" s="2">
        <v>45247</v>
      </c>
      <c r="E696">
        <f t="shared" si="10"/>
        <v>5</v>
      </c>
      <c r="F696" t="s">
        <v>33</v>
      </c>
      <c r="G696">
        <v>87769</v>
      </c>
      <c r="H696">
        <v>2258</v>
      </c>
      <c r="I696">
        <v>3806.49</v>
      </c>
      <c r="J696">
        <v>439</v>
      </c>
      <c r="K696" t="s">
        <v>30</v>
      </c>
    </row>
    <row r="697" spans="1:11" x14ac:dyDescent="0.2">
      <c r="A697" t="s">
        <v>1456</v>
      </c>
      <c r="B697" t="s">
        <v>1457</v>
      </c>
      <c r="C697" s="2">
        <v>44952</v>
      </c>
      <c r="D697" s="2">
        <v>44972</v>
      </c>
      <c r="E697">
        <f t="shared" si="10"/>
        <v>20</v>
      </c>
      <c r="F697" t="s">
        <v>138</v>
      </c>
      <c r="G697">
        <v>10435</v>
      </c>
      <c r="H697">
        <v>449</v>
      </c>
      <c r="I697">
        <v>319.54000000000002</v>
      </c>
      <c r="J697">
        <v>84</v>
      </c>
      <c r="K697" t="s">
        <v>30</v>
      </c>
    </row>
    <row r="698" spans="1:11" x14ac:dyDescent="0.2">
      <c r="A698" t="s">
        <v>1458</v>
      </c>
      <c r="B698" t="s">
        <v>1459</v>
      </c>
      <c r="C698" s="2">
        <v>45253</v>
      </c>
      <c r="D698" s="2">
        <v>45264</v>
      </c>
      <c r="E698">
        <f t="shared" si="10"/>
        <v>11</v>
      </c>
      <c r="F698" t="s">
        <v>41</v>
      </c>
      <c r="G698">
        <v>4709</v>
      </c>
      <c r="H698">
        <v>195</v>
      </c>
      <c r="I698">
        <v>257.08</v>
      </c>
      <c r="J698">
        <v>32</v>
      </c>
      <c r="K698" t="s">
        <v>15</v>
      </c>
    </row>
    <row r="699" spans="1:11" x14ac:dyDescent="0.2">
      <c r="A699" t="s">
        <v>1460</v>
      </c>
      <c r="B699" t="s">
        <v>1461</v>
      </c>
      <c r="C699" s="2">
        <v>45096</v>
      </c>
      <c r="D699" s="2">
        <v>45114</v>
      </c>
      <c r="E699">
        <f t="shared" si="10"/>
        <v>18</v>
      </c>
      <c r="F699" t="s">
        <v>14</v>
      </c>
      <c r="G699">
        <v>31355</v>
      </c>
      <c r="H699">
        <v>1096</v>
      </c>
      <c r="I699">
        <v>721.59</v>
      </c>
      <c r="J699">
        <v>67</v>
      </c>
      <c r="K699">
        <v>0</v>
      </c>
    </row>
    <row r="700" spans="1:11" x14ac:dyDescent="0.2">
      <c r="A700" t="s">
        <v>1462</v>
      </c>
      <c r="B700" t="s">
        <v>1463</v>
      </c>
      <c r="C700" s="2">
        <v>45018</v>
      </c>
      <c r="D700" s="2">
        <v>45263</v>
      </c>
      <c r="E700">
        <f t="shared" si="10"/>
        <v>245</v>
      </c>
      <c r="F700" t="s">
        <v>14</v>
      </c>
      <c r="G700">
        <v>56771</v>
      </c>
      <c r="H700">
        <v>1690</v>
      </c>
      <c r="I700">
        <v>959.82</v>
      </c>
      <c r="J700">
        <v>197</v>
      </c>
      <c r="K700" t="s">
        <v>15</v>
      </c>
    </row>
    <row r="701" spans="1:11" x14ac:dyDescent="0.2">
      <c r="A701" t="s">
        <v>1464</v>
      </c>
      <c r="B701" t="s">
        <v>1465</v>
      </c>
      <c r="C701" s="2">
        <v>45208</v>
      </c>
      <c r="D701" s="2">
        <v>45235</v>
      </c>
      <c r="E701">
        <f t="shared" si="10"/>
        <v>27</v>
      </c>
      <c r="F701" t="s">
        <v>23</v>
      </c>
      <c r="G701">
        <v>58799</v>
      </c>
      <c r="H701">
        <v>2891</v>
      </c>
      <c r="I701">
        <v>4291.92</v>
      </c>
      <c r="J701">
        <v>188</v>
      </c>
      <c r="K701" t="s">
        <v>30</v>
      </c>
    </row>
    <row r="702" spans="1:11" x14ac:dyDescent="0.2">
      <c r="A702" t="s">
        <v>1466</v>
      </c>
      <c r="B702" t="s">
        <v>1467</v>
      </c>
      <c r="C702" s="2">
        <v>45261</v>
      </c>
      <c r="D702" s="2">
        <v>45285</v>
      </c>
      <c r="E702">
        <f t="shared" si="10"/>
        <v>24</v>
      </c>
      <c r="F702" t="s">
        <v>19</v>
      </c>
      <c r="G702">
        <v>14116</v>
      </c>
      <c r="H702">
        <v>223</v>
      </c>
      <c r="I702">
        <v>290.51</v>
      </c>
      <c r="J702">
        <v>11</v>
      </c>
      <c r="K702" t="b">
        <v>1</v>
      </c>
    </row>
    <row r="703" spans="1:11" x14ac:dyDescent="0.2">
      <c r="A703" t="s">
        <v>1468</v>
      </c>
      <c r="B703" t="s">
        <v>1469</v>
      </c>
      <c r="C703" s="2">
        <v>45171</v>
      </c>
      <c r="D703" s="2">
        <v>45177</v>
      </c>
      <c r="E703">
        <f t="shared" si="10"/>
        <v>6</v>
      </c>
      <c r="F703" t="s">
        <v>23</v>
      </c>
      <c r="G703">
        <v>26470</v>
      </c>
      <c r="H703">
        <v>1032</v>
      </c>
      <c r="I703">
        <v>642.97</v>
      </c>
      <c r="J703">
        <v>146</v>
      </c>
      <c r="K703" t="b">
        <v>0</v>
      </c>
    </row>
    <row r="704" spans="1:11" x14ac:dyDescent="0.2">
      <c r="A704" t="s">
        <v>1470</v>
      </c>
      <c r="B704" t="s">
        <v>1471</v>
      </c>
      <c r="C704" s="2">
        <v>45074</v>
      </c>
      <c r="D704" s="2">
        <v>45102</v>
      </c>
      <c r="E704">
        <f t="shared" si="10"/>
        <v>28</v>
      </c>
      <c r="F704" t="s">
        <v>19</v>
      </c>
      <c r="G704">
        <v>43344</v>
      </c>
      <c r="H704">
        <v>764</v>
      </c>
      <c r="I704">
        <v>422.04</v>
      </c>
      <c r="J704">
        <v>148</v>
      </c>
      <c r="K704" t="b">
        <v>0</v>
      </c>
    </row>
    <row r="705" spans="1:11" x14ac:dyDescent="0.2">
      <c r="A705" t="s">
        <v>1472</v>
      </c>
      <c r="B705" t="s">
        <v>1473</v>
      </c>
      <c r="C705" s="2">
        <v>44972</v>
      </c>
      <c r="D705" s="2">
        <v>44998</v>
      </c>
      <c r="E705">
        <f t="shared" si="10"/>
        <v>26</v>
      </c>
      <c r="F705" t="s">
        <v>33</v>
      </c>
      <c r="G705">
        <v>43918</v>
      </c>
      <c r="H705">
        <v>1033</v>
      </c>
      <c r="I705">
        <v>2050.13</v>
      </c>
      <c r="K705" t="s">
        <v>24</v>
      </c>
    </row>
    <row r="706" spans="1:11" x14ac:dyDescent="0.2">
      <c r="A706" t="s">
        <v>1474</v>
      </c>
      <c r="B706" t="s">
        <v>1475</v>
      </c>
      <c r="C706" s="2">
        <v>44946</v>
      </c>
      <c r="D706" s="2">
        <v>44965</v>
      </c>
      <c r="E706">
        <f t="shared" ref="E706:E769" si="11">D706-C706</f>
        <v>19</v>
      </c>
      <c r="F706" t="s">
        <v>415</v>
      </c>
      <c r="G706">
        <v>53224</v>
      </c>
      <c r="H706">
        <v>1189</v>
      </c>
      <c r="I706">
        <v>648.04</v>
      </c>
      <c r="J706">
        <v>183</v>
      </c>
      <c r="K706">
        <v>0</v>
      </c>
    </row>
    <row r="707" spans="1:11" x14ac:dyDescent="0.2">
      <c r="A707" t="s">
        <v>1476</v>
      </c>
      <c r="B707" t="s">
        <v>1477</v>
      </c>
      <c r="C707" s="2">
        <v>44935</v>
      </c>
      <c r="D707" s="2">
        <v>45017</v>
      </c>
      <c r="E707">
        <f t="shared" si="11"/>
        <v>82</v>
      </c>
      <c r="F707" t="s">
        <v>23</v>
      </c>
      <c r="G707">
        <v>40298</v>
      </c>
      <c r="H707">
        <v>1929</v>
      </c>
      <c r="I707">
        <v>2250.7399999999998</v>
      </c>
      <c r="J707">
        <v>124</v>
      </c>
      <c r="K707">
        <v>1</v>
      </c>
    </row>
    <row r="708" spans="1:11" x14ac:dyDescent="0.2">
      <c r="A708" t="s">
        <v>1478</v>
      </c>
      <c r="B708" t="s">
        <v>1479</v>
      </c>
      <c r="C708" s="2">
        <v>45130</v>
      </c>
      <c r="D708" s="2">
        <v>45157</v>
      </c>
      <c r="E708">
        <f t="shared" si="11"/>
        <v>27</v>
      </c>
      <c r="F708" t="s">
        <v>41</v>
      </c>
      <c r="G708">
        <v>81219</v>
      </c>
      <c r="H708">
        <v>3954</v>
      </c>
      <c r="I708">
        <v>4969.8999999999996</v>
      </c>
      <c r="J708">
        <v>360</v>
      </c>
      <c r="K708">
        <v>1</v>
      </c>
    </row>
    <row r="709" spans="1:11" x14ac:dyDescent="0.2">
      <c r="A709" t="s">
        <v>1480</v>
      </c>
      <c r="B709" t="s">
        <v>1481</v>
      </c>
      <c r="C709" s="2">
        <v>45075</v>
      </c>
      <c r="D709" s="2">
        <v>45101</v>
      </c>
      <c r="E709">
        <f t="shared" si="11"/>
        <v>26</v>
      </c>
      <c r="F709" t="s">
        <v>41</v>
      </c>
      <c r="G709">
        <v>62629</v>
      </c>
      <c r="H709">
        <v>1084</v>
      </c>
      <c r="I709">
        <v>732.7</v>
      </c>
      <c r="J709">
        <v>106</v>
      </c>
      <c r="K709" t="b">
        <v>0</v>
      </c>
    </row>
    <row r="710" spans="1:11" x14ac:dyDescent="0.2">
      <c r="A710" t="s">
        <v>1482</v>
      </c>
      <c r="B710" t="s">
        <v>1483</v>
      </c>
      <c r="C710" s="2">
        <v>45217</v>
      </c>
      <c r="D710" s="2">
        <v>45224</v>
      </c>
      <c r="E710">
        <f t="shared" si="11"/>
        <v>7</v>
      </c>
      <c r="F710" t="s">
        <v>23</v>
      </c>
      <c r="G710">
        <v>67040</v>
      </c>
      <c r="H710">
        <v>729</v>
      </c>
      <c r="I710">
        <v>549.37</v>
      </c>
      <c r="J710">
        <v>119</v>
      </c>
      <c r="K710" t="s">
        <v>30</v>
      </c>
    </row>
    <row r="711" spans="1:11" x14ac:dyDescent="0.2">
      <c r="A711" t="s">
        <v>1484</v>
      </c>
      <c r="B711" t="s">
        <v>1485</v>
      </c>
      <c r="C711" s="2">
        <v>45098</v>
      </c>
      <c r="D711" s="2">
        <v>45125</v>
      </c>
      <c r="E711">
        <f t="shared" si="11"/>
        <v>27</v>
      </c>
      <c r="F711" t="s">
        <v>23</v>
      </c>
      <c r="G711">
        <v>29016</v>
      </c>
      <c r="H711">
        <v>1125</v>
      </c>
      <c r="I711">
        <v>1156.17</v>
      </c>
      <c r="J711">
        <v>191</v>
      </c>
      <c r="K711" t="s">
        <v>30</v>
      </c>
    </row>
    <row r="712" spans="1:11" x14ac:dyDescent="0.2">
      <c r="A712" t="s">
        <v>1486</v>
      </c>
      <c r="B712" t="s">
        <v>1487</v>
      </c>
      <c r="C712" s="2">
        <v>45205</v>
      </c>
      <c r="D712" s="2">
        <v>45228</v>
      </c>
      <c r="E712">
        <f t="shared" si="11"/>
        <v>23</v>
      </c>
      <c r="F712" t="s">
        <v>14</v>
      </c>
      <c r="G712">
        <v>24960</v>
      </c>
      <c r="H712">
        <v>666</v>
      </c>
      <c r="I712">
        <v>1093.9100000000001</v>
      </c>
      <c r="J712">
        <v>71</v>
      </c>
      <c r="K712" t="s">
        <v>15</v>
      </c>
    </row>
    <row r="713" spans="1:11" x14ac:dyDescent="0.2">
      <c r="A713" t="s">
        <v>1488</v>
      </c>
      <c r="B713" t="s">
        <v>1489</v>
      </c>
      <c r="C713" s="2">
        <v>44995</v>
      </c>
      <c r="D713" s="2">
        <v>45008</v>
      </c>
      <c r="E713">
        <f t="shared" si="11"/>
        <v>13</v>
      </c>
      <c r="F713" t="s">
        <v>14</v>
      </c>
      <c r="G713">
        <v>34591</v>
      </c>
      <c r="H713">
        <v>468</v>
      </c>
      <c r="I713">
        <v>589.97</v>
      </c>
      <c r="J713">
        <v>52</v>
      </c>
      <c r="K713">
        <v>0</v>
      </c>
    </row>
    <row r="714" spans="1:11" x14ac:dyDescent="0.2">
      <c r="A714" t="s">
        <v>1490</v>
      </c>
      <c r="B714" t="s">
        <v>1491</v>
      </c>
      <c r="C714" s="2">
        <v>45025</v>
      </c>
      <c r="D714" s="2">
        <v>45028</v>
      </c>
      <c r="E714">
        <f t="shared" si="11"/>
        <v>3</v>
      </c>
      <c r="F714" t="s">
        <v>33</v>
      </c>
      <c r="G714">
        <v>83848</v>
      </c>
      <c r="H714">
        <v>3131</v>
      </c>
      <c r="I714" s="3">
        <v>4561.41</v>
      </c>
      <c r="J714">
        <v>177</v>
      </c>
      <c r="K714" t="s">
        <v>15</v>
      </c>
    </row>
    <row r="715" spans="1:11" x14ac:dyDescent="0.2">
      <c r="A715" t="s">
        <v>1492</v>
      </c>
      <c r="B715" t="s">
        <v>1493</v>
      </c>
      <c r="C715" s="2">
        <v>45161</v>
      </c>
      <c r="D715" s="2">
        <v>45188</v>
      </c>
      <c r="E715">
        <f t="shared" si="11"/>
        <v>27</v>
      </c>
      <c r="F715" t="s">
        <v>138</v>
      </c>
      <c r="G715">
        <v>68641</v>
      </c>
      <c r="H715">
        <v>2183</v>
      </c>
      <c r="I715">
        <v>4317.45</v>
      </c>
      <c r="J715">
        <v>203</v>
      </c>
      <c r="K715">
        <v>1</v>
      </c>
    </row>
    <row r="716" spans="1:11" x14ac:dyDescent="0.2">
      <c r="A716" t="s">
        <v>1494</v>
      </c>
      <c r="B716" t="s">
        <v>1495</v>
      </c>
      <c r="C716" s="2">
        <v>44934</v>
      </c>
      <c r="D716" s="2">
        <v>44948</v>
      </c>
      <c r="E716">
        <f t="shared" si="11"/>
        <v>14</v>
      </c>
      <c r="F716" t="s">
        <v>14</v>
      </c>
      <c r="G716">
        <v>37395</v>
      </c>
      <c r="H716">
        <v>1840</v>
      </c>
      <c r="I716">
        <v>3039.7</v>
      </c>
      <c r="J716">
        <v>216</v>
      </c>
      <c r="K716" t="b">
        <v>0</v>
      </c>
    </row>
    <row r="717" spans="1:11" x14ac:dyDescent="0.2">
      <c r="A717" t="s">
        <v>1496</v>
      </c>
      <c r="B717" t="s">
        <v>1497</v>
      </c>
      <c r="C717" s="2">
        <v>45217</v>
      </c>
      <c r="D717" s="2">
        <v>45246</v>
      </c>
      <c r="E717">
        <f t="shared" si="11"/>
        <v>29</v>
      </c>
      <c r="F717" t="s">
        <v>14</v>
      </c>
      <c r="G717">
        <v>23700</v>
      </c>
      <c r="H717">
        <v>452</v>
      </c>
      <c r="I717">
        <v>520.5</v>
      </c>
      <c r="J717">
        <v>30</v>
      </c>
      <c r="K717" t="s">
        <v>24</v>
      </c>
    </row>
    <row r="718" spans="1:11" x14ac:dyDescent="0.2">
      <c r="A718" t="s">
        <v>1498</v>
      </c>
      <c r="B718" t="s">
        <v>1499</v>
      </c>
      <c r="C718" s="2">
        <v>45239</v>
      </c>
      <c r="D718" s="2">
        <v>45243</v>
      </c>
      <c r="E718">
        <f t="shared" si="11"/>
        <v>4</v>
      </c>
      <c r="F718" t="s">
        <v>23</v>
      </c>
      <c r="G718">
        <v>35620</v>
      </c>
      <c r="H718">
        <v>931</v>
      </c>
      <c r="I718">
        <v>1088.96</v>
      </c>
      <c r="J718">
        <v>109</v>
      </c>
      <c r="K718" t="s">
        <v>30</v>
      </c>
    </row>
    <row r="719" spans="1:11" x14ac:dyDescent="0.2">
      <c r="A719" t="s">
        <v>1500</v>
      </c>
      <c r="B719" t="s">
        <v>1501</v>
      </c>
      <c r="C719" s="2">
        <v>45132</v>
      </c>
      <c r="D719" s="2">
        <v>45145</v>
      </c>
      <c r="E719">
        <f t="shared" si="11"/>
        <v>13</v>
      </c>
      <c r="F719" t="s">
        <v>41</v>
      </c>
      <c r="G719">
        <v>21559</v>
      </c>
      <c r="H719">
        <v>683</v>
      </c>
      <c r="I719">
        <v>975.43</v>
      </c>
      <c r="J719">
        <v>121</v>
      </c>
      <c r="K719" t="b">
        <v>0</v>
      </c>
    </row>
    <row r="720" spans="1:11" x14ac:dyDescent="0.2">
      <c r="A720" t="s">
        <v>1502</v>
      </c>
      <c r="B720" t="s">
        <v>1503</v>
      </c>
      <c r="C720" s="2">
        <v>45181</v>
      </c>
      <c r="D720" s="2">
        <v>45287</v>
      </c>
      <c r="E720">
        <f t="shared" si="11"/>
        <v>106</v>
      </c>
      <c r="F720" t="s">
        <v>33</v>
      </c>
      <c r="G720">
        <v>94045</v>
      </c>
      <c r="H720">
        <v>3918</v>
      </c>
      <c r="I720">
        <v>5869.35</v>
      </c>
      <c r="J720">
        <v>537</v>
      </c>
      <c r="K720" t="b">
        <v>1</v>
      </c>
    </row>
    <row r="721" spans="1:11" x14ac:dyDescent="0.2">
      <c r="A721" t="s">
        <v>1504</v>
      </c>
      <c r="B721" t="s">
        <v>1505</v>
      </c>
      <c r="C721" s="2">
        <v>44998</v>
      </c>
      <c r="D721" s="2">
        <v>45000</v>
      </c>
      <c r="E721">
        <f t="shared" si="11"/>
        <v>2</v>
      </c>
      <c r="F721" t="s">
        <v>14</v>
      </c>
      <c r="G721">
        <v>94396</v>
      </c>
      <c r="H721">
        <v>3016</v>
      </c>
      <c r="I721" s="3">
        <v>3773.22</v>
      </c>
      <c r="K721" t="b">
        <v>0</v>
      </c>
    </row>
    <row r="722" spans="1:11" x14ac:dyDescent="0.2">
      <c r="A722" t="s">
        <v>1506</v>
      </c>
      <c r="B722" t="s">
        <v>1507</v>
      </c>
      <c r="C722" s="2">
        <v>44930</v>
      </c>
      <c r="D722" s="2">
        <v>44947</v>
      </c>
      <c r="E722">
        <f t="shared" si="11"/>
        <v>17</v>
      </c>
      <c r="F722" t="s">
        <v>138</v>
      </c>
      <c r="G722">
        <v>62642</v>
      </c>
      <c r="H722">
        <v>2162</v>
      </c>
      <c r="I722">
        <v>3172.28</v>
      </c>
      <c r="J722">
        <v>170</v>
      </c>
      <c r="K722" t="b">
        <v>1</v>
      </c>
    </row>
    <row r="723" spans="1:11" x14ac:dyDescent="0.2">
      <c r="A723" t="s">
        <v>1508</v>
      </c>
      <c r="B723" t="s">
        <v>1509</v>
      </c>
      <c r="C723" s="2">
        <v>45063</v>
      </c>
      <c r="D723" s="2">
        <v>45067</v>
      </c>
      <c r="E723">
        <f t="shared" si="11"/>
        <v>4</v>
      </c>
      <c r="F723" t="s">
        <v>41</v>
      </c>
      <c r="G723">
        <v>77539</v>
      </c>
      <c r="H723">
        <v>1476</v>
      </c>
      <c r="I723">
        <v>790.1</v>
      </c>
      <c r="J723">
        <v>178</v>
      </c>
      <c r="K723" t="s">
        <v>15</v>
      </c>
    </row>
    <row r="724" spans="1:11" x14ac:dyDescent="0.2">
      <c r="A724" t="s">
        <v>1510</v>
      </c>
      <c r="B724" t="s">
        <v>1511</v>
      </c>
      <c r="C724" s="2">
        <v>45220</v>
      </c>
      <c r="D724" s="2">
        <v>45239</v>
      </c>
      <c r="E724">
        <f t="shared" si="11"/>
        <v>19</v>
      </c>
      <c r="F724" t="s">
        <v>14</v>
      </c>
      <c r="G724">
        <v>22732</v>
      </c>
      <c r="H724">
        <v>997</v>
      </c>
      <c r="I724">
        <v>1141</v>
      </c>
      <c r="J724">
        <v>103</v>
      </c>
      <c r="K724" t="s">
        <v>15</v>
      </c>
    </row>
    <row r="725" spans="1:11" x14ac:dyDescent="0.2">
      <c r="A725" t="s">
        <v>1513</v>
      </c>
      <c r="B725" t="s">
        <v>1514</v>
      </c>
      <c r="C725" s="2">
        <v>45261</v>
      </c>
      <c r="D725" s="2">
        <v>45262</v>
      </c>
      <c r="E725">
        <f t="shared" si="11"/>
        <v>1</v>
      </c>
      <c r="F725" t="s">
        <v>41</v>
      </c>
      <c r="G725">
        <v>92362</v>
      </c>
      <c r="H725">
        <v>2507</v>
      </c>
      <c r="I725" s="3">
        <v>2302.4499999999998</v>
      </c>
      <c r="J725">
        <v>260</v>
      </c>
      <c r="K725">
        <v>1</v>
      </c>
    </row>
    <row r="726" spans="1:11" x14ac:dyDescent="0.2">
      <c r="A726" t="s">
        <v>1515</v>
      </c>
      <c r="B726" t="s">
        <v>1516</v>
      </c>
      <c r="C726" s="2">
        <v>45268</v>
      </c>
      <c r="D726" s="2">
        <v>45277</v>
      </c>
      <c r="E726">
        <f t="shared" si="11"/>
        <v>9</v>
      </c>
      <c r="F726" t="s">
        <v>14</v>
      </c>
      <c r="G726">
        <v>31354</v>
      </c>
      <c r="H726">
        <v>490</v>
      </c>
      <c r="I726">
        <v>339.94</v>
      </c>
      <c r="J726">
        <v>63</v>
      </c>
      <c r="K726" t="b">
        <v>0</v>
      </c>
    </row>
    <row r="727" spans="1:11" x14ac:dyDescent="0.2">
      <c r="A727" t="s">
        <v>1517</v>
      </c>
      <c r="B727" t="s">
        <v>1518</v>
      </c>
      <c r="C727" s="2">
        <v>45134</v>
      </c>
      <c r="D727" s="2">
        <v>45164</v>
      </c>
      <c r="E727">
        <f t="shared" si="11"/>
        <v>30</v>
      </c>
      <c r="F727" t="s">
        <v>14</v>
      </c>
      <c r="G727">
        <v>14843</v>
      </c>
      <c r="H727">
        <v>542</v>
      </c>
      <c r="I727">
        <v>351.93</v>
      </c>
      <c r="J727">
        <v>74</v>
      </c>
      <c r="K727" t="b">
        <v>0</v>
      </c>
    </row>
    <row r="728" spans="1:11" x14ac:dyDescent="0.2">
      <c r="A728" t="s">
        <v>1519</v>
      </c>
      <c r="B728" t="s">
        <v>1520</v>
      </c>
      <c r="C728" s="2">
        <v>45287</v>
      </c>
      <c r="D728" s="2">
        <v>45305</v>
      </c>
      <c r="E728">
        <f t="shared" si="11"/>
        <v>18</v>
      </c>
      <c r="F728" t="s">
        <v>41</v>
      </c>
      <c r="G728">
        <v>72726</v>
      </c>
      <c r="H728">
        <v>1355</v>
      </c>
      <c r="I728" s="3">
        <v>1903.49</v>
      </c>
      <c r="J728">
        <v>229</v>
      </c>
      <c r="K728" t="b">
        <v>1</v>
      </c>
    </row>
    <row r="729" spans="1:11" x14ac:dyDescent="0.2">
      <c r="A729" t="s">
        <v>1521</v>
      </c>
      <c r="B729" t="s">
        <v>1522</v>
      </c>
      <c r="C729" s="2">
        <v>45254</v>
      </c>
      <c r="D729" s="2">
        <v>45276</v>
      </c>
      <c r="E729">
        <f t="shared" si="11"/>
        <v>22</v>
      </c>
      <c r="F729" t="s">
        <v>14</v>
      </c>
      <c r="G729">
        <v>18640</v>
      </c>
      <c r="H729">
        <v>259</v>
      </c>
      <c r="I729">
        <v>332.92</v>
      </c>
      <c r="J729">
        <v>26</v>
      </c>
      <c r="K729" t="s">
        <v>15</v>
      </c>
    </row>
    <row r="730" spans="1:11" x14ac:dyDescent="0.2">
      <c r="A730" t="s">
        <v>1523</v>
      </c>
      <c r="B730" t="s">
        <v>1524</v>
      </c>
      <c r="C730" s="2">
        <v>45241</v>
      </c>
      <c r="D730" s="2">
        <v>45247</v>
      </c>
      <c r="E730">
        <f t="shared" si="11"/>
        <v>6</v>
      </c>
      <c r="F730" t="s">
        <v>14</v>
      </c>
      <c r="G730">
        <v>53528</v>
      </c>
      <c r="H730">
        <v>2380</v>
      </c>
      <c r="I730">
        <v>2095.3000000000002</v>
      </c>
      <c r="J730">
        <v>406</v>
      </c>
      <c r="K730" t="b">
        <v>1</v>
      </c>
    </row>
    <row r="731" spans="1:11" x14ac:dyDescent="0.2">
      <c r="A731" t="s">
        <v>1525</v>
      </c>
      <c r="B731" t="s">
        <v>1526</v>
      </c>
      <c r="C731" s="2">
        <v>45171</v>
      </c>
      <c r="D731" s="2">
        <v>45195</v>
      </c>
      <c r="E731">
        <f t="shared" si="11"/>
        <v>24</v>
      </c>
      <c r="F731" t="s">
        <v>23</v>
      </c>
      <c r="G731">
        <v>39413</v>
      </c>
      <c r="H731">
        <v>1119</v>
      </c>
      <c r="I731">
        <v>1349.99</v>
      </c>
      <c r="J731">
        <v>112</v>
      </c>
      <c r="K731" t="s">
        <v>15</v>
      </c>
    </row>
    <row r="732" spans="1:11" x14ac:dyDescent="0.2">
      <c r="A732" t="s">
        <v>1527</v>
      </c>
      <c r="B732" t="s">
        <v>1528</v>
      </c>
      <c r="C732" s="2">
        <v>45237</v>
      </c>
      <c r="D732" s="2">
        <v>45245</v>
      </c>
      <c r="E732">
        <f t="shared" si="11"/>
        <v>8</v>
      </c>
      <c r="F732" t="s">
        <v>19</v>
      </c>
      <c r="G732">
        <v>53638</v>
      </c>
      <c r="H732">
        <v>2143</v>
      </c>
      <c r="I732">
        <v>2653.78</v>
      </c>
      <c r="J732">
        <v>124</v>
      </c>
      <c r="K732" t="b">
        <v>1</v>
      </c>
    </row>
    <row r="733" spans="1:11" x14ac:dyDescent="0.2">
      <c r="A733" t="s">
        <v>1529</v>
      </c>
      <c r="B733" t="s">
        <v>1530</v>
      </c>
      <c r="C733" s="2">
        <v>45168</v>
      </c>
      <c r="D733" s="2">
        <v>45190</v>
      </c>
      <c r="E733">
        <f t="shared" si="11"/>
        <v>22</v>
      </c>
      <c r="F733" t="s">
        <v>19</v>
      </c>
      <c r="G733">
        <v>53736</v>
      </c>
      <c r="H733">
        <v>1161</v>
      </c>
      <c r="I733">
        <v>920.11</v>
      </c>
      <c r="J733">
        <v>154</v>
      </c>
      <c r="K733" t="s">
        <v>15</v>
      </c>
    </row>
    <row r="734" spans="1:11" x14ac:dyDescent="0.2">
      <c r="A734" t="s">
        <v>1531</v>
      </c>
      <c r="B734" t="s">
        <v>1532</v>
      </c>
      <c r="C734" s="2">
        <v>45038</v>
      </c>
      <c r="D734" s="2">
        <v>45061</v>
      </c>
      <c r="E734">
        <f t="shared" si="11"/>
        <v>23</v>
      </c>
      <c r="F734" t="s">
        <v>33</v>
      </c>
      <c r="G734">
        <v>69866</v>
      </c>
      <c r="H734">
        <v>2897</v>
      </c>
      <c r="I734">
        <v>4282.17</v>
      </c>
      <c r="J734">
        <v>400</v>
      </c>
      <c r="K734" t="b">
        <v>1</v>
      </c>
    </row>
    <row r="735" spans="1:11" x14ac:dyDescent="0.2">
      <c r="A735" t="s">
        <v>1533</v>
      </c>
      <c r="B735" t="s">
        <v>1534</v>
      </c>
      <c r="C735" s="2">
        <v>44994</v>
      </c>
      <c r="D735" s="2">
        <v>45232</v>
      </c>
      <c r="E735">
        <f t="shared" si="11"/>
        <v>238</v>
      </c>
      <c r="F735" t="s">
        <v>41</v>
      </c>
      <c r="G735">
        <v>20087</v>
      </c>
      <c r="H735">
        <v>290</v>
      </c>
      <c r="I735">
        <v>484.7</v>
      </c>
      <c r="J735">
        <v>55</v>
      </c>
      <c r="K735" t="s">
        <v>24</v>
      </c>
    </row>
    <row r="736" spans="1:11" x14ac:dyDescent="0.2">
      <c r="A736" t="s">
        <v>1535</v>
      </c>
      <c r="B736" t="s">
        <v>1536</v>
      </c>
      <c r="C736" s="2">
        <v>45155</v>
      </c>
      <c r="D736" s="2">
        <v>45166</v>
      </c>
      <c r="E736">
        <f t="shared" si="11"/>
        <v>11</v>
      </c>
      <c r="F736" t="s">
        <v>23</v>
      </c>
      <c r="G736">
        <v>42430</v>
      </c>
      <c r="H736">
        <v>1028</v>
      </c>
      <c r="I736">
        <v>1734.44</v>
      </c>
      <c r="J736">
        <v>163</v>
      </c>
      <c r="K736" t="s">
        <v>15</v>
      </c>
    </row>
    <row r="737" spans="1:11" x14ac:dyDescent="0.2">
      <c r="A737" t="s">
        <v>1537</v>
      </c>
      <c r="B737" t="s">
        <v>1538</v>
      </c>
      <c r="C737" s="2">
        <v>45215</v>
      </c>
      <c r="D737" s="2">
        <v>45231</v>
      </c>
      <c r="E737">
        <f t="shared" si="11"/>
        <v>16</v>
      </c>
      <c r="F737" t="s">
        <v>266</v>
      </c>
      <c r="G737">
        <v>25504</v>
      </c>
      <c r="H737">
        <v>1252</v>
      </c>
      <c r="I737">
        <v>1757.44</v>
      </c>
      <c r="J737">
        <v>234</v>
      </c>
      <c r="K737">
        <v>0</v>
      </c>
    </row>
    <row r="738" spans="1:11" x14ac:dyDescent="0.2">
      <c r="A738" t="s">
        <v>1539</v>
      </c>
      <c r="B738" t="s">
        <v>1540</v>
      </c>
      <c r="C738" s="2">
        <v>45185</v>
      </c>
      <c r="D738" s="2">
        <v>45189</v>
      </c>
      <c r="E738">
        <f t="shared" si="11"/>
        <v>4</v>
      </c>
      <c r="F738" t="s">
        <v>23</v>
      </c>
      <c r="G738">
        <v>8114</v>
      </c>
      <c r="H738">
        <v>338</v>
      </c>
      <c r="I738" s="3">
        <v>428.4</v>
      </c>
      <c r="J738">
        <v>62</v>
      </c>
      <c r="K738" t="b">
        <v>1</v>
      </c>
    </row>
    <row r="739" spans="1:11" x14ac:dyDescent="0.2">
      <c r="A739" t="s">
        <v>1541</v>
      </c>
      <c r="B739" t="s">
        <v>1542</v>
      </c>
      <c r="C739" s="2">
        <v>45011</v>
      </c>
      <c r="D739" s="2">
        <v>45022</v>
      </c>
      <c r="E739">
        <f t="shared" si="11"/>
        <v>11</v>
      </c>
      <c r="F739" t="s">
        <v>41</v>
      </c>
      <c r="G739">
        <v>79859</v>
      </c>
      <c r="H739">
        <v>2387</v>
      </c>
      <c r="I739">
        <v>1411.94</v>
      </c>
      <c r="J739">
        <v>335</v>
      </c>
      <c r="K739" t="b">
        <v>0</v>
      </c>
    </row>
    <row r="740" spans="1:11" x14ac:dyDescent="0.2">
      <c r="A740" t="s">
        <v>1543</v>
      </c>
      <c r="B740" t="s">
        <v>1544</v>
      </c>
      <c r="C740" s="2">
        <v>44986</v>
      </c>
      <c r="D740" s="2">
        <v>45010</v>
      </c>
      <c r="E740">
        <f t="shared" si="11"/>
        <v>24</v>
      </c>
      <c r="F740" t="s">
        <v>41</v>
      </c>
      <c r="G740">
        <v>11975</v>
      </c>
      <c r="H740">
        <v>282</v>
      </c>
      <c r="I740">
        <v>262.75</v>
      </c>
      <c r="J740">
        <v>36</v>
      </c>
      <c r="K740">
        <v>1</v>
      </c>
    </row>
    <row r="741" spans="1:11" x14ac:dyDescent="0.2">
      <c r="A741" t="s">
        <v>1545</v>
      </c>
      <c r="B741" t="s">
        <v>1546</v>
      </c>
      <c r="C741" s="2">
        <v>45147</v>
      </c>
      <c r="D741" s="2">
        <v>45204</v>
      </c>
      <c r="E741">
        <f t="shared" si="11"/>
        <v>57</v>
      </c>
      <c r="F741" t="s">
        <v>58</v>
      </c>
      <c r="G741">
        <v>12023</v>
      </c>
      <c r="H741">
        <v>539</v>
      </c>
      <c r="I741">
        <v>344.91</v>
      </c>
      <c r="J741">
        <v>72</v>
      </c>
      <c r="K741">
        <v>0</v>
      </c>
    </row>
    <row r="742" spans="1:11" x14ac:dyDescent="0.2">
      <c r="A742" t="s">
        <v>1547</v>
      </c>
      <c r="B742" t="s">
        <v>1548</v>
      </c>
      <c r="C742" s="2">
        <v>45188</v>
      </c>
      <c r="D742" s="2">
        <v>45214</v>
      </c>
      <c r="E742">
        <f t="shared" si="11"/>
        <v>26</v>
      </c>
      <c r="F742" t="s">
        <v>33</v>
      </c>
      <c r="G742">
        <v>22447</v>
      </c>
      <c r="H742">
        <v>713</v>
      </c>
      <c r="I742">
        <v>1387.31</v>
      </c>
      <c r="J742">
        <v>140</v>
      </c>
      <c r="K742">
        <v>0</v>
      </c>
    </row>
    <row r="743" spans="1:11" x14ac:dyDescent="0.2">
      <c r="A743" t="s">
        <v>1549</v>
      </c>
      <c r="B743" t="s">
        <v>1550</v>
      </c>
      <c r="C743" s="2">
        <v>44994</v>
      </c>
      <c r="D743" s="2">
        <v>45006</v>
      </c>
      <c r="E743">
        <f t="shared" si="11"/>
        <v>12</v>
      </c>
      <c r="F743" t="s">
        <v>23</v>
      </c>
      <c r="G743">
        <v>91469</v>
      </c>
      <c r="H743">
        <v>3689</v>
      </c>
      <c r="I743">
        <v>2591.9699999999998</v>
      </c>
      <c r="J743">
        <v>612</v>
      </c>
      <c r="K743" t="b">
        <v>1</v>
      </c>
    </row>
    <row r="744" spans="1:11" x14ac:dyDescent="0.2">
      <c r="A744" t="s">
        <v>1551</v>
      </c>
      <c r="B744" t="s">
        <v>1552</v>
      </c>
      <c r="C744" s="2">
        <v>44956</v>
      </c>
      <c r="D744" s="2">
        <v>44974</v>
      </c>
      <c r="E744">
        <f t="shared" si="11"/>
        <v>18</v>
      </c>
      <c r="F744" t="s">
        <v>41</v>
      </c>
      <c r="G744">
        <v>24959</v>
      </c>
      <c r="H744">
        <v>1002</v>
      </c>
      <c r="I744">
        <v>729.12</v>
      </c>
      <c r="J744">
        <v>66</v>
      </c>
      <c r="K744">
        <v>1</v>
      </c>
    </row>
    <row r="745" spans="1:11" x14ac:dyDescent="0.2">
      <c r="A745" t="s">
        <v>1553</v>
      </c>
      <c r="B745" t="s">
        <v>1554</v>
      </c>
      <c r="C745" s="2">
        <v>45084</v>
      </c>
      <c r="D745" s="2">
        <v>45114</v>
      </c>
      <c r="E745">
        <f t="shared" si="11"/>
        <v>30</v>
      </c>
      <c r="F745" t="s">
        <v>33</v>
      </c>
      <c r="G745">
        <v>67203</v>
      </c>
      <c r="H745">
        <v>720</v>
      </c>
      <c r="I745">
        <v>1320.74</v>
      </c>
      <c r="J745">
        <v>120</v>
      </c>
      <c r="K745" t="b">
        <v>0</v>
      </c>
    </row>
    <row r="746" spans="1:11" x14ac:dyDescent="0.2">
      <c r="A746" t="s">
        <v>1555</v>
      </c>
      <c r="B746" t="s">
        <v>1556</v>
      </c>
      <c r="C746" s="2">
        <v>44928</v>
      </c>
      <c r="D746" s="2">
        <v>44941</v>
      </c>
      <c r="E746">
        <f t="shared" si="11"/>
        <v>13</v>
      </c>
      <c r="F746" t="s">
        <v>23</v>
      </c>
      <c r="G746">
        <v>30703</v>
      </c>
      <c r="H746">
        <v>462</v>
      </c>
      <c r="I746">
        <v>885.14</v>
      </c>
      <c r="J746">
        <v>34</v>
      </c>
      <c r="K746">
        <v>0</v>
      </c>
    </row>
    <row r="747" spans="1:11" x14ac:dyDescent="0.2">
      <c r="A747" t="s">
        <v>1557</v>
      </c>
      <c r="B747" t="s">
        <v>1558</v>
      </c>
      <c r="C747" s="2">
        <v>44950</v>
      </c>
      <c r="D747" s="2">
        <v>44967</v>
      </c>
      <c r="E747">
        <f t="shared" si="11"/>
        <v>17</v>
      </c>
      <c r="F747" t="s">
        <v>41</v>
      </c>
      <c r="G747">
        <v>10337</v>
      </c>
      <c r="H747">
        <v>376</v>
      </c>
      <c r="I747">
        <v>619.92999999999995</v>
      </c>
      <c r="J747">
        <v>44</v>
      </c>
      <c r="K747" t="b">
        <v>0</v>
      </c>
    </row>
    <row r="748" spans="1:11" x14ac:dyDescent="0.2">
      <c r="A748" t="s">
        <v>1559</v>
      </c>
      <c r="B748" t="s">
        <v>1560</v>
      </c>
      <c r="C748" s="2">
        <v>45204</v>
      </c>
      <c r="D748" s="2">
        <v>45226</v>
      </c>
      <c r="E748">
        <f t="shared" si="11"/>
        <v>22</v>
      </c>
      <c r="F748" t="s">
        <v>19</v>
      </c>
      <c r="G748">
        <v>47427</v>
      </c>
      <c r="H748">
        <v>780</v>
      </c>
      <c r="I748">
        <v>396.32</v>
      </c>
      <c r="J748">
        <v>63</v>
      </c>
      <c r="K748" t="s">
        <v>15</v>
      </c>
    </row>
    <row r="749" spans="1:11" x14ac:dyDescent="0.2">
      <c r="A749" t="s">
        <v>1561</v>
      </c>
      <c r="B749" t="s">
        <v>1562</v>
      </c>
      <c r="C749" s="2">
        <v>44962</v>
      </c>
      <c r="D749" s="2">
        <v>44989</v>
      </c>
      <c r="E749">
        <f t="shared" si="11"/>
        <v>27</v>
      </c>
      <c r="F749" t="s">
        <v>14</v>
      </c>
      <c r="G749">
        <v>62529</v>
      </c>
      <c r="H749">
        <v>1264</v>
      </c>
      <c r="I749">
        <v>634.54999999999995</v>
      </c>
      <c r="J749">
        <v>193</v>
      </c>
      <c r="K749" t="s">
        <v>24</v>
      </c>
    </row>
    <row r="750" spans="1:11" x14ac:dyDescent="0.2">
      <c r="A750" t="s">
        <v>1563</v>
      </c>
      <c r="B750" t="s">
        <v>1564</v>
      </c>
      <c r="C750" s="2">
        <v>45073</v>
      </c>
      <c r="D750" s="2">
        <v>45086</v>
      </c>
      <c r="E750">
        <f t="shared" si="11"/>
        <v>13</v>
      </c>
      <c r="F750" t="s">
        <v>41</v>
      </c>
      <c r="G750">
        <v>85665</v>
      </c>
      <c r="H750">
        <v>4100</v>
      </c>
      <c r="I750">
        <v>4375.32</v>
      </c>
      <c r="J750">
        <v>744</v>
      </c>
      <c r="K750">
        <v>1</v>
      </c>
    </row>
    <row r="751" spans="1:11" x14ac:dyDescent="0.2">
      <c r="A751" t="s">
        <v>1565</v>
      </c>
      <c r="B751" t="s">
        <v>1566</v>
      </c>
      <c r="C751" s="2">
        <v>45255</v>
      </c>
      <c r="D751" s="2">
        <v>45263</v>
      </c>
      <c r="E751">
        <f t="shared" si="11"/>
        <v>8</v>
      </c>
      <c r="F751" t="s">
        <v>14</v>
      </c>
      <c r="G751">
        <v>32921</v>
      </c>
      <c r="H751">
        <v>1066</v>
      </c>
      <c r="I751" s="3">
        <v>762.29</v>
      </c>
      <c r="J751">
        <v>99</v>
      </c>
      <c r="K751" t="s">
        <v>24</v>
      </c>
    </row>
    <row r="752" spans="1:11" x14ac:dyDescent="0.2">
      <c r="A752" t="s">
        <v>1567</v>
      </c>
      <c r="B752" t="s">
        <v>1568</v>
      </c>
      <c r="C752" s="2">
        <v>45142</v>
      </c>
      <c r="D752" s="2">
        <v>45161</v>
      </c>
      <c r="E752">
        <f t="shared" si="11"/>
        <v>19</v>
      </c>
      <c r="F752" t="s">
        <v>41</v>
      </c>
      <c r="G752">
        <v>34307</v>
      </c>
      <c r="H752">
        <v>1373</v>
      </c>
      <c r="I752" s="3">
        <v>724.37</v>
      </c>
      <c r="J752">
        <v>85</v>
      </c>
      <c r="K752" t="s">
        <v>30</v>
      </c>
    </row>
    <row r="753" spans="1:11" x14ac:dyDescent="0.2">
      <c r="A753" t="s">
        <v>1569</v>
      </c>
      <c r="B753" t="s">
        <v>1570</v>
      </c>
      <c r="C753" s="2">
        <v>45156</v>
      </c>
      <c r="D753" s="2">
        <v>45168</v>
      </c>
      <c r="E753">
        <f t="shared" si="11"/>
        <v>12</v>
      </c>
      <c r="F753" t="s">
        <v>41</v>
      </c>
      <c r="G753">
        <v>28355</v>
      </c>
      <c r="H753">
        <v>916</v>
      </c>
      <c r="I753">
        <v>1095.6300000000001</v>
      </c>
      <c r="J753">
        <v>86</v>
      </c>
      <c r="K753" t="s">
        <v>15</v>
      </c>
    </row>
    <row r="754" spans="1:11" x14ac:dyDescent="0.2">
      <c r="A754" t="s">
        <v>1571</v>
      </c>
      <c r="B754" t="s">
        <v>1572</v>
      </c>
      <c r="C754" s="2">
        <v>45143</v>
      </c>
      <c r="D754" s="2">
        <v>45267</v>
      </c>
      <c r="E754">
        <f t="shared" si="11"/>
        <v>124</v>
      </c>
      <c r="F754" t="s">
        <v>14</v>
      </c>
      <c r="G754">
        <v>5835</v>
      </c>
      <c r="H754">
        <v>187</v>
      </c>
      <c r="I754" s="3">
        <v>358.03</v>
      </c>
      <c r="J754">
        <v>28</v>
      </c>
      <c r="K754">
        <v>1</v>
      </c>
    </row>
    <row r="755" spans="1:11" x14ac:dyDescent="0.2">
      <c r="A755" t="s">
        <v>1573</v>
      </c>
      <c r="B755" t="s">
        <v>1574</v>
      </c>
      <c r="C755" s="2">
        <v>45265</v>
      </c>
      <c r="D755" s="2">
        <v>45279</v>
      </c>
      <c r="E755">
        <f t="shared" si="11"/>
        <v>14</v>
      </c>
      <c r="F755" t="s">
        <v>41</v>
      </c>
      <c r="G755">
        <v>21159</v>
      </c>
      <c r="H755">
        <v>291</v>
      </c>
      <c r="I755">
        <v>286.85000000000002</v>
      </c>
      <c r="J755">
        <v>28</v>
      </c>
      <c r="K755" t="b">
        <v>1</v>
      </c>
    </row>
    <row r="756" spans="1:11" x14ac:dyDescent="0.2">
      <c r="A756" t="s">
        <v>1575</v>
      </c>
      <c r="B756" t="s">
        <v>1576</v>
      </c>
      <c r="C756" s="2">
        <v>45105</v>
      </c>
      <c r="D756" s="2">
        <v>45128</v>
      </c>
      <c r="E756">
        <f t="shared" si="11"/>
        <v>23</v>
      </c>
      <c r="F756" t="s">
        <v>14</v>
      </c>
      <c r="G756">
        <v>48605</v>
      </c>
      <c r="H756">
        <v>1154</v>
      </c>
      <c r="I756">
        <v>1721.43</v>
      </c>
      <c r="J756">
        <v>105</v>
      </c>
      <c r="K756" t="s">
        <v>24</v>
      </c>
    </row>
    <row r="757" spans="1:11" x14ac:dyDescent="0.2">
      <c r="A757" t="s">
        <v>1577</v>
      </c>
      <c r="B757" t="s">
        <v>1578</v>
      </c>
      <c r="C757" s="2">
        <v>45128</v>
      </c>
      <c r="D757" s="2">
        <v>45153</v>
      </c>
      <c r="E757">
        <f t="shared" si="11"/>
        <v>25</v>
      </c>
      <c r="F757" t="s">
        <v>33</v>
      </c>
      <c r="G757">
        <v>39088</v>
      </c>
      <c r="H757">
        <v>832</v>
      </c>
      <c r="I757">
        <v>1229.99</v>
      </c>
      <c r="J757">
        <v>64</v>
      </c>
      <c r="K757" t="b">
        <v>1</v>
      </c>
    </row>
    <row r="758" spans="1:11" x14ac:dyDescent="0.2">
      <c r="A758" t="s">
        <v>1579</v>
      </c>
      <c r="B758" t="s">
        <v>1580</v>
      </c>
      <c r="C758" s="2">
        <v>45041</v>
      </c>
      <c r="D758" s="2">
        <v>45045</v>
      </c>
      <c r="E758">
        <f t="shared" si="11"/>
        <v>4</v>
      </c>
      <c r="F758" t="s">
        <v>14</v>
      </c>
      <c r="G758">
        <v>79752</v>
      </c>
      <c r="H758">
        <v>2043</v>
      </c>
      <c r="I758">
        <v>1790.93</v>
      </c>
      <c r="J758">
        <v>254</v>
      </c>
      <c r="K758" t="b">
        <v>0</v>
      </c>
    </row>
    <row r="759" spans="1:11" x14ac:dyDescent="0.2">
      <c r="A759" t="s">
        <v>1581</v>
      </c>
      <c r="B759" t="s">
        <v>1582</v>
      </c>
      <c r="C759" s="2">
        <v>45079</v>
      </c>
      <c r="D759" s="2">
        <v>45087</v>
      </c>
      <c r="E759">
        <f t="shared" si="11"/>
        <v>8</v>
      </c>
      <c r="F759" t="s">
        <v>33</v>
      </c>
      <c r="G759">
        <v>56284</v>
      </c>
      <c r="H759">
        <v>2360</v>
      </c>
      <c r="I759">
        <v>3482.51</v>
      </c>
      <c r="J759">
        <v>215</v>
      </c>
      <c r="K759">
        <v>0</v>
      </c>
    </row>
    <row r="760" spans="1:11" x14ac:dyDescent="0.2">
      <c r="A760" t="s">
        <v>1583</v>
      </c>
      <c r="B760" t="s">
        <v>1584</v>
      </c>
      <c r="C760" s="2">
        <v>45144</v>
      </c>
      <c r="D760" s="2">
        <v>45165</v>
      </c>
      <c r="E760">
        <f t="shared" si="11"/>
        <v>21</v>
      </c>
      <c r="F760" t="s">
        <v>415</v>
      </c>
      <c r="G760">
        <v>58043</v>
      </c>
      <c r="H760">
        <v>1443</v>
      </c>
      <c r="I760">
        <v>1181.0999999999999</v>
      </c>
      <c r="J760">
        <v>230</v>
      </c>
      <c r="K760" t="s">
        <v>24</v>
      </c>
    </row>
    <row r="761" spans="1:11" x14ac:dyDescent="0.2">
      <c r="A761" t="s">
        <v>1585</v>
      </c>
      <c r="B761" t="s">
        <v>1586</v>
      </c>
      <c r="C761" s="2">
        <v>45053</v>
      </c>
      <c r="D761" s="2">
        <v>45074</v>
      </c>
      <c r="E761">
        <f t="shared" si="11"/>
        <v>21</v>
      </c>
      <c r="F761" t="s">
        <v>138</v>
      </c>
      <c r="G761">
        <v>36547</v>
      </c>
      <c r="H761">
        <v>1025</v>
      </c>
      <c r="I761">
        <v>700.09</v>
      </c>
      <c r="K761" t="s">
        <v>30</v>
      </c>
    </row>
    <row r="762" spans="1:11" x14ac:dyDescent="0.2">
      <c r="A762" t="s">
        <v>1587</v>
      </c>
      <c r="B762" t="s">
        <v>1588</v>
      </c>
      <c r="C762" s="2">
        <v>45023</v>
      </c>
      <c r="D762" s="2">
        <v>45038</v>
      </c>
      <c r="E762">
        <f t="shared" si="11"/>
        <v>15</v>
      </c>
      <c r="F762" t="s">
        <v>14</v>
      </c>
      <c r="G762">
        <v>98007</v>
      </c>
      <c r="H762">
        <v>2537</v>
      </c>
      <c r="I762">
        <v>3937.61</v>
      </c>
      <c r="J762">
        <v>379</v>
      </c>
      <c r="K762" t="b">
        <v>1</v>
      </c>
    </row>
    <row r="763" spans="1:11" x14ac:dyDescent="0.2">
      <c r="A763" t="s">
        <v>1589</v>
      </c>
      <c r="B763" t="s">
        <v>1590</v>
      </c>
      <c r="C763" s="2">
        <v>44984</v>
      </c>
      <c r="D763" s="2">
        <v>44989</v>
      </c>
      <c r="E763">
        <f t="shared" si="11"/>
        <v>5</v>
      </c>
      <c r="F763" t="s">
        <v>234</v>
      </c>
      <c r="G763">
        <v>83844</v>
      </c>
      <c r="H763">
        <v>1151</v>
      </c>
      <c r="I763">
        <v>771.36</v>
      </c>
      <c r="J763">
        <v>98</v>
      </c>
      <c r="K763">
        <v>1</v>
      </c>
    </row>
    <row r="764" spans="1:11" x14ac:dyDescent="0.2">
      <c r="A764" t="s">
        <v>1592</v>
      </c>
      <c r="B764" t="s">
        <v>1593</v>
      </c>
      <c r="C764" s="2">
        <v>45265</v>
      </c>
      <c r="D764" s="2">
        <v>45292</v>
      </c>
      <c r="E764">
        <f t="shared" si="11"/>
        <v>27</v>
      </c>
      <c r="F764" t="s">
        <v>41</v>
      </c>
      <c r="G764">
        <v>28532</v>
      </c>
      <c r="H764">
        <v>788</v>
      </c>
      <c r="I764">
        <v>1572.35</v>
      </c>
      <c r="J764">
        <v>97</v>
      </c>
      <c r="K764" t="s">
        <v>24</v>
      </c>
    </row>
    <row r="765" spans="1:11" x14ac:dyDescent="0.2">
      <c r="A765" t="s">
        <v>1594</v>
      </c>
      <c r="B765" t="s">
        <v>1595</v>
      </c>
      <c r="C765" s="2">
        <v>44935</v>
      </c>
      <c r="D765" s="2">
        <v>45193</v>
      </c>
      <c r="E765">
        <f t="shared" si="11"/>
        <v>258</v>
      </c>
      <c r="F765" t="s">
        <v>23</v>
      </c>
      <c r="G765">
        <v>35349</v>
      </c>
      <c r="H765">
        <v>630</v>
      </c>
      <c r="I765">
        <v>488.36</v>
      </c>
      <c r="J765">
        <v>58</v>
      </c>
      <c r="K765" t="s">
        <v>24</v>
      </c>
    </row>
    <row r="766" spans="1:11" x14ac:dyDescent="0.2">
      <c r="A766" t="s">
        <v>1596</v>
      </c>
      <c r="B766" t="s">
        <v>1597</v>
      </c>
      <c r="C766" s="2">
        <v>44937</v>
      </c>
      <c r="D766" s="2">
        <v>45260</v>
      </c>
      <c r="E766">
        <f t="shared" si="11"/>
        <v>323</v>
      </c>
      <c r="F766" t="s">
        <v>14</v>
      </c>
      <c r="G766">
        <v>46445</v>
      </c>
      <c r="H766">
        <v>811</v>
      </c>
      <c r="I766">
        <v>1128.27</v>
      </c>
      <c r="J766">
        <v>128</v>
      </c>
      <c r="K766">
        <v>0</v>
      </c>
    </row>
    <row r="767" spans="1:11" x14ac:dyDescent="0.2">
      <c r="A767" t="s">
        <v>1598</v>
      </c>
      <c r="B767" t="s">
        <v>1599</v>
      </c>
      <c r="C767" s="2">
        <v>45233</v>
      </c>
      <c r="D767" s="2">
        <v>45258</v>
      </c>
      <c r="E767">
        <f t="shared" si="11"/>
        <v>25</v>
      </c>
      <c r="F767" t="s">
        <v>33</v>
      </c>
      <c r="G767">
        <v>6713</v>
      </c>
      <c r="H767">
        <v>92</v>
      </c>
      <c r="I767">
        <v>102.77</v>
      </c>
      <c r="J767">
        <v>17</v>
      </c>
      <c r="K767">
        <v>0</v>
      </c>
    </row>
    <row r="768" spans="1:11" x14ac:dyDescent="0.2">
      <c r="A768" t="s">
        <v>1600</v>
      </c>
      <c r="B768" t="s">
        <v>1601</v>
      </c>
      <c r="C768" s="2">
        <v>45052</v>
      </c>
      <c r="D768" s="2">
        <v>45059</v>
      </c>
      <c r="E768">
        <f t="shared" si="11"/>
        <v>7</v>
      </c>
      <c r="F768" t="s">
        <v>19</v>
      </c>
      <c r="G768">
        <v>57178</v>
      </c>
      <c r="H768">
        <v>1387</v>
      </c>
      <c r="I768">
        <v>956.45</v>
      </c>
      <c r="K768">
        <v>1</v>
      </c>
    </row>
    <row r="769" spans="1:11" x14ac:dyDescent="0.2">
      <c r="A769" t="s">
        <v>1602</v>
      </c>
      <c r="B769" t="s">
        <v>1603</v>
      </c>
      <c r="C769" s="2">
        <v>45046</v>
      </c>
      <c r="D769" s="2">
        <v>45069</v>
      </c>
      <c r="E769">
        <f t="shared" si="11"/>
        <v>23</v>
      </c>
      <c r="F769" t="s">
        <v>41</v>
      </c>
      <c r="G769">
        <v>50407</v>
      </c>
      <c r="H769">
        <v>2031</v>
      </c>
      <c r="I769">
        <v>1100.33</v>
      </c>
      <c r="J769">
        <v>279</v>
      </c>
      <c r="K769">
        <v>0</v>
      </c>
    </row>
    <row r="770" spans="1:11" x14ac:dyDescent="0.2">
      <c r="A770" t="s">
        <v>1604</v>
      </c>
      <c r="B770" t="s">
        <v>1605</v>
      </c>
      <c r="C770" s="2">
        <v>44955</v>
      </c>
      <c r="D770" s="2">
        <v>44956</v>
      </c>
      <c r="E770">
        <f t="shared" ref="E770:E833" si="12">D770-C770</f>
        <v>1</v>
      </c>
      <c r="F770" t="s">
        <v>33</v>
      </c>
      <c r="G770">
        <v>71340</v>
      </c>
      <c r="H770">
        <v>1502</v>
      </c>
      <c r="I770">
        <v>2154.02</v>
      </c>
      <c r="K770" t="b">
        <v>1</v>
      </c>
    </row>
    <row r="771" spans="1:11" x14ac:dyDescent="0.2">
      <c r="A771" t="s">
        <v>1606</v>
      </c>
      <c r="B771" t="s">
        <v>1607</v>
      </c>
      <c r="C771" s="2">
        <v>45046</v>
      </c>
      <c r="D771" s="2">
        <v>45075</v>
      </c>
      <c r="E771">
        <f t="shared" si="12"/>
        <v>29</v>
      </c>
      <c r="F771" t="s">
        <v>41</v>
      </c>
      <c r="G771">
        <v>51990</v>
      </c>
      <c r="H771">
        <v>1169</v>
      </c>
      <c r="I771">
        <v>1999.15</v>
      </c>
      <c r="J771">
        <v>201</v>
      </c>
      <c r="K771">
        <v>1</v>
      </c>
    </row>
    <row r="772" spans="1:11" x14ac:dyDescent="0.2">
      <c r="A772" t="s">
        <v>1608</v>
      </c>
      <c r="B772" t="s">
        <v>1609</v>
      </c>
      <c r="C772" s="2">
        <v>45090</v>
      </c>
      <c r="D772" s="2">
        <v>45116</v>
      </c>
      <c r="E772">
        <f t="shared" si="12"/>
        <v>26</v>
      </c>
      <c r="F772" t="s">
        <v>23</v>
      </c>
      <c r="G772">
        <v>76672</v>
      </c>
      <c r="H772">
        <v>2737</v>
      </c>
      <c r="I772">
        <v>4825.3999999999996</v>
      </c>
      <c r="J772">
        <v>417</v>
      </c>
      <c r="K772">
        <v>1</v>
      </c>
    </row>
    <row r="773" spans="1:11" x14ac:dyDescent="0.2">
      <c r="A773" t="s">
        <v>1610</v>
      </c>
      <c r="B773" t="s">
        <v>1611</v>
      </c>
      <c r="C773" s="2">
        <v>45091</v>
      </c>
      <c r="D773" s="2">
        <v>45108</v>
      </c>
      <c r="E773">
        <f t="shared" si="12"/>
        <v>17</v>
      </c>
      <c r="F773" t="s">
        <v>19</v>
      </c>
      <c r="G773">
        <v>66545</v>
      </c>
      <c r="H773">
        <v>1186</v>
      </c>
      <c r="I773">
        <v>1451.75</v>
      </c>
      <c r="J773">
        <v>91</v>
      </c>
      <c r="K773" t="b">
        <v>0</v>
      </c>
    </row>
    <row r="774" spans="1:11" x14ac:dyDescent="0.2">
      <c r="A774" t="s">
        <v>1612</v>
      </c>
      <c r="B774" t="s">
        <v>1613</v>
      </c>
      <c r="C774" s="2">
        <v>45265</v>
      </c>
      <c r="D774" s="2">
        <v>45291</v>
      </c>
      <c r="E774">
        <f t="shared" si="12"/>
        <v>26</v>
      </c>
      <c r="F774" t="s">
        <v>23</v>
      </c>
      <c r="G774">
        <v>85791</v>
      </c>
      <c r="H774">
        <v>3935</v>
      </c>
      <c r="I774">
        <v>6556.43</v>
      </c>
      <c r="J774">
        <v>681</v>
      </c>
      <c r="K774" t="s">
        <v>30</v>
      </c>
    </row>
    <row r="775" spans="1:11" x14ac:dyDescent="0.2">
      <c r="A775" t="s">
        <v>1614</v>
      </c>
      <c r="B775" t="s">
        <v>1615</v>
      </c>
      <c r="C775" s="2">
        <v>45067</v>
      </c>
      <c r="D775" s="2">
        <v>45071</v>
      </c>
      <c r="E775">
        <f t="shared" si="12"/>
        <v>4</v>
      </c>
      <c r="F775" t="s">
        <v>19</v>
      </c>
      <c r="G775">
        <v>59141</v>
      </c>
      <c r="H775">
        <v>1821</v>
      </c>
      <c r="I775">
        <v>2748.38</v>
      </c>
      <c r="J775">
        <v>208</v>
      </c>
      <c r="K775" t="s">
        <v>24</v>
      </c>
    </row>
    <row r="776" spans="1:11" x14ac:dyDescent="0.2">
      <c r="A776" t="s">
        <v>1617</v>
      </c>
      <c r="B776" t="s">
        <v>1618</v>
      </c>
      <c r="C776" s="2">
        <v>45229</v>
      </c>
      <c r="D776" s="2">
        <v>45245</v>
      </c>
      <c r="E776">
        <f t="shared" si="12"/>
        <v>16</v>
      </c>
      <c r="F776" t="s">
        <v>14</v>
      </c>
      <c r="G776">
        <v>24793</v>
      </c>
      <c r="H776">
        <v>691</v>
      </c>
      <c r="I776">
        <v>1096.19</v>
      </c>
      <c r="J776">
        <v>54</v>
      </c>
      <c r="K776" t="b">
        <v>0</v>
      </c>
    </row>
    <row r="777" spans="1:11" x14ac:dyDescent="0.2">
      <c r="A777" t="s">
        <v>1619</v>
      </c>
      <c r="B777" t="s">
        <v>1620</v>
      </c>
      <c r="C777" s="2">
        <v>45247</v>
      </c>
      <c r="D777" s="2">
        <v>45252</v>
      </c>
      <c r="E777">
        <f t="shared" si="12"/>
        <v>5</v>
      </c>
      <c r="F777" t="s">
        <v>191</v>
      </c>
      <c r="G777">
        <v>57570</v>
      </c>
      <c r="H777">
        <v>1860</v>
      </c>
      <c r="I777">
        <v>2304.35</v>
      </c>
      <c r="J777">
        <v>171</v>
      </c>
      <c r="K777" t="s">
        <v>30</v>
      </c>
    </row>
    <row r="778" spans="1:11" x14ac:dyDescent="0.2">
      <c r="A778" t="s">
        <v>1621</v>
      </c>
      <c r="B778" t="s">
        <v>1622</v>
      </c>
      <c r="C778" s="2">
        <v>44951</v>
      </c>
      <c r="D778" s="2">
        <v>44981</v>
      </c>
      <c r="E778">
        <f t="shared" si="12"/>
        <v>30</v>
      </c>
      <c r="F778" t="s">
        <v>19</v>
      </c>
      <c r="G778">
        <v>96084</v>
      </c>
      <c r="H778">
        <v>1598</v>
      </c>
      <c r="I778">
        <v>2317.29</v>
      </c>
      <c r="J778">
        <v>144</v>
      </c>
      <c r="K778">
        <v>1</v>
      </c>
    </row>
    <row r="779" spans="1:11" x14ac:dyDescent="0.2">
      <c r="A779" t="s">
        <v>1623</v>
      </c>
      <c r="B779" t="s">
        <v>1624</v>
      </c>
      <c r="C779" s="2">
        <v>45270</v>
      </c>
      <c r="D779" s="2">
        <v>45273</v>
      </c>
      <c r="E779">
        <f t="shared" si="12"/>
        <v>3</v>
      </c>
      <c r="F779" t="s">
        <v>23</v>
      </c>
      <c r="G779">
        <v>38892</v>
      </c>
      <c r="H779">
        <v>1343</v>
      </c>
      <c r="I779">
        <v>2294.23</v>
      </c>
      <c r="K779" t="s">
        <v>24</v>
      </c>
    </row>
    <row r="780" spans="1:11" x14ac:dyDescent="0.2">
      <c r="A780" t="s">
        <v>1625</v>
      </c>
      <c r="B780" t="s">
        <v>1626</v>
      </c>
      <c r="C780" s="2">
        <v>45283</v>
      </c>
      <c r="D780" s="2">
        <v>45306</v>
      </c>
      <c r="E780">
        <f t="shared" si="12"/>
        <v>23</v>
      </c>
      <c r="F780" t="s">
        <v>19</v>
      </c>
      <c r="G780">
        <v>2015</v>
      </c>
      <c r="H780">
        <v>49</v>
      </c>
      <c r="I780">
        <v>53.74</v>
      </c>
      <c r="J780">
        <v>4</v>
      </c>
      <c r="K780">
        <v>0</v>
      </c>
    </row>
    <row r="781" spans="1:11" x14ac:dyDescent="0.2">
      <c r="A781" t="s">
        <v>1627</v>
      </c>
      <c r="B781" t="s">
        <v>1628</v>
      </c>
      <c r="C781" s="2">
        <v>45119</v>
      </c>
      <c r="D781" s="2">
        <v>45129</v>
      </c>
      <c r="E781">
        <f t="shared" si="12"/>
        <v>10</v>
      </c>
      <c r="F781" t="s">
        <v>415</v>
      </c>
      <c r="G781">
        <v>62813</v>
      </c>
      <c r="H781">
        <v>2882</v>
      </c>
      <c r="I781">
        <v>4925.25</v>
      </c>
      <c r="J781">
        <v>197</v>
      </c>
      <c r="K781" t="s">
        <v>30</v>
      </c>
    </row>
    <row r="782" spans="1:11" x14ac:dyDescent="0.2">
      <c r="A782" t="s">
        <v>1629</v>
      </c>
      <c r="B782" t="s">
        <v>1630</v>
      </c>
      <c r="C782" s="2">
        <v>45050</v>
      </c>
      <c r="D782" s="2">
        <v>45058</v>
      </c>
      <c r="E782">
        <f t="shared" si="12"/>
        <v>8</v>
      </c>
      <c r="F782" t="s">
        <v>138</v>
      </c>
      <c r="G782">
        <v>28712</v>
      </c>
      <c r="H782">
        <v>481</v>
      </c>
      <c r="I782">
        <v>667.64</v>
      </c>
      <c r="J782">
        <v>32</v>
      </c>
      <c r="K782">
        <v>1</v>
      </c>
    </row>
    <row r="783" spans="1:11" x14ac:dyDescent="0.2">
      <c r="A783" t="s">
        <v>1631</v>
      </c>
      <c r="B783" t="s">
        <v>1632</v>
      </c>
      <c r="C783" s="2">
        <v>45289</v>
      </c>
      <c r="D783" s="2">
        <v>45314</v>
      </c>
      <c r="E783">
        <f t="shared" si="12"/>
        <v>25</v>
      </c>
      <c r="F783" t="s">
        <v>14</v>
      </c>
      <c r="G783">
        <v>9415</v>
      </c>
      <c r="H783">
        <v>285</v>
      </c>
      <c r="I783" s="3">
        <v>213.42</v>
      </c>
      <c r="J783">
        <v>39</v>
      </c>
      <c r="K783">
        <v>1</v>
      </c>
    </row>
    <row r="784" spans="1:11" x14ac:dyDescent="0.2">
      <c r="A784" t="s">
        <v>1633</v>
      </c>
      <c r="B784" t="s">
        <v>1634</v>
      </c>
      <c r="C784" s="2">
        <v>44956</v>
      </c>
      <c r="D784" s="2">
        <v>44969</v>
      </c>
      <c r="E784">
        <f t="shared" si="12"/>
        <v>13</v>
      </c>
      <c r="F784" t="s">
        <v>41</v>
      </c>
      <c r="G784">
        <v>63292</v>
      </c>
      <c r="H784">
        <v>2147</v>
      </c>
      <c r="I784">
        <v>1153</v>
      </c>
      <c r="J784">
        <v>343</v>
      </c>
      <c r="K784" t="b">
        <v>0</v>
      </c>
    </row>
    <row r="785" spans="1:11" x14ac:dyDescent="0.2">
      <c r="A785" t="s">
        <v>1635</v>
      </c>
      <c r="B785" t="s">
        <v>1636</v>
      </c>
      <c r="C785" s="2">
        <v>45212</v>
      </c>
      <c r="D785" s="2">
        <v>45222</v>
      </c>
      <c r="E785">
        <f t="shared" si="12"/>
        <v>10</v>
      </c>
      <c r="F785" t="s">
        <v>19</v>
      </c>
      <c r="G785">
        <v>24833</v>
      </c>
      <c r="H785">
        <v>281</v>
      </c>
      <c r="I785">
        <v>293.39999999999998</v>
      </c>
      <c r="J785">
        <v>27</v>
      </c>
      <c r="K785" t="b">
        <v>0</v>
      </c>
    </row>
    <row r="786" spans="1:11" x14ac:dyDescent="0.2">
      <c r="A786" t="s">
        <v>1637</v>
      </c>
      <c r="B786" t="s">
        <v>1638</v>
      </c>
      <c r="C786" s="2">
        <v>45057</v>
      </c>
      <c r="D786" s="2">
        <v>45084</v>
      </c>
      <c r="E786">
        <f t="shared" si="12"/>
        <v>27</v>
      </c>
      <c r="F786" t="s">
        <v>19</v>
      </c>
      <c r="G786">
        <v>5158</v>
      </c>
      <c r="H786">
        <v>126</v>
      </c>
      <c r="I786">
        <v>166.33</v>
      </c>
      <c r="J786">
        <v>6</v>
      </c>
      <c r="K786">
        <v>0</v>
      </c>
    </row>
    <row r="787" spans="1:11" x14ac:dyDescent="0.2">
      <c r="A787" t="s">
        <v>1639</v>
      </c>
      <c r="B787" t="s">
        <v>1640</v>
      </c>
      <c r="C787" s="2">
        <v>45157</v>
      </c>
      <c r="D787" s="2">
        <v>45164</v>
      </c>
      <c r="E787">
        <f t="shared" si="12"/>
        <v>7</v>
      </c>
      <c r="F787" t="s">
        <v>14</v>
      </c>
      <c r="G787">
        <v>63680</v>
      </c>
      <c r="H787">
        <v>2502</v>
      </c>
      <c r="I787">
        <v>4402.8500000000004</v>
      </c>
      <c r="J787">
        <v>172</v>
      </c>
      <c r="K787" t="s">
        <v>15</v>
      </c>
    </row>
    <row r="788" spans="1:11" x14ac:dyDescent="0.2">
      <c r="A788" t="s">
        <v>1641</v>
      </c>
      <c r="B788" t="s">
        <v>1642</v>
      </c>
      <c r="C788" s="2">
        <v>45042</v>
      </c>
      <c r="D788" s="2">
        <v>45142</v>
      </c>
      <c r="E788">
        <f t="shared" si="12"/>
        <v>100</v>
      </c>
      <c r="F788" t="s">
        <v>23</v>
      </c>
      <c r="G788">
        <v>21309</v>
      </c>
      <c r="H788">
        <v>912</v>
      </c>
      <c r="I788">
        <v>630.4</v>
      </c>
      <c r="J788">
        <v>170</v>
      </c>
      <c r="K788" t="b">
        <v>1</v>
      </c>
    </row>
    <row r="789" spans="1:11" x14ac:dyDescent="0.2">
      <c r="A789" t="s">
        <v>1643</v>
      </c>
      <c r="B789" t="s">
        <v>1644</v>
      </c>
      <c r="C789" s="2">
        <v>45120</v>
      </c>
      <c r="D789" s="2">
        <v>45141</v>
      </c>
      <c r="E789">
        <f t="shared" si="12"/>
        <v>21</v>
      </c>
      <c r="F789" t="s">
        <v>19</v>
      </c>
      <c r="G789">
        <v>7970</v>
      </c>
      <c r="H789">
        <v>179</v>
      </c>
      <c r="I789">
        <v>304.36</v>
      </c>
      <c r="J789">
        <v>22</v>
      </c>
      <c r="K789" t="s">
        <v>15</v>
      </c>
    </row>
    <row r="790" spans="1:11" x14ac:dyDescent="0.2">
      <c r="A790" t="s">
        <v>1645</v>
      </c>
      <c r="B790" t="s">
        <v>1646</v>
      </c>
      <c r="C790" s="2">
        <v>44964</v>
      </c>
      <c r="D790" s="2">
        <v>44968</v>
      </c>
      <c r="E790">
        <f t="shared" si="12"/>
        <v>4</v>
      </c>
      <c r="F790" t="s">
        <v>41</v>
      </c>
      <c r="G790">
        <v>73474</v>
      </c>
      <c r="H790">
        <v>3081</v>
      </c>
      <c r="I790">
        <v>5528.9</v>
      </c>
      <c r="J790">
        <v>363</v>
      </c>
      <c r="K790" t="s">
        <v>15</v>
      </c>
    </row>
    <row r="791" spans="1:11" x14ac:dyDescent="0.2">
      <c r="A791" t="s">
        <v>1647</v>
      </c>
      <c r="B791" t="s">
        <v>1648</v>
      </c>
      <c r="C791" s="2">
        <v>45270</v>
      </c>
      <c r="D791" s="2">
        <v>45297</v>
      </c>
      <c r="E791">
        <f t="shared" si="12"/>
        <v>27</v>
      </c>
      <c r="F791" t="s">
        <v>19</v>
      </c>
      <c r="G791">
        <v>87704</v>
      </c>
      <c r="H791">
        <v>4272</v>
      </c>
      <c r="I791">
        <v>500000</v>
      </c>
      <c r="J791">
        <v>237</v>
      </c>
      <c r="K791" t="s">
        <v>24</v>
      </c>
    </row>
    <row r="792" spans="1:11" x14ac:dyDescent="0.2">
      <c r="A792" t="s">
        <v>1649</v>
      </c>
      <c r="B792" t="s">
        <v>1650</v>
      </c>
      <c r="C792" s="2">
        <v>45097</v>
      </c>
      <c r="D792" s="2">
        <v>45104</v>
      </c>
      <c r="E792">
        <f t="shared" si="12"/>
        <v>7</v>
      </c>
      <c r="F792" t="s">
        <v>23</v>
      </c>
      <c r="G792">
        <v>47540</v>
      </c>
      <c r="H792">
        <v>2104</v>
      </c>
      <c r="I792">
        <v>3739.63</v>
      </c>
      <c r="J792">
        <v>335</v>
      </c>
      <c r="K792" t="s">
        <v>24</v>
      </c>
    </row>
    <row r="793" spans="1:11" x14ac:dyDescent="0.2">
      <c r="A793" t="s">
        <v>1651</v>
      </c>
      <c r="B793" t="s">
        <v>1652</v>
      </c>
      <c r="C793" s="2">
        <v>45035</v>
      </c>
      <c r="D793" s="2">
        <v>45036</v>
      </c>
      <c r="E793">
        <f t="shared" si="12"/>
        <v>1</v>
      </c>
      <c r="F793" t="s">
        <v>14</v>
      </c>
      <c r="G793">
        <v>21384</v>
      </c>
      <c r="H793">
        <v>314</v>
      </c>
      <c r="I793" s="3">
        <v>623.97</v>
      </c>
      <c r="J793">
        <v>40</v>
      </c>
      <c r="K793">
        <v>0</v>
      </c>
    </row>
    <row r="794" spans="1:11" x14ac:dyDescent="0.2">
      <c r="A794" t="s">
        <v>1653</v>
      </c>
      <c r="B794" t="s">
        <v>1654</v>
      </c>
      <c r="C794" s="2">
        <v>44987</v>
      </c>
      <c r="D794" s="2">
        <v>44988</v>
      </c>
      <c r="E794">
        <f t="shared" si="12"/>
        <v>1</v>
      </c>
      <c r="F794" t="s">
        <v>41</v>
      </c>
      <c r="G794">
        <v>19017</v>
      </c>
      <c r="H794">
        <v>752</v>
      </c>
      <c r="I794">
        <v>1195.8699999999999</v>
      </c>
      <c r="J794">
        <v>60</v>
      </c>
      <c r="K794" t="s">
        <v>24</v>
      </c>
    </row>
    <row r="795" spans="1:11" x14ac:dyDescent="0.2">
      <c r="A795" t="s">
        <v>1655</v>
      </c>
      <c r="B795" t="s">
        <v>1656</v>
      </c>
      <c r="C795" s="2">
        <v>45051</v>
      </c>
      <c r="D795" s="2">
        <v>45052</v>
      </c>
      <c r="E795">
        <f t="shared" si="12"/>
        <v>1</v>
      </c>
      <c r="F795" t="s">
        <v>14</v>
      </c>
      <c r="G795">
        <v>76880</v>
      </c>
      <c r="H795">
        <v>1751</v>
      </c>
      <c r="I795">
        <v>2936.7</v>
      </c>
      <c r="J795">
        <v>116</v>
      </c>
      <c r="K795" t="s">
        <v>30</v>
      </c>
    </row>
    <row r="796" spans="1:11" x14ac:dyDescent="0.2">
      <c r="A796" t="s">
        <v>1657</v>
      </c>
      <c r="B796" t="s">
        <v>1658</v>
      </c>
      <c r="C796" s="2">
        <v>45130</v>
      </c>
      <c r="D796" s="2">
        <v>45140</v>
      </c>
      <c r="E796">
        <f t="shared" si="12"/>
        <v>10</v>
      </c>
      <c r="F796" t="s">
        <v>33</v>
      </c>
      <c r="G796">
        <v>9702</v>
      </c>
      <c r="H796">
        <v>480</v>
      </c>
      <c r="I796" s="3">
        <v>955.98</v>
      </c>
      <c r="J796">
        <v>51</v>
      </c>
      <c r="K796">
        <v>0</v>
      </c>
    </row>
    <row r="797" spans="1:11" x14ac:dyDescent="0.2">
      <c r="A797" t="s">
        <v>1659</v>
      </c>
      <c r="B797" t="s">
        <v>1660</v>
      </c>
      <c r="C797" s="2">
        <v>45071</v>
      </c>
      <c r="D797" s="2">
        <v>45075</v>
      </c>
      <c r="E797">
        <f t="shared" si="12"/>
        <v>4</v>
      </c>
      <c r="F797" t="s">
        <v>14</v>
      </c>
      <c r="G797">
        <v>1384</v>
      </c>
      <c r="H797">
        <v>40</v>
      </c>
      <c r="I797">
        <v>56.33</v>
      </c>
      <c r="J797">
        <v>7</v>
      </c>
      <c r="K797">
        <v>0</v>
      </c>
    </row>
    <row r="798" spans="1:11" x14ac:dyDescent="0.2">
      <c r="A798" t="s">
        <v>1661</v>
      </c>
      <c r="B798" t="s">
        <v>1662</v>
      </c>
      <c r="C798" s="2">
        <v>45110</v>
      </c>
      <c r="D798" s="2">
        <v>45117</v>
      </c>
      <c r="E798">
        <f t="shared" si="12"/>
        <v>7</v>
      </c>
      <c r="F798" t="s">
        <v>33</v>
      </c>
      <c r="G798">
        <v>1404</v>
      </c>
      <c r="H798">
        <v>20</v>
      </c>
      <c r="I798" s="3">
        <v>19.239999999999998</v>
      </c>
      <c r="J798">
        <v>3</v>
      </c>
      <c r="K798">
        <v>1</v>
      </c>
    </row>
    <row r="799" spans="1:11" x14ac:dyDescent="0.2">
      <c r="A799" t="s">
        <v>1663</v>
      </c>
      <c r="B799" t="s">
        <v>1664</v>
      </c>
      <c r="C799" s="2">
        <v>45181</v>
      </c>
      <c r="D799" s="2">
        <v>45187</v>
      </c>
      <c r="E799">
        <f t="shared" si="12"/>
        <v>6</v>
      </c>
      <c r="F799" t="s">
        <v>14</v>
      </c>
      <c r="G799">
        <v>41943</v>
      </c>
      <c r="H799">
        <v>1636</v>
      </c>
      <c r="I799">
        <v>2873.3</v>
      </c>
      <c r="J799">
        <v>229</v>
      </c>
      <c r="K799">
        <v>1</v>
      </c>
    </row>
    <row r="800" spans="1:11" x14ac:dyDescent="0.2">
      <c r="A800" t="s">
        <v>1665</v>
      </c>
      <c r="B800" t="s">
        <v>1666</v>
      </c>
      <c r="C800" s="2">
        <v>45167</v>
      </c>
      <c r="D800" s="2">
        <v>45194</v>
      </c>
      <c r="E800">
        <f t="shared" si="12"/>
        <v>27</v>
      </c>
      <c r="F800" t="s">
        <v>41</v>
      </c>
      <c r="G800">
        <v>48926</v>
      </c>
      <c r="H800">
        <v>1121</v>
      </c>
      <c r="I800">
        <v>1593.76</v>
      </c>
      <c r="J800">
        <v>178</v>
      </c>
      <c r="K800">
        <v>1</v>
      </c>
    </row>
    <row r="801" spans="1:11" x14ac:dyDescent="0.2">
      <c r="A801" t="s">
        <v>1667</v>
      </c>
      <c r="B801" t="s">
        <v>1668</v>
      </c>
      <c r="C801" s="2">
        <v>45031</v>
      </c>
      <c r="D801" s="2">
        <v>45056</v>
      </c>
      <c r="E801">
        <f t="shared" si="12"/>
        <v>25</v>
      </c>
      <c r="F801" t="s">
        <v>23</v>
      </c>
      <c r="G801">
        <v>30189</v>
      </c>
      <c r="H801">
        <v>1505</v>
      </c>
      <c r="I801">
        <v>2064.5500000000002</v>
      </c>
      <c r="J801">
        <v>101</v>
      </c>
      <c r="K801" t="b">
        <v>1</v>
      </c>
    </row>
    <row r="802" spans="1:11" x14ac:dyDescent="0.2">
      <c r="A802" t="s">
        <v>1669</v>
      </c>
      <c r="B802" t="s">
        <v>1670</v>
      </c>
      <c r="C802" s="2">
        <v>45215</v>
      </c>
      <c r="D802" s="2">
        <v>45237</v>
      </c>
      <c r="E802">
        <f t="shared" si="12"/>
        <v>22</v>
      </c>
      <c r="F802" t="s">
        <v>19</v>
      </c>
      <c r="G802">
        <v>13763</v>
      </c>
      <c r="H802">
        <v>677</v>
      </c>
      <c r="I802">
        <v>596.07000000000005</v>
      </c>
      <c r="J802">
        <v>93</v>
      </c>
      <c r="K802" t="s">
        <v>30</v>
      </c>
    </row>
    <row r="803" spans="1:11" x14ac:dyDescent="0.2">
      <c r="A803" t="s">
        <v>1671</v>
      </c>
      <c r="B803" t="s">
        <v>1672</v>
      </c>
      <c r="C803" s="2">
        <v>44935</v>
      </c>
      <c r="D803" s="2">
        <v>44938</v>
      </c>
      <c r="E803">
        <f t="shared" si="12"/>
        <v>3</v>
      </c>
      <c r="F803" t="s">
        <v>23</v>
      </c>
      <c r="G803">
        <v>19384</v>
      </c>
      <c r="H803">
        <v>702</v>
      </c>
      <c r="I803">
        <v>1147.42</v>
      </c>
      <c r="J803">
        <v>105</v>
      </c>
      <c r="K803" t="s">
        <v>30</v>
      </c>
    </row>
    <row r="804" spans="1:11" x14ac:dyDescent="0.2">
      <c r="A804" t="s">
        <v>1673</v>
      </c>
      <c r="B804" t="s">
        <v>1674</v>
      </c>
      <c r="C804" s="2">
        <v>45218</v>
      </c>
      <c r="D804" s="2">
        <v>45223</v>
      </c>
      <c r="E804">
        <f t="shared" si="12"/>
        <v>5</v>
      </c>
      <c r="F804" t="s">
        <v>14</v>
      </c>
      <c r="G804">
        <v>61100</v>
      </c>
      <c r="H804">
        <v>928</v>
      </c>
      <c r="I804">
        <v>577.67999999999995</v>
      </c>
      <c r="J804">
        <v>74</v>
      </c>
      <c r="K804">
        <v>1</v>
      </c>
    </row>
    <row r="805" spans="1:11" x14ac:dyDescent="0.2">
      <c r="A805" t="s">
        <v>1675</v>
      </c>
      <c r="B805" t="s">
        <v>1676</v>
      </c>
      <c r="C805" s="2">
        <v>45022</v>
      </c>
      <c r="D805" s="2">
        <v>45027</v>
      </c>
      <c r="E805">
        <f t="shared" si="12"/>
        <v>5</v>
      </c>
      <c r="F805" t="s">
        <v>14</v>
      </c>
      <c r="G805">
        <v>99142</v>
      </c>
      <c r="H805">
        <v>3715</v>
      </c>
      <c r="I805">
        <v>7008.09</v>
      </c>
      <c r="J805">
        <v>676</v>
      </c>
      <c r="K805" t="s">
        <v>15</v>
      </c>
    </row>
    <row r="806" spans="1:11" x14ac:dyDescent="0.2">
      <c r="A806" t="s">
        <v>1677</v>
      </c>
      <c r="B806" t="s">
        <v>1678</v>
      </c>
      <c r="C806" s="2">
        <v>45047</v>
      </c>
      <c r="D806" s="2">
        <v>45052</v>
      </c>
      <c r="E806">
        <f t="shared" si="12"/>
        <v>5</v>
      </c>
      <c r="F806" t="s">
        <v>138</v>
      </c>
      <c r="G806">
        <v>10860</v>
      </c>
      <c r="H806">
        <v>149</v>
      </c>
      <c r="I806">
        <v>147.32</v>
      </c>
      <c r="J806">
        <v>11</v>
      </c>
      <c r="K806" t="b">
        <v>1</v>
      </c>
    </row>
    <row r="807" spans="1:11" x14ac:dyDescent="0.2">
      <c r="A807" t="s">
        <v>1679</v>
      </c>
      <c r="B807" t="s">
        <v>1680</v>
      </c>
      <c r="C807" s="2">
        <v>45277</v>
      </c>
      <c r="D807" s="2">
        <v>45281</v>
      </c>
      <c r="E807">
        <f t="shared" si="12"/>
        <v>4</v>
      </c>
      <c r="F807" t="s">
        <v>14</v>
      </c>
      <c r="G807">
        <v>81642</v>
      </c>
      <c r="H807">
        <v>912</v>
      </c>
      <c r="I807">
        <v>630.79999999999995</v>
      </c>
      <c r="J807">
        <v>88</v>
      </c>
      <c r="K807" t="s">
        <v>15</v>
      </c>
    </row>
    <row r="808" spans="1:11" x14ac:dyDescent="0.2">
      <c r="A808" t="s">
        <v>1681</v>
      </c>
      <c r="B808" t="s">
        <v>1682</v>
      </c>
      <c r="C808" s="2">
        <v>45177</v>
      </c>
      <c r="D808" s="2">
        <v>45191</v>
      </c>
      <c r="E808">
        <f t="shared" si="12"/>
        <v>14</v>
      </c>
      <c r="F808" t="s">
        <v>23</v>
      </c>
      <c r="G808">
        <v>51612</v>
      </c>
      <c r="H808">
        <v>2215</v>
      </c>
      <c r="I808">
        <v>2577.2600000000002</v>
      </c>
      <c r="J808">
        <v>316</v>
      </c>
      <c r="K808" t="b">
        <v>0</v>
      </c>
    </row>
    <row r="809" spans="1:11" x14ac:dyDescent="0.2">
      <c r="A809" t="s">
        <v>1683</v>
      </c>
      <c r="B809" t="s">
        <v>1684</v>
      </c>
      <c r="C809" s="2">
        <v>45178</v>
      </c>
      <c r="D809" s="2">
        <v>45190</v>
      </c>
      <c r="E809">
        <f t="shared" si="12"/>
        <v>12</v>
      </c>
      <c r="F809" t="s">
        <v>14</v>
      </c>
      <c r="G809">
        <v>24574</v>
      </c>
      <c r="H809">
        <v>451</v>
      </c>
      <c r="I809">
        <v>254.23</v>
      </c>
      <c r="J809">
        <v>65</v>
      </c>
      <c r="K809" t="s">
        <v>30</v>
      </c>
    </row>
    <row r="810" spans="1:11" x14ac:dyDescent="0.2">
      <c r="A810" t="s">
        <v>1685</v>
      </c>
      <c r="B810" t="s">
        <v>1686</v>
      </c>
      <c r="C810" s="2">
        <v>45107</v>
      </c>
      <c r="D810" s="2">
        <v>45129</v>
      </c>
      <c r="E810">
        <f t="shared" si="12"/>
        <v>22</v>
      </c>
      <c r="F810" t="s">
        <v>23</v>
      </c>
      <c r="G810">
        <v>24524</v>
      </c>
      <c r="H810">
        <v>617</v>
      </c>
      <c r="I810">
        <v>942.12</v>
      </c>
      <c r="J810">
        <v>95</v>
      </c>
      <c r="K810" t="s">
        <v>30</v>
      </c>
    </row>
    <row r="811" spans="1:11" x14ac:dyDescent="0.2">
      <c r="A811" t="s">
        <v>1687</v>
      </c>
      <c r="B811" t="s">
        <v>1688</v>
      </c>
      <c r="C811" s="2">
        <v>45177</v>
      </c>
      <c r="D811" s="2">
        <v>45190</v>
      </c>
      <c r="E811">
        <f t="shared" si="12"/>
        <v>13</v>
      </c>
      <c r="F811" t="s">
        <v>138</v>
      </c>
      <c r="G811">
        <v>70172</v>
      </c>
      <c r="H811">
        <v>3434</v>
      </c>
      <c r="I811">
        <v>6366.84</v>
      </c>
      <c r="J811">
        <v>229</v>
      </c>
      <c r="K811" t="s">
        <v>15</v>
      </c>
    </row>
    <row r="812" spans="1:11" x14ac:dyDescent="0.2">
      <c r="A812" t="s">
        <v>1689</v>
      </c>
      <c r="B812" t="s">
        <v>1690</v>
      </c>
      <c r="C812" s="2">
        <v>45255</v>
      </c>
      <c r="D812" s="2">
        <v>45256</v>
      </c>
      <c r="E812">
        <f t="shared" si="12"/>
        <v>1</v>
      </c>
      <c r="F812" t="s">
        <v>33</v>
      </c>
      <c r="G812">
        <v>11916</v>
      </c>
      <c r="H812">
        <v>279</v>
      </c>
      <c r="I812">
        <v>489.89</v>
      </c>
      <c r="K812" t="b">
        <v>1</v>
      </c>
    </row>
    <row r="813" spans="1:11" x14ac:dyDescent="0.2">
      <c r="A813" t="s">
        <v>1691</v>
      </c>
      <c r="B813" t="s">
        <v>1692</v>
      </c>
      <c r="C813" s="2">
        <v>44965</v>
      </c>
      <c r="D813" s="2">
        <v>44988</v>
      </c>
      <c r="E813">
        <f t="shared" si="12"/>
        <v>23</v>
      </c>
      <c r="F813" t="s">
        <v>23</v>
      </c>
      <c r="G813">
        <v>5809</v>
      </c>
      <c r="H813">
        <v>126</v>
      </c>
      <c r="I813">
        <v>87.07</v>
      </c>
      <c r="J813">
        <v>16</v>
      </c>
      <c r="K813" t="s">
        <v>30</v>
      </c>
    </row>
    <row r="814" spans="1:11" x14ac:dyDescent="0.2">
      <c r="A814" t="s">
        <v>1693</v>
      </c>
      <c r="B814" t="s">
        <v>1694</v>
      </c>
      <c r="C814" s="2">
        <v>44930</v>
      </c>
      <c r="D814" s="2">
        <v>44950</v>
      </c>
      <c r="E814">
        <f t="shared" si="12"/>
        <v>20</v>
      </c>
      <c r="F814" t="s">
        <v>23</v>
      </c>
      <c r="G814">
        <v>33201</v>
      </c>
      <c r="H814">
        <v>1551</v>
      </c>
      <c r="I814">
        <v>1069.27</v>
      </c>
      <c r="J814">
        <v>187</v>
      </c>
      <c r="K814" t="s">
        <v>15</v>
      </c>
    </row>
    <row r="815" spans="1:11" x14ac:dyDescent="0.2">
      <c r="A815" t="s">
        <v>1695</v>
      </c>
      <c r="B815" t="s">
        <v>1696</v>
      </c>
      <c r="C815" s="2">
        <v>45045</v>
      </c>
      <c r="D815" s="2">
        <v>45055</v>
      </c>
      <c r="E815">
        <f t="shared" si="12"/>
        <v>10</v>
      </c>
      <c r="F815" t="s">
        <v>14</v>
      </c>
      <c r="G815">
        <v>54330</v>
      </c>
      <c r="H815">
        <v>783</v>
      </c>
      <c r="I815">
        <v>1346.88</v>
      </c>
      <c r="J815">
        <v>154</v>
      </c>
      <c r="K815">
        <v>0</v>
      </c>
    </row>
    <row r="816" spans="1:11" x14ac:dyDescent="0.2">
      <c r="A816" t="s">
        <v>1698</v>
      </c>
      <c r="B816" t="s">
        <v>1699</v>
      </c>
      <c r="C816" s="2">
        <v>45004</v>
      </c>
      <c r="D816" s="2">
        <v>45015</v>
      </c>
      <c r="E816">
        <f t="shared" si="12"/>
        <v>11</v>
      </c>
      <c r="F816" t="s">
        <v>14</v>
      </c>
      <c r="G816">
        <v>14456</v>
      </c>
      <c r="H816">
        <v>583</v>
      </c>
      <c r="I816">
        <v>1099.76</v>
      </c>
      <c r="J816">
        <v>93</v>
      </c>
      <c r="K816">
        <v>0</v>
      </c>
    </row>
    <row r="817" spans="1:11" x14ac:dyDescent="0.2">
      <c r="A817" t="s">
        <v>1701</v>
      </c>
      <c r="B817" t="s">
        <v>1702</v>
      </c>
      <c r="C817" s="2">
        <v>45185</v>
      </c>
      <c r="D817" s="2">
        <v>45198</v>
      </c>
      <c r="E817">
        <f t="shared" si="12"/>
        <v>13</v>
      </c>
      <c r="F817" t="s">
        <v>33</v>
      </c>
      <c r="G817">
        <v>57397</v>
      </c>
      <c r="H817">
        <v>2842</v>
      </c>
      <c r="I817">
        <v>3384.84</v>
      </c>
      <c r="J817">
        <v>192</v>
      </c>
      <c r="K817" t="s">
        <v>24</v>
      </c>
    </row>
    <row r="818" spans="1:11" x14ac:dyDescent="0.2">
      <c r="A818" t="s">
        <v>1703</v>
      </c>
      <c r="B818" t="s">
        <v>1704</v>
      </c>
      <c r="C818" s="2">
        <v>45253</v>
      </c>
      <c r="D818" s="2">
        <v>45265</v>
      </c>
      <c r="E818">
        <f t="shared" si="12"/>
        <v>12</v>
      </c>
      <c r="F818" t="s">
        <v>41</v>
      </c>
      <c r="G818">
        <v>39765</v>
      </c>
      <c r="H818">
        <v>1831</v>
      </c>
      <c r="I818">
        <v>2285.92</v>
      </c>
      <c r="J818">
        <v>299</v>
      </c>
      <c r="K818" t="b">
        <v>1</v>
      </c>
    </row>
    <row r="819" spans="1:11" x14ac:dyDescent="0.2">
      <c r="A819" t="s">
        <v>1705</v>
      </c>
      <c r="B819" t="s">
        <v>1706</v>
      </c>
      <c r="C819" s="2">
        <v>45062</v>
      </c>
      <c r="D819" s="2">
        <v>45174</v>
      </c>
      <c r="E819">
        <f t="shared" si="12"/>
        <v>112</v>
      </c>
      <c r="F819" t="s">
        <v>23</v>
      </c>
      <c r="G819">
        <v>35816</v>
      </c>
      <c r="H819">
        <v>1291</v>
      </c>
      <c r="I819">
        <v>-1261.81</v>
      </c>
      <c r="J819">
        <v>82</v>
      </c>
      <c r="K819" t="s">
        <v>15</v>
      </c>
    </row>
    <row r="820" spans="1:11" x14ac:dyDescent="0.2">
      <c r="A820" t="s">
        <v>1707</v>
      </c>
      <c r="B820" t="s">
        <v>1708</v>
      </c>
      <c r="C820" s="2">
        <v>45199</v>
      </c>
      <c r="D820" s="2">
        <v>45209</v>
      </c>
      <c r="E820">
        <f t="shared" si="12"/>
        <v>10</v>
      </c>
      <c r="F820" t="s">
        <v>58</v>
      </c>
      <c r="G820">
        <v>46106</v>
      </c>
      <c r="H820">
        <v>1040</v>
      </c>
      <c r="I820">
        <v>1915.05</v>
      </c>
      <c r="J820">
        <v>56</v>
      </c>
      <c r="K820" t="s">
        <v>24</v>
      </c>
    </row>
    <row r="821" spans="1:11" x14ac:dyDescent="0.2">
      <c r="A821" t="s">
        <v>1709</v>
      </c>
      <c r="B821" t="s">
        <v>1710</v>
      </c>
      <c r="C821" s="2">
        <v>45198</v>
      </c>
      <c r="D821" s="2">
        <v>45212</v>
      </c>
      <c r="E821">
        <f t="shared" si="12"/>
        <v>14</v>
      </c>
      <c r="F821" t="s">
        <v>19</v>
      </c>
      <c r="G821">
        <v>54932</v>
      </c>
      <c r="H821">
        <v>1108</v>
      </c>
      <c r="I821">
        <v>1625.83</v>
      </c>
      <c r="J821">
        <v>122</v>
      </c>
      <c r="K821">
        <v>0</v>
      </c>
    </row>
    <row r="822" spans="1:11" x14ac:dyDescent="0.2">
      <c r="A822" t="s">
        <v>1711</v>
      </c>
      <c r="B822" t="s">
        <v>1712</v>
      </c>
      <c r="C822" s="2">
        <v>45073</v>
      </c>
      <c r="D822" s="2">
        <v>45093</v>
      </c>
      <c r="E822">
        <f t="shared" si="12"/>
        <v>20</v>
      </c>
      <c r="F822" t="s">
        <v>23</v>
      </c>
      <c r="G822">
        <v>18100</v>
      </c>
      <c r="H822">
        <v>774</v>
      </c>
      <c r="I822">
        <v>721.66</v>
      </c>
      <c r="J822">
        <v>154</v>
      </c>
      <c r="K822" t="b">
        <v>1</v>
      </c>
    </row>
    <row r="823" spans="1:11" x14ac:dyDescent="0.2">
      <c r="A823" t="s">
        <v>1714</v>
      </c>
      <c r="B823" t="s">
        <v>1715</v>
      </c>
      <c r="C823" s="2">
        <v>45284</v>
      </c>
      <c r="D823" s="2">
        <v>45303</v>
      </c>
      <c r="E823">
        <f t="shared" si="12"/>
        <v>19</v>
      </c>
      <c r="F823" t="s">
        <v>14</v>
      </c>
      <c r="G823">
        <v>58091</v>
      </c>
      <c r="H823">
        <v>2625</v>
      </c>
      <c r="I823">
        <v>2488.96</v>
      </c>
      <c r="J823">
        <v>200</v>
      </c>
      <c r="K823" t="s">
        <v>24</v>
      </c>
    </row>
    <row r="824" spans="1:11" x14ac:dyDescent="0.2">
      <c r="A824" t="s">
        <v>1716</v>
      </c>
      <c r="B824" t="s">
        <v>1717</v>
      </c>
      <c r="C824" s="2">
        <v>44991</v>
      </c>
      <c r="D824" s="2">
        <v>45018</v>
      </c>
      <c r="E824">
        <f t="shared" si="12"/>
        <v>27</v>
      </c>
      <c r="F824" t="s">
        <v>14</v>
      </c>
      <c r="G824">
        <v>22949</v>
      </c>
      <c r="H824">
        <v>711</v>
      </c>
      <c r="I824">
        <v>1305.96</v>
      </c>
      <c r="J824">
        <v>107</v>
      </c>
      <c r="K824">
        <v>1</v>
      </c>
    </row>
    <row r="825" spans="1:11" x14ac:dyDescent="0.2">
      <c r="A825" t="s">
        <v>1718</v>
      </c>
      <c r="B825" t="s">
        <v>1719</v>
      </c>
      <c r="C825" s="2">
        <v>45003</v>
      </c>
      <c r="D825" s="2">
        <v>45019</v>
      </c>
      <c r="E825">
        <f t="shared" si="12"/>
        <v>16</v>
      </c>
      <c r="F825" t="s">
        <v>23</v>
      </c>
      <c r="G825">
        <v>71080</v>
      </c>
      <c r="H825">
        <v>1405</v>
      </c>
      <c r="I825">
        <v>731.23</v>
      </c>
      <c r="J825">
        <v>106</v>
      </c>
      <c r="K825" t="b">
        <v>1</v>
      </c>
    </row>
    <row r="826" spans="1:11" x14ac:dyDescent="0.2">
      <c r="A826" t="s">
        <v>1720</v>
      </c>
      <c r="B826" t="s">
        <v>1721</v>
      </c>
      <c r="C826" s="2">
        <v>45056</v>
      </c>
      <c r="D826" s="2">
        <v>45077</v>
      </c>
      <c r="E826">
        <f t="shared" si="12"/>
        <v>21</v>
      </c>
      <c r="F826" t="s">
        <v>41</v>
      </c>
      <c r="G826">
        <v>38744</v>
      </c>
      <c r="H826">
        <v>562</v>
      </c>
      <c r="I826">
        <v>553.05999999999995</v>
      </c>
      <c r="J826">
        <v>89</v>
      </c>
      <c r="K826" t="b">
        <v>0</v>
      </c>
    </row>
    <row r="827" spans="1:11" x14ac:dyDescent="0.2">
      <c r="A827" t="s">
        <v>1722</v>
      </c>
      <c r="B827" t="s">
        <v>1723</v>
      </c>
      <c r="C827" s="2">
        <v>45130</v>
      </c>
      <c r="D827" s="2">
        <v>45150</v>
      </c>
      <c r="E827">
        <f t="shared" si="12"/>
        <v>20</v>
      </c>
      <c r="F827" t="s">
        <v>19</v>
      </c>
      <c r="G827">
        <v>46543</v>
      </c>
      <c r="H827">
        <v>627</v>
      </c>
      <c r="I827">
        <v>834.87</v>
      </c>
      <c r="J827">
        <v>78</v>
      </c>
      <c r="K827">
        <v>1</v>
      </c>
    </row>
    <row r="828" spans="1:11" x14ac:dyDescent="0.2">
      <c r="A828" t="s">
        <v>1725</v>
      </c>
      <c r="B828" t="s">
        <v>1726</v>
      </c>
      <c r="C828" s="2">
        <v>45134</v>
      </c>
      <c r="D828" s="2">
        <v>45153</v>
      </c>
      <c r="E828">
        <f t="shared" si="12"/>
        <v>19</v>
      </c>
      <c r="F828" t="s">
        <v>19</v>
      </c>
      <c r="G828">
        <v>93193</v>
      </c>
      <c r="H828">
        <v>3612</v>
      </c>
      <c r="I828" s="3">
        <v>2609.04</v>
      </c>
      <c r="J828">
        <v>549</v>
      </c>
      <c r="K828" t="s">
        <v>24</v>
      </c>
    </row>
    <row r="829" spans="1:11" x14ac:dyDescent="0.2">
      <c r="A829" t="s">
        <v>1727</v>
      </c>
      <c r="B829" t="s">
        <v>1728</v>
      </c>
      <c r="C829" s="2">
        <v>45283</v>
      </c>
      <c r="D829" s="2">
        <v>45285</v>
      </c>
      <c r="E829">
        <f t="shared" si="12"/>
        <v>2</v>
      </c>
      <c r="F829" t="s">
        <v>14</v>
      </c>
      <c r="G829">
        <v>37187</v>
      </c>
      <c r="H829">
        <v>996</v>
      </c>
      <c r="I829">
        <v>635.6</v>
      </c>
      <c r="J829">
        <v>80</v>
      </c>
      <c r="K829" t="s">
        <v>15</v>
      </c>
    </row>
    <row r="830" spans="1:11" x14ac:dyDescent="0.2">
      <c r="A830" t="s">
        <v>1729</v>
      </c>
      <c r="B830" t="s">
        <v>1730</v>
      </c>
      <c r="C830" s="2">
        <v>44968</v>
      </c>
      <c r="D830" s="2">
        <v>44990</v>
      </c>
      <c r="E830">
        <f t="shared" si="12"/>
        <v>22</v>
      </c>
      <c r="F830" t="s">
        <v>33</v>
      </c>
      <c r="G830">
        <v>8239</v>
      </c>
      <c r="H830">
        <v>380</v>
      </c>
      <c r="I830">
        <v>654.71</v>
      </c>
      <c r="J830">
        <v>61</v>
      </c>
      <c r="K830">
        <v>1</v>
      </c>
    </row>
    <row r="831" spans="1:11" x14ac:dyDescent="0.2">
      <c r="A831" t="s">
        <v>1731</v>
      </c>
      <c r="B831" t="s">
        <v>1732</v>
      </c>
      <c r="C831" s="2">
        <v>44943</v>
      </c>
      <c r="D831" s="2">
        <v>44959</v>
      </c>
      <c r="E831">
        <f t="shared" si="12"/>
        <v>16</v>
      </c>
      <c r="F831" t="s">
        <v>19</v>
      </c>
      <c r="G831">
        <v>15489</v>
      </c>
      <c r="H831">
        <v>613</v>
      </c>
      <c r="I831">
        <v>1128.9000000000001</v>
      </c>
      <c r="K831">
        <v>1</v>
      </c>
    </row>
    <row r="832" spans="1:11" x14ac:dyDescent="0.2">
      <c r="A832" t="s">
        <v>1734</v>
      </c>
      <c r="B832" t="s">
        <v>1735</v>
      </c>
      <c r="C832" s="2">
        <v>45121</v>
      </c>
      <c r="D832" s="2">
        <v>45123</v>
      </c>
      <c r="E832">
        <f t="shared" si="12"/>
        <v>2</v>
      </c>
      <c r="F832" t="s">
        <v>41</v>
      </c>
      <c r="G832">
        <v>59017</v>
      </c>
      <c r="H832">
        <v>1041</v>
      </c>
      <c r="I832">
        <v>1806.56</v>
      </c>
      <c r="J832">
        <v>155</v>
      </c>
      <c r="K832" t="s">
        <v>24</v>
      </c>
    </row>
    <row r="833" spans="1:11" x14ac:dyDescent="0.2">
      <c r="A833" t="s">
        <v>1736</v>
      </c>
      <c r="B833" t="s">
        <v>1737</v>
      </c>
      <c r="C833" s="2">
        <v>45253</v>
      </c>
      <c r="D833" s="2">
        <v>45269</v>
      </c>
      <c r="E833">
        <f t="shared" si="12"/>
        <v>16</v>
      </c>
      <c r="F833" t="s">
        <v>14</v>
      </c>
      <c r="G833">
        <v>62877</v>
      </c>
      <c r="H833">
        <v>2172</v>
      </c>
      <c r="I833">
        <v>4014.25</v>
      </c>
      <c r="J833">
        <v>269</v>
      </c>
      <c r="K833" t="s">
        <v>15</v>
      </c>
    </row>
    <row r="834" spans="1:11" x14ac:dyDescent="0.2">
      <c r="A834" t="s">
        <v>1739</v>
      </c>
      <c r="B834" t="s">
        <v>1740</v>
      </c>
      <c r="C834" s="2">
        <v>45014</v>
      </c>
      <c r="D834" s="2">
        <v>45025</v>
      </c>
      <c r="E834">
        <f t="shared" ref="E834:E897" si="13">D834-C834</f>
        <v>11</v>
      </c>
      <c r="F834" t="s">
        <v>14</v>
      </c>
      <c r="G834">
        <v>44125</v>
      </c>
      <c r="H834">
        <v>1209</v>
      </c>
      <c r="I834">
        <v>1607.57</v>
      </c>
      <c r="J834">
        <v>227</v>
      </c>
      <c r="K834" t="s">
        <v>15</v>
      </c>
    </row>
    <row r="835" spans="1:11" x14ac:dyDescent="0.2">
      <c r="A835" t="s">
        <v>1742</v>
      </c>
      <c r="B835" t="s">
        <v>1743</v>
      </c>
      <c r="C835" s="2">
        <v>45149</v>
      </c>
      <c r="D835" s="2">
        <v>45161</v>
      </c>
      <c r="E835">
        <f t="shared" si="13"/>
        <v>12</v>
      </c>
      <c r="F835" t="s">
        <v>41</v>
      </c>
      <c r="G835">
        <v>50922</v>
      </c>
      <c r="H835">
        <v>1685</v>
      </c>
      <c r="I835">
        <v>2895.48</v>
      </c>
      <c r="J835">
        <v>88</v>
      </c>
      <c r="K835">
        <v>0</v>
      </c>
    </row>
    <row r="836" spans="1:11" x14ac:dyDescent="0.2">
      <c r="A836" t="s">
        <v>1744</v>
      </c>
      <c r="B836" t="s">
        <v>1745</v>
      </c>
      <c r="C836" s="2">
        <v>44975</v>
      </c>
      <c r="D836" s="2">
        <v>44976</v>
      </c>
      <c r="E836">
        <f t="shared" si="13"/>
        <v>1</v>
      </c>
      <c r="F836" t="s">
        <v>33</v>
      </c>
      <c r="G836">
        <v>95074</v>
      </c>
      <c r="H836">
        <v>3757</v>
      </c>
      <c r="I836">
        <v>4042.77</v>
      </c>
      <c r="J836">
        <v>599</v>
      </c>
      <c r="K836" t="b">
        <v>0</v>
      </c>
    </row>
    <row r="837" spans="1:11" x14ac:dyDescent="0.2">
      <c r="A837" t="s">
        <v>1746</v>
      </c>
      <c r="B837" t="s">
        <v>1747</v>
      </c>
      <c r="C837" s="2">
        <v>45044</v>
      </c>
      <c r="D837" s="2">
        <v>45053</v>
      </c>
      <c r="E837">
        <f t="shared" si="13"/>
        <v>9</v>
      </c>
      <c r="F837" t="s">
        <v>19</v>
      </c>
      <c r="G837">
        <v>33049</v>
      </c>
      <c r="H837">
        <v>1396</v>
      </c>
      <c r="I837" s="3">
        <v>2093.16</v>
      </c>
      <c r="J837">
        <v>255</v>
      </c>
      <c r="K837" t="s">
        <v>15</v>
      </c>
    </row>
    <row r="838" spans="1:11" x14ac:dyDescent="0.2">
      <c r="A838" t="s">
        <v>1748</v>
      </c>
      <c r="B838" t="s">
        <v>1749</v>
      </c>
      <c r="C838" s="2">
        <v>45217</v>
      </c>
      <c r="D838" s="2">
        <v>45240</v>
      </c>
      <c r="E838">
        <f t="shared" si="13"/>
        <v>23</v>
      </c>
      <c r="F838" t="s">
        <v>23</v>
      </c>
      <c r="G838">
        <v>38131</v>
      </c>
      <c r="H838">
        <v>1668</v>
      </c>
      <c r="I838">
        <v>3308.07</v>
      </c>
      <c r="K838" t="s">
        <v>30</v>
      </c>
    </row>
    <row r="839" spans="1:11" x14ac:dyDescent="0.2">
      <c r="A839" t="s">
        <v>1750</v>
      </c>
      <c r="B839" t="s">
        <v>1751</v>
      </c>
      <c r="C839" s="2">
        <v>44965</v>
      </c>
      <c r="D839" s="2">
        <v>44981</v>
      </c>
      <c r="E839">
        <f t="shared" si="13"/>
        <v>16</v>
      </c>
      <c r="F839" t="s">
        <v>19</v>
      </c>
      <c r="G839">
        <v>43944</v>
      </c>
      <c r="H839">
        <v>885</v>
      </c>
      <c r="I839">
        <v>742.15</v>
      </c>
      <c r="J839">
        <v>103</v>
      </c>
      <c r="K839" t="s">
        <v>30</v>
      </c>
    </row>
    <row r="840" spans="1:11" x14ac:dyDescent="0.2">
      <c r="A840" t="s">
        <v>1752</v>
      </c>
      <c r="B840" t="s">
        <v>1753</v>
      </c>
      <c r="C840" s="2">
        <v>45115</v>
      </c>
      <c r="D840" s="2">
        <v>45205</v>
      </c>
      <c r="E840">
        <f t="shared" si="13"/>
        <v>90</v>
      </c>
      <c r="F840" t="s">
        <v>266</v>
      </c>
      <c r="G840">
        <v>74963</v>
      </c>
      <c r="H840">
        <v>842</v>
      </c>
      <c r="I840" s="3">
        <v>913.44</v>
      </c>
      <c r="J840">
        <v>67</v>
      </c>
      <c r="K840" t="b">
        <v>0</v>
      </c>
    </row>
    <row r="841" spans="1:11" x14ac:dyDescent="0.2">
      <c r="A841" t="s">
        <v>1754</v>
      </c>
      <c r="B841" t="s">
        <v>1755</v>
      </c>
      <c r="C841" s="2">
        <v>45114</v>
      </c>
      <c r="D841" s="2">
        <v>45236</v>
      </c>
      <c r="E841">
        <f t="shared" si="13"/>
        <v>122</v>
      </c>
      <c r="F841" t="s">
        <v>266</v>
      </c>
      <c r="G841">
        <v>25285</v>
      </c>
      <c r="H841">
        <v>1000</v>
      </c>
      <c r="I841">
        <v>1220.07</v>
      </c>
      <c r="K841" t="b">
        <v>1</v>
      </c>
    </row>
    <row r="842" spans="1:11" x14ac:dyDescent="0.2">
      <c r="A842" t="s">
        <v>1756</v>
      </c>
      <c r="B842" t="s">
        <v>1757</v>
      </c>
      <c r="C842" s="2">
        <v>45033</v>
      </c>
      <c r="D842" s="2">
        <v>45046</v>
      </c>
      <c r="E842">
        <f t="shared" si="13"/>
        <v>13</v>
      </c>
      <c r="F842" t="s">
        <v>14</v>
      </c>
      <c r="G842">
        <v>38626</v>
      </c>
      <c r="H842">
        <v>550</v>
      </c>
      <c r="I842">
        <v>388.86</v>
      </c>
      <c r="J842">
        <v>81</v>
      </c>
      <c r="K842" t="s">
        <v>24</v>
      </c>
    </row>
    <row r="843" spans="1:11" x14ac:dyDescent="0.2">
      <c r="A843" t="s">
        <v>1758</v>
      </c>
      <c r="B843" t="s">
        <v>1759</v>
      </c>
      <c r="C843" s="2">
        <v>45291</v>
      </c>
      <c r="D843" s="2">
        <v>45316</v>
      </c>
      <c r="E843">
        <f t="shared" si="13"/>
        <v>25</v>
      </c>
      <c r="F843" t="s">
        <v>14</v>
      </c>
      <c r="G843">
        <v>43808</v>
      </c>
      <c r="H843">
        <v>989</v>
      </c>
      <c r="I843" s="3">
        <v>614.72</v>
      </c>
      <c r="J843">
        <v>94</v>
      </c>
      <c r="K843" t="b">
        <v>1</v>
      </c>
    </row>
    <row r="844" spans="1:11" x14ac:dyDescent="0.2">
      <c r="A844" t="s">
        <v>1760</v>
      </c>
      <c r="B844" t="s">
        <v>1761</v>
      </c>
      <c r="C844" s="2">
        <v>45080</v>
      </c>
      <c r="D844" s="2">
        <v>45098</v>
      </c>
      <c r="E844">
        <f t="shared" si="13"/>
        <v>18</v>
      </c>
      <c r="F844" t="s">
        <v>23</v>
      </c>
      <c r="G844">
        <v>89464</v>
      </c>
      <c r="H844">
        <v>908</v>
      </c>
      <c r="I844">
        <v>1584.08</v>
      </c>
      <c r="J844">
        <v>108</v>
      </c>
      <c r="K844" t="s">
        <v>30</v>
      </c>
    </row>
    <row r="845" spans="1:11" x14ac:dyDescent="0.2">
      <c r="A845" t="s">
        <v>1762</v>
      </c>
      <c r="B845" t="s">
        <v>1763</v>
      </c>
      <c r="C845" s="2">
        <v>45126</v>
      </c>
      <c r="D845" s="2">
        <v>45151</v>
      </c>
      <c r="E845">
        <f t="shared" si="13"/>
        <v>25</v>
      </c>
      <c r="F845" t="s">
        <v>41</v>
      </c>
      <c r="G845">
        <v>54871</v>
      </c>
      <c r="H845">
        <v>2044</v>
      </c>
      <c r="I845">
        <v>4016.85</v>
      </c>
      <c r="K845" t="s">
        <v>15</v>
      </c>
    </row>
    <row r="846" spans="1:11" x14ac:dyDescent="0.2">
      <c r="A846" t="s">
        <v>1764</v>
      </c>
      <c r="B846" t="s">
        <v>1765</v>
      </c>
      <c r="C846" s="2">
        <v>45123</v>
      </c>
      <c r="D846" s="2">
        <v>45127</v>
      </c>
      <c r="E846">
        <f t="shared" si="13"/>
        <v>4</v>
      </c>
      <c r="F846" t="s">
        <v>23</v>
      </c>
      <c r="G846">
        <v>20198</v>
      </c>
      <c r="H846">
        <v>337</v>
      </c>
      <c r="I846">
        <v>373.09</v>
      </c>
      <c r="J846">
        <v>35</v>
      </c>
      <c r="K846" t="b">
        <v>0</v>
      </c>
    </row>
    <row r="847" spans="1:11" x14ac:dyDescent="0.2">
      <c r="A847" t="s">
        <v>1766</v>
      </c>
      <c r="B847" t="s">
        <v>1767</v>
      </c>
      <c r="C847" s="2">
        <v>45279</v>
      </c>
      <c r="D847" s="2">
        <v>45293</v>
      </c>
      <c r="E847">
        <f t="shared" si="13"/>
        <v>14</v>
      </c>
      <c r="F847" t="s">
        <v>14</v>
      </c>
      <c r="G847">
        <v>20758</v>
      </c>
      <c r="H847">
        <v>751</v>
      </c>
      <c r="I847">
        <v>474.24</v>
      </c>
      <c r="J847">
        <v>55</v>
      </c>
      <c r="K847" t="b">
        <v>1</v>
      </c>
    </row>
    <row r="848" spans="1:11" x14ac:dyDescent="0.2">
      <c r="A848" t="s">
        <v>1768</v>
      </c>
      <c r="B848" t="s">
        <v>1769</v>
      </c>
      <c r="C848" s="2">
        <v>45104</v>
      </c>
      <c r="D848" s="2">
        <v>45127</v>
      </c>
      <c r="E848">
        <f t="shared" si="13"/>
        <v>23</v>
      </c>
      <c r="F848" t="s">
        <v>19</v>
      </c>
      <c r="G848">
        <v>16254</v>
      </c>
      <c r="H848">
        <v>807</v>
      </c>
      <c r="I848">
        <v>483.17</v>
      </c>
      <c r="J848">
        <v>147</v>
      </c>
      <c r="K848" t="b">
        <v>1</v>
      </c>
    </row>
    <row r="849" spans="1:11" x14ac:dyDescent="0.2">
      <c r="A849" t="s">
        <v>1771</v>
      </c>
      <c r="B849" t="s">
        <v>1772</v>
      </c>
      <c r="C849" s="2">
        <v>45150</v>
      </c>
      <c r="D849" s="2">
        <v>45287</v>
      </c>
      <c r="E849">
        <f t="shared" si="13"/>
        <v>137</v>
      </c>
      <c r="F849" t="s">
        <v>19</v>
      </c>
      <c r="G849">
        <v>45238</v>
      </c>
      <c r="H849">
        <v>583</v>
      </c>
      <c r="I849">
        <v>1070.96</v>
      </c>
      <c r="J849">
        <v>30</v>
      </c>
      <c r="K849" t="s">
        <v>24</v>
      </c>
    </row>
    <row r="850" spans="1:11" x14ac:dyDescent="0.2">
      <c r="A850" t="s">
        <v>1773</v>
      </c>
      <c r="B850" t="s">
        <v>1774</v>
      </c>
      <c r="C850" s="2">
        <v>45236</v>
      </c>
      <c r="D850" s="2">
        <v>45256</v>
      </c>
      <c r="E850">
        <f t="shared" si="13"/>
        <v>20</v>
      </c>
      <c r="F850" t="s">
        <v>19</v>
      </c>
      <c r="G850">
        <v>2252</v>
      </c>
      <c r="H850">
        <v>29</v>
      </c>
      <c r="I850">
        <v>34.68</v>
      </c>
      <c r="J850">
        <v>5</v>
      </c>
      <c r="K850">
        <v>1</v>
      </c>
    </row>
    <row r="851" spans="1:11" x14ac:dyDescent="0.2">
      <c r="A851" t="s">
        <v>1775</v>
      </c>
      <c r="B851" t="s">
        <v>1776</v>
      </c>
      <c r="C851" s="2">
        <v>45130</v>
      </c>
      <c r="D851" s="2">
        <v>45159</v>
      </c>
      <c r="E851">
        <f t="shared" si="13"/>
        <v>29</v>
      </c>
      <c r="F851" t="s">
        <v>33</v>
      </c>
      <c r="G851">
        <v>40764</v>
      </c>
      <c r="H851">
        <v>962</v>
      </c>
      <c r="I851">
        <v>942.8</v>
      </c>
      <c r="J851">
        <v>130</v>
      </c>
      <c r="K851" t="s">
        <v>30</v>
      </c>
    </row>
    <row r="852" spans="1:11" x14ac:dyDescent="0.2">
      <c r="A852" t="s">
        <v>1777</v>
      </c>
      <c r="B852" t="s">
        <v>1778</v>
      </c>
      <c r="C852" s="2">
        <v>45251</v>
      </c>
      <c r="D852" s="2">
        <v>45263</v>
      </c>
      <c r="E852">
        <f t="shared" si="13"/>
        <v>12</v>
      </c>
      <c r="F852" t="s">
        <v>33</v>
      </c>
      <c r="G852">
        <v>78709</v>
      </c>
      <c r="H852">
        <v>3514</v>
      </c>
      <c r="I852">
        <v>4268.43</v>
      </c>
      <c r="K852" t="s">
        <v>15</v>
      </c>
    </row>
    <row r="853" spans="1:11" x14ac:dyDescent="0.2">
      <c r="A853" t="s">
        <v>1779</v>
      </c>
      <c r="B853" t="s">
        <v>1780</v>
      </c>
      <c r="C853" s="2">
        <v>45178</v>
      </c>
      <c r="D853" s="2">
        <v>45200</v>
      </c>
      <c r="E853">
        <f t="shared" si="13"/>
        <v>22</v>
      </c>
      <c r="F853" t="s">
        <v>33</v>
      </c>
      <c r="G853">
        <v>38441</v>
      </c>
      <c r="H853">
        <v>715</v>
      </c>
      <c r="I853" s="3">
        <v>698.88</v>
      </c>
      <c r="J853">
        <v>113</v>
      </c>
      <c r="K853" t="b">
        <v>0</v>
      </c>
    </row>
    <row r="854" spans="1:11" x14ac:dyDescent="0.2">
      <c r="A854" t="s">
        <v>1781</v>
      </c>
      <c r="B854" t="s">
        <v>1782</v>
      </c>
      <c r="C854" s="2">
        <v>45119</v>
      </c>
      <c r="D854" s="2">
        <v>45135</v>
      </c>
      <c r="E854">
        <f t="shared" si="13"/>
        <v>16</v>
      </c>
      <c r="F854" t="s">
        <v>14</v>
      </c>
      <c r="G854">
        <v>93234</v>
      </c>
      <c r="H854">
        <v>2276</v>
      </c>
      <c r="I854">
        <v>2807.57</v>
      </c>
      <c r="J854">
        <v>287</v>
      </c>
      <c r="K854" t="b">
        <v>1</v>
      </c>
    </row>
    <row r="855" spans="1:11" x14ac:dyDescent="0.2">
      <c r="A855" t="s">
        <v>1783</v>
      </c>
      <c r="B855" t="s">
        <v>1784</v>
      </c>
      <c r="C855" s="2">
        <v>45265</v>
      </c>
      <c r="D855" s="2">
        <v>45266</v>
      </c>
      <c r="E855">
        <f t="shared" si="13"/>
        <v>1</v>
      </c>
      <c r="F855" t="s">
        <v>23</v>
      </c>
      <c r="G855">
        <v>54682</v>
      </c>
      <c r="H855">
        <v>696</v>
      </c>
      <c r="I855" s="3">
        <v>1245.3800000000001</v>
      </c>
      <c r="J855">
        <v>86</v>
      </c>
      <c r="K855" t="s">
        <v>24</v>
      </c>
    </row>
    <row r="856" spans="1:11" x14ac:dyDescent="0.2">
      <c r="A856" t="s">
        <v>1785</v>
      </c>
      <c r="B856" t="s">
        <v>1786</v>
      </c>
      <c r="C856" s="2">
        <v>45078</v>
      </c>
      <c r="D856" s="2">
        <v>45091</v>
      </c>
      <c r="E856">
        <f t="shared" si="13"/>
        <v>13</v>
      </c>
      <c r="F856" t="s">
        <v>41</v>
      </c>
      <c r="G856">
        <v>60494</v>
      </c>
      <c r="H856">
        <v>2451</v>
      </c>
      <c r="I856">
        <v>3403.1</v>
      </c>
      <c r="J856">
        <v>163</v>
      </c>
      <c r="K856">
        <v>1</v>
      </c>
    </row>
    <row r="857" spans="1:11" x14ac:dyDescent="0.2">
      <c r="A857" t="s">
        <v>1787</v>
      </c>
      <c r="B857" t="s">
        <v>1788</v>
      </c>
      <c r="C857" s="2">
        <v>44969</v>
      </c>
      <c r="D857" s="2">
        <v>44971</v>
      </c>
      <c r="E857">
        <f t="shared" si="13"/>
        <v>2</v>
      </c>
      <c r="F857" t="s">
        <v>33</v>
      </c>
      <c r="G857">
        <v>82317</v>
      </c>
      <c r="H857">
        <v>2167</v>
      </c>
      <c r="I857">
        <v>3341.47</v>
      </c>
      <c r="J857">
        <v>234</v>
      </c>
      <c r="K857" t="s">
        <v>30</v>
      </c>
    </row>
    <row r="858" spans="1:11" x14ac:dyDescent="0.2">
      <c r="A858" t="s">
        <v>1789</v>
      </c>
      <c r="B858" t="s">
        <v>1790</v>
      </c>
      <c r="C858" s="2">
        <v>45251</v>
      </c>
      <c r="D858" s="2">
        <v>45267</v>
      </c>
      <c r="E858">
        <f t="shared" si="13"/>
        <v>16</v>
      </c>
      <c r="F858" t="s">
        <v>19</v>
      </c>
      <c r="G858">
        <v>66215</v>
      </c>
      <c r="H858">
        <v>2673</v>
      </c>
      <c r="I858" s="3">
        <v>2798.65</v>
      </c>
      <c r="J858">
        <v>230</v>
      </c>
      <c r="K858" t="s">
        <v>30</v>
      </c>
    </row>
    <row r="859" spans="1:11" x14ac:dyDescent="0.2">
      <c r="A859" t="s">
        <v>1791</v>
      </c>
      <c r="B859" t="s">
        <v>1792</v>
      </c>
      <c r="C859" s="2">
        <v>45048</v>
      </c>
      <c r="D859" s="2">
        <v>45111</v>
      </c>
      <c r="E859">
        <f t="shared" si="13"/>
        <v>63</v>
      </c>
      <c r="F859" t="s">
        <v>33</v>
      </c>
      <c r="G859">
        <v>79587</v>
      </c>
      <c r="H859">
        <v>3672</v>
      </c>
      <c r="I859">
        <v>5903.69</v>
      </c>
      <c r="J859">
        <v>192</v>
      </c>
      <c r="K859" t="s">
        <v>24</v>
      </c>
    </row>
    <row r="860" spans="1:11" x14ac:dyDescent="0.2">
      <c r="A860" t="s">
        <v>1793</v>
      </c>
      <c r="B860" t="s">
        <v>1794</v>
      </c>
      <c r="C860" s="2">
        <v>45084</v>
      </c>
      <c r="D860" s="2">
        <v>45113</v>
      </c>
      <c r="E860">
        <f t="shared" si="13"/>
        <v>29</v>
      </c>
      <c r="F860" t="s">
        <v>14</v>
      </c>
      <c r="G860">
        <v>7949</v>
      </c>
      <c r="H860">
        <v>153</v>
      </c>
      <c r="I860">
        <v>229.49</v>
      </c>
      <c r="J860">
        <v>15</v>
      </c>
      <c r="K860" t="b">
        <v>0</v>
      </c>
    </row>
    <row r="861" spans="1:11" x14ac:dyDescent="0.2">
      <c r="A861" t="s">
        <v>1795</v>
      </c>
      <c r="B861" t="s">
        <v>1796</v>
      </c>
      <c r="C861" s="2">
        <v>44979</v>
      </c>
      <c r="D861" s="2">
        <v>44982</v>
      </c>
      <c r="E861">
        <f t="shared" si="13"/>
        <v>3</v>
      </c>
      <c r="F861" t="s">
        <v>234</v>
      </c>
      <c r="G861">
        <v>56393</v>
      </c>
      <c r="H861">
        <v>2385</v>
      </c>
      <c r="I861">
        <v>1620.23</v>
      </c>
      <c r="J861">
        <v>151</v>
      </c>
      <c r="K861" t="b">
        <v>1</v>
      </c>
    </row>
    <row r="862" spans="1:11" x14ac:dyDescent="0.2">
      <c r="A862" t="s">
        <v>1797</v>
      </c>
      <c r="B862" t="s">
        <v>1798</v>
      </c>
      <c r="C862" s="2">
        <v>45156</v>
      </c>
      <c r="D862" s="2">
        <v>45172</v>
      </c>
      <c r="E862">
        <f t="shared" si="13"/>
        <v>16</v>
      </c>
      <c r="F862" t="s">
        <v>14</v>
      </c>
      <c r="G862">
        <v>74553</v>
      </c>
      <c r="H862">
        <v>921</v>
      </c>
      <c r="I862">
        <v>1251.6099999999999</v>
      </c>
      <c r="J862">
        <v>81</v>
      </c>
      <c r="K862" t="b">
        <v>0</v>
      </c>
    </row>
    <row r="863" spans="1:11" x14ac:dyDescent="0.2">
      <c r="A863" t="s">
        <v>1799</v>
      </c>
      <c r="B863" t="s">
        <v>1800</v>
      </c>
      <c r="C863" s="2">
        <v>44974</v>
      </c>
      <c r="D863" s="2">
        <v>44979</v>
      </c>
      <c r="E863">
        <f t="shared" si="13"/>
        <v>5</v>
      </c>
      <c r="F863" t="s">
        <v>33</v>
      </c>
      <c r="G863">
        <v>7941</v>
      </c>
      <c r="H863">
        <v>364</v>
      </c>
      <c r="I863">
        <v>322.18</v>
      </c>
      <c r="J863">
        <v>23</v>
      </c>
      <c r="K863" t="s">
        <v>24</v>
      </c>
    </row>
    <row r="864" spans="1:11" x14ac:dyDescent="0.2">
      <c r="A864" t="s">
        <v>1801</v>
      </c>
      <c r="B864" t="s">
        <v>1802</v>
      </c>
      <c r="C864" s="2">
        <v>45108</v>
      </c>
      <c r="D864" s="2">
        <v>45126</v>
      </c>
      <c r="E864">
        <f t="shared" si="13"/>
        <v>18</v>
      </c>
      <c r="F864" t="s">
        <v>14</v>
      </c>
      <c r="G864">
        <v>26934</v>
      </c>
      <c r="H864">
        <v>970</v>
      </c>
      <c r="I864" s="3">
        <v>1654.96</v>
      </c>
      <c r="J864">
        <v>63</v>
      </c>
      <c r="K864" t="s">
        <v>24</v>
      </c>
    </row>
    <row r="865" spans="1:11" x14ac:dyDescent="0.2">
      <c r="A865" t="s">
        <v>1803</v>
      </c>
      <c r="B865" t="s">
        <v>1804</v>
      </c>
      <c r="C865" s="2">
        <v>45093</v>
      </c>
      <c r="D865" s="2">
        <v>45096</v>
      </c>
      <c r="E865">
        <f t="shared" si="13"/>
        <v>3</v>
      </c>
      <c r="F865" t="s">
        <v>19</v>
      </c>
      <c r="G865">
        <v>24386</v>
      </c>
      <c r="H865">
        <v>1096</v>
      </c>
      <c r="I865">
        <v>1248.24</v>
      </c>
      <c r="J865">
        <v>87</v>
      </c>
      <c r="K865" t="b">
        <v>0</v>
      </c>
    </row>
    <row r="866" spans="1:11" x14ac:dyDescent="0.2">
      <c r="A866" t="s">
        <v>1805</v>
      </c>
      <c r="B866" t="s">
        <v>1806</v>
      </c>
      <c r="C866" s="2">
        <v>45138</v>
      </c>
      <c r="D866" s="2">
        <v>45141</v>
      </c>
      <c r="E866">
        <f t="shared" si="13"/>
        <v>3</v>
      </c>
      <c r="F866" t="s">
        <v>14</v>
      </c>
      <c r="G866">
        <v>62886</v>
      </c>
      <c r="H866">
        <v>629</v>
      </c>
      <c r="I866">
        <v>1252.98</v>
      </c>
      <c r="J866">
        <v>125</v>
      </c>
      <c r="K866">
        <v>0</v>
      </c>
    </row>
    <row r="867" spans="1:11" x14ac:dyDescent="0.2">
      <c r="A867" t="s">
        <v>1807</v>
      </c>
      <c r="B867" t="s">
        <v>1808</v>
      </c>
      <c r="C867" s="2">
        <v>45208</v>
      </c>
      <c r="D867" s="2">
        <v>45213</v>
      </c>
      <c r="E867">
        <f t="shared" si="13"/>
        <v>5</v>
      </c>
      <c r="F867" t="s">
        <v>14</v>
      </c>
      <c r="G867">
        <v>76745</v>
      </c>
      <c r="H867">
        <v>1286</v>
      </c>
      <c r="I867">
        <v>821.43</v>
      </c>
      <c r="J867">
        <v>64</v>
      </c>
      <c r="K867">
        <v>1</v>
      </c>
    </row>
    <row r="868" spans="1:11" x14ac:dyDescent="0.2">
      <c r="A868" t="s">
        <v>1809</v>
      </c>
      <c r="B868" t="s">
        <v>1810</v>
      </c>
      <c r="C868" s="2">
        <v>45219</v>
      </c>
      <c r="D868" s="2">
        <v>45243</v>
      </c>
      <c r="E868">
        <f t="shared" si="13"/>
        <v>24</v>
      </c>
      <c r="F868" t="s">
        <v>23</v>
      </c>
      <c r="G868">
        <v>84251</v>
      </c>
      <c r="H868">
        <v>2156</v>
      </c>
      <c r="I868">
        <v>3601.64</v>
      </c>
      <c r="J868">
        <v>314</v>
      </c>
      <c r="K868" t="s">
        <v>30</v>
      </c>
    </row>
    <row r="869" spans="1:11" x14ac:dyDescent="0.2">
      <c r="A869" t="s">
        <v>1811</v>
      </c>
      <c r="B869" t="s">
        <v>1812</v>
      </c>
      <c r="C869" s="2">
        <v>45013</v>
      </c>
      <c r="D869" s="2">
        <v>45040</v>
      </c>
      <c r="E869">
        <f t="shared" si="13"/>
        <v>27</v>
      </c>
      <c r="F869" t="s">
        <v>191</v>
      </c>
      <c r="G869">
        <v>95456</v>
      </c>
      <c r="H869">
        <v>2403</v>
      </c>
      <c r="I869">
        <v>3629.86</v>
      </c>
      <c r="J869">
        <v>171</v>
      </c>
      <c r="K869">
        <v>0</v>
      </c>
    </row>
    <row r="870" spans="1:11" x14ac:dyDescent="0.2">
      <c r="A870" t="s">
        <v>1813</v>
      </c>
      <c r="B870" t="s">
        <v>1814</v>
      </c>
      <c r="C870" s="2">
        <v>45179</v>
      </c>
      <c r="D870" s="2">
        <v>45202</v>
      </c>
      <c r="E870">
        <f t="shared" si="13"/>
        <v>23</v>
      </c>
      <c r="F870" t="s">
        <v>14</v>
      </c>
      <c r="G870">
        <v>54413</v>
      </c>
      <c r="H870">
        <v>1037</v>
      </c>
      <c r="I870">
        <v>1712.34</v>
      </c>
      <c r="J870">
        <v>195</v>
      </c>
      <c r="K870" t="s">
        <v>15</v>
      </c>
    </row>
    <row r="871" spans="1:11" x14ac:dyDescent="0.2">
      <c r="A871" t="s">
        <v>1815</v>
      </c>
      <c r="B871" t="s">
        <v>1816</v>
      </c>
      <c r="C871" s="2">
        <v>45068</v>
      </c>
      <c r="D871" s="2">
        <v>45089</v>
      </c>
      <c r="E871">
        <f t="shared" si="13"/>
        <v>21</v>
      </c>
      <c r="F871" t="s">
        <v>23</v>
      </c>
      <c r="G871">
        <v>57800</v>
      </c>
      <c r="H871">
        <v>1460</v>
      </c>
      <c r="I871">
        <v>1403.49</v>
      </c>
      <c r="J871">
        <v>93</v>
      </c>
      <c r="K871" t="s">
        <v>30</v>
      </c>
    </row>
    <row r="872" spans="1:11" x14ac:dyDescent="0.2">
      <c r="A872" t="s">
        <v>1817</v>
      </c>
      <c r="B872" t="s">
        <v>1818</v>
      </c>
      <c r="C872" s="2">
        <v>44966</v>
      </c>
      <c r="D872" s="2">
        <v>44996</v>
      </c>
      <c r="E872">
        <f t="shared" si="13"/>
        <v>30</v>
      </c>
      <c r="F872" t="s">
        <v>14</v>
      </c>
      <c r="G872">
        <v>98239</v>
      </c>
      <c r="H872">
        <v>1488</v>
      </c>
      <c r="I872">
        <v>1842.27</v>
      </c>
      <c r="J872">
        <v>287</v>
      </c>
      <c r="K872" t="s">
        <v>30</v>
      </c>
    </row>
    <row r="873" spans="1:11" x14ac:dyDescent="0.2">
      <c r="A873" t="s">
        <v>1819</v>
      </c>
      <c r="B873" t="s">
        <v>1820</v>
      </c>
      <c r="C873" s="2">
        <v>45247</v>
      </c>
      <c r="D873" s="2">
        <v>45251</v>
      </c>
      <c r="E873">
        <f t="shared" si="13"/>
        <v>4</v>
      </c>
      <c r="F873" t="s">
        <v>19</v>
      </c>
      <c r="G873">
        <v>43318</v>
      </c>
      <c r="H873">
        <v>1148</v>
      </c>
      <c r="I873">
        <v>1945.59</v>
      </c>
      <c r="J873">
        <v>162</v>
      </c>
      <c r="K873">
        <v>1</v>
      </c>
    </row>
    <row r="874" spans="1:11" x14ac:dyDescent="0.2">
      <c r="A874" t="s">
        <v>1821</v>
      </c>
      <c r="B874" t="s">
        <v>1822</v>
      </c>
      <c r="C874" s="2">
        <v>45161</v>
      </c>
      <c r="D874" s="2">
        <v>45176</v>
      </c>
      <c r="E874">
        <f t="shared" si="13"/>
        <v>15</v>
      </c>
      <c r="F874" t="s">
        <v>14</v>
      </c>
      <c r="G874">
        <v>71173</v>
      </c>
      <c r="H874">
        <v>2995</v>
      </c>
      <c r="I874">
        <v>2542.19</v>
      </c>
      <c r="J874">
        <v>150</v>
      </c>
      <c r="K874" t="s">
        <v>15</v>
      </c>
    </row>
    <row r="875" spans="1:11" x14ac:dyDescent="0.2">
      <c r="A875" t="s">
        <v>1823</v>
      </c>
      <c r="B875" t="s">
        <v>1824</v>
      </c>
      <c r="C875" s="2">
        <v>45129</v>
      </c>
      <c r="D875" s="2">
        <v>45142</v>
      </c>
      <c r="E875">
        <f t="shared" si="13"/>
        <v>13</v>
      </c>
      <c r="F875" t="s">
        <v>23</v>
      </c>
      <c r="G875">
        <v>71390</v>
      </c>
      <c r="H875">
        <v>2081</v>
      </c>
      <c r="I875">
        <v>1746.06</v>
      </c>
      <c r="J875">
        <v>383</v>
      </c>
      <c r="K875" t="b">
        <v>1</v>
      </c>
    </row>
    <row r="876" spans="1:11" x14ac:dyDescent="0.2">
      <c r="A876" t="s">
        <v>1825</v>
      </c>
      <c r="B876" t="s">
        <v>1826</v>
      </c>
      <c r="C876" s="2">
        <v>45095</v>
      </c>
      <c r="D876" s="2">
        <v>45119</v>
      </c>
      <c r="E876">
        <f t="shared" si="13"/>
        <v>24</v>
      </c>
      <c r="F876" t="s">
        <v>14</v>
      </c>
      <c r="G876">
        <v>53329</v>
      </c>
      <c r="H876">
        <v>571</v>
      </c>
      <c r="I876">
        <v>757.48</v>
      </c>
      <c r="J876">
        <v>73</v>
      </c>
      <c r="K876" t="s">
        <v>15</v>
      </c>
    </row>
    <row r="877" spans="1:11" x14ac:dyDescent="0.2">
      <c r="A877" t="s">
        <v>1827</v>
      </c>
      <c r="B877" t="s">
        <v>1828</v>
      </c>
      <c r="C877" s="2">
        <v>45260</v>
      </c>
      <c r="D877" s="2">
        <v>45271</v>
      </c>
      <c r="E877">
        <f t="shared" si="13"/>
        <v>11</v>
      </c>
      <c r="F877" t="s">
        <v>19</v>
      </c>
      <c r="G877">
        <v>44088</v>
      </c>
      <c r="H877">
        <v>1184</v>
      </c>
      <c r="I877">
        <v>1521.85</v>
      </c>
      <c r="J877">
        <v>105</v>
      </c>
      <c r="K877" t="b">
        <v>1</v>
      </c>
    </row>
    <row r="878" spans="1:11" x14ac:dyDescent="0.2">
      <c r="A878" t="s">
        <v>1829</v>
      </c>
      <c r="B878" t="s">
        <v>1830</v>
      </c>
      <c r="C878" s="2">
        <v>45091</v>
      </c>
      <c r="D878" s="2">
        <v>45099</v>
      </c>
      <c r="E878">
        <f t="shared" si="13"/>
        <v>8</v>
      </c>
      <c r="F878" t="s">
        <v>41</v>
      </c>
      <c r="G878">
        <v>40811</v>
      </c>
      <c r="H878">
        <v>452</v>
      </c>
      <c r="I878">
        <v>417.37</v>
      </c>
      <c r="J878">
        <v>74</v>
      </c>
      <c r="K878" t="s">
        <v>15</v>
      </c>
    </row>
    <row r="879" spans="1:11" x14ac:dyDescent="0.2">
      <c r="A879" t="s">
        <v>1831</v>
      </c>
      <c r="B879" t="s">
        <v>1832</v>
      </c>
      <c r="C879" s="2">
        <v>45172</v>
      </c>
      <c r="D879" s="2">
        <v>45192</v>
      </c>
      <c r="E879">
        <f t="shared" si="13"/>
        <v>20</v>
      </c>
      <c r="F879" t="s">
        <v>234</v>
      </c>
      <c r="G879">
        <v>56479</v>
      </c>
      <c r="H879">
        <v>2747</v>
      </c>
      <c r="I879">
        <v>2601.7199999999998</v>
      </c>
      <c r="J879">
        <v>519</v>
      </c>
      <c r="K879" t="b">
        <v>0</v>
      </c>
    </row>
    <row r="880" spans="1:11" x14ac:dyDescent="0.2">
      <c r="A880" t="s">
        <v>1833</v>
      </c>
      <c r="B880" t="s">
        <v>1834</v>
      </c>
      <c r="C880" s="2">
        <v>45090</v>
      </c>
      <c r="D880" s="2">
        <v>45106</v>
      </c>
      <c r="E880">
        <f t="shared" si="13"/>
        <v>16</v>
      </c>
      <c r="F880" t="s">
        <v>41</v>
      </c>
      <c r="G880">
        <v>86392</v>
      </c>
      <c r="H880">
        <v>1304</v>
      </c>
      <c r="I880">
        <v>1195.47</v>
      </c>
      <c r="J880">
        <v>159</v>
      </c>
      <c r="K880" t="s">
        <v>24</v>
      </c>
    </row>
    <row r="881" spans="1:11" x14ac:dyDescent="0.2">
      <c r="A881" t="s">
        <v>1835</v>
      </c>
      <c r="B881" t="s">
        <v>1836</v>
      </c>
      <c r="C881" s="2">
        <v>45178</v>
      </c>
      <c r="D881" s="2">
        <v>45180</v>
      </c>
      <c r="E881">
        <f t="shared" si="13"/>
        <v>2</v>
      </c>
      <c r="F881" t="s">
        <v>14</v>
      </c>
      <c r="G881">
        <v>88369</v>
      </c>
      <c r="H881">
        <v>3385</v>
      </c>
      <c r="I881">
        <v>5609.85</v>
      </c>
      <c r="J881">
        <v>329</v>
      </c>
      <c r="K881" t="s">
        <v>15</v>
      </c>
    </row>
    <row r="882" spans="1:11" x14ac:dyDescent="0.2">
      <c r="A882" t="s">
        <v>1837</v>
      </c>
      <c r="B882" t="s">
        <v>1838</v>
      </c>
      <c r="C882" s="2">
        <v>45093</v>
      </c>
      <c r="D882" s="2">
        <v>45104</v>
      </c>
      <c r="E882">
        <f t="shared" si="13"/>
        <v>11</v>
      </c>
      <c r="F882" t="s">
        <v>33</v>
      </c>
      <c r="G882">
        <v>20963</v>
      </c>
      <c r="H882">
        <v>1025</v>
      </c>
      <c r="I882">
        <v>1514.8</v>
      </c>
      <c r="J882">
        <v>172</v>
      </c>
      <c r="K882">
        <v>0</v>
      </c>
    </row>
    <row r="883" spans="1:11" x14ac:dyDescent="0.2">
      <c r="A883" t="s">
        <v>1839</v>
      </c>
      <c r="B883" t="s">
        <v>1840</v>
      </c>
      <c r="C883" s="2">
        <v>45128</v>
      </c>
      <c r="D883" s="2">
        <v>45138</v>
      </c>
      <c r="E883">
        <f t="shared" si="13"/>
        <v>10</v>
      </c>
      <c r="F883" t="s">
        <v>23</v>
      </c>
      <c r="G883">
        <v>56123</v>
      </c>
      <c r="H883">
        <v>2415</v>
      </c>
      <c r="I883" s="3">
        <v>4222.93</v>
      </c>
      <c r="J883">
        <v>367</v>
      </c>
      <c r="K883">
        <v>0</v>
      </c>
    </row>
    <row r="884" spans="1:11" x14ac:dyDescent="0.2">
      <c r="A884" t="s">
        <v>1841</v>
      </c>
      <c r="B884" t="s">
        <v>1842</v>
      </c>
      <c r="C884" s="2">
        <v>45029</v>
      </c>
      <c r="D884" s="2">
        <v>45047</v>
      </c>
      <c r="E884">
        <f t="shared" si="13"/>
        <v>18</v>
      </c>
      <c r="F884" t="s">
        <v>41</v>
      </c>
      <c r="G884">
        <v>93705</v>
      </c>
      <c r="H884">
        <v>3558</v>
      </c>
      <c r="I884" s="3">
        <v>6985.1</v>
      </c>
      <c r="J884">
        <v>652</v>
      </c>
      <c r="K884">
        <v>1</v>
      </c>
    </row>
    <row r="885" spans="1:11" x14ac:dyDescent="0.2">
      <c r="A885" t="s">
        <v>1843</v>
      </c>
      <c r="B885" t="s">
        <v>1844</v>
      </c>
      <c r="C885" s="2">
        <v>45276</v>
      </c>
      <c r="D885" s="2">
        <v>45301</v>
      </c>
      <c r="E885">
        <f t="shared" si="13"/>
        <v>25</v>
      </c>
      <c r="F885" t="s">
        <v>14</v>
      </c>
      <c r="G885">
        <v>74477</v>
      </c>
      <c r="H885">
        <v>3245</v>
      </c>
      <c r="I885">
        <v>3930.49</v>
      </c>
      <c r="J885">
        <v>499</v>
      </c>
      <c r="K885" t="s">
        <v>24</v>
      </c>
    </row>
    <row r="886" spans="1:11" x14ac:dyDescent="0.2">
      <c r="A886" t="s">
        <v>1845</v>
      </c>
      <c r="B886" t="s">
        <v>1846</v>
      </c>
      <c r="C886" s="2">
        <v>45163</v>
      </c>
      <c r="D886" s="2">
        <v>45186</v>
      </c>
      <c r="E886">
        <f t="shared" si="13"/>
        <v>23</v>
      </c>
      <c r="F886" t="s">
        <v>41</v>
      </c>
      <c r="G886">
        <v>15388</v>
      </c>
      <c r="H886">
        <v>758</v>
      </c>
      <c r="I886">
        <v>454.83</v>
      </c>
      <c r="J886">
        <v>65</v>
      </c>
      <c r="K886" t="s">
        <v>24</v>
      </c>
    </row>
    <row r="887" spans="1:11" x14ac:dyDescent="0.2">
      <c r="A887" t="s">
        <v>1847</v>
      </c>
      <c r="B887" t="s">
        <v>1848</v>
      </c>
      <c r="C887" s="2">
        <v>45076</v>
      </c>
      <c r="D887" s="2">
        <v>45104</v>
      </c>
      <c r="E887">
        <f t="shared" si="13"/>
        <v>28</v>
      </c>
      <c r="F887" t="s">
        <v>14</v>
      </c>
      <c r="G887">
        <v>6569</v>
      </c>
      <c r="H887">
        <v>228</v>
      </c>
      <c r="I887">
        <v>130.44999999999999</v>
      </c>
      <c r="J887">
        <v>43</v>
      </c>
      <c r="K887" t="b">
        <v>1</v>
      </c>
    </row>
    <row r="888" spans="1:11" x14ac:dyDescent="0.2">
      <c r="A888" t="s">
        <v>1849</v>
      </c>
      <c r="B888" t="s">
        <v>1850</v>
      </c>
      <c r="C888" s="2">
        <v>45136</v>
      </c>
      <c r="D888" s="2">
        <v>45151</v>
      </c>
      <c r="E888">
        <f t="shared" si="13"/>
        <v>15</v>
      </c>
      <c r="F888" t="s">
        <v>41</v>
      </c>
      <c r="G888">
        <v>70836</v>
      </c>
      <c r="H888">
        <v>2292</v>
      </c>
      <c r="I888">
        <v>-2162.5</v>
      </c>
      <c r="J888">
        <v>150</v>
      </c>
      <c r="K888" t="s">
        <v>30</v>
      </c>
    </row>
    <row r="889" spans="1:11" x14ac:dyDescent="0.2">
      <c r="A889" t="s">
        <v>1851</v>
      </c>
      <c r="B889" t="s">
        <v>1852</v>
      </c>
      <c r="C889" s="2">
        <v>45082</v>
      </c>
      <c r="D889" s="2">
        <v>45089</v>
      </c>
      <c r="E889">
        <f t="shared" si="13"/>
        <v>7</v>
      </c>
      <c r="F889" t="s">
        <v>33</v>
      </c>
      <c r="G889">
        <v>37586</v>
      </c>
      <c r="H889">
        <v>1320</v>
      </c>
      <c r="I889">
        <v>2506.44</v>
      </c>
      <c r="J889">
        <v>119</v>
      </c>
      <c r="K889">
        <v>1</v>
      </c>
    </row>
    <row r="890" spans="1:11" x14ac:dyDescent="0.2">
      <c r="A890" t="s">
        <v>1853</v>
      </c>
      <c r="B890" t="s">
        <v>1854</v>
      </c>
      <c r="C890" s="2">
        <v>45074</v>
      </c>
      <c r="D890" s="2">
        <v>45143</v>
      </c>
      <c r="E890">
        <f t="shared" si="13"/>
        <v>69</v>
      </c>
      <c r="F890" t="s">
        <v>41</v>
      </c>
      <c r="G890">
        <v>13015</v>
      </c>
      <c r="H890">
        <v>407</v>
      </c>
      <c r="I890">
        <v>522.91999999999996</v>
      </c>
      <c r="J890">
        <v>52</v>
      </c>
      <c r="K890">
        <v>0</v>
      </c>
    </row>
    <row r="891" spans="1:11" x14ac:dyDescent="0.2">
      <c r="A891" t="s">
        <v>1855</v>
      </c>
      <c r="B891" t="s">
        <v>1856</v>
      </c>
      <c r="C891" s="2">
        <v>45233</v>
      </c>
      <c r="D891" s="2">
        <v>45247</v>
      </c>
      <c r="E891">
        <f t="shared" si="13"/>
        <v>14</v>
      </c>
      <c r="F891" t="s">
        <v>19</v>
      </c>
      <c r="G891">
        <v>46002</v>
      </c>
      <c r="H891">
        <v>1628</v>
      </c>
      <c r="I891" s="3">
        <v>1477.7</v>
      </c>
      <c r="J891">
        <v>219</v>
      </c>
      <c r="K891">
        <v>0</v>
      </c>
    </row>
    <row r="892" spans="1:11" x14ac:dyDescent="0.2">
      <c r="A892" t="s">
        <v>1857</v>
      </c>
      <c r="B892" t="s">
        <v>1858</v>
      </c>
      <c r="C892" s="2">
        <v>45186</v>
      </c>
      <c r="D892" s="2">
        <v>45190</v>
      </c>
      <c r="E892">
        <f t="shared" si="13"/>
        <v>4</v>
      </c>
      <c r="F892" t="s">
        <v>33</v>
      </c>
      <c r="G892">
        <v>7254</v>
      </c>
      <c r="H892">
        <v>203</v>
      </c>
      <c r="I892">
        <v>223.05</v>
      </c>
      <c r="J892">
        <v>10</v>
      </c>
      <c r="K892" t="b">
        <v>1</v>
      </c>
    </row>
    <row r="893" spans="1:11" x14ac:dyDescent="0.2">
      <c r="A893" t="s">
        <v>1859</v>
      </c>
      <c r="B893" t="s">
        <v>1860</v>
      </c>
      <c r="C893" s="2">
        <v>45141</v>
      </c>
      <c r="D893" s="2">
        <v>45142</v>
      </c>
      <c r="E893">
        <f t="shared" si="13"/>
        <v>1</v>
      </c>
      <c r="F893" t="s">
        <v>33</v>
      </c>
      <c r="G893">
        <v>18144</v>
      </c>
      <c r="H893">
        <v>339</v>
      </c>
      <c r="I893">
        <v>473.89</v>
      </c>
      <c r="J893">
        <v>56</v>
      </c>
      <c r="K893">
        <v>0</v>
      </c>
    </row>
    <row r="894" spans="1:11" x14ac:dyDescent="0.2">
      <c r="A894" t="s">
        <v>1861</v>
      </c>
      <c r="B894" t="s">
        <v>1862</v>
      </c>
      <c r="C894" s="2">
        <v>45111</v>
      </c>
      <c r="D894" s="2">
        <v>45133</v>
      </c>
      <c r="E894">
        <f t="shared" si="13"/>
        <v>22</v>
      </c>
      <c r="F894" t="s">
        <v>19</v>
      </c>
      <c r="G894">
        <v>25214</v>
      </c>
      <c r="H894">
        <v>373</v>
      </c>
      <c r="I894">
        <v>551.83000000000004</v>
      </c>
      <c r="J894">
        <v>38</v>
      </c>
      <c r="K894">
        <v>0</v>
      </c>
    </row>
    <row r="895" spans="1:11" x14ac:dyDescent="0.2">
      <c r="A895" t="s">
        <v>1863</v>
      </c>
      <c r="B895" t="s">
        <v>1864</v>
      </c>
      <c r="C895" s="2">
        <v>44942</v>
      </c>
      <c r="D895" s="2">
        <v>45231</v>
      </c>
      <c r="E895">
        <f t="shared" si="13"/>
        <v>289</v>
      </c>
      <c r="F895" t="s">
        <v>14</v>
      </c>
      <c r="G895">
        <v>81719</v>
      </c>
      <c r="H895">
        <v>1040</v>
      </c>
      <c r="I895">
        <v>760.11</v>
      </c>
      <c r="J895">
        <v>115</v>
      </c>
      <c r="K895" t="b">
        <v>1</v>
      </c>
    </row>
    <row r="896" spans="1:11" x14ac:dyDescent="0.2">
      <c r="A896" t="s">
        <v>1865</v>
      </c>
      <c r="B896" t="s">
        <v>1866</v>
      </c>
      <c r="C896" s="2">
        <v>45054</v>
      </c>
      <c r="D896" s="2">
        <v>45073</v>
      </c>
      <c r="E896">
        <f t="shared" si="13"/>
        <v>19</v>
      </c>
      <c r="F896" t="s">
        <v>33</v>
      </c>
      <c r="G896">
        <v>72774</v>
      </c>
      <c r="H896">
        <v>1494</v>
      </c>
      <c r="I896">
        <v>2936.53</v>
      </c>
      <c r="J896">
        <v>256</v>
      </c>
      <c r="K896">
        <v>0</v>
      </c>
    </row>
    <row r="897" spans="1:11" x14ac:dyDescent="0.2">
      <c r="A897" t="s">
        <v>1867</v>
      </c>
      <c r="B897" t="s">
        <v>1868</v>
      </c>
      <c r="C897" s="2">
        <v>45258</v>
      </c>
      <c r="D897" s="2">
        <v>45286</v>
      </c>
      <c r="E897">
        <f t="shared" si="13"/>
        <v>28</v>
      </c>
      <c r="F897" t="s">
        <v>19</v>
      </c>
      <c r="G897">
        <v>7090</v>
      </c>
      <c r="H897">
        <v>83</v>
      </c>
      <c r="I897">
        <v>109.32</v>
      </c>
      <c r="J897">
        <v>8</v>
      </c>
      <c r="K897" t="s">
        <v>30</v>
      </c>
    </row>
    <row r="898" spans="1:11" x14ac:dyDescent="0.2">
      <c r="A898" t="s">
        <v>1869</v>
      </c>
      <c r="B898" t="s">
        <v>1870</v>
      </c>
      <c r="C898" s="2">
        <v>45257</v>
      </c>
      <c r="D898" s="2">
        <v>45279</v>
      </c>
      <c r="E898">
        <f t="shared" ref="E898:E961" si="14">D898-C898</f>
        <v>22</v>
      </c>
      <c r="F898" t="s">
        <v>41</v>
      </c>
      <c r="G898">
        <v>12637</v>
      </c>
      <c r="H898">
        <v>413</v>
      </c>
      <c r="I898">
        <v>290.56</v>
      </c>
      <c r="J898">
        <v>23</v>
      </c>
      <c r="K898" t="b">
        <v>0</v>
      </c>
    </row>
    <row r="899" spans="1:11" x14ac:dyDescent="0.2">
      <c r="A899" t="s">
        <v>1871</v>
      </c>
      <c r="B899" t="s">
        <v>1872</v>
      </c>
      <c r="C899" s="2">
        <v>45096</v>
      </c>
      <c r="D899" s="2">
        <v>45121</v>
      </c>
      <c r="E899">
        <f t="shared" si="14"/>
        <v>25</v>
      </c>
      <c r="F899" t="s">
        <v>33</v>
      </c>
      <c r="G899">
        <v>23415</v>
      </c>
      <c r="H899">
        <v>499</v>
      </c>
      <c r="I899">
        <v>918.39</v>
      </c>
      <c r="K899">
        <v>1</v>
      </c>
    </row>
    <row r="900" spans="1:11" x14ac:dyDescent="0.2">
      <c r="A900" t="s">
        <v>1873</v>
      </c>
      <c r="B900" t="s">
        <v>1874</v>
      </c>
      <c r="C900" s="2">
        <v>44933</v>
      </c>
      <c r="D900" s="2">
        <v>45078</v>
      </c>
      <c r="E900">
        <f t="shared" si="14"/>
        <v>145</v>
      </c>
      <c r="F900" t="s">
        <v>58</v>
      </c>
      <c r="G900">
        <v>25071</v>
      </c>
      <c r="H900">
        <v>1077</v>
      </c>
      <c r="I900">
        <v>659.08</v>
      </c>
      <c r="J900">
        <v>208</v>
      </c>
      <c r="K900" t="s">
        <v>30</v>
      </c>
    </row>
    <row r="901" spans="1:11" x14ac:dyDescent="0.2">
      <c r="A901" t="s">
        <v>1875</v>
      </c>
      <c r="B901" t="s">
        <v>1876</v>
      </c>
      <c r="C901" s="2">
        <v>45040</v>
      </c>
      <c r="D901" s="2">
        <v>45070</v>
      </c>
      <c r="E901">
        <f t="shared" si="14"/>
        <v>30</v>
      </c>
      <c r="F901" t="s">
        <v>19</v>
      </c>
      <c r="G901">
        <v>59243</v>
      </c>
      <c r="H901">
        <v>768</v>
      </c>
      <c r="I901">
        <v>1429.71</v>
      </c>
      <c r="J901">
        <v>46</v>
      </c>
      <c r="K901" t="s">
        <v>30</v>
      </c>
    </row>
    <row r="902" spans="1:11" x14ac:dyDescent="0.2">
      <c r="A902" t="s">
        <v>1877</v>
      </c>
      <c r="B902" t="s">
        <v>1878</v>
      </c>
      <c r="C902" s="2">
        <v>45224</v>
      </c>
      <c r="D902" s="2">
        <v>45241</v>
      </c>
      <c r="E902">
        <f t="shared" si="14"/>
        <v>17</v>
      </c>
      <c r="F902" t="s">
        <v>19</v>
      </c>
      <c r="G902">
        <v>42240</v>
      </c>
      <c r="H902">
        <v>804</v>
      </c>
      <c r="I902">
        <v>1603.86</v>
      </c>
      <c r="J902">
        <v>83</v>
      </c>
      <c r="K902" t="b">
        <v>0</v>
      </c>
    </row>
    <row r="903" spans="1:11" x14ac:dyDescent="0.2">
      <c r="A903" t="s">
        <v>1879</v>
      </c>
      <c r="B903" t="s">
        <v>1880</v>
      </c>
      <c r="C903" s="2">
        <v>45118</v>
      </c>
      <c r="D903" s="2">
        <v>45133</v>
      </c>
      <c r="E903">
        <f t="shared" si="14"/>
        <v>15</v>
      </c>
      <c r="F903" t="s">
        <v>19</v>
      </c>
      <c r="G903">
        <v>84807</v>
      </c>
      <c r="H903">
        <v>3325</v>
      </c>
      <c r="I903" s="3">
        <v>5155.8999999999996</v>
      </c>
      <c r="J903">
        <v>417</v>
      </c>
      <c r="K903" t="s">
        <v>24</v>
      </c>
    </row>
    <row r="904" spans="1:11" x14ac:dyDescent="0.2">
      <c r="A904" t="s">
        <v>1881</v>
      </c>
      <c r="B904" t="s">
        <v>1882</v>
      </c>
      <c r="C904" s="2">
        <v>45228</v>
      </c>
      <c r="D904" s="2">
        <v>45231</v>
      </c>
      <c r="E904">
        <f t="shared" si="14"/>
        <v>3</v>
      </c>
      <c r="F904" t="s">
        <v>14</v>
      </c>
      <c r="G904">
        <v>34434</v>
      </c>
      <c r="H904">
        <v>1169</v>
      </c>
      <c r="I904">
        <v>1935.48</v>
      </c>
      <c r="J904">
        <v>144</v>
      </c>
      <c r="K904">
        <v>1</v>
      </c>
    </row>
    <row r="905" spans="1:11" x14ac:dyDescent="0.2">
      <c r="A905" t="s">
        <v>1883</v>
      </c>
      <c r="B905" t="s">
        <v>1884</v>
      </c>
      <c r="C905" s="2">
        <v>44939</v>
      </c>
      <c r="D905" s="2">
        <v>44956</v>
      </c>
      <c r="E905">
        <f t="shared" si="14"/>
        <v>17</v>
      </c>
      <c r="F905" t="s">
        <v>41</v>
      </c>
      <c r="G905">
        <v>70724</v>
      </c>
      <c r="H905">
        <v>889</v>
      </c>
      <c r="I905">
        <v>894.29</v>
      </c>
      <c r="J905">
        <v>44</v>
      </c>
      <c r="K905" t="s">
        <v>30</v>
      </c>
    </row>
    <row r="906" spans="1:11" x14ac:dyDescent="0.2">
      <c r="A906" t="s">
        <v>1885</v>
      </c>
      <c r="B906" t="s">
        <v>1886</v>
      </c>
      <c r="C906" s="2">
        <v>44970</v>
      </c>
      <c r="D906" s="2">
        <v>44976</v>
      </c>
      <c r="E906">
        <f t="shared" si="14"/>
        <v>6</v>
      </c>
      <c r="F906" t="s">
        <v>19</v>
      </c>
      <c r="G906">
        <v>76697</v>
      </c>
      <c r="H906">
        <v>3458</v>
      </c>
      <c r="I906">
        <v>6612.96</v>
      </c>
      <c r="J906">
        <v>432</v>
      </c>
      <c r="K906">
        <v>0</v>
      </c>
    </row>
    <row r="907" spans="1:11" x14ac:dyDescent="0.2">
      <c r="A907" t="s">
        <v>1887</v>
      </c>
      <c r="B907" t="s">
        <v>1888</v>
      </c>
      <c r="C907" s="2">
        <v>44999</v>
      </c>
      <c r="D907" s="2">
        <v>45014</v>
      </c>
      <c r="E907">
        <f t="shared" si="14"/>
        <v>15</v>
      </c>
      <c r="F907" t="s">
        <v>23</v>
      </c>
      <c r="G907">
        <v>29732</v>
      </c>
      <c r="H907">
        <v>1340</v>
      </c>
      <c r="I907">
        <v>1734.73</v>
      </c>
      <c r="J907">
        <v>144</v>
      </c>
      <c r="K907" t="b">
        <v>0</v>
      </c>
    </row>
    <row r="908" spans="1:11" x14ac:dyDescent="0.2">
      <c r="A908" t="s">
        <v>1889</v>
      </c>
      <c r="B908" t="s">
        <v>1890</v>
      </c>
      <c r="C908" s="2">
        <v>45032</v>
      </c>
      <c r="D908" s="2">
        <v>45041</v>
      </c>
      <c r="E908">
        <f t="shared" si="14"/>
        <v>9</v>
      </c>
      <c r="F908" t="s">
        <v>138</v>
      </c>
      <c r="G908">
        <v>12314</v>
      </c>
      <c r="H908">
        <v>285</v>
      </c>
      <c r="I908">
        <v>455.6</v>
      </c>
      <c r="J908">
        <v>55</v>
      </c>
      <c r="K908" t="s">
        <v>24</v>
      </c>
    </row>
    <row r="909" spans="1:11" x14ac:dyDescent="0.2">
      <c r="A909" t="s">
        <v>1891</v>
      </c>
      <c r="B909" t="s">
        <v>1892</v>
      </c>
      <c r="C909" s="2">
        <v>44976</v>
      </c>
      <c r="D909" s="2">
        <v>44999</v>
      </c>
      <c r="E909">
        <f t="shared" si="14"/>
        <v>23</v>
      </c>
      <c r="F909" t="s">
        <v>23</v>
      </c>
      <c r="G909">
        <v>24954</v>
      </c>
      <c r="H909">
        <v>589</v>
      </c>
      <c r="I909">
        <v>1110.95</v>
      </c>
      <c r="J909">
        <v>43</v>
      </c>
      <c r="K909">
        <v>1</v>
      </c>
    </row>
    <row r="910" spans="1:11" x14ac:dyDescent="0.2">
      <c r="A910" t="s">
        <v>1893</v>
      </c>
      <c r="B910" t="s">
        <v>1894</v>
      </c>
      <c r="C910" s="2">
        <v>45090</v>
      </c>
      <c r="D910" s="2">
        <v>45109</v>
      </c>
      <c r="E910">
        <f t="shared" si="14"/>
        <v>19</v>
      </c>
      <c r="F910" t="s">
        <v>19</v>
      </c>
      <c r="G910">
        <v>58108</v>
      </c>
      <c r="H910">
        <v>2879</v>
      </c>
      <c r="I910">
        <v>5650.81</v>
      </c>
      <c r="J910">
        <v>296</v>
      </c>
      <c r="K910" t="s">
        <v>15</v>
      </c>
    </row>
    <row r="911" spans="1:11" x14ac:dyDescent="0.2">
      <c r="A911" t="s">
        <v>1896</v>
      </c>
      <c r="B911" t="s">
        <v>1897</v>
      </c>
      <c r="C911" s="2">
        <v>44949</v>
      </c>
      <c r="D911" s="2">
        <v>44962</v>
      </c>
      <c r="E911">
        <f t="shared" si="14"/>
        <v>13</v>
      </c>
      <c r="F911" t="s">
        <v>138</v>
      </c>
      <c r="G911">
        <v>88044</v>
      </c>
      <c r="H911">
        <v>3085</v>
      </c>
      <c r="I911" s="3">
        <v>5398.15</v>
      </c>
      <c r="J911">
        <v>348</v>
      </c>
      <c r="K911" t="b">
        <v>1</v>
      </c>
    </row>
    <row r="912" spans="1:11" x14ac:dyDescent="0.2">
      <c r="A912" t="s">
        <v>1898</v>
      </c>
      <c r="B912" t="s">
        <v>1899</v>
      </c>
      <c r="C912" s="2">
        <v>45102</v>
      </c>
      <c r="D912" s="2">
        <v>45128</v>
      </c>
      <c r="E912">
        <f t="shared" si="14"/>
        <v>26</v>
      </c>
      <c r="F912" t="s">
        <v>19</v>
      </c>
      <c r="G912">
        <v>88505</v>
      </c>
      <c r="H912">
        <v>2766</v>
      </c>
      <c r="I912">
        <v>2640.22</v>
      </c>
      <c r="J912">
        <v>300</v>
      </c>
      <c r="K912">
        <v>0</v>
      </c>
    </row>
    <row r="913" spans="1:11" x14ac:dyDescent="0.2">
      <c r="A913" t="s">
        <v>1900</v>
      </c>
      <c r="B913" t="s">
        <v>1901</v>
      </c>
      <c r="C913" s="2">
        <v>45011</v>
      </c>
      <c r="D913" s="2">
        <v>45041</v>
      </c>
      <c r="E913">
        <f t="shared" si="14"/>
        <v>30</v>
      </c>
      <c r="F913" t="s">
        <v>23</v>
      </c>
      <c r="G913">
        <v>37668</v>
      </c>
      <c r="H913">
        <v>1639</v>
      </c>
      <c r="I913" s="3">
        <v>3195.76</v>
      </c>
      <c r="J913">
        <v>245</v>
      </c>
      <c r="K913" t="b">
        <v>0</v>
      </c>
    </row>
    <row r="914" spans="1:11" x14ac:dyDescent="0.2">
      <c r="A914" t="s">
        <v>1902</v>
      </c>
      <c r="B914" t="s">
        <v>1903</v>
      </c>
      <c r="C914" s="2">
        <v>45191</v>
      </c>
      <c r="D914" s="2">
        <v>45209</v>
      </c>
      <c r="E914">
        <f t="shared" si="14"/>
        <v>18</v>
      </c>
      <c r="F914" t="s">
        <v>19</v>
      </c>
      <c r="G914">
        <v>24061</v>
      </c>
      <c r="H914">
        <v>515</v>
      </c>
      <c r="I914">
        <v>742.72</v>
      </c>
      <c r="J914">
        <v>42</v>
      </c>
      <c r="K914" t="b">
        <v>1</v>
      </c>
    </row>
    <row r="915" spans="1:11" x14ac:dyDescent="0.2">
      <c r="A915" t="s">
        <v>1904</v>
      </c>
      <c r="B915" t="s">
        <v>1905</v>
      </c>
      <c r="C915" s="2">
        <v>45213</v>
      </c>
      <c r="D915" s="2">
        <v>45234</v>
      </c>
      <c r="E915">
        <f t="shared" si="14"/>
        <v>21</v>
      </c>
      <c r="F915" t="s">
        <v>19</v>
      </c>
      <c r="G915">
        <v>80252</v>
      </c>
      <c r="H915">
        <v>2180</v>
      </c>
      <c r="I915">
        <v>4133.2</v>
      </c>
      <c r="J915">
        <v>181</v>
      </c>
      <c r="K915" t="s">
        <v>24</v>
      </c>
    </row>
    <row r="916" spans="1:11" x14ac:dyDescent="0.2">
      <c r="A916" t="s">
        <v>1906</v>
      </c>
      <c r="B916" t="s">
        <v>1907</v>
      </c>
      <c r="C916" s="2">
        <v>45134</v>
      </c>
      <c r="D916" s="2">
        <v>45158</v>
      </c>
      <c r="E916">
        <f t="shared" si="14"/>
        <v>24</v>
      </c>
      <c r="F916" t="s">
        <v>33</v>
      </c>
      <c r="G916">
        <v>40749</v>
      </c>
      <c r="H916">
        <v>843</v>
      </c>
      <c r="I916">
        <v>1276.43</v>
      </c>
      <c r="K916" t="s">
        <v>24</v>
      </c>
    </row>
    <row r="917" spans="1:11" x14ac:dyDescent="0.2">
      <c r="A917" t="s">
        <v>1908</v>
      </c>
      <c r="B917" t="s">
        <v>1909</v>
      </c>
      <c r="C917" s="2">
        <v>44999</v>
      </c>
      <c r="D917" s="2">
        <v>45263</v>
      </c>
      <c r="E917">
        <f t="shared" si="14"/>
        <v>264</v>
      </c>
      <c r="F917" t="s">
        <v>33</v>
      </c>
      <c r="G917">
        <v>17907</v>
      </c>
      <c r="H917">
        <v>744</v>
      </c>
      <c r="I917">
        <v>714.88</v>
      </c>
      <c r="J917">
        <v>93</v>
      </c>
      <c r="K917" t="s">
        <v>15</v>
      </c>
    </row>
    <row r="918" spans="1:11" x14ac:dyDescent="0.2">
      <c r="A918" t="s">
        <v>1910</v>
      </c>
      <c r="B918" t="s">
        <v>1911</v>
      </c>
      <c r="C918" s="2">
        <v>45241</v>
      </c>
      <c r="D918" s="2">
        <v>45250</v>
      </c>
      <c r="E918">
        <f t="shared" si="14"/>
        <v>9</v>
      </c>
      <c r="F918" t="s">
        <v>33</v>
      </c>
      <c r="G918">
        <v>19777</v>
      </c>
      <c r="H918">
        <v>651</v>
      </c>
      <c r="I918">
        <v>686.83</v>
      </c>
      <c r="J918">
        <v>73</v>
      </c>
      <c r="K918" t="s">
        <v>30</v>
      </c>
    </row>
    <row r="919" spans="1:11" x14ac:dyDescent="0.2">
      <c r="A919" t="s">
        <v>1912</v>
      </c>
      <c r="B919" t="s">
        <v>1913</v>
      </c>
      <c r="C919" s="2">
        <v>45146</v>
      </c>
      <c r="D919" s="2">
        <v>45165</v>
      </c>
      <c r="E919">
        <f t="shared" si="14"/>
        <v>19</v>
      </c>
      <c r="F919" t="s">
        <v>14</v>
      </c>
      <c r="G919">
        <v>94229</v>
      </c>
      <c r="H919">
        <v>3425</v>
      </c>
      <c r="I919" s="3">
        <v>4540.55</v>
      </c>
      <c r="J919">
        <v>258</v>
      </c>
      <c r="K919" t="s">
        <v>30</v>
      </c>
    </row>
    <row r="920" spans="1:11" x14ac:dyDescent="0.2">
      <c r="A920" t="s">
        <v>1914</v>
      </c>
      <c r="B920" t="s">
        <v>1915</v>
      </c>
      <c r="C920" s="2">
        <v>45032</v>
      </c>
      <c r="D920" s="2">
        <v>45036</v>
      </c>
      <c r="E920">
        <f t="shared" si="14"/>
        <v>4</v>
      </c>
      <c r="F920" t="s">
        <v>14</v>
      </c>
      <c r="G920">
        <v>52745</v>
      </c>
      <c r="H920">
        <v>1059</v>
      </c>
      <c r="I920">
        <v>1784.44</v>
      </c>
      <c r="J920">
        <v>82</v>
      </c>
      <c r="K920">
        <v>1</v>
      </c>
    </row>
    <row r="921" spans="1:11" x14ac:dyDescent="0.2">
      <c r="A921" t="s">
        <v>1916</v>
      </c>
      <c r="B921" t="s">
        <v>1917</v>
      </c>
      <c r="C921" s="2">
        <v>44959</v>
      </c>
      <c r="D921" s="2">
        <v>44982</v>
      </c>
      <c r="E921">
        <f t="shared" si="14"/>
        <v>23</v>
      </c>
      <c r="F921" t="s">
        <v>19</v>
      </c>
      <c r="G921">
        <v>92865</v>
      </c>
      <c r="H921">
        <v>1746</v>
      </c>
      <c r="I921" s="3">
        <v>1705.8</v>
      </c>
      <c r="K921" t="b">
        <v>0</v>
      </c>
    </row>
    <row r="922" spans="1:11" x14ac:dyDescent="0.2">
      <c r="A922" t="s">
        <v>1918</v>
      </c>
      <c r="B922" t="s">
        <v>1919</v>
      </c>
      <c r="C922" s="2">
        <v>45201</v>
      </c>
      <c r="D922" s="2">
        <v>45218</v>
      </c>
      <c r="E922">
        <f t="shared" si="14"/>
        <v>17</v>
      </c>
      <c r="F922" t="s">
        <v>41</v>
      </c>
      <c r="G922">
        <v>82818</v>
      </c>
      <c r="H922">
        <v>2446</v>
      </c>
      <c r="I922">
        <v>3350.03</v>
      </c>
      <c r="J922">
        <v>155</v>
      </c>
      <c r="K922" t="b">
        <v>0</v>
      </c>
    </row>
    <row r="923" spans="1:11" x14ac:dyDescent="0.2">
      <c r="A923" t="s">
        <v>1920</v>
      </c>
      <c r="B923" t="s">
        <v>1921</v>
      </c>
      <c r="C923" s="2">
        <v>45161</v>
      </c>
      <c r="D923" s="2">
        <v>45177</v>
      </c>
      <c r="E923">
        <f t="shared" si="14"/>
        <v>16</v>
      </c>
      <c r="F923" t="s">
        <v>33</v>
      </c>
      <c r="G923">
        <v>24624</v>
      </c>
      <c r="H923">
        <v>972</v>
      </c>
      <c r="I923">
        <v>989.92</v>
      </c>
      <c r="J923">
        <v>129</v>
      </c>
      <c r="K923" t="s">
        <v>24</v>
      </c>
    </row>
    <row r="924" spans="1:11" x14ac:dyDescent="0.2">
      <c r="A924" t="s">
        <v>1922</v>
      </c>
      <c r="B924" t="s">
        <v>1923</v>
      </c>
      <c r="C924" s="2">
        <v>45177</v>
      </c>
      <c r="D924" s="2">
        <v>45183</v>
      </c>
      <c r="E924">
        <f t="shared" si="14"/>
        <v>6</v>
      </c>
      <c r="F924" t="s">
        <v>33</v>
      </c>
      <c r="G924">
        <v>24321</v>
      </c>
      <c r="H924">
        <v>754</v>
      </c>
      <c r="I924">
        <v>1299.6400000000001</v>
      </c>
      <c r="J924">
        <v>138</v>
      </c>
      <c r="K924">
        <v>1</v>
      </c>
    </row>
    <row r="925" spans="1:11" x14ac:dyDescent="0.2">
      <c r="A925" t="s">
        <v>1924</v>
      </c>
      <c r="B925" t="s">
        <v>1925</v>
      </c>
      <c r="C925" s="2">
        <v>45232</v>
      </c>
      <c r="D925" s="2">
        <v>45261</v>
      </c>
      <c r="E925">
        <f t="shared" si="14"/>
        <v>29</v>
      </c>
      <c r="F925" t="s">
        <v>14</v>
      </c>
      <c r="G925">
        <v>11488</v>
      </c>
      <c r="H925">
        <v>129</v>
      </c>
      <c r="I925" s="3">
        <v>154.81</v>
      </c>
      <c r="J925">
        <v>12</v>
      </c>
      <c r="K925" t="b">
        <v>1</v>
      </c>
    </row>
    <row r="926" spans="1:11" x14ac:dyDescent="0.2">
      <c r="A926" t="s">
        <v>1926</v>
      </c>
      <c r="B926" t="s">
        <v>1927</v>
      </c>
      <c r="C926" s="2">
        <v>44985</v>
      </c>
      <c r="D926" s="2">
        <v>45000</v>
      </c>
      <c r="E926">
        <f t="shared" si="14"/>
        <v>15</v>
      </c>
      <c r="F926" t="s">
        <v>19</v>
      </c>
      <c r="G926">
        <v>23574</v>
      </c>
      <c r="H926">
        <v>1054</v>
      </c>
      <c r="I926">
        <v>-648.29999999999995</v>
      </c>
      <c r="J926">
        <v>104</v>
      </c>
      <c r="K926" t="s">
        <v>30</v>
      </c>
    </row>
    <row r="927" spans="1:11" x14ac:dyDescent="0.2">
      <c r="A927" t="s">
        <v>1928</v>
      </c>
      <c r="B927" t="s">
        <v>1929</v>
      </c>
      <c r="C927" s="2">
        <v>45243</v>
      </c>
      <c r="D927" s="2">
        <v>45253</v>
      </c>
      <c r="E927">
        <f t="shared" si="14"/>
        <v>10</v>
      </c>
      <c r="F927" t="s">
        <v>14</v>
      </c>
      <c r="G927">
        <v>6240</v>
      </c>
      <c r="H927">
        <v>78</v>
      </c>
      <c r="I927">
        <v>58.43</v>
      </c>
      <c r="K927" t="s">
        <v>30</v>
      </c>
    </row>
    <row r="928" spans="1:11" x14ac:dyDescent="0.2">
      <c r="A928" t="s">
        <v>1930</v>
      </c>
      <c r="B928" t="s">
        <v>1931</v>
      </c>
      <c r="C928" s="2">
        <v>45079</v>
      </c>
      <c r="D928" s="2">
        <v>45107</v>
      </c>
      <c r="E928">
        <f t="shared" si="14"/>
        <v>28</v>
      </c>
      <c r="F928" t="s">
        <v>23</v>
      </c>
      <c r="G928">
        <v>44221</v>
      </c>
      <c r="H928">
        <v>2132</v>
      </c>
      <c r="I928">
        <v>1261.4100000000001</v>
      </c>
      <c r="J928">
        <v>230</v>
      </c>
      <c r="K928" t="s">
        <v>24</v>
      </c>
    </row>
    <row r="929" spans="1:11" x14ac:dyDescent="0.2">
      <c r="A929" t="s">
        <v>1932</v>
      </c>
      <c r="B929" t="s">
        <v>1933</v>
      </c>
      <c r="C929" s="2">
        <v>45271</v>
      </c>
      <c r="D929" s="2">
        <v>45277</v>
      </c>
      <c r="E929">
        <f t="shared" si="14"/>
        <v>6</v>
      </c>
      <c r="F929" t="s">
        <v>41</v>
      </c>
      <c r="G929">
        <v>11478</v>
      </c>
      <c r="H929">
        <v>126</v>
      </c>
      <c r="I929" s="3">
        <v>157.37</v>
      </c>
      <c r="J929">
        <v>7</v>
      </c>
      <c r="K929" t="b">
        <v>0</v>
      </c>
    </row>
    <row r="930" spans="1:11" x14ac:dyDescent="0.2">
      <c r="A930" t="s">
        <v>1934</v>
      </c>
      <c r="B930" t="s">
        <v>1935</v>
      </c>
      <c r="C930" s="2">
        <v>45083</v>
      </c>
      <c r="D930" s="2">
        <v>45085</v>
      </c>
      <c r="E930">
        <f t="shared" si="14"/>
        <v>2</v>
      </c>
      <c r="F930" t="s">
        <v>14</v>
      </c>
      <c r="G930">
        <v>56645</v>
      </c>
      <c r="H930">
        <v>2139</v>
      </c>
      <c r="I930">
        <v>1410.68</v>
      </c>
      <c r="J930">
        <v>401</v>
      </c>
      <c r="K930" t="s">
        <v>24</v>
      </c>
    </row>
    <row r="931" spans="1:11" x14ac:dyDescent="0.2">
      <c r="A931" t="s">
        <v>1936</v>
      </c>
      <c r="B931" t="s">
        <v>1937</v>
      </c>
      <c r="C931" s="2">
        <v>44999</v>
      </c>
      <c r="D931" s="2">
        <v>45009</v>
      </c>
      <c r="E931">
        <f t="shared" si="14"/>
        <v>10</v>
      </c>
      <c r="F931" t="s">
        <v>33</v>
      </c>
      <c r="G931">
        <v>20262</v>
      </c>
      <c r="H931">
        <v>269</v>
      </c>
      <c r="I931">
        <v>180.56</v>
      </c>
      <c r="J931">
        <v>40</v>
      </c>
      <c r="K931" t="b">
        <v>0</v>
      </c>
    </row>
    <row r="932" spans="1:11" x14ac:dyDescent="0.2">
      <c r="A932" t="s">
        <v>1938</v>
      </c>
      <c r="B932" t="s">
        <v>1939</v>
      </c>
      <c r="C932" s="2">
        <v>44997</v>
      </c>
      <c r="D932" s="2">
        <v>45017</v>
      </c>
      <c r="E932">
        <f t="shared" si="14"/>
        <v>20</v>
      </c>
      <c r="F932" t="s">
        <v>23</v>
      </c>
      <c r="G932">
        <v>53796</v>
      </c>
      <c r="H932">
        <v>2497</v>
      </c>
      <c r="I932">
        <v>4773.2</v>
      </c>
      <c r="J932">
        <v>495</v>
      </c>
      <c r="K932">
        <v>1</v>
      </c>
    </row>
    <row r="933" spans="1:11" x14ac:dyDescent="0.2">
      <c r="A933" t="s">
        <v>1940</v>
      </c>
      <c r="B933" t="s">
        <v>1941</v>
      </c>
      <c r="C933" s="2">
        <v>45176</v>
      </c>
      <c r="D933" s="2">
        <v>45187</v>
      </c>
      <c r="E933">
        <f t="shared" si="14"/>
        <v>11</v>
      </c>
      <c r="F933" t="s">
        <v>33</v>
      </c>
      <c r="G933">
        <v>5432</v>
      </c>
      <c r="H933">
        <v>155</v>
      </c>
      <c r="I933">
        <v>280.39</v>
      </c>
      <c r="J933">
        <v>28</v>
      </c>
      <c r="K933" t="s">
        <v>15</v>
      </c>
    </row>
    <row r="934" spans="1:11" x14ac:dyDescent="0.2">
      <c r="A934" t="s">
        <v>1942</v>
      </c>
      <c r="B934" t="s">
        <v>1943</v>
      </c>
      <c r="C934" s="2">
        <v>45252</v>
      </c>
      <c r="D934" s="2">
        <v>45257</v>
      </c>
      <c r="E934">
        <f t="shared" si="14"/>
        <v>5</v>
      </c>
      <c r="F934" t="s">
        <v>14</v>
      </c>
      <c r="G934">
        <v>96257</v>
      </c>
      <c r="H934">
        <v>1492</v>
      </c>
      <c r="I934">
        <v>1757.77</v>
      </c>
      <c r="K934" t="b">
        <v>1</v>
      </c>
    </row>
    <row r="935" spans="1:11" x14ac:dyDescent="0.2">
      <c r="A935" t="s">
        <v>1944</v>
      </c>
      <c r="B935" t="s">
        <v>1945</v>
      </c>
      <c r="C935" s="2">
        <v>45012</v>
      </c>
      <c r="D935" s="2">
        <v>45016</v>
      </c>
      <c r="E935">
        <f t="shared" si="14"/>
        <v>4</v>
      </c>
      <c r="F935" t="s">
        <v>14</v>
      </c>
      <c r="G935">
        <v>65291</v>
      </c>
      <c r="H935">
        <v>1542</v>
      </c>
      <c r="I935">
        <v>3051.17</v>
      </c>
      <c r="J935">
        <v>197</v>
      </c>
      <c r="K935">
        <v>0</v>
      </c>
    </row>
    <row r="936" spans="1:11" x14ac:dyDescent="0.2">
      <c r="A936" t="s">
        <v>1946</v>
      </c>
      <c r="B936" t="s">
        <v>1947</v>
      </c>
      <c r="C936" s="2">
        <v>45088</v>
      </c>
      <c r="D936" s="2">
        <v>45110</v>
      </c>
      <c r="E936">
        <f t="shared" si="14"/>
        <v>22</v>
      </c>
      <c r="F936" t="s">
        <v>23</v>
      </c>
      <c r="G936">
        <v>80104</v>
      </c>
      <c r="H936">
        <v>1329</v>
      </c>
      <c r="I936">
        <v>664.87</v>
      </c>
      <c r="J936">
        <v>104</v>
      </c>
      <c r="K936" t="s">
        <v>15</v>
      </c>
    </row>
    <row r="937" spans="1:11" x14ac:dyDescent="0.2">
      <c r="A937" t="s">
        <v>1948</v>
      </c>
      <c r="B937" t="s">
        <v>1949</v>
      </c>
      <c r="C937" s="2">
        <v>45110</v>
      </c>
      <c r="D937" s="2">
        <v>45115</v>
      </c>
      <c r="E937">
        <f t="shared" si="14"/>
        <v>5</v>
      </c>
      <c r="F937" t="s">
        <v>41</v>
      </c>
      <c r="G937">
        <v>60399</v>
      </c>
      <c r="H937">
        <v>1016</v>
      </c>
      <c r="I937">
        <v>1443.7</v>
      </c>
      <c r="J937">
        <v>121</v>
      </c>
      <c r="K937" t="s">
        <v>15</v>
      </c>
    </row>
    <row r="938" spans="1:11" x14ac:dyDescent="0.2">
      <c r="A938" t="s">
        <v>1950</v>
      </c>
      <c r="B938" t="s">
        <v>1951</v>
      </c>
      <c r="C938" s="2">
        <v>45026</v>
      </c>
      <c r="D938" s="2">
        <v>45053</v>
      </c>
      <c r="E938">
        <f t="shared" si="14"/>
        <v>27</v>
      </c>
      <c r="F938" t="s">
        <v>14</v>
      </c>
      <c r="G938">
        <v>80714</v>
      </c>
      <c r="H938">
        <v>3868</v>
      </c>
      <c r="I938">
        <v>5510.52</v>
      </c>
      <c r="J938">
        <v>717</v>
      </c>
      <c r="K938" t="b">
        <v>0</v>
      </c>
    </row>
    <row r="939" spans="1:11" x14ac:dyDescent="0.2">
      <c r="A939" t="s">
        <v>1952</v>
      </c>
      <c r="B939" t="s">
        <v>1953</v>
      </c>
      <c r="C939" s="2">
        <v>45185</v>
      </c>
      <c r="D939" s="2">
        <v>45188</v>
      </c>
      <c r="E939">
        <f t="shared" si="14"/>
        <v>3</v>
      </c>
      <c r="F939" t="s">
        <v>19</v>
      </c>
      <c r="G939">
        <v>51428</v>
      </c>
      <c r="H939">
        <v>1430</v>
      </c>
      <c r="I939">
        <v>1696.22</v>
      </c>
      <c r="J939">
        <v>82</v>
      </c>
      <c r="K939" t="b">
        <v>0</v>
      </c>
    </row>
    <row r="940" spans="1:11" x14ac:dyDescent="0.2">
      <c r="A940" t="s">
        <v>1954</v>
      </c>
      <c r="B940" t="s">
        <v>1955</v>
      </c>
      <c r="C940" s="2">
        <v>45178</v>
      </c>
      <c r="D940" s="2">
        <v>45185</v>
      </c>
      <c r="E940">
        <f t="shared" si="14"/>
        <v>7</v>
      </c>
      <c r="F940" t="s">
        <v>23</v>
      </c>
      <c r="G940">
        <v>88731</v>
      </c>
      <c r="H940">
        <v>3686</v>
      </c>
      <c r="I940">
        <v>4037.73</v>
      </c>
      <c r="J940">
        <v>661</v>
      </c>
      <c r="K940" t="b">
        <v>0</v>
      </c>
    </row>
    <row r="941" spans="1:11" x14ac:dyDescent="0.2">
      <c r="A941" t="s">
        <v>1956</v>
      </c>
      <c r="B941" t="s">
        <v>1957</v>
      </c>
      <c r="C941" s="2">
        <v>45177</v>
      </c>
      <c r="D941" s="2">
        <v>45193</v>
      </c>
      <c r="E941">
        <f t="shared" si="14"/>
        <v>16</v>
      </c>
      <c r="F941" t="s">
        <v>19</v>
      </c>
      <c r="G941">
        <v>1302</v>
      </c>
      <c r="H941">
        <v>46</v>
      </c>
      <c r="I941">
        <v>54.42</v>
      </c>
      <c r="J941">
        <v>4</v>
      </c>
      <c r="K941" t="s">
        <v>15</v>
      </c>
    </row>
    <row r="942" spans="1:11" x14ac:dyDescent="0.2">
      <c r="A942" t="s">
        <v>1958</v>
      </c>
      <c r="B942" t="s">
        <v>1959</v>
      </c>
      <c r="C942" s="2">
        <v>45039</v>
      </c>
      <c r="D942" s="2">
        <v>45055</v>
      </c>
      <c r="E942">
        <f t="shared" si="14"/>
        <v>16</v>
      </c>
      <c r="F942" t="s">
        <v>14</v>
      </c>
      <c r="G942">
        <v>83558</v>
      </c>
      <c r="H942">
        <v>3096</v>
      </c>
      <c r="I942">
        <v>3475.08</v>
      </c>
      <c r="J942">
        <v>572</v>
      </c>
      <c r="K942" t="s">
        <v>24</v>
      </c>
    </row>
    <row r="943" spans="1:11" x14ac:dyDescent="0.2">
      <c r="A943" t="s">
        <v>1960</v>
      </c>
      <c r="B943" t="s">
        <v>1961</v>
      </c>
      <c r="C943" s="2">
        <v>45202</v>
      </c>
      <c r="D943" s="2">
        <v>45210</v>
      </c>
      <c r="E943">
        <f t="shared" si="14"/>
        <v>8</v>
      </c>
      <c r="F943" t="s">
        <v>33</v>
      </c>
      <c r="G943">
        <v>1055</v>
      </c>
      <c r="H943">
        <v>16</v>
      </c>
      <c r="I943">
        <v>25.53</v>
      </c>
      <c r="J943">
        <v>3</v>
      </c>
      <c r="K943" t="b">
        <v>1</v>
      </c>
    </row>
    <row r="944" spans="1:11" x14ac:dyDescent="0.2">
      <c r="A944" t="s">
        <v>1962</v>
      </c>
      <c r="B944" t="s">
        <v>1963</v>
      </c>
      <c r="C944" s="2">
        <v>45216</v>
      </c>
      <c r="D944" s="2">
        <v>45217</v>
      </c>
      <c r="E944">
        <f t="shared" si="14"/>
        <v>1</v>
      </c>
      <c r="F944" t="s">
        <v>14</v>
      </c>
      <c r="G944">
        <v>9717</v>
      </c>
      <c r="H944">
        <v>188</v>
      </c>
      <c r="I944">
        <v>132.16999999999999</v>
      </c>
      <c r="J944">
        <v>28</v>
      </c>
      <c r="K944" t="s">
        <v>24</v>
      </c>
    </row>
    <row r="945" spans="1:11" x14ac:dyDescent="0.2">
      <c r="A945" t="s">
        <v>1964</v>
      </c>
      <c r="B945" t="s">
        <v>1965</v>
      </c>
      <c r="C945" s="2">
        <v>45208</v>
      </c>
      <c r="D945" s="2">
        <v>45221</v>
      </c>
      <c r="E945">
        <f t="shared" si="14"/>
        <v>13</v>
      </c>
      <c r="F945" t="s">
        <v>33</v>
      </c>
      <c r="G945">
        <v>29699</v>
      </c>
      <c r="H945">
        <v>1231</v>
      </c>
      <c r="I945">
        <v>980.44</v>
      </c>
      <c r="J945">
        <v>184</v>
      </c>
      <c r="K945" t="b">
        <v>0</v>
      </c>
    </row>
    <row r="946" spans="1:11" x14ac:dyDescent="0.2">
      <c r="A946" t="s">
        <v>1966</v>
      </c>
      <c r="B946" t="s">
        <v>1967</v>
      </c>
      <c r="C946" s="2">
        <v>45064</v>
      </c>
      <c r="D946" s="2">
        <v>45089</v>
      </c>
      <c r="E946">
        <f t="shared" si="14"/>
        <v>25</v>
      </c>
      <c r="F946" t="s">
        <v>138</v>
      </c>
      <c r="G946">
        <v>74686</v>
      </c>
      <c r="H946">
        <v>3646</v>
      </c>
      <c r="I946">
        <v>2810.25</v>
      </c>
      <c r="J946">
        <v>429</v>
      </c>
      <c r="K946" t="s">
        <v>30</v>
      </c>
    </row>
    <row r="947" spans="1:11" x14ac:dyDescent="0.2">
      <c r="A947" t="s">
        <v>1968</v>
      </c>
      <c r="B947" t="s">
        <v>1969</v>
      </c>
      <c r="C947" s="2">
        <v>45114</v>
      </c>
      <c r="D947" s="2">
        <v>45138</v>
      </c>
      <c r="E947">
        <f t="shared" si="14"/>
        <v>24</v>
      </c>
      <c r="F947" t="s">
        <v>23</v>
      </c>
      <c r="G947">
        <v>68661</v>
      </c>
      <c r="H947">
        <v>1408</v>
      </c>
      <c r="I947" s="3">
        <v>1258.3399999999999</v>
      </c>
      <c r="J947">
        <v>246</v>
      </c>
      <c r="K947" t="s">
        <v>24</v>
      </c>
    </row>
    <row r="948" spans="1:11" x14ac:dyDescent="0.2">
      <c r="A948" t="s">
        <v>1970</v>
      </c>
      <c r="B948" t="s">
        <v>1971</v>
      </c>
      <c r="C948" s="2">
        <v>45152</v>
      </c>
      <c r="D948" s="2">
        <v>45178</v>
      </c>
      <c r="E948">
        <f t="shared" si="14"/>
        <v>26</v>
      </c>
      <c r="F948" t="s">
        <v>14</v>
      </c>
      <c r="G948">
        <v>45247</v>
      </c>
      <c r="H948">
        <v>943</v>
      </c>
      <c r="I948" s="3">
        <v>1214.48</v>
      </c>
      <c r="J948">
        <v>183</v>
      </c>
      <c r="K948" t="b">
        <v>1</v>
      </c>
    </row>
    <row r="949" spans="1:11" x14ac:dyDescent="0.2">
      <c r="A949" t="s">
        <v>1972</v>
      </c>
      <c r="B949" t="s">
        <v>1973</v>
      </c>
      <c r="C949" s="2">
        <v>44979</v>
      </c>
      <c r="D949" s="2">
        <v>45000</v>
      </c>
      <c r="E949">
        <f t="shared" si="14"/>
        <v>21</v>
      </c>
      <c r="F949" t="s">
        <v>23</v>
      </c>
      <c r="G949">
        <v>17748</v>
      </c>
      <c r="H949">
        <v>513</v>
      </c>
      <c r="I949">
        <v>342.08</v>
      </c>
      <c r="J949">
        <v>85</v>
      </c>
      <c r="K949" t="s">
        <v>30</v>
      </c>
    </row>
    <row r="950" spans="1:11" x14ac:dyDescent="0.2">
      <c r="A950" t="s">
        <v>1974</v>
      </c>
      <c r="B950" t="s">
        <v>1975</v>
      </c>
      <c r="C950" s="2">
        <v>45053</v>
      </c>
      <c r="D950" s="2">
        <v>45082</v>
      </c>
      <c r="E950">
        <f t="shared" si="14"/>
        <v>29</v>
      </c>
      <c r="F950" t="s">
        <v>41</v>
      </c>
      <c r="G950">
        <v>5621</v>
      </c>
      <c r="H950">
        <v>277</v>
      </c>
      <c r="I950">
        <v>499.22</v>
      </c>
      <c r="J950">
        <v>39</v>
      </c>
      <c r="K950" t="b">
        <v>1</v>
      </c>
    </row>
    <row r="951" spans="1:11" x14ac:dyDescent="0.2">
      <c r="A951" t="s">
        <v>1976</v>
      </c>
      <c r="B951" t="s">
        <v>1977</v>
      </c>
      <c r="C951" s="2">
        <v>45157</v>
      </c>
      <c r="D951" s="2">
        <v>45163</v>
      </c>
      <c r="E951">
        <f t="shared" si="14"/>
        <v>6</v>
      </c>
      <c r="F951" t="s">
        <v>19</v>
      </c>
      <c r="G951">
        <v>16034</v>
      </c>
      <c r="H951">
        <v>332</v>
      </c>
      <c r="I951">
        <v>314.08999999999997</v>
      </c>
      <c r="J951">
        <v>46</v>
      </c>
      <c r="K951" t="b">
        <v>0</v>
      </c>
    </row>
    <row r="952" spans="1:11" x14ac:dyDescent="0.2">
      <c r="A952" t="s">
        <v>1978</v>
      </c>
      <c r="B952" t="s">
        <v>1979</v>
      </c>
      <c r="C952" s="2">
        <v>44971</v>
      </c>
      <c r="D952" s="2">
        <v>44996</v>
      </c>
      <c r="E952">
        <f t="shared" si="14"/>
        <v>25</v>
      </c>
      <c r="F952" t="s">
        <v>23</v>
      </c>
      <c r="G952">
        <v>6126</v>
      </c>
      <c r="H952">
        <v>160</v>
      </c>
      <c r="I952">
        <v>119.01</v>
      </c>
      <c r="J952">
        <v>28</v>
      </c>
      <c r="K952" t="s">
        <v>24</v>
      </c>
    </row>
    <row r="953" spans="1:11" x14ac:dyDescent="0.2">
      <c r="A953" t="s">
        <v>1980</v>
      </c>
      <c r="B953" t="s">
        <v>1981</v>
      </c>
      <c r="C953" s="2">
        <v>45048</v>
      </c>
      <c r="D953" s="2">
        <v>45061</v>
      </c>
      <c r="E953">
        <f t="shared" si="14"/>
        <v>13</v>
      </c>
      <c r="F953" t="s">
        <v>33</v>
      </c>
      <c r="G953">
        <v>6122</v>
      </c>
      <c r="H953">
        <v>279</v>
      </c>
      <c r="I953">
        <v>422.25</v>
      </c>
      <c r="J953">
        <v>36</v>
      </c>
      <c r="K953">
        <v>0</v>
      </c>
    </row>
    <row r="954" spans="1:11" x14ac:dyDescent="0.2">
      <c r="A954" t="s">
        <v>1982</v>
      </c>
      <c r="B954" t="s">
        <v>1983</v>
      </c>
      <c r="C954" s="2">
        <v>45279</v>
      </c>
      <c r="D954" s="2">
        <v>45281</v>
      </c>
      <c r="E954">
        <f t="shared" si="14"/>
        <v>2</v>
      </c>
      <c r="F954" t="s">
        <v>14</v>
      </c>
      <c r="G954">
        <v>19030</v>
      </c>
      <c r="H954">
        <v>192</v>
      </c>
      <c r="I954">
        <v>106.97</v>
      </c>
      <c r="J954">
        <v>32</v>
      </c>
      <c r="K954">
        <v>1</v>
      </c>
    </row>
    <row r="955" spans="1:11" x14ac:dyDescent="0.2">
      <c r="A955" t="s">
        <v>1984</v>
      </c>
      <c r="B955" t="s">
        <v>1985</v>
      </c>
      <c r="C955" s="2">
        <v>45250</v>
      </c>
      <c r="D955" s="2">
        <v>45260</v>
      </c>
      <c r="E955">
        <f t="shared" si="14"/>
        <v>10</v>
      </c>
      <c r="F955" t="s">
        <v>23</v>
      </c>
      <c r="G955">
        <v>83838</v>
      </c>
      <c r="H955">
        <v>971</v>
      </c>
      <c r="I955">
        <v>1388.48</v>
      </c>
      <c r="J955">
        <v>122</v>
      </c>
      <c r="K955" t="b">
        <v>0</v>
      </c>
    </row>
    <row r="956" spans="1:11" x14ac:dyDescent="0.2">
      <c r="A956" t="s">
        <v>1986</v>
      </c>
      <c r="B956" t="s">
        <v>1987</v>
      </c>
      <c r="C956" s="2">
        <v>45032</v>
      </c>
      <c r="D956" s="2">
        <v>45038</v>
      </c>
      <c r="E956">
        <f t="shared" si="14"/>
        <v>6</v>
      </c>
      <c r="F956" t="s">
        <v>23</v>
      </c>
      <c r="G956">
        <v>85717</v>
      </c>
      <c r="H956">
        <v>2928</v>
      </c>
      <c r="I956">
        <v>4530.49</v>
      </c>
      <c r="J956">
        <v>173</v>
      </c>
      <c r="K956" t="s">
        <v>15</v>
      </c>
    </row>
    <row r="957" spans="1:11" x14ac:dyDescent="0.2">
      <c r="A957" t="s">
        <v>1988</v>
      </c>
      <c r="B957" t="s">
        <v>1989</v>
      </c>
      <c r="C957" s="2">
        <v>45218</v>
      </c>
      <c r="D957" s="2">
        <v>45226</v>
      </c>
      <c r="E957">
        <f t="shared" si="14"/>
        <v>8</v>
      </c>
      <c r="F957" t="s">
        <v>41</v>
      </c>
      <c r="G957">
        <v>56658</v>
      </c>
      <c r="H957">
        <v>2622</v>
      </c>
      <c r="I957">
        <v>2156.27</v>
      </c>
      <c r="J957">
        <v>282</v>
      </c>
      <c r="K957">
        <v>0</v>
      </c>
    </row>
    <row r="958" spans="1:11" x14ac:dyDescent="0.2">
      <c r="A958" t="s">
        <v>1990</v>
      </c>
      <c r="B958" t="s">
        <v>1991</v>
      </c>
      <c r="C958" s="2">
        <v>45202</v>
      </c>
      <c r="D958" s="2">
        <v>45213</v>
      </c>
      <c r="E958">
        <f t="shared" si="14"/>
        <v>11</v>
      </c>
      <c r="F958" t="s">
        <v>14</v>
      </c>
      <c r="G958">
        <v>39638</v>
      </c>
      <c r="H958">
        <v>775</v>
      </c>
      <c r="I958">
        <v>436.28</v>
      </c>
      <c r="J958">
        <v>90</v>
      </c>
      <c r="K958" t="s">
        <v>15</v>
      </c>
    </row>
    <row r="959" spans="1:11" x14ac:dyDescent="0.2">
      <c r="A959" t="s">
        <v>1992</v>
      </c>
      <c r="B959" t="s">
        <v>1993</v>
      </c>
      <c r="C959" s="2">
        <v>45076</v>
      </c>
      <c r="D959" s="2">
        <v>45104</v>
      </c>
      <c r="E959">
        <f t="shared" si="14"/>
        <v>28</v>
      </c>
      <c r="F959" t="s">
        <v>41</v>
      </c>
      <c r="G959">
        <v>68067</v>
      </c>
      <c r="H959">
        <v>1959</v>
      </c>
      <c r="I959">
        <v>2048.0700000000002</v>
      </c>
      <c r="J959">
        <v>139</v>
      </c>
      <c r="K959" t="b">
        <v>1</v>
      </c>
    </row>
    <row r="960" spans="1:11" x14ac:dyDescent="0.2">
      <c r="A960" t="s">
        <v>1994</v>
      </c>
      <c r="B960" t="s">
        <v>1995</v>
      </c>
      <c r="C960" s="2">
        <v>45190</v>
      </c>
      <c r="D960" s="2">
        <v>45212</v>
      </c>
      <c r="E960">
        <f t="shared" si="14"/>
        <v>22</v>
      </c>
      <c r="F960" t="s">
        <v>23</v>
      </c>
      <c r="G960">
        <v>89869</v>
      </c>
      <c r="H960">
        <v>2518</v>
      </c>
      <c r="I960">
        <v>1631.39</v>
      </c>
      <c r="J960">
        <v>164</v>
      </c>
      <c r="K960" t="s">
        <v>15</v>
      </c>
    </row>
    <row r="961" spans="1:11" x14ac:dyDescent="0.2">
      <c r="A961" t="s">
        <v>1996</v>
      </c>
      <c r="B961" t="s">
        <v>1997</v>
      </c>
      <c r="C961" s="2">
        <v>44975</v>
      </c>
      <c r="D961" s="2">
        <v>44994</v>
      </c>
      <c r="E961">
        <f t="shared" si="14"/>
        <v>19</v>
      </c>
      <c r="F961" t="s">
        <v>33</v>
      </c>
      <c r="G961">
        <v>35674</v>
      </c>
      <c r="H961">
        <v>1031</v>
      </c>
      <c r="I961">
        <v>695.63</v>
      </c>
      <c r="J961">
        <v>134</v>
      </c>
      <c r="K961">
        <v>0</v>
      </c>
    </row>
    <row r="962" spans="1:11" x14ac:dyDescent="0.2">
      <c r="A962" t="s">
        <v>1998</v>
      </c>
      <c r="B962" t="s">
        <v>1999</v>
      </c>
      <c r="C962" s="2">
        <v>45132</v>
      </c>
      <c r="D962" s="2">
        <v>45137</v>
      </c>
      <c r="E962">
        <f t="shared" ref="E962:E1025" si="15">D962-C962</f>
        <v>5</v>
      </c>
      <c r="F962" t="s">
        <v>138</v>
      </c>
      <c r="G962">
        <v>36854</v>
      </c>
      <c r="H962">
        <v>1286</v>
      </c>
      <c r="I962">
        <v>1133.47</v>
      </c>
      <c r="J962">
        <v>80</v>
      </c>
      <c r="K962">
        <v>0</v>
      </c>
    </row>
    <row r="963" spans="1:11" x14ac:dyDescent="0.2">
      <c r="A963" t="s">
        <v>2000</v>
      </c>
      <c r="B963" t="s">
        <v>2001</v>
      </c>
      <c r="C963" s="2">
        <v>45262</v>
      </c>
      <c r="D963" s="2">
        <v>45278</v>
      </c>
      <c r="E963">
        <f t="shared" si="15"/>
        <v>16</v>
      </c>
      <c r="F963" t="s">
        <v>19</v>
      </c>
      <c r="G963">
        <v>47271</v>
      </c>
      <c r="H963">
        <v>1360</v>
      </c>
      <c r="I963" s="3">
        <v>1282.75</v>
      </c>
      <c r="J963">
        <v>129</v>
      </c>
      <c r="K963" t="b">
        <v>0</v>
      </c>
    </row>
    <row r="964" spans="1:11" x14ac:dyDescent="0.2">
      <c r="A964" t="s">
        <v>2002</v>
      </c>
      <c r="B964" t="s">
        <v>2003</v>
      </c>
      <c r="C964" s="2">
        <v>45054</v>
      </c>
      <c r="D964" s="2">
        <v>45062</v>
      </c>
      <c r="E964">
        <f t="shared" si="15"/>
        <v>8</v>
      </c>
      <c r="F964" t="s">
        <v>41</v>
      </c>
      <c r="G964">
        <v>74688</v>
      </c>
      <c r="H964">
        <v>2083</v>
      </c>
      <c r="I964">
        <v>2697.39</v>
      </c>
      <c r="J964">
        <v>336</v>
      </c>
      <c r="K964" t="s">
        <v>30</v>
      </c>
    </row>
    <row r="965" spans="1:11" x14ac:dyDescent="0.2">
      <c r="A965" t="s">
        <v>2004</v>
      </c>
      <c r="B965" t="s">
        <v>2005</v>
      </c>
      <c r="C965" s="2">
        <v>45053</v>
      </c>
      <c r="D965" s="2">
        <v>45076</v>
      </c>
      <c r="E965">
        <f t="shared" si="15"/>
        <v>23</v>
      </c>
      <c r="F965" t="s">
        <v>415</v>
      </c>
      <c r="G965">
        <v>39518</v>
      </c>
      <c r="H965">
        <v>1144</v>
      </c>
      <c r="I965">
        <v>1736.12</v>
      </c>
      <c r="J965">
        <v>222</v>
      </c>
      <c r="K965" t="b">
        <v>0</v>
      </c>
    </row>
    <row r="966" spans="1:11" x14ac:dyDescent="0.2">
      <c r="A966" t="s">
        <v>2006</v>
      </c>
      <c r="B966" t="s">
        <v>2007</v>
      </c>
      <c r="C966" s="2">
        <v>45177</v>
      </c>
      <c r="D966" s="2">
        <v>45192</v>
      </c>
      <c r="E966">
        <f t="shared" si="15"/>
        <v>15</v>
      </c>
      <c r="F966" t="s">
        <v>23</v>
      </c>
      <c r="G966">
        <v>11267</v>
      </c>
      <c r="H966">
        <v>378</v>
      </c>
      <c r="I966">
        <v>525.1</v>
      </c>
      <c r="K966" t="b">
        <v>1</v>
      </c>
    </row>
    <row r="967" spans="1:11" x14ac:dyDescent="0.2">
      <c r="A967" t="s">
        <v>2008</v>
      </c>
      <c r="B967" t="s">
        <v>2009</v>
      </c>
      <c r="C967" s="2">
        <v>45248</v>
      </c>
      <c r="D967" s="2">
        <v>45274</v>
      </c>
      <c r="E967">
        <f t="shared" si="15"/>
        <v>26</v>
      </c>
      <c r="F967" t="s">
        <v>33</v>
      </c>
      <c r="G967">
        <v>91825</v>
      </c>
      <c r="H967">
        <v>2890</v>
      </c>
      <c r="I967">
        <v>2088.14</v>
      </c>
      <c r="J967">
        <v>574</v>
      </c>
      <c r="K967" t="s">
        <v>15</v>
      </c>
    </row>
    <row r="968" spans="1:11" x14ac:dyDescent="0.2">
      <c r="A968" t="s">
        <v>2010</v>
      </c>
      <c r="B968" t="s">
        <v>2011</v>
      </c>
      <c r="C968" s="2">
        <v>45251</v>
      </c>
      <c r="D968" s="2">
        <v>45274</v>
      </c>
      <c r="E968">
        <f t="shared" si="15"/>
        <v>23</v>
      </c>
      <c r="F968" t="s">
        <v>41</v>
      </c>
      <c r="G968">
        <v>2062</v>
      </c>
      <c r="H968">
        <v>91</v>
      </c>
      <c r="I968">
        <v>68.989999999999995</v>
      </c>
      <c r="J968">
        <v>14</v>
      </c>
      <c r="K968" t="s">
        <v>30</v>
      </c>
    </row>
    <row r="969" spans="1:11" x14ac:dyDescent="0.2">
      <c r="A969" t="s">
        <v>2012</v>
      </c>
      <c r="B969" t="s">
        <v>2013</v>
      </c>
      <c r="C969" s="2">
        <v>45133</v>
      </c>
      <c r="D969" s="2">
        <v>45163</v>
      </c>
      <c r="E969">
        <f t="shared" si="15"/>
        <v>30</v>
      </c>
      <c r="F969" t="s">
        <v>23</v>
      </c>
      <c r="G969">
        <v>51448</v>
      </c>
      <c r="H969">
        <v>616</v>
      </c>
      <c r="I969">
        <v>1119.98</v>
      </c>
      <c r="J969">
        <v>57</v>
      </c>
      <c r="K969" t="s">
        <v>24</v>
      </c>
    </row>
    <row r="970" spans="1:11" x14ac:dyDescent="0.2">
      <c r="A970" t="s">
        <v>2014</v>
      </c>
      <c r="B970" t="s">
        <v>2015</v>
      </c>
      <c r="C970" s="2">
        <v>45115</v>
      </c>
      <c r="D970" s="2">
        <v>45119</v>
      </c>
      <c r="E970">
        <f t="shared" si="15"/>
        <v>4</v>
      </c>
      <c r="F970" t="s">
        <v>19</v>
      </c>
      <c r="G970">
        <v>96462</v>
      </c>
      <c r="H970">
        <v>4179</v>
      </c>
      <c r="I970">
        <v>5589.53</v>
      </c>
      <c r="J970">
        <v>630</v>
      </c>
      <c r="K970">
        <v>1</v>
      </c>
    </row>
    <row r="971" spans="1:11" x14ac:dyDescent="0.2">
      <c r="A971" t="s">
        <v>2016</v>
      </c>
      <c r="B971" t="s">
        <v>2017</v>
      </c>
      <c r="C971" s="2">
        <v>45224</v>
      </c>
      <c r="D971" s="2">
        <v>45228</v>
      </c>
      <c r="E971">
        <f t="shared" si="15"/>
        <v>4</v>
      </c>
      <c r="F971" t="s">
        <v>41</v>
      </c>
      <c r="G971">
        <v>7229</v>
      </c>
      <c r="H971">
        <v>316</v>
      </c>
      <c r="I971">
        <v>570.35</v>
      </c>
      <c r="J971">
        <v>49</v>
      </c>
      <c r="K971">
        <v>0</v>
      </c>
    </row>
    <row r="972" spans="1:11" x14ac:dyDescent="0.2">
      <c r="A972" t="s">
        <v>2019</v>
      </c>
      <c r="B972" t="s">
        <v>2020</v>
      </c>
      <c r="C972" s="2">
        <v>44974</v>
      </c>
      <c r="D972" s="2">
        <v>44980</v>
      </c>
      <c r="E972">
        <f t="shared" si="15"/>
        <v>6</v>
      </c>
      <c r="F972" t="s">
        <v>41</v>
      </c>
      <c r="G972">
        <v>57793</v>
      </c>
      <c r="H972">
        <v>1236</v>
      </c>
      <c r="I972">
        <v>1306.8499999999999</v>
      </c>
      <c r="J972">
        <v>130</v>
      </c>
      <c r="K972" t="s">
        <v>30</v>
      </c>
    </row>
    <row r="973" spans="1:11" x14ac:dyDescent="0.2">
      <c r="A973" t="s">
        <v>2021</v>
      </c>
      <c r="B973" t="s">
        <v>2022</v>
      </c>
      <c r="C973" s="2">
        <v>45267</v>
      </c>
      <c r="D973" s="2">
        <v>45272</v>
      </c>
      <c r="E973">
        <f t="shared" si="15"/>
        <v>5</v>
      </c>
      <c r="F973" t="s">
        <v>19</v>
      </c>
      <c r="G973">
        <v>48915</v>
      </c>
      <c r="H973">
        <v>1394</v>
      </c>
      <c r="I973" s="3">
        <v>1981.71</v>
      </c>
      <c r="J973">
        <v>73</v>
      </c>
      <c r="K973" t="s">
        <v>24</v>
      </c>
    </row>
    <row r="974" spans="1:11" x14ac:dyDescent="0.2">
      <c r="A974" t="s">
        <v>2023</v>
      </c>
      <c r="B974" t="s">
        <v>2024</v>
      </c>
      <c r="C974" s="2">
        <v>45200</v>
      </c>
      <c r="D974" s="2">
        <v>45205</v>
      </c>
      <c r="E974">
        <f t="shared" si="15"/>
        <v>5</v>
      </c>
      <c r="F974" t="s">
        <v>23</v>
      </c>
      <c r="G974">
        <v>5632</v>
      </c>
      <c r="H974">
        <v>155</v>
      </c>
      <c r="I974">
        <v>199.25</v>
      </c>
      <c r="K974" t="s">
        <v>30</v>
      </c>
    </row>
    <row r="975" spans="1:11" x14ac:dyDescent="0.2">
      <c r="A975" t="s">
        <v>2025</v>
      </c>
      <c r="B975" t="s">
        <v>2026</v>
      </c>
      <c r="C975" s="2">
        <v>45035</v>
      </c>
      <c r="D975" s="2">
        <v>45059</v>
      </c>
      <c r="E975">
        <f t="shared" si="15"/>
        <v>24</v>
      </c>
      <c r="F975" t="s">
        <v>14</v>
      </c>
      <c r="G975">
        <v>4596</v>
      </c>
      <c r="H975">
        <v>86</v>
      </c>
      <c r="I975">
        <v>84.17</v>
      </c>
      <c r="J975">
        <v>4</v>
      </c>
      <c r="K975" t="b">
        <v>0</v>
      </c>
    </row>
    <row r="976" spans="1:11" x14ac:dyDescent="0.2">
      <c r="A976" t="s">
        <v>2027</v>
      </c>
      <c r="B976" t="s">
        <v>2028</v>
      </c>
      <c r="C976" s="2">
        <v>45072</v>
      </c>
      <c r="D976" s="2">
        <v>45092</v>
      </c>
      <c r="E976">
        <f t="shared" si="15"/>
        <v>20</v>
      </c>
      <c r="F976" t="s">
        <v>33</v>
      </c>
      <c r="G976">
        <v>7168</v>
      </c>
      <c r="H976">
        <v>185</v>
      </c>
      <c r="I976">
        <v>222.9</v>
      </c>
      <c r="J976">
        <v>26</v>
      </c>
      <c r="K976" t="s">
        <v>24</v>
      </c>
    </row>
    <row r="977" spans="1:11" x14ac:dyDescent="0.2">
      <c r="A977" t="s">
        <v>2029</v>
      </c>
      <c r="B977" t="s">
        <v>2030</v>
      </c>
      <c r="C977" s="2">
        <v>45211</v>
      </c>
      <c r="D977" s="2">
        <v>45216</v>
      </c>
      <c r="E977">
        <f t="shared" si="15"/>
        <v>5</v>
      </c>
      <c r="F977" t="s">
        <v>23</v>
      </c>
      <c r="G977">
        <v>8561</v>
      </c>
      <c r="H977">
        <v>100</v>
      </c>
      <c r="I977">
        <v>125.37</v>
      </c>
      <c r="J977">
        <v>7</v>
      </c>
      <c r="K977">
        <v>1</v>
      </c>
    </row>
    <row r="978" spans="1:11" x14ac:dyDescent="0.2">
      <c r="A978" t="s">
        <v>2031</v>
      </c>
      <c r="B978" t="s">
        <v>2032</v>
      </c>
      <c r="C978" s="2">
        <v>45276</v>
      </c>
      <c r="D978" s="2">
        <v>45277</v>
      </c>
      <c r="E978">
        <f t="shared" si="15"/>
        <v>1</v>
      </c>
      <c r="F978" t="s">
        <v>23</v>
      </c>
      <c r="G978">
        <v>74794</v>
      </c>
      <c r="H978">
        <v>1579</v>
      </c>
      <c r="I978">
        <v>1265.03</v>
      </c>
      <c r="J978">
        <v>212</v>
      </c>
      <c r="K978">
        <v>0</v>
      </c>
    </row>
    <row r="979" spans="1:11" x14ac:dyDescent="0.2">
      <c r="A979" t="s">
        <v>2033</v>
      </c>
      <c r="B979" t="s">
        <v>2034</v>
      </c>
      <c r="C979" s="2">
        <v>45247</v>
      </c>
      <c r="D979" s="2">
        <v>45262</v>
      </c>
      <c r="E979">
        <f t="shared" si="15"/>
        <v>15</v>
      </c>
      <c r="F979" t="s">
        <v>33</v>
      </c>
      <c r="G979">
        <v>83152</v>
      </c>
      <c r="H979">
        <v>3547</v>
      </c>
      <c r="I979" s="3">
        <v>3449.51</v>
      </c>
      <c r="J979">
        <v>445</v>
      </c>
      <c r="K979" t="b">
        <v>1</v>
      </c>
    </row>
    <row r="980" spans="1:11" x14ac:dyDescent="0.2">
      <c r="A980" t="s">
        <v>2035</v>
      </c>
      <c r="B980" t="s">
        <v>2036</v>
      </c>
      <c r="C980" s="2">
        <v>44990</v>
      </c>
      <c r="D980" s="2">
        <v>45006</v>
      </c>
      <c r="E980">
        <f t="shared" si="15"/>
        <v>16</v>
      </c>
      <c r="F980" t="s">
        <v>41</v>
      </c>
      <c r="G980">
        <v>27734</v>
      </c>
      <c r="H980">
        <v>593</v>
      </c>
      <c r="I980">
        <v>1000.46</v>
      </c>
      <c r="J980">
        <v>30</v>
      </c>
      <c r="K980" t="b">
        <v>1</v>
      </c>
    </row>
    <row r="981" spans="1:11" x14ac:dyDescent="0.2">
      <c r="A981" t="s">
        <v>2037</v>
      </c>
      <c r="B981" t="s">
        <v>2038</v>
      </c>
      <c r="C981" s="2">
        <v>45160</v>
      </c>
      <c r="D981" s="2">
        <v>45172</v>
      </c>
      <c r="E981">
        <f t="shared" si="15"/>
        <v>12</v>
      </c>
      <c r="F981" t="s">
        <v>23</v>
      </c>
      <c r="G981">
        <v>7371</v>
      </c>
      <c r="H981">
        <v>314</v>
      </c>
      <c r="I981">
        <v>588.34</v>
      </c>
      <c r="J981">
        <v>32</v>
      </c>
      <c r="K981" t="s">
        <v>30</v>
      </c>
    </row>
    <row r="982" spans="1:11" x14ac:dyDescent="0.2">
      <c r="A982" t="s">
        <v>2039</v>
      </c>
      <c r="B982" t="s">
        <v>2040</v>
      </c>
      <c r="C982" s="2">
        <v>45146</v>
      </c>
      <c r="D982" s="2">
        <v>45172</v>
      </c>
      <c r="E982">
        <f t="shared" si="15"/>
        <v>26</v>
      </c>
      <c r="F982" t="s">
        <v>14</v>
      </c>
      <c r="G982">
        <v>27069</v>
      </c>
      <c r="H982">
        <v>846</v>
      </c>
      <c r="I982">
        <v>879.58</v>
      </c>
      <c r="J982">
        <v>118</v>
      </c>
      <c r="K982" t="s">
        <v>24</v>
      </c>
    </row>
    <row r="983" spans="1:11" x14ac:dyDescent="0.2">
      <c r="A983" t="s">
        <v>2041</v>
      </c>
      <c r="B983" t="s">
        <v>2042</v>
      </c>
      <c r="C983" s="2">
        <v>44994</v>
      </c>
      <c r="D983" s="2">
        <v>45017</v>
      </c>
      <c r="E983">
        <f t="shared" si="15"/>
        <v>23</v>
      </c>
      <c r="F983" t="s">
        <v>33</v>
      </c>
      <c r="G983">
        <v>80905</v>
      </c>
      <c r="H983">
        <v>3656</v>
      </c>
      <c r="I983">
        <v>3511.44</v>
      </c>
      <c r="K983" t="s">
        <v>30</v>
      </c>
    </row>
    <row r="984" spans="1:11" x14ac:dyDescent="0.2">
      <c r="A984" t="s">
        <v>2043</v>
      </c>
      <c r="B984" t="s">
        <v>2044</v>
      </c>
      <c r="C984" s="2">
        <v>45067</v>
      </c>
      <c r="D984" s="2">
        <v>45081</v>
      </c>
      <c r="E984">
        <f t="shared" si="15"/>
        <v>14</v>
      </c>
      <c r="F984" t="s">
        <v>23</v>
      </c>
      <c r="G984">
        <v>13910</v>
      </c>
      <c r="H984">
        <v>458</v>
      </c>
      <c r="I984" s="3">
        <v>363.1</v>
      </c>
      <c r="J984">
        <v>83</v>
      </c>
      <c r="K984" t="s">
        <v>15</v>
      </c>
    </row>
    <row r="985" spans="1:11" x14ac:dyDescent="0.2">
      <c r="A985" t="s">
        <v>2045</v>
      </c>
      <c r="B985" t="s">
        <v>2046</v>
      </c>
      <c r="C985" s="2">
        <v>45111</v>
      </c>
      <c r="D985" s="2">
        <v>45112</v>
      </c>
      <c r="E985">
        <f t="shared" si="15"/>
        <v>1</v>
      </c>
      <c r="F985" t="s">
        <v>41</v>
      </c>
      <c r="G985">
        <v>74479</v>
      </c>
      <c r="H985">
        <v>833</v>
      </c>
      <c r="I985">
        <v>1264.27</v>
      </c>
      <c r="J985">
        <v>102</v>
      </c>
      <c r="K985">
        <v>1</v>
      </c>
    </row>
    <row r="986" spans="1:11" x14ac:dyDescent="0.2">
      <c r="A986" t="s">
        <v>2047</v>
      </c>
      <c r="B986" t="s">
        <v>2048</v>
      </c>
      <c r="C986" s="2">
        <v>45259</v>
      </c>
      <c r="D986" s="2">
        <v>45282</v>
      </c>
      <c r="E986">
        <f t="shared" si="15"/>
        <v>23</v>
      </c>
      <c r="F986" t="s">
        <v>33</v>
      </c>
      <c r="G986">
        <v>78735</v>
      </c>
      <c r="H986">
        <v>2914</v>
      </c>
      <c r="I986">
        <v>2869.27</v>
      </c>
      <c r="J986">
        <v>464</v>
      </c>
      <c r="K986">
        <v>0</v>
      </c>
    </row>
    <row r="987" spans="1:11" x14ac:dyDescent="0.2">
      <c r="A987" t="s">
        <v>2049</v>
      </c>
      <c r="B987" t="s">
        <v>2050</v>
      </c>
      <c r="C987" s="2">
        <v>45078</v>
      </c>
      <c r="D987" s="2">
        <v>45083</v>
      </c>
      <c r="E987">
        <f t="shared" si="15"/>
        <v>5</v>
      </c>
      <c r="F987" t="s">
        <v>14</v>
      </c>
      <c r="G987">
        <v>82264</v>
      </c>
      <c r="H987">
        <v>970</v>
      </c>
      <c r="I987">
        <v>1922.18</v>
      </c>
      <c r="J987">
        <v>94</v>
      </c>
      <c r="K987" t="s">
        <v>30</v>
      </c>
    </row>
    <row r="988" spans="1:11" x14ac:dyDescent="0.2">
      <c r="A988" t="s">
        <v>2051</v>
      </c>
      <c r="B988" t="s">
        <v>2052</v>
      </c>
      <c r="C988" s="2">
        <v>45146</v>
      </c>
      <c r="D988" s="2">
        <v>45175</v>
      </c>
      <c r="E988">
        <f t="shared" si="15"/>
        <v>29</v>
      </c>
      <c r="F988" t="s">
        <v>19</v>
      </c>
      <c r="G988">
        <v>24275</v>
      </c>
      <c r="H988">
        <v>680</v>
      </c>
      <c r="I988">
        <v>672.2</v>
      </c>
      <c r="J988">
        <v>68</v>
      </c>
      <c r="K988" t="s">
        <v>15</v>
      </c>
    </row>
    <row r="989" spans="1:11" x14ac:dyDescent="0.2">
      <c r="A989" t="s">
        <v>2053</v>
      </c>
      <c r="B989" t="s">
        <v>2054</v>
      </c>
      <c r="C989" s="2">
        <v>44927</v>
      </c>
      <c r="D989" s="2">
        <v>44950</v>
      </c>
      <c r="E989">
        <f t="shared" si="15"/>
        <v>23</v>
      </c>
      <c r="F989" t="s">
        <v>33</v>
      </c>
      <c r="G989">
        <v>73274</v>
      </c>
      <c r="H989">
        <v>3456</v>
      </c>
      <c r="I989">
        <v>3771.2</v>
      </c>
      <c r="J989">
        <v>273</v>
      </c>
      <c r="K989" t="s">
        <v>24</v>
      </c>
    </row>
    <row r="990" spans="1:11" x14ac:dyDescent="0.2">
      <c r="A990" t="s">
        <v>2055</v>
      </c>
      <c r="B990" t="s">
        <v>2056</v>
      </c>
      <c r="C990" s="2">
        <v>45230</v>
      </c>
      <c r="D990" s="2">
        <v>45242</v>
      </c>
      <c r="E990">
        <f t="shared" si="15"/>
        <v>12</v>
      </c>
      <c r="F990" t="s">
        <v>14</v>
      </c>
      <c r="G990">
        <v>82449</v>
      </c>
      <c r="H990">
        <v>1369</v>
      </c>
      <c r="I990">
        <v>1923.45</v>
      </c>
      <c r="J990">
        <v>183</v>
      </c>
      <c r="K990">
        <v>1</v>
      </c>
    </row>
    <row r="991" spans="1:11" x14ac:dyDescent="0.2">
      <c r="A991" t="s">
        <v>2057</v>
      </c>
      <c r="B991" t="s">
        <v>2058</v>
      </c>
      <c r="C991" s="2">
        <v>44952</v>
      </c>
      <c r="D991" s="2">
        <v>45047</v>
      </c>
      <c r="E991">
        <f t="shared" si="15"/>
        <v>95</v>
      </c>
      <c r="F991" t="s">
        <v>23</v>
      </c>
      <c r="G991">
        <v>61004</v>
      </c>
      <c r="H991">
        <v>1561</v>
      </c>
      <c r="I991">
        <v>2657.64</v>
      </c>
      <c r="J991">
        <v>151</v>
      </c>
      <c r="K991">
        <v>0</v>
      </c>
    </row>
    <row r="992" spans="1:11" x14ac:dyDescent="0.2">
      <c r="A992" t="s">
        <v>2059</v>
      </c>
      <c r="B992" t="s">
        <v>2060</v>
      </c>
      <c r="C992" s="2">
        <v>45102</v>
      </c>
      <c r="D992" s="2">
        <v>45120</v>
      </c>
      <c r="E992">
        <f t="shared" si="15"/>
        <v>18</v>
      </c>
      <c r="F992" t="s">
        <v>23</v>
      </c>
      <c r="G992">
        <v>63981</v>
      </c>
      <c r="H992">
        <v>2507</v>
      </c>
      <c r="I992">
        <v>3019.12</v>
      </c>
      <c r="J992">
        <v>157</v>
      </c>
      <c r="K992" t="b">
        <v>1</v>
      </c>
    </row>
    <row r="993" spans="1:11" x14ac:dyDescent="0.2">
      <c r="A993" t="s">
        <v>2061</v>
      </c>
      <c r="B993" t="s">
        <v>2062</v>
      </c>
      <c r="C993" s="2">
        <v>45143</v>
      </c>
      <c r="D993" s="2">
        <v>45147</v>
      </c>
      <c r="E993">
        <f t="shared" si="15"/>
        <v>4</v>
      </c>
      <c r="F993" t="s">
        <v>14</v>
      </c>
      <c r="G993">
        <v>85659</v>
      </c>
      <c r="H993">
        <v>3879</v>
      </c>
      <c r="I993" s="3">
        <v>4398.72</v>
      </c>
      <c r="J993">
        <v>592</v>
      </c>
      <c r="K993" t="s">
        <v>15</v>
      </c>
    </row>
    <row r="994" spans="1:11" x14ac:dyDescent="0.2">
      <c r="A994" t="s">
        <v>2063</v>
      </c>
      <c r="B994" t="s">
        <v>2064</v>
      </c>
      <c r="C994" s="2">
        <v>45044</v>
      </c>
      <c r="D994" s="2">
        <v>45058</v>
      </c>
      <c r="E994">
        <f t="shared" si="15"/>
        <v>14</v>
      </c>
      <c r="F994" t="s">
        <v>23</v>
      </c>
      <c r="G994">
        <v>55553</v>
      </c>
      <c r="H994">
        <v>2046</v>
      </c>
      <c r="I994">
        <v>4078.61</v>
      </c>
      <c r="J994">
        <v>319</v>
      </c>
      <c r="K994" t="s">
        <v>24</v>
      </c>
    </row>
    <row r="995" spans="1:11" x14ac:dyDescent="0.2">
      <c r="A995" t="s">
        <v>2065</v>
      </c>
      <c r="B995" t="s">
        <v>2066</v>
      </c>
      <c r="C995" s="2">
        <v>44979</v>
      </c>
      <c r="D995" s="2">
        <v>44995</v>
      </c>
      <c r="E995">
        <f t="shared" si="15"/>
        <v>16</v>
      </c>
      <c r="F995" t="s">
        <v>14</v>
      </c>
      <c r="G995">
        <v>49447</v>
      </c>
      <c r="H995">
        <v>1005</v>
      </c>
      <c r="I995">
        <v>518.32000000000005</v>
      </c>
      <c r="J995">
        <v>104</v>
      </c>
      <c r="K995">
        <v>1</v>
      </c>
    </row>
    <row r="996" spans="1:11" x14ac:dyDescent="0.2">
      <c r="A996" t="s">
        <v>2067</v>
      </c>
      <c r="B996" t="s">
        <v>2068</v>
      </c>
      <c r="C996" s="2">
        <v>45080</v>
      </c>
      <c r="D996" s="2">
        <v>45082</v>
      </c>
      <c r="E996">
        <f t="shared" si="15"/>
        <v>2</v>
      </c>
      <c r="F996" t="s">
        <v>14</v>
      </c>
      <c r="G996">
        <v>35529</v>
      </c>
      <c r="H996">
        <v>1314</v>
      </c>
      <c r="I996" s="3">
        <v>2421.17</v>
      </c>
      <c r="J996">
        <v>80</v>
      </c>
      <c r="K996" t="s">
        <v>15</v>
      </c>
    </row>
    <row r="997" spans="1:11" x14ac:dyDescent="0.2">
      <c r="A997" t="s">
        <v>2069</v>
      </c>
      <c r="B997" t="s">
        <v>2070</v>
      </c>
      <c r="C997" s="2">
        <v>44995</v>
      </c>
      <c r="D997" s="2">
        <v>45004</v>
      </c>
      <c r="E997">
        <f t="shared" si="15"/>
        <v>9</v>
      </c>
      <c r="F997" t="s">
        <v>14</v>
      </c>
      <c r="G997">
        <v>76703</v>
      </c>
      <c r="H997">
        <v>1677</v>
      </c>
      <c r="I997">
        <v>1213.6600000000001</v>
      </c>
      <c r="J997">
        <v>191</v>
      </c>
      <c r="K997" t="s">
        <v>30</v>
      </c>
    </row>
    <row r="998" spans="1:11" x14ac:dyDescent="0.2">
      <c r="A998" t="s">
        <v>2071</v>
      </c>
      <c r="B998" t="s">
        <v>2072</v>
      </c>
      <c r="C998" s="2">
        <v>44962</v>
      </c>
      <c r="D998" s="2">
        <v>45062</v>
      </c>
      <c r="E998">
        <f t="shared" si="15"/>
        <v>100</v>
      </c>
      <c r="F998" t="s">
        <v>33</v>
      </c>
      <c r="G998">
        <v>77090</v>
      </c>
      <c r="H998">
        <v>2986</v>
      </c>
      <c r="I998">
        <v>5013.16</v>
      </c>
      <c r="J998">
        <v>347</v>
      </c>
      <c r="K998" t="b">
        <v>0</v>
      </c>
    </row>
    <row r="999" spans="1:11" x14ac:dyDescent="0.2">
      <c r="A999" t="s">
        <v>2073</v>
      </c>
      <c r="B999" t="s">
        <v>2074</v>
      </c>
      <c r="C999" s="2">
        <v>45259</v>
      </c>
      <c r="D999" s="2">
        <v>45277</v>
      </c>
      <c r="E999">
        <f t="shared" si="15"/>
        <v>18</v>
      </c>
      <c r="F999" t="s">
        <v>14</v>
      </c>
      <c r="G999">
        <v>18260</v>
      </c>
      <c r="H999">
        <v>879</v>
      </c>
      <c r="I999">
        <v>1254.24</v>
      </c>
      <c r="J999">
        <v>132</v>
      </c>
      <c r="K999" t="b">
        <v>1</v>
      </c>
    </row>
    <row r="1000" spans="1:11" x14ac:dyDescent="0.2">
      <c r="A1000" t="s">
        <v>2075</v>
      </c>
      <c r="B1000" t="s">
        <v>2076</v>
      </c>
      <c r="C1000" s="2">
        <v>45036</v>
      </c>
      <c r="D1000" s="2">
        <v>45059</v>
      </c>
      <c r="E1000">
        <f t="shared" si="15"/>
        <v>23</v>
      </c>
      <c r="F1000" t="s">
        <v>33</v>
      </c>
      <c r="G1000">
        <v>4812</v>
      </c>
      <c r="H1000">
        <v>186</v>
      </c>
      <c r="I1000">
        <v>188.38</v>
      </c>
      <c r="J1000">
        <v>18</v>
      </c>
      <c r="K1000" t="s">
        <v>30</v>
      </c>
    </row>
    <row r="1001" spans="1:11" x14ac:dyDescent="0.2">
      <c r="A1001" t="s">
        <v>2077</v>
      </c>
      <c r="B1001" t="s">
        <v>2078</v>
      </c>
      <c r="C1001" s="2">
        <v>45137</v>
      </c>
      <c r="D1001" s="2">
        <v>45151</v>
      </c>
      <c r="E1001">
        <f t="shared" si="15"/>
        <v>14</v>
      </c>
      <c r="F1001" t="s">
        <v>23</v>
      </c>
      <c r="G1001">
        <v>29024</v>
      </c>
      <c r="H1001">
        <v>1292</v>
      </c>
      <c r="I1001">
        <v>2339.5700000000002</v>
      </c>
      <c r="J1001">
        <v>196</v>
      </c>
      <c r="K1001" t="s">
        <v>30</v>
      </c>
    </row>
    <row r="1002" spans="1:11" x14ac:dyDescent="0.2">
      <c r="A1002" t="s">
        <v>2079</v>
      </c>
      <c r="B1002" t="s">
        <v>2080</v>
      </c>
      <c r="C1002" s="2">
        <v>45038</v>
      </c>
      <c r="D1002" s="2">
        <v>45041</v>
      </c>
      <c r="E1002">
        <f t="shared" si="15"/>
        <v>3</v>
      </c>
      <c r="F1002" t="s">
        <v>19</v>
      </c>
      <c r="G1002">
        <v>59656</v>
      </c>
      <c r="H1002">
        <v>601</v>
      </c>
      <c r="I1002">
        <v>312.14</v>
      </c>
      <c r="J1002">
        <v>108</v>
      </c>
      <c r="K1002" t="s">
        <v>24</v>
      </c>
    </row>
    <row r="1003" spans="1:11" x14ac:dyDescent="0.2">
      <c r="A1003" t="s">
        <v>2082</v>
      </c>
      <c r="B1003" t="s">
        <v>2083</v>
      </c>
      <c r="C1003" s="2">
        <v>44978</v>
      </c>
      <c r="D1003" s="2">
        <v>44981</v>
      </c>
      <c r="E1003">
        <f t="shared" si="15"/>
        <v>3</v>
      </c>
      <c r="F1003" t="s">
        <v>14</v>
      </c>
      <c r="G1003">
        <v>28285</v>
      </c>
      <c r="H1003">
        <v>1094</v>
      </c>
      <c r="I1003">
        <v>919</v>
      </c>
      <c r="J1003">
        <v>93</v>
      </c>
      <c r="K1003" t="s">
        <v>24</v>
      </c>
    </row>
    <row r="1004" spans="1:11" x14ac:dyDescent="0.2">
      <c r="A1004" t="s">
        <v>2084</v>
      </c>
      <c r="B1004" t="s">
        <v>2085</v>
      </c>
      <c r="C1004" s="2">
        <v>45123</v>
      </c>
      <c r="D1004" s="2">
        <v>45126</v>
      </c>
      <c r="E1004">
        <f t="shared" si="15"/>
        <v>3</v>
      </c>
      <c r="F1004" t="s">
        <v>33</v>
      </c>
      <c r="G1004">
        <v>93436</v>
      </c>
      <c r="H1004">
        <v>4034</v>
      </c>
      <c r="I1004" s="3">
        <v>5447.27</v>
      </c>
      <c r="J1004">
        <v>794</v>
      </c>
      <c r="K1004">
        <v>1</v>
      </c>
    </row>
    <row r="1005" spans="1:11" x14ac:dyDescent="0.2">
      <c r="A1005" t="s">
        <v>2086</v>
      </c>
      <c r="B1005" t="s">
        <v>2087</v>
      </c>
      <c r="C1005" s="2">
        <v>44998</v>
      </c>
      <c r="D1005" s="2">
        <v>45007</v>
      </c>
      <c r="E1005">
        <f t="shared" si="15"/>
        <v>9</v>
      </c>
      <c r="F1005" t="s">
        <v>41</v>
      </c>
      <c r="G1005">
        <v>2605</v>
      </c>
      <c r="H1005">
        <v>30</v>
      </c>
      <c r="I1005">
        <v>30.82</v>
      </c>
      <c r="J1005">
        <v>3</v>
      </c>
      <c r="K1005" t="s">
        <v>24</v>
      </c>
    </row>
    <row r="1006" spans="1:11" x14ac:dyDescent="0.2">
      <c r="A1006" t="s">
        <v>2088</v>
      </c>
      <c r="B1006" t="s">
        <v>2089</v>
      </c>
      <c r="C1006" s="2">
        <v>45054</v>
      </c>
      <c r="D1006" s="2">
        <v>45083</v>
      </c>
      <c r="E1006">
        <f t="shared" si="15"/>
        <v>29</v>
      </c>
      <c r="F1006" t="s">
        <v>19</v>
      </c>
      <c r="G1006">
        <v>72158</v>
      </c>
      <c r="H1006">
        <v>3237</v>
      </c>
      <c r="I1006">
        <v>4582.1899999999996</v>
      </c>
      <c r="J1006">
        <v>291</v>
      </c>
      <c r="K1006" t="s">
        <v>15</v>
      </c>
    </row>
    <row r="1007" spans="1:11" x14ac:dyDescent="0.2">
      <c r="A1007" t="s">
        <v>2090</v>
      </c>
      <c r="B1007" t="s">
        <v>2091</v>
      </c>
      <c r="C1007" s="2">
        <v>45238</v>
      </c>
      <c r="D1007" s="2">
        <v>45260</v>
      </c>
      <c r="E1007">
        <f t="shared" si="15"/>
        <v>22</v>
      </c>
      <c r="F1007" t="s">
        <v>14</v>
      </c>
      <c r="G1007">
        <v>73303</v>
      </c>
      <c r="H1007">
        <v>1485</v>
      </c>
      <c r="I1007">
        <v>796.21</v>
      </c>
      <c r="J1007">
        <v>168</v>
      </c>
      <c r="K1007" t="b">
        <v>1</v>
      </c>
    </row>
    <row r="1008" spans="1:11" x14ac:dyDescent="0.2">
      <c r="A1008" t="s">
        <v>2092</v>
      </c>
      <c r="B1008" t="s">
        <v>2093</v>
      </c>
      <c r="C1008" s="2">
        <v>44940</v>
      </c>
      <c r="D1008" s="2">
        <v>44952</v>
      </c>
      <c r="E1008">
        <f t="shared" si="15"/>
        <v>12</v>
      </c>
      <c r="F1008" t="s">
        <v>41</v>
      </c>
      <c r="G1008">
        <v>28139</v>
      </c>
      <c r="H1008">
        <v>1030</v>
      </c>
      <c r="I1008">
        <v>694.93</v>
      </c>
      <c r="J1008">
        <v>66</v>
      </c>
      <c r="K1008" t="s">
        <v>30</v>
      </c>
    </row>
    <row r="1009" spans="1:11" x14ac:dyDescent="0.2">
      <c r="A1009" t="s">
        <v>2094</v>
      </c>
      <c r="B1009" t="s">
        <v>2095</v>
      </c>
      <c r="C1009" s="2">
        <v>45081</v>
      </c>
      <c r="D1009" s="2">
        <v>45097</v>
      </c>
      <c r="E1009">
        <f t="shared" si="15"/>
        <v>16</v>
      </c>
      <c r="F1009" t="s">
        <v>19</v>
      </c>
      <c r="G1009">
        <v>78149</v>
      </c>
      <c r="H1009">
        <v>3283</v>
      </c>
      <c r="I1009">
        <v>2267.39</v>
      </c>
      <c r="J1009">
        <v>226</v>
      </c>
      <c r="K1009">
        <v>1</v>
      </c>
    </row>
    <row r="1010" spans="1:11" x14ac:dyDescent="0.2">
      <c r="A1010" t="s">
        <v>2096</v>
      </c>
      <c r="B1010" t="s">
        <v>2097</v>
      </c>
      <c r="C1010" s="2">
        <v>45023</v>
      </c>
      <c r="D1010" s="2">
        <v>45036</v>
      </c>
      <c r="E1010">
        <f t="shared" si="15"/>
        <v>13</v>
      </c>
      <c r="F1010" t="s">
        <v>19</v>
      </c>
      <c r="G1010">
        <v>57138</v>
      </c>
      <c r="H1010">
        <v>2085</v>
      </c>
      <c r="I1010">
        <v>1634.48</v>
      </c>
      <c r="K1010" t="b">
        <v>1</v>
      </c>
    </row>
    <row r="1011" spans="1:11" x14ac:dyDescent="0.2">
      <c r="A1011" t="s">
        <v>2098</v>
      </c>
      <c r="B1011" t="s">
        <v>2099</v>
      </c>
      <c r="C1011" s="2">
        <v>44954</v>
      </c>
      <c r="D1011" s="2">
        <v>44971</v>
      </c>
      <c r="E1011">
        <f t="shared" si="15"/>
        <v>17</v>
      </c>
      <c r="F1011" t="s">
        <v>41</v>
      </c>
      <c r="G1011">
        <v>77125</v>
      </c>
      <c r="H1011">
        <v>1055</v>
      </c>
      <c r="I1011" s="3">
        <v>1254.3900000000001</v>
      </c>
      <c r="J1011">
        <v>173</v>
      </c>
      <c r="K1011" t="s">
        <v>24</v>
      </c>
    </row>
    <row r="1012" spans="1:11" x14ac:dyDescent="0.2">
      <c r="A1012" t="s">
        <v>2100</v>
      </c>
      <c r="B1012" t="s">
        <v>2101</v>
      </c>
      <c r="C1012" s="2">
        <v>45049</v>
      </c>
      <c r="D1012" s="2">
        <v>45079</v>
      </c>
      <c r="E1012">
        <f t="shared" si="15"/>
        <v>30</v>
      </c>
      <c r="F1012" t="s">
        <v>234</v>
      </c>
      <c r="G1012">
        <v>14918</v>
      </c>
      <c r="H1012">
        <v>505</v>
      </c>
      <c r="I1012">
        <v>822.24</v>
      </c>
      <c r="J1012">
        <v>93</v>
      </c>
      <c r="K1012" t="s">
        <v>24</v>
      </c>
    </row>
    <row r="1013" spans="1:11" x14ac:dyDescent="0.2">
      <c r="A1013" t="s">
        <v>2102</v>
      </c>
      <c r="B1013" t="s">
        <v>2103</v>
      </c>
      <c r="C1013" s="2">
        <v>45182</v>
      </c>
      <c r="D1013" s="2">
        <v>45190</v>
      </c>
      <c r="E1013">
        <f t="shared" si="15"/>
        <v>8</v>
      </c>
      <c r="F1013" t="s">
        <v>33</v>
      </c>
      <c r="G1013">
        <v>86655</v>
      </c>
      <c r="H1013">
        <v>2771</v>
      </c>
      <c r="I1013" s="3">
        <v>5149.37</v>
      </c>
      <c r="J1013">
        <v>414</v>
      </c>
      <c r="K1013" t="s">
        <v>15</v>
      </c>
    </row>
    <row r="1014" spans="1:11" x14ac:dyDescent="0.2">
      <c r="A1014" t="s">
        <v>2104</v>
      </c>
      <c r="B1014" t="s">
        <v>2105</v>
      </c>
      <c r="C1014" s="2">
        <v>44933</v>
      </c>
      <c r="D1014" s="2">
        <v>44963</v>
      </c>
      <c r="E1014">
        <f t="shared" si="15"/>
        <v>30</v>
      </c>
      <c r="F1014" t="s">
        <v>23</v>
      </c>
      <c r="G1014">
        <v>28446</v>
      </c>
      <c r="H1014">
        <v>1308</v>
      </c>
      <c r="I1014">
        <v>2293</v>
      </c>
      <c r="J1014">
        <v>86</v>
      </c>
      <c r="K1014" t="s">
        <v>24</v>
      </c>
    </row>
    <row r="1015" spans="1:11" x14ac:dyDescent="0.2">
      <c r="A1015" t="s">
        <v>2106</v>
      </c>
      <c r="B1015" t="s">
        <v>2107</v>
      </c>
      <c r="C1015" s="2">
        <v>44994</v>
      </c>
      <c r="D1015" s="2">
        <v>45024</v>
      </c>
      <c r="E1015">
        <f t="shared" si="15"/>
        <v>30</v>
      </c>
      <c r="F1015" t="s">
        <v>41</v>
      </c>
      <c r="G1015">
        <v>14046</v>
      </c>
      <c r="H1015">
        <v>367</v>
      </c>
      <c r="I1015">
        <v>291.89</v>
      </c>
      <c r="J1015">
        <v>55</v>
      </c>
      <c r="K1015" t="s">
        <v>30</v>
      </c>
    </row>
    <row r="1016" spans="1:11" x14ac:dyDescent="0.2">
      <c r="A1016" t="s">
        <v>2108</v>
      </c>
      <c r="B1016" t="s">
        <v>2109</v>
      </c>
      <c r="C1016" s="2">
        <v>45137</v>
      </c>
      <c r="D1016" s="2">
        <v>45142</v>
      </c>
      <c r="E1016">
        <f t="shared" si="15"/>
        <v>5</v>
      </c>
      <c r="F1016" t="s">
        <v>33</v>
      </c>
      <c r="G1016">
        <v>25818</v>
      </c>
      <c r="H1016">
        <v>589</v>
      </c>
      <c r="I1016">
        <v>684.26</v>
      </c>
      <c r="J1016">
        <v>85</v>
      </c>
      <c r="K1016">
        <v>0</v>
      </c>
    </row>
    <row r="1017" spans="1:11" x14ac:dyDescent="0.2">
      <c r="A1017" t="s">
        <v>2110</v>
      </c>
      <c r="B1017" t="s">
        <v>2111</v>
      </c>
      <c r="C1017" s="2">
        <v>45168</v>
      </c>
      <c r="D1017" s="2">
        <v>45173</v>
      </c>
      <c r="E1017">
        <f t="shared" si="15"/>
        <v>5</v>
      </c>
      <c r="F1017" t="s">
        <v>234</v>
      </c>
      <c r="G1017">
        <v>5324</v>
      </c>
      <c r="H1017">
        <v>212</v>
      </c>
      <c r="I1017">
        <v>169.41</v>
      </c>
      <c r="J1017">
        <v>36</v>
      </c>
      <c r="K1017" t="s">
        <v>30</v>
      </c>
    </row>
    <row r="1018" spans="1:11" x14ac:dyDescent="0.2">
      <c r="A1018" t="s">
        <v>2112</v>
      </c>
      <c r="B1018" t="s">
        <v>2113</v>
      </c>
      <c r="C1018" s="2">
        <v>44935</v>
      </c>
      <c r="D1018" s="2">
        <v>45174</v>
      </c>
      <c r="E1018">
        <f t="shared" si="15"/>
        <v>239</v>
      </c>
      <c r="F1018" t="s">
        <v>23</v>
      </c>
      <c r="G1018">
        <v>77323</v>
      </c>
      <c r="H1018">
        <v>2049</v>
      </c>
      <c r="I1018">
        <v>1837.35</v>
      </c>
      <c r="K1018" t="s">
        <v>30</v>
      </c>
    </row>
    <row r="1019" spans="1:11" x14ac:dyDescent="0.2">
      <c r="A1019" t="s">
        <v>2114</v>
      </c>
      <c r="B1019" t="s">
        <v>2115</v>
      </c>
      <c r="C1019" s="2">
        <v>45037</v>
      </c>
      <c r="D1019" s="2">
        <v>45038</v>
      </c>
      <c r="E1019">
        <f t="shared" si="15"/>
        <v>1</v>
      </c>
      <c r="F1019" t="s">
        <v>19</v>
      </c>
      <c r="G1019">
        <v>10111</v>
      </c>
      <c r="H1019">
        <v>362</v>
      </c>
      <c r="I1019">
        <v>454.43</v>
      </c>
      <c r="J1019">
        <v>65</v>
      </c>
      <c r="K1019" t="s">
        <v>24</v>
      </c>
    </row>
    <row r="1020" spans="1:11" x14ac:dyDescent="0.2">
      <c r="A1020" t="s">
        <v>2117</v>
      </c>
      <c r="B1020" t="s">
        <v>2118</v>
      </c>
      <c r="C1020" s="2">
        <v>44957</v>
      </c>
      <c r="D1020" s="2">
        <v>44963</v>
      </c>
      <c r="E1020">
        <f t="shared" si="15"/>
        <v>6</v>
      </c>
      <c r="F1020" t="s">
        <v>138</v>
      </c>
      <c r="G1020">
        <v>39110</v>
      </c>
      <c r="H1020">
        <v>1402</v>
      </c>
      <c r="I1020">
        <v>844.23</v>
      </c>
      <c r="J1020">
        <v>157</v>
      </c>
      <c r="K1020" t="b">
        <v>1</v>
      </c>
    </row>
    <row r="1021" spans="1:11" x14ac:dyDescent="0.2">
      <c r="A1021" t="s">
        <v>2119</v>
      </c>
      <c r="B1021" t="s">
        <v>2120</v>
      </c>
      <c r="C1021" s="2">
        <v>45073</v>
      </c>
      <c r="D1021" s="2">
        <v>45076</v>
      </c>
      <c r="E1021">
        <f t="shared" si="15"/>
        <v>3</v>
      </c>
      <c r="F1021" t="s">
        <v>14</v>
      </c>
      <c r="G1021">
        <v>17389</v>
      </c>
      <c r="H1021">
        <v>791</v>
      </c>
      <c r="I1021">
        <v>654.36</v>
      </c>
      <c r="J1021">
        <v>122</v>
      </c>
      <c r="K1021" t="s">
        <v>24</v>
      </c>
    </row>
    <row r="1022" spans="1:11" x14ac:dyDescent="0.2">
      <c r="A1022" t="s">
        <v>2121</v>
      </c>
      <c r="B1022" t="s">
        <v>2122</v>
      </c>
      <c r="C1022" s="2">
        <v>45139</v>
      </c>
      <c r="D1022" s="2">
        <v>45158</v>
      </c>
      <c r="E1022">
        <f t="shared" si="15"/>
        <v>19</v>
      </c>
      <c r="F1022" t="s">
        <v>14</v>
      </c>
      <c r="G1022">
        <v>42427</v>
      </c>
      <c r="H1022">
        <v>1440</v>
      </c>
      <c r="I1022">
        <v>2740.42</v>
      </c>
      <c r="K1022" t="b">
        <v>1</v>
      </c>
    </row>
    <row r="1023" spans="1:11" x14ac:dyDescent="0.2">
      <c r="A1023" t="s">
        <v>2123</v>
      </c>
      <c r="B1023" t="s">
        <v>2124</v>
      </c>
      <c r="C1023" s="2">
        <v>45249</v>
      </c>
      <c r="D1023" s="2">
        <v>45254</v>
      </c>
      <c r="E1023">
        <f t="shared" si="15"/>
        <v>5</v>
      </c>
      <c r="F1023" t="s">
        <v>23</v>
      </c>
      <c r="G1023">
        <v>80579</v>
      </c>
      <c r="H1023">
        <v>2424</v>
      </c>
      <c r="I1023">
        <v>2906.8</v>
      </c>
      <c r="J1023">
        <v>484</v>
      </c>
      <c r="K1023" t="b">
        <v>1</v>
      </c>
    </row>
    <row r="1024" spans="1:11" x14ac:dyDescent="0.2">
      <c r="A1024" t="s">
        <v>2125</v>
      </c>
      <c r="B1024" t="s">
        <v>2126</v>
      </c>
      <c r="C1024" s="2">
        <v>45069</v>
      </c>
      <c r="D1024" s="2">
        <v>45091</v>
      </c>
      <c r="E1024">
        <f t="shared" si="15"/>
        <v>22</v>
      </c>
      <c r="F1024" t="s">
        <v>33</v>
      </c>
      <c r="G1024">
        <v>29746</v>
      </c>
      <c r="H1024">
        <v>462</v>
      </c>
      <c r="I1024" s="3">
        <v>539.65</v>
      </c>
      <c r="J1024">
        <v>35</v>
      </c>
      <c r="K1024" t="b">
        <v>1</v>
      </c>
    </row>
    <row r="1025" spans="1:11" x14ac:dyDescent="0.2">
      <c r="A1025" t="s">
        <v>2128</v>
      </c>
      <c r="B1025" t="s">
        <v>2129</v>
      </c>
      <c r="C1025" s="2">
        <v>44967</v>
      </c>
      <c r="D1025" s="2">
        <v>44974</v>
      </c>
      <c r="E1025">
        <f t="shared" si="15"/>
        <v>7</v>
      </c>
      <c r="F1025" t="s">
        <v>14</v>
      </c>
      <c r="G1025">
        <v>88886</v>
      </c>
      <c r="H1025">
        <v>1300</v>
      </c>
      <c r="I1025">
        <v>678.41</v>
      </c>
      <c r="J1025">
        <v>66</v>
      </c>
      <c r="K1025">
        <v>1</v>
      </c>
    </row>
    <row r="1026" spans="1:11" x14ac:dyDescent="0.2">
      <c r="A1026" t="s">
        <v>2130</v>
      </c>
      <c r="B1026" t="s">
        <v>2131</v>
      </c>
      <c r="C1026" s="2">
        <v>45006</v>
      </c>
      <c r="D1026" s="2">
        <v>45021</v>
      </c>
      <c r="E1026">
        <f t="shared" ref="E1026:E1089" si="16">D1026-C1026</f>
        <v>15</v>
      </c>
      <c r="F1026" t="s">
        <v>14</v>
      </c>
      <c r="G1026">
        <v>1117</v>
      </c>
      <c r="H1026">
        <v>18</v>
      </c>
      <c r="I1026">
        <v>15.68</v>
      </c>
      <c r="J1026">
        <v>1</v>
      </c>
      <c r="K1026" t="b">
        <v>0</v>
      </c>
    </row>
    <row r="1027" spans="1:11" x14ac:dyDescent="0.2">
      <c r="A1027" t="s">
        <v>2132</v>
      </c>
      <c r="B1027" t="s">
        <v>2133</v>
      </c>
      <c r="C1027" s="2">
        <v>45251</v>
      </c>
      <c r="D1027" s="2">
        <v>45273</v>
      </c>
      <c r="E1027">
        <f t="shared" si="16"/>
        <v>22</v>
      </c>
      <c r="F1027" t="s">
        <v>41</v>
      </c>
      <c r="G1027">
        <v>85471</v>
      </c>
      <c r="H1027">
        <v>1442</v>
      </c>
      <c r="I1027">
        <v>2594.79</v>
      </c>
      <c r="J1027">
        <v>239</v>
      </c>
      <c r="K1027" t="s">
        <v>24</v>
      </c>
    </row>
    <row r="1028" spans="1:11" x14ac:dyDescent="0.2">
      <c r="A1028" t="s">
        <v>2134</v>
      </c>
      <c r="B1028" t="s">
        <v>2135</v>
      </c>
      <c r="C1028" s="2">
        <v>45256</v>
      </c>
      <c r="D1028" s="2">
        <v>45274</v>
      </c>
      <c r="E1028">
        <f t="shared" si="16"/>
        <v>18</v>
      </c>
      <c r="F1028" t="s">
        <v>23</v>
      </c>
      <c r="G1028">
        <v>14234</v>
      </c>
      <c r="H1028">
        <v>505</v>
      </c>
      <c r="I1028" s="3">
        <v>377.21</v>
      </c>
      <c r="J1028">
        <v>59</v>
      </c>
      <c r="K1028">
        <v>1</v>
      </c>
    </row>
    <row r="1029" spans="1:11" x14ac:dyDescent="0.2">
      <c r="A1029" t="s">
        <v>2137</v>
      </c>
      <c r="B1029" t="s">
        <v>2138</v>
      </c>
      <c r="C1029" s="2">
        <v>45284</v>
      </c>
      <c r="D1029" s="2">
        <v>45296</v>
      </c>
      <c r="E1029">
        <f t="shared" si="16"/>
        <v>12</v>
      </c>
      <c r="F1029" t="s">
        <v>14</v>
      </c>
      <c r="G1029">
        <v>54441</v>
      </c>
      <c r="H1029">
        <v>2158</v>
      </c>
      <c r="I1029" s="3">
        <v>2422.7600000000002</v>
      </c>
      <c r="J1029">
        <v>252</v>
      </c>
      <c r="K1029" t="s">
        <v>30</v>
      </c>
    </row>
    <row r="1030" spans="1:11" x14ac:dyDescent="0.2">
      <c r="A1030" t="s">
        <v>2139</v>
      </c>
      <c r="B1030" t="s">
        <v>2140</v>
      </c>
      <c r="C1030" s="2">
        <v>44985</v>
      </c>
      <c r="D1030" s="2">
        <v>44990</v>
      </c>
      <c r="E1030">
        <f t="shared" si="16"/>
        <v>5</v>
      </c>
      <c r="F1030" t="s">
        <v>14</v>
      </c>
      <c r="G1030">
        <v>1846</v>
      </c>
      <c r="H1030">
        <v>57</v>
      </c>
      <c r="I1030">
        <v>29.73</v>
      </c>
      <c r="K1030">
        <v>1</v>
      </c>
    </row>
    <row r="1031" spans="1:11" x14ac:dyDescent="0.2">
      <c r="A1031" t="s">
        <v>2141</v>
      </c>
      <c r="B1031" t="s">
        <v>2142</v>
      </c>
      <c r="C1031" s="2">
        <v>44971</v>
      </c>
      <c r="D1031" s="2">
        <v>44980</v>
      </c>
      <c r="E1031">
        <f t="shared" si="16"/>
        <v>9</v>
      </c>
      <c r="F1031" t="s">
        <v>19</v>
      </c>
      <c r="G1031">
        <v>11954</v>
      </c>
      <c r="H1031">
        <v>515</v>
      </c>
      <c r="I1031">
        <v>627.01</v>
      </c>
      <c r="J1031">
        <v>96</v>
      </c>
      <c r="K1031" t="s">
        <v>15</v>
      </c>
    </row>
    <row r="1032" spans="1:11" x14ac:dyDescent="0.2">
      <c r="A1032" t="s">
        <v>2143</v>
      </c>
      <c r="B1032" t="s">
        <v>2144</v>
      </c>
      <c r="C1032" s="2">
        <v>45240</v>
      </c>
      <c r="D1032" s="2">
        <v>45256</v>
      </c>
      <c r="E1032">
        <f t="shared" si="16"/>
        <v>16</v>
      </c>
      <c r="F1032" t="s">
        <v>14</v>
      </c>
      <c r="G1032">
        <v>80239</v>
      </c>
      <c r="H1032">
        <v>3983</v>
      </c>
      <c r="I1032">
        <v>2117.09</v>
      </c>
      <c r="J1032">
        <v>385</v>
      </c>
      <c r="K1032">
        <v>0</v>
      </c>
    </row>
    <row r="1033" spans="1:11" x14ac:dyDescent="0.2">
      <c r="A1033" t="s">
        <v>2145</v>
      </c>
      <c r="B1033" t="s">
        <v>2146</v>
      </c>
      <c r="C1033" s="2">
        <v>45263</v>
      </c>
      <c r="D1033" s="2">
        <v>45266</v>
      </c>
      <c r="E1033">
        <f t="shared" si="16"/>
        <v>3</v>
      </c>
      <c r="F1033" t="s">
        <v>19</v>
      </c>
      <c r="G1033">
        <v>47514</v>
      </c>
      <c r="H1033">
        <v>2033</v>
      </c>
      <c r="I1033">
        <v>3515.9</v>
      </c>
      <c r="J1033">
        <v>165</v>
      </c>
      <c r="K1033" t="b">
        <v>1</v>
      </c>
    </row>
    <row r="1034" spans="1:11" x14ac:dyDescent="0.2">
      <c r="A1034" t="s">
        <v>2147</v>
      </c>
      <c r="B1034" t="s">
        <v>2148</v>
      </c>
      <c r="C1034" s="2">
        <v>45289</v>
      </c>
      <c r="D1034" s="2">
        <v>45315</v>
      </c>
      <c r="E1034">
        <f t="shared" si="16"/>
        <v>26</v>
      </c>
      <c r="F1034" t="s">
        <v>19</v>
      </c>
      <c r="G1034">
        <v>89236</v>
      </c>
      <c r="H1034">
        <v>3372</v>
      </c>
      <c r="I1034">
        <v>5858.11</v>
      </c>
      <c r="J1034">
        <v>597</v>
      </c>
      <c r="K1034" t="s">
        <v>24</v>
      </c>
    </row>
    <row r="1035" spans="1:11" x14ac:dyDescent="0.2">
      <c r="A1035" t="s">
        <v>2149</v>
      </c>
      <c r="B1035" t="s">
        <v>2150</v>
      </c>
      <c r="C1035" s="2">
        <v>45181</v>
      </c>
      <c r="D1035" s="2">
        <v>45203</v>
      </c>
      <c r="E1035">
        <f t="shared" si="16"/>
        <v>22</v>
      </c>
      <c r="F1035" t="s">
        <v>41</v>
      </c>
      <c r="G1035">
        <v>98579</v>
      </c>
      <c r="H1035">
        <v>3085</v>
      </c>
      <c r="I1035">
        <v>5187.78</v>
      </c>
      <c r="J1035">
        <v>573</v>
      </c>
      <c r="K1035" t="s">
        <v>15</v>
      </c>
    </row>
    <row r="1036" spans="1:11" x14ac:dyDescent="0.2">
      <c r="A1036" t="s">
        <v>2151</v>
      </c>
      <c r="B1036" t="s">
        <v>2152</v>
      </c>
      <c r="C1036" s="2">
        <v>45059</v>
      </c>
      <c r="D1036" s="2">
        <v>45065</v>
      </c>
      <c r="E1036">
        <f t="shared" si="16"/>
        <v>6</v>
      </c>
      <c r="F1036" t="s">
        <v>19</v>
      </c>
      <c r="G1036">
        <v>7469</v>
      </c>
      <c r="H1036">
        <v>208</v>
      </c>
      <c r="I1036">
        <v>192.41</v>
      </c>
      <c r="J1036">
        <v>27</v>
      </c>
      <c r="K1036" t="s">
        <v>24</v>
      </c>
    </row>
    <row r="1037" spans="1:11" x14ac:dyDescent="0.2">
      <c r="A1037" t="s">
        <v>2153</v>
      </c>
      <c r="B1037" t="s">
        <v>2154</v>
      </c>
      <c r="C1037" s="2">
        <v>45064</v>
      </c>
      <c r="D1037" s="2">
        <v>45083</v>
      </c>
      <c r="E1037">
        <f t="shared" si="16"/>
        <v>19</v>
      </c>
      <c r="F1037" t="s">
        <v>19</v>
      </c>
      <c r="G1037">
        <v>31105</v>
      </c>
      <c r="H1037">
        <v>416</v>
      </c>
      <c r="I1037">
        <v>730.44</v>
      </c>
      <c r="J1037">
        <v>60</v>
      </c>
      <c r="K1037">
        <v>0</v>
      </c>
    </row>
    <row r="1038" spans="1:11" x14ac:dyDescent="0.2">
      <c r="A1038" t="s">
        <v>2155</v>
      </c>
      <c r="B1038" t="s">
        <v>2156</v>
      </c>
      <c r="C1038" s="2">
        <v>44942</v>
      </c>
      <c r="D1038" s="2">
        <v>44956</v>
      </c>
      <c r="E1038">
        <f t="shared" si="16"/>
        <v>14</v>
      </c>
      <c r="F1038" t="s">
        <v>23</v>
      </c>
      <c r="G1038">
        <v>43101</v>
      </c>
      <c r="H1038">
        <v>1119</v>
      </c>
      <c r="I1038">
        <v>1470.92</v>
      </c>
      <c r="J1038">
        <v>99</v>
      </c>
      <c r="K1038" t="s">
        <v>15</v>
      </c>
    </row>
    <row r="1039" spans="1:11" x14ac:dyDescent="0.2">
      <c r="A1039" t="s">
        <v>2157</v>
      </c>
      <c r="B1039" t="s">
        <v>2158</v>
      </c>
      <c r="C1039" s="2">
        <v>45195</v>
      </c>
      <c r="D1039" s="2">
        <v>45199</v>
      </c>
      <c r="E1039">
        <f t="shared" si="16"/>
        <v>4</v>
      </c>
      <c r="F1039" t="s">
        <v>19</v>
      </c>
      <c r="G1039">
        <v>65323</v>
      </c>
      <c r="H1039">
        <v>3031</v>
      </c>
      <c r="I1039">
        <v>3215.02</v>
      </c>
      <c r="J1039">
        <v>515</v>
      </c>
      <c r="K1039" t="s">
        <v>24</v>
      </c>
    </row>
    <row r="1040" spans="1:11" x14ac:dyDescent="0.2">
      <c r="A1040" t="s">
        <v>2160</v>
      </c>
      <c r="B1040" t="s">
        <v>2161</v>
      </c>
      <c r="C1040" s="2">
        <v>45291</v>
      </c>
      <c r="D1040" s="2">
        <v>45309</v>
      </c>
      <c r="E1040">
        <f t="shared" si="16"/>
        <v>18</v>
      </c>
      <c r="F1040" t="s">
        <v>23</v>
      </c>
      <c r="G1040">
        <v>92922</v>
      </c>
      <c r="H1040">
        <v>3932</v>
      </c>
      <c r="I1040">
        <v>5654.2</v>
      </c>
      <c r="J1040">
        <v>569</v>
      </c>
      <c r="K1040" t="s">
        <v>30</v>
      </c>
    </row>
    <row r="1041" spans="1:11" x14ac:dyDescent="0.2">
      <c r="A1041" t="s">
        <v>2162</v>
      </c>
      <c r="B1041" t="s">
        <v>2163</v>
      </c>
      <c r="C1041" s="2">
        <v>45181</v>
      </c>
      <c r="D1041" s="2">
        <v>45183</v>
      </c>
      <c r="E1041">
        <f t="shared" si="16"/>
        <v>2</v>
      </c>
      <c r="F1041" t="s">
        <v>14</v>
      </c>
      <c r="G1041">
        <v>59067</v>
      </c>
      <c r="H1041">
        <v>1101</v>
      </c>
      <c r="I1041">
        <v>570.88</v>
      </c>
      <c r="J1041">
        <v>138</v>
      </c>
      <c r="K1041" t="b">
        <v>1</v>
      </c>
    </row>
    <row r="1042" spans="1:11" x14ac:dyDescent="0.2">
      <c r="A1042" t="s">
        <v>2164</v>
      </c>
      <c r="B1042" t="s">
        <v>2165</v>
      </c>
      <c r="C1042" s="2">
        <v>45182</v>
      </c>
      <c r="D1042" s="2">
        <v>45190</v>
      </c>
      <c r="E1042">
        <f t="shared" si="16"/>
        <v>8</v>
      </c>
      <c r="F1042" t="s">
        <v>19</v>
      </c>
      <c r="G1042">
        <v>50376</v>
      </c>
      <c r="H1042">
        <v>1443</v>
      </c>
      <c r="I1042">
        <v>1030.94</v>
      </c>
      <c r="J1042">
        <v>85</v>
      </c>
      <c r="K1042" t="s">
        <v>15</v>
      </c>
    </row>
    <row r="1043" spans="1:11" x14ac:dyDescent="0.2">
      <c r="A1043" t="s">
        <v>2166</v>
      </c>
      <c r="B1043" t="s">
        <v>2167</v>
      </c>
      <c r="C1043" s="2">
        <v>45007</v>
      </c>
      <c r="D1043" s="2">
        <v>45014</v>
      </c>
      <c r="E1043">
        <f t="shared" si="16"/>
        <v>7</v>
      </c>
      <c r="F1043" t="s">
        <v>23</v>
      </c>
      <c r="G1043">
        <v>46587</v>
      </c>
      <c r="H1043">
        <v>1987</v>
      </c>
      <c r="I1043">
        <v>3205.91</v>
      </c>
      <c r="J1043">
        <v>372</v>
      </c>
      <c r="K1043" t="s">
        <v>30</v>
      </c>
    </row>
    <row r="1044" spans="1:11" x14ac:dyDescent="0.2">
      <c r="A1044" t="s">
        <v>2168</v>
      </c>
      <c r="B1044" t="s">
        <v>2169</v>
      </c>
      <c r="C1044" s="2">
        <v>45220</v>
      </c>
      <c r="D1044" s="2">
        <v>45225</v>
      </c>
      <c r="E1044">
        <f t="shared" si="16"/>
        <v>5</v>
      </c>
      <c r="F1044" t="s">
        <v>138</v>
      </c>
      <c r="G1044">
        <v>37976</v>
      </c>
      <c r="H1044">
        <v>482</v>
      </c>
      <c r="I1044">
        <v>417.53</v>
      </c>
      <c r="J1044">
        <v>68</v>
      </c>
      <c r="K1044" t="b">
        <v>1</v>
      </c>
    </row>
    <row r="1045" spans="1:11" x14ac:dyDescent="0.2">
      <c r="A1045" t="s">
        <v>2170</v>
      </c>
      <c r="B1045" t="s">
        <v>2171</v>
      </c>
      <c r="C1045" s="2">
        <v>45187</v>
      </c>
      <c r="D1045" s="2">
        <v>45197</v>
      </c>
      <c r="E1045">
        <f t="shared" si="16"/>
        <v>10</v>
      </c>
      <c r="F1045" t="s">
        <v>33</v>
      </c>
      <c r="G1045">
        <v>68584</v>
      </c>
      <c r="H1045">
        <v>1748</v>
      </c>
      <c r="I1045">
        <v>2441.98</v>
      </c>
      <c r="J1045">
        <v>137</v>
      </c>
      <c r="K1045" t="b">
        <v>0</v>
      </c>
    </row>
    <row r="1046" spans="1:11" x14ac:dyDescent="0.2">
      <c r="A1046" t="s">
        <v>2173</v>
      </c>
      <c r="B1046" t="s">
        <v>2174</v>
      </c>
      <c r="C1046" s="2">
        <v>44933</v>
      </c>
      <c r="D1046" s="2">
        <v>44938</v>
      </c>
      <c r="E1046">
        <f t="shared" si="16"/>
        <v>5</v>
      </c>
      <c r="F1046" t="s">
        <v>23</v>
      </c>
      <c r="G1046">
        <v>79477</v>
      </c>
      <c r="H1046">
        <v>3502</v>
      </c>
      <c r="I1046" s="3">
        <v>3773.94</v>
      </c>
      <c r="J1046">
        <v>493</v>
      </c>
      <c r="K1046" t="s">
        <v>30</v>
      </c>
    </row>
    <row r="1047" spans="1:11" x14ac:dyDescent="0.2">
      <c r="A1047" t="s">
        <v>2175</v>
      </c>
      <c r="B1047" t="s">
        <v>2176</v>
      </c>
      <c r="C1047" s="2">
        <v>45123</v>
      </c>
      <c r="D1047" s="2">
        <v>45147</v>
      </c>
      <c r="E1047">
        <f t="shared" si="16"/>
        <v>24</v>
      </c>
      <c r="F1047" t="s">
        <v>23</v>
      </c>
      <c r="G1047">
        <v>43533</v>
      </c>
      <c r="H1047">
        <v>1138</v>
      </c>
      <c r="I1047">
        <v>2028.15</v>
      </c>
      <c r="J1047">
        <v>172</v>
      </c>
      <c r="K1047">
        <v>1</v>
      </c>
    </row>
    <row r="1048" spans="1:11" x14ac:dyDescent="0.2">
      <c r="A1048" t="s">
        <v>2177</v>
      </c>
      <c r="B1048" t="s">
        <v>2178</v>
      </c>
      <c r="C1048" s="2">
        <v>44945</v>
      </c>
      <c r="D1048" s="2">
        <v>44968</v>
      </c>
      <c r="E1048">
        <f t="shared" si="16"/>
        <v>23</v>
      </c>
      <c r="F1048" t="s">
        <v>14</v>
      </c>
      <c r="G1048">
        <v>2828</v>
      </c>
      <c r="H1048">
        <v>37</v>
      </c>
      <c r="I1048" s="3">
        <v>71.36</v>
      </c>
      <c r="J1048">
        <v>4</v>
      </c>
      <c r="K1048" t="s">
        <v>24</v>
      </c>
    </row>
    <row r="1049" spans="1:11" x14ac:dyDescent="0.2">
      <c r="A1049" t="s">
        <v>2179</v>
      </c>
      <c r="B1049" t="s">
        <v>2180</v>
      </c>
      <c r="C1049" s="2">
        <v>45262</v>
      </c>
      <c r="D1049" s="2">
        <v>45275</v>
      </c>
      <c r="E1049">
        <f t="shared" si="16"/>
        <v>13</v>
      </c>
      <c r="F1049" t="s">
        <v>14</v>
      </c>
      <c r="G1049">
        <v>2917</v>
      </c>
      <c r="H1049">
        <v>92</v>
      </c>
      <c r="I1049">
        <v>167.93</v>
      </c>
      <c r="J1049">
        <v>14</v>
      </c>
      <c r="K1049" t="b">
        <v>1</v>
      </c>
    </row>
    <row r="1050" spans="1:11" x14ac:dyDescent="0.2">
      <c r="A1050" t="s">
        <v>2181</v>
      </c>
      <c r="B1050" t="s">
        <v>2182</v>
      </c>
      <c r="C1050" s="2">
        <v>45140</v>
      </c>
      <c r="D1050" s="2">
        <v>45141</v>
      </c>
      <c r="E1050">
        <f t="shared" si="16"/>
        <v>1</v>
      </c>
      <c r="F1050" t="s">
        <v>19</v>
      </c>
      <c r="G1050">
        <v>21618</v>
      </c>
      <c r="H1050">
        <v>961</v>
      </c>
      <c r="I1050">
        <v>870.6</v>
      </c>
      <c r="J1050">
        <v>131</v>
      </c>
      <c r="K1050" t="s">
        <v>15</v>
      </c>
    </row>
    <row r="1051" spans="1:11" x14ac:dyDescent="0.2">
      <c r="A1051" t="s">
        <v>2183</v>
      </c>
      <c r="B1051" t="s">
        <v>2184</v>
      </c>
      <c r="C1051" s="2">
        <v>44966</v>
      </c>
      <c r="D1051" s="2">
        <v>44978</v>
      </c>
      <c r="E1051">
        <f t="shared" si="16"/>
        <v>12</v>
      </c>
      <c r="F1051" t="s">
        <v>33</v>
      </c>
      <c r="G1051">
        <v>33254</v>
      </c>
      <c r="H1051">
        <v>1117</v>
      </c>
      <c r="I1051">
        <v>883.82</v>
      </c>
      <c r="J1051">
        <v>214</v>
      </c>
      <c r="K1051">
        <v>0</v>
      </c>
    </row>
    <row r="1052" spans="1:11" x14ac:dyDescent="0.2">
      <c r="A1052" t="s">
        <v>2185</v>
      </c>
      <c r="B1052" t="s">
        <v>2186</v>
      </c>
      <c r="C1052" s="2">
        <v>45271</v>
      </c>
      <c r="D1052" s="2">
        <v>45273</v>
      </c>
      <c r="E1052">
        <f t="shared" si="16"/>
        <v>2</v>
      </c>
      <c r="F1052" t="s">
        <v>23</v>
      </c>
      <c r="G1052">
        <v>48362</v>
      </c>
      <c r="H1052">
        <v>921</v>
      </c>
      <c r="I1052" s="3">
        <v>1115.93</v>
      </c>
      <c r="J1052">
        <v>53</v>
      </c>
      <c r="K1052" t="s">
        <v>15</v>
      </c>
    </row>
    <row r="1053" spans="1:11" x14ac:dyDescent="0.2">
      <c r="A1053" t="s">
        <v>2187</v>
      </c>
      <c r="B1053" t="s">
        <v>2188</v>
      </c>
      <c r="C1053" s="2">
        <v>45191</v>
      </c>
      <c r="D1053" s="2">
        <v>45208</v>
      </c>
      <c r="E1053">
        <f t="shared" si="16"/>
        <v>17</v>
      </c>
      <c r="F1053" t="s">
        <v>41</v>
      </c>
      <c r="G1053">
        <v>21128</v>
      </c>
      <c r="H1053">
        <v>536</v>
      </c>
      <c r="I1053">
        <v>273.89999999999998</v>
      </c>
      <c r="J1053">
        <v>35</v>
      </c>
      <c r="K1053">
        <v>1</v>
      </c>
    </row>
    <row r="1054" spans="1:11" x14ac:dyDescent="0.2">
      <c r="A1054" t="s">
        <v>2189</v>
      </c>
      <c r="B1054" t="s">
        <v>2190</v>
      </c>
      <c r="C1054" s="2">
        <v>44962</v>
      </c>
      <c r="D1054" s="2">
        <v>44988</v>
      </c>
      <c r="E1054">
        <f t="shared" si="16"/>
        <v>26</v>
      </c>
      <c r="F1054" t="s">
        <v>19</v>
      </c>
      <c r="G1054">
        <v>60383</v>
      </c>
      <c r="H1054">
        <v>1691</v>
      </c>
      <c r="I1054">
        <v>910.97</v>
      </c>
      <c r="J1054">
        <v>128</v>
      </c>
      <c r="K1054" t="s">
        <v>24</v>
      </c>
    </row>
    <row r="1055" spans="1:11" x14ac:dyDescent="0.2">
      <c r="A1055" t="s">
        <v>2191</v>
      </c>
      <c r="B1055" t="s">
        <v>2192</v>
      </c>
      <c r="C1055" s="2">
        <v>45086</v>
      </c>
      <c r="D1055" s="2">
        <v>45087</v>
      </c>
      <c r="E1055">
        <f t="shared" si="16"/>
        <v>1</v>
      </c>
      <c r="F1055" t="s">
        <v>41</v>
      </c>
      <c r="G1055">
        <v>66545</v>
      </c>
      <c r="H1055">
        <v>2207</v>
      </c>
      <c r="I1055">
        <v>2935.17</v>
      </c>
      <c r="J1055">
        <v>338</v>
      </c>
      <c r="K1055">
        <v>1</v>
      </c>
    </row>
    <row r="1056" spans="1:11" x14ac:dyDescent="0.2">
      <c r="A1056" t="s">
        <v>2193</v>
      </c>
      <c r="B1056" t="s">
        <v>2194</v>
      </c>
      <c r="C1056" s="2">
        <v>44931</v>
      </c>
      <c r="D1056" s="2">
        <v>44935</v>
      </c>
      <c r="E1056">
        <f t="shared" si="16"/>
        <v>4</v>
      </c>
      <c r="F1056" t="s">
        <v>41</v>
      </c>
      <c r="G1056">
        <v>83180</v>
      </c>
      <c r="H1056">
        <v>3358</v>
      </c>
      <c r="I1056" s="3">
        <v>4300.5</v>
      </c>
      <c r="J1056">
        <v>493</v>
      </c>
      <c r="K1056" t="s">
        <v>15</v>
      </c>
    </row>
    <row r="1057" spans="1:11" x14ac:dyDescent="0.2">
      <c r="A1057" t="s">
        <v>2195</v>
      </c>
      <c r="B1057" t="s">
        <v>2196</v>
      </c>
      <c r="C1057" s="2">
        <v>45082</v>
      </c>
      <c r="D1057" s="2">
        <v>45099</v>
      </c>
      <c r="E1057">
        <f t="shared" si="16"/>
        <v>17</v>
      </c>
      <c r="F1057" t="s">
        <v>33</v>
      </c>
      <c r="G1057">
        <v>88958</v>
      </c>
      <c r="H1057">
        <v>1241</v>
      </c>
      <c r="I1057">
        <v>2471.91</v>
      </c>
      <c r="J1057">
        <v>228</v>
      </c>
      <c r="K1057" t="s">
        <v>24</v>
      </c>
    </row>
    <row r="1058" spans="1:11" x14ac:dyDescent="0.2">
      <c r="A1058" t="s">
        <v>2197</v>
      </c>
      <c r="B1058" t="s">
        <v>2198</v>
      </c>
      <c r="C1058" s="2">
        <v>45115</v>
      </c>
      <c r="D1058" s="2">
        <v>45137</v>
      </c>
      <c r="E1058">
        <f t="shared" si="16"/>
        <v>22</v>
      </c>
      <c r="F1058" t="s">
        <v>14</v>
      </c>
      <c r="G1058">
        <v>10865</v>
      </c>
      <c r="H1058">
        <v>495</v>
      </c>
      <c r="I1058" s="3">
        <v>397.37</v>
      </c>
      <c r="J1058">
        <v>79</v>
      </c>
      <c r="K1058">
        <v>0</v>
      </c>
    </row>
    <row r="1059" spans="1:11" x14ac:dyDescent="0.2">
      <c r="A1059" t="s">
        <v>2199</v>
      </c>
      <c r="B1059" t="s">
        <v>2200</v>
      </c>
      <c r="C1059" s="2">
        <v>45027</v>
      </c>
      <c r="D1059" s="2">
        <v>45036</v>
      </c>
      <c r="E1059">
        <f t="shared" si="16"/>
        <v>9</v>
      </c>
      <c r="F1059" t="s">
        <v>19</v>
      </c>
      <c r="G1059">
        <v>3219</v>
      </c>
      <c r="H1059">
        <v>33</v>
      </c>
      <c r="I1059">
        <v>29.28</v>
      </c>
      <c r="J1059">
        <v>4</v>
      </c>
      <c r="K1059" t="b">
        <v>1</v>
      </c>
    </row>
    <row r="1060" spans="1:11" x14ac:dyDescent="0.2">
      <c r="A1060" t="s">
        <v>2201</v>
      </c>
      <c r="B1060" t="s">
        <v>2202</v>
      </c>
      <c r="C1060" s="2">
        <v>45052</v>
      </c>
      <c r="D1060" s="2">
        <v>45071</v>
      </c>
      <c r="E1060">
        <f t="shared" si="16"/>
        <v>19</v>
      </c>
      <c r="F1060" t="s">
        <v>41</v>
      </c>
      <c r="G1060">
        <v>40809</v>
      </c>
      <c r="H1060">
        <v>1012</v>
      </c>
      <c r="I1060">
        <v>678.35</v>
      </c>
      <c r="J1060">
        <v>201</v>
      </c>
      <c r="K1060" t="s">
        <v>24</v>
      </c>
    </row>
    <row r="1061" spans="1:11" x14ac:dyDescent="0.2">
      <c r="A1061" t="s">
        <v>2203</v>
      </c>
      <c r="B1061" t="s">
        <v>2204</v>
      </c>
      <c r="C1061" s="2">
        <v>44939</v>
      </c>
      <c r="D1061" s="2">
        <v>44956</v>
      </c>
      <c r="E1061">
        <f t="shared" si="16"/>
        <v>17</v>
      </c>
      <c r="F1061" t="s">
        <v>19</v>
      </c>
      <c r="G1061">
        <v>6287</v>
      </c>
      <c r="H1061">
        <v>69</v>
      </c>
      <c r="I1061">
        <v>129.47</v>
      </c>
      <c r="J1061">
        <v>6</v>
      </c>
      <c r="K1061" t="s">
        <v>30</v>
      </c>
    </row>
    <row r="1062" spans="1:11" x14ac:dyDescent="0.2">
      <c r="A1062" t="s">
        <v>2205</v>
      </c>
      <c r="B1062" t="s">
        <v>2206</v>
      </c>
      <c r="C1062" s="2">
        <v>45282</v>
      </c>
      <c r="D1062" s="2">
        <v>45283</v>
      </c>
      <c r="E1062">
        <f t="shared" si="16"/>
        <v>1</v>
      </c>
      <c r="F1062" t="s">
        <v>19</v>
      </c>
      <c r="G1062">
        <v>35387</v>
      </c>
      <c r="H1062">
        <v>910</v>
      </c>
      <c r="I1062">
        <v>1516.71</v>
      </c>
      <c r="J1062">
        <v>159</v>
      </c>
      <c r="K1062" t="s">
        <v>24</v>
      </c>
    </row>
    <row r="1063" spans="1:11" x14ac:dyDescent="0.2">
      <c r="A1063" t="s">
        <v>2207</v>
      </c>
      <c r="B1063" t="s">
        <v>2208</v>
      </c>
      <c r="C1063" s="2">
        <v>44927</v>
      </c>
      <c r="D1063" s="2">
        <v>44937</v>
      </c>
      <c r="E1063">
        <f t="shared" si="16"/>
        <v>10</v>
      </c>
      <c r="F1063" t="s">
        <v>14</v>
      </c>
      <c r="G1063">
        <v>9512</v>
      </c>
      <c r="H1063">
        <v>295</v>
      </c>
      <c r="I1063">
        <v>511.39</v>
      </c>
      <c r="J1063">
        <v>33</v>
      </c>
      <c r="K1063">
        <v>1</v>
      </c>
    </row>
    <row r="1064" spans="1:11" x14ac:dyDescent="0.2">
      <c r="A1064" t="s">
        <v>2209</v>
      </c>
      <c r="B1064" t="s">
        <v>2210</v>
      </c>
      <c r="C1064" s="2">
        <v>45084</v>
      </c>
      <c r="D1064" s="2">
        <v>45113</v>
      </c>
      <c r="E1064">
        <f t="shared" si="16"/>
        <v>29</v>
      </c>
      <c r="F1064" t="s">
        <v>41</v>
      </c>
      <c r="G1064">
        <v>2342</v>
      </c>
      <c r="H1064">
        <v>71</v>
      </c>
      <c r="I1064">
        <v>131.63999999999999</v>
      </c>
      <c r="J1064">
        <v>10</v>
      </c>
      <c r="K1064">
        <v>1</v>
      </c>
    </row>
    <row r="1065" spans="1:11" x14ac:dyDescent="0.2">
      <c r="A1065" t="s">
        <v>2211</v>
      </c>
      <c r="B1065" t="s">
        <v>2212</v>
      </c>
      <c r="C1065" s="2">
        <v>45048</v>
      </c>
      <c r="D1065" s="2">
        <v>45074</v>
      </c>
      <c r="E1065">
        <f t="shared" si="16"/>
        <v>26</v>
      </c>
      <c r="F1065" t="s">
        <v>19</v>
      </c>
      <c r="G1065">
        <v>64076</v>
      </c>
      <c r="H1065">
        <v>1065</v>
      </c>
      <c r="I1065">
        <v>1371.03</v>
      </c>
      <c r="J1065">
        <v>169</v>
      </c>
      <c r="K1065">
        <v>1</v>
      </c>
    </row>
    <row r="1066" spans="1:11" x14ac:dyDescent="0.2">
      <c r="A1066" t="s">
        <v>2213</v>
      </c>
      <c r="B1066" t="s">
        <v>2214</v>
      </c>
      <c r="C1066" s="2">
        <v>44999</v>
      </c>
      <c r="D1066" s="2">
        <v>45004</v>
      </c>
      <c r="E1066">
        <f t="shared" si="16"/>
        <v>5</v>
      </c>
      <c r="F1066" t="s">
        <v>33</v>
      </c>
      <c r="G1066">
        <v>20216</v>
      </c>
      <c r="H1066">
        <v>724</v>
      </c>
      <c r="I1066" s="3">
        <v>852</v>
      </c>
      <c r="J1066">
        <v>105</v>
      </c>
      <c r="K1066">
        <v>0</v>
      </c>
    </row>
    <row r="1067" spans="1:11" x14ac:dyDescent="0.2">
      <c r="A1067" t="s">
        <v>2215</v>
      </c>
      <c r="B1067" t="s">
        <v>2216</v>
      </c>
      <c r="C1067" s="2">
        <v>45045</v>
      </c>
      <c r="D1067" s="2">
        <v>45056</v>
      </c>
      <c r="E1067">
        <f t="shared" si="16"/>
        <v>11</v>
      </c>
      <c r="F1067" t="s">
        <v>23</v>
      </c>
      <c r="G1067">
        <v>94070</v>
      </c>
      <c r="H1067">
        <v>1109</v>
      </c>
      <c r="I1067">
        <v>1104.1099999999999</v>
      </c>
      <c r="J1067">
        <v>78</v>
      </c>
      <c r="K1067" t="s">
        <v>24</v>
      </c>
    </row>
    <row r="1068" spans="1:11" x14ac:dyDescent="0.2">
      <c r="A1068" t="s">
        <v>2217</v>
      </c>
      <c r="B1068" t="s">
        <v>2218</v>
      </c>
      <c r="C1068" s="2">
        <v>45285</v>
      </c>
      <c r="D1068" s="2">
        <v>45315</v>
      </c>
      <c r="E1068">
        <f t="shared" si="16"/>
        <v>30</v>
      </c>
      <c r="F1068" t="s">
        <v>23</v>
      </c>
      <c r="G1068">
        <v>80767</v>
      </c>
      <c r="H1068">
        <v>3269</v>
      </c>
      <c r="I1068">
        <v>4523.71</v>
      </c>
      <c r="J1068">
        <v>380</v>
      </c>
      <c r="K1068" t="s">
        <v>24</v>
      </c>
    </row>
    <row r="1069" spans="1:11" x14ac:dyDescent="0.2">
      <c r="A1069" t="s">
        <v>2219</v>
      </c>
      <c r="B1069" t="s">
        <v>2220</v>
      </c>
      <c r="C1069" s="2">
        <v>44970</v>
      </c>
      <c r="D1069" s="2">
        <v>44978</v>
      </c>
      <c r="E1069">
        <f t="shared" si="16"/>
        <v>8</v>
      </c>
      <c r="F1069" t="s">
        <v>14</v>
      </c>
      <c r="G1069">
        <v>98829</v>
      </c>
      <c r="H1069">
        <v>4730</v>
      </c>
      <c r="I1069">
        <v>5588.11</v>
      </c>
      <c r="J1069">
        <v>634</v>
      </c>
      <c r="K1069" t="b">
        <v>0</v>
      </c>
    </row>
    <row r="1070" spans="1:11" x14ac:dyDescent="0.2">
      <c r="A1070" t="s">
        <v>2221</v>
      </c>
      <c r="B1070" t="s">
        <v>2222</v>
      </c>
      <c r="C1070" s="2">
        <v>45253</v>
      </c>
      <c r="D1070" s="2">
        <v>45281</v>
      </c>
      <c r="E1070">
        <f t="shared" si="16"/>
        <v>28</v>
      </c>
      <c r="F1070" t="s">
        <v>41</v>
      </c>
      <c r="G1070">
        <v>27614</v>
      </c>
      <c r="H1070">
        <v>651</v>
      </c>
      <c r="I1070">
        <v>766.45</v>
      </c>
      <c r="J1070">
        <v>115</v>
      </c>
      <c r="K1070">
        <v>0</v>
      </c>
    </row>
    <row r="1071" spans="1:11" x14ac:dyDescent="0.2">
      <c r="A1071" t="s">
        <v>2223</v>
      </c>
      <c r="B1071" t="s">
        <v>2224</v>
      </c>
      <c r="C1071" s="2">
        <v>45217</v>
      </c>
      <c r="D1071" s="2">
        <v>45233</v>
      </c>
      <c r="E1071">
        <f t="shared" si="16"/>
        <v>16</v>
      </c>
      <c r="F1071" t="s">
        <v>14</v>
      </c>
      <c r="G1071">
        <v>37258</v>
      </c>
      <c r="H1071">
        <v>1143</v>
      </c>
      <c r="I1071">
        <v>2177.86</v>
      </c>
      <c r="J1071">
        <v>133</v>
      </c>
      <c r="K1071" t="b">
        <v>1</v>
      </c>
    </row>
    <row r="1072" spans="1:11" x14ac:dyDescent="0.2">
      <c r="A1072" t="s">
        <v>2226</v>
      </c>
      <c r="B1072" t="s">
        <v>2227</v>
      </c>
      <c r="C1072" s="2">
        <v>45266</v>
      </c>
      <c r="D1072" s="2">
        <v>45292</v>
      </c>
      <c r="E1072">
        <f t="shared" si="16"/>
        <v>26</v>
      </c>
      <c r="F1072" t="s">
        <v>19</v>
      </c>
      <c r="G1072">
        <v>94789</v>
      </c>
      <c r="H1072">
        <v>2384</v>
      </c>
      <c r="I1072">
        <v>4710.8999999999996</v>
      </c>
      <c r="J1072">
        <v>447</v>
      </c>
      <c r="K1072" t="b">
        <v>1</v>
      </c>
    </row>
    <row r="1073" spans="1:11" x14ac:dyDescent="0.2">
      <c r="A1073" t="s">
        <v>2228</v>
      </c>
      <c r="B1073" t="s">
        <v>2229</v>
      </c>
      <c r="C1073" s="2">
        <v>45060</v>
      </c>
      <c r="D1073" s="2">
        <v>45067</v>
      </c>
      <c r="E1073">
        <f t="shared" si="16"/>
        <v>7</v>
      </c>
      <c r="F1073" t="s">
        <v>14</v>
      </c>
      <c r="G1073">
        <v>43078</v>
      </c>
      <c r="H1073">
        <v>442</v>
      </c>
      <c r="I1073">
        <v>749.07</v>
      </c>
      <c r="J1073">
        <v>51</v>
      </c>
      <c r="K1073" t="b">
        <v>1</v>
      </c>
    </row>
    <row r="1074" spans="1:11" x14ac:dyDescent="0.2">
      <c r="A1074" t="s">
        <v>2230</v>
      </c>
      <c r="B1074" t="s">
        <v>2231</v>
      </c>
      <c r="C1074" s="2">
        <v>45128</v>
      </c>
      <c r="D1074" s="2">
        <v>45135</v>
      </c>
      <c r="E1074">
        <f t="shared" si="16"/>
        <v>7</v>
      </c>
      <c r="F1074" t="s">
        <v>19</v>
      </c>
      <c r="G1074">
        <v>84524</v>
      </c>
      <c r="H1074">
        <v>2149</v>
      </c>
      <c r="I1074">
        <v>3513.91</v>
      </c>
      <c r="J1074">
        <v>284</v>
      </c>
      <c r="K1074" t="b">
        <v>1</v>
      </c>
    </row>
    <row r="1075" spans="1:11" x14ac:dyDescent="0.2">
      <c r="A1075" t="s">
        <v>2232</v>
      </c>
      <c r="B1075" t="s">
        <v>2233</v>
      </c>
      <c r="C1075" s="2">
        <v>45089</v>
      </c>
      <c r="D1075" s="2">
        <v>45111</v>
      </c>
      <c r="E1075">
        <f t="shared" si="16"/>
        <v>22</v>
      </c>
      <c r="F1075" t="s">
        <v>138</v>
      </c>
      <c r="G1075">
        <v>97573</v>
      </c>
      <c r="H1075">
        <v>4065</v>
      </c>
      <c r="I1075">
        <v>6182.2</v>
      </c>
      <c r="J1075">
        <v>688</v>
      </c>
      <c r="K1075" t="b">
        <v>1</v>
      </c>
    </row>
    <row r="1076" spans="1:11" x14ac:dyDescent="0.2">
      <c r="A1076" t="s">
        <v>2234</v>
      </c>
      <c r="B1076" t="s">
        <v>2235</v>
      </c>
      <c r="C1076" s="2">
        <v>45030</v>
      </c>
      <c r="D1076" s="2">
        <v>45046</v>
      </c>
      <c r="E1076">
        <f t="shared" si="16"/>
        <v>16</v>
      </c>
      <c r="F1076" t="s">
        <v>33</v>
      </c>
      <c r="G1076">
        <v>13219</v>
      </c>
      <c r="H1076">
        <v>447</v>
      </c>
      <c r="I1076" s="3">
        <v>334.85</v>
      </c>
      <c r="J1076">
        <v>61</v>
      </c>
      <c r="K1076" t="s">
        <v>15</v>
      </c>
    </row>
    <row r="1077" spans="1:11" x14ac:dyDescent="0.2">
      <c r="A1077" t="s">
        <v>2236</v>
      </c>
      <c r="B1077" t="s">
        <v>2237</v>
      </c>
      <c r="C1077" s="2">
        <v>44982</v>
      </c>
      <c r="D1077" s="2">
        <v>44998</v>
      </c>
      <c r="E1077">
        <f t="shared" si="16"/>
        <v>16</v>
      </c>
      <c r="F1077" t="s">
        <v>33</v>
      </c>
      <c r="G1077">
        <v>1235</v>
      </c>
      <c r="H1077">
        <v>17</v>
      </c>
      <c r="I1077">
        <v>10.01</v>
      </c>
      <c r="J1077">
        <v>3</v>
      </c>
      <c r="K1077">
        <v>1</v>
      </c>
    </row>
    <row r="1078" spans="1:11" x14ac:dyDescent="0.2">
      <c r="A1078" t="s">
        <v>2238</v>
      </c>
      <c r="B1078" t="s">
        <v>2239</v>
      </c>
      <c r="C1078" s="2">
        <v>45165</v>
      </c>
      <c r="D1078" s="2">
        <v>45181</v>
      </c>
      <c r="E1078">
        <f t="shared" si="16"/>
        <v>16</v>
      </c>
      <c r="F1078" t="s">
        <v>14</v>
      </c>
      <c r="G1078">
        <v>43929</v>
      </c>
      <c r="H1078">
        <v>1927</v>
      </c>
      <c r="I1078">
        <v>2960.04</v>
      </c>
      <c r="J1078">
        <v>287</v>
      </c>
      <c r="K1078">
        <v>0</v>
      </c>
    </row>
    <row r="1079" spans="1:11" x14ac:dyDescent="0.2">
      <c r="A1079" t="s">
        <v>2240</v>
      </c>
      <c r="B1079" t="s">
        <v>2241</v>
      </c>
      <c r="C1079" s="2">
        <v>45110</v>
      </c>
      <c r="D1079" s="2">
        <v>45117</v>
      </c>
      <c r="E1079">
        <f t="shared" si="16"/>
        <v>7</v>
      </c>
      <c r="F1079" t="s">
        <v>23</v>
      </c>
      <c r="G1079">
        <v>68444</v>
      </c>
      <c r="H1079">
        <v>2138</v>
      </c>
      <c r="I1079">
        <v>3406.22</v>
      </c>
      <c r="J1079">
        <v>274</v>
      </c>
      <c r="K1079" t="s">
        <v>15</v>
      </c>
    </row>
    <row r="1080" spans="1:11" x14ac:dyDescent="0.2">
      <c r="A1080" t="s">
        <v>2242</v>
      </c>
      <c r="B1080" t="s">
        <v>2243</v>
      </c>
      <c r="C1080" s="2">
        <v>45084</v>
      </c>
      <c r="D1080" s="2">
        <v>45088</v>
      </c>
      <c r="E1080">
        <f t="shared" si="16"/>
        <v>4</v>
      </c>
      <c r="F1080" t="s">
        <v>33</v>
      </c>
      <c r="G1080">
        <v>9567</v>
      </c>
      <c r="H1080">
        <v>417</v>
      </c>
      <c r="I1080">
        <v>237.88</v>
      </c>
      <c r="J1080">
        <v>22</v>
      </c>
      <c r="K1080">
        <v>0</v>
      </c>
    </row>
    <row r="1081" spans="1:11" x14ac:dyDescent="0.2">
      <c r="A1081" t="s">
        <v>2244</v>
      </c>
      <c r="B1081" t="s">
        <v>2245</v>
      </c>
      <c r="C1081" s="2">
        <v>44973</v>
      </c>
      <c r="D1081" s="2">
        <v>44979</v>
      </c>
      <c r="E1081">
        <f t="shared" si="16"/>
        <v>6</v>
      </c>
      <c r="F1081" t="s">
        <v>33</v>
      </c>
      <c r="G1081">
        <v>71792</v>
      </c>
      <c r="H1081">
        <v>2384</v>
      </c>
      <c r="I1081" s="3">
        <v>4510.71</v>
      </c>
      <c r="J1081">
        <v>267</v>
      </c>
      <c r="K1081" t="b">
        <v>0</v>
      </c>
    </row>
    <row r="1082" spans="1:11" x14ac:dyDescent="0.2">
      <c r="A1082" t="s">
        <v>2246</v>
      </c>
      <c r="B1082" t="s">
        <v>2247</v>
      </c>
      <c r="C1082" s="2">
        <v>45287</v>
      </c>
      <c r="D1082" s="2">
        <v>45300</v>
      </c>
      <c r="E1082">
        <f t="shared" si="16"/>
        <v>13</v>
      </c>
      <c r="F1082" t="s">
        <v>23</v>
      </c>
      <c r="G1082">
        <v>66441</v>
      </c>
      <c r="H1082">
        <v>2151</v>
      </c>
      <c r="I1082">
        <v>1369.57</v>
      </c>
      <c r="J1082">
        <v>204</v>
      </c>
      <c r="K1082" t="s">
        <v>24</v>
      </c>
    </row>
    <row r="1083" spans="1:11" x14ac:dyDescent="0.2">
      <c r="A1083" t="s">
        <v>2248</v>
      </c>
      <c r="B1083" t="s">
        <v>2249</v>
      </c>
      <c r="C1083" s="2">
        <v>45094</v>
      </c>
      <c r="D1083" s="2">
        <v>45112</v>
      </c>
      <c r="E1083">
        <f t="shared" si="16"/>
        <v>18</v>
      </c>
      <c r="F1083" t="s">
        <v>23</v>
      </c>
      <c r="G1083">
        <v>85555</v>
      </c>
      <c r="H1083">
        <v>1215</v>
      </c>
      <c r="I1083">
        <v>1128.55</v>
      </c>
      <c r="K1083" t="s">
        <v>30</v>
      </c>
    </row>
    <row r="1084" spans="1:11" x14ac:dyDescent="0.2">
      <c r="A1084" t="s">
        <v>2250</v>
      </c>
      <c r="B1084" t="s">
        <v>2251</v>
      </c>
      <c r="C1084" s="2">
        <v>44985</v>
      </c>
      <c r="D1084" s="2">
        <v>45109</v>
      </c>
      <c r="E1084">
        <f t="shared" si="16"/>
        <v>124</v>
      </c>
      <c r="F1084" t="s">
        <v>19</v>
      </c>
      <c r="G1084">
        <v>74698</v>
      </c>
      <c r="H1084">
        <v>1247</v>
      </c>
      <c r="I1084" s="3">
        <v>1881.21</v>
      </c>
      <c r="J1084">
        <v>101</v>
      </c>
      <c r="K1084">
        <v>1</v>
      </c>
    </row>
    <row r="1085" spans="1:11" x14ac:dyDescent="0.2">
      <c r="A1085" t="s">
        <v>2252</v>
      </c>
      <c r="B1085" t="s">
        <v>2253</v>
      </c>
      <c r="C1085" s="2">
        <v>45080</v>
      </c>
      <c r="D1085" s="2">
        <v>45101</v>
      </c>
      <c r="E1085">
        <f t="shared" si="16"/>
        <v>21</v>
      </c>
      <c r="F1085" t="s">
        <v>23</v>
      </c>
      <c r="G1085">
        <v>6415</v>
      </c>
      <c r="H1085">
        <v>313</v>
      </c>
      <c r="I1085">
        <v>236.26</v>
      </c>
      <c r="J1085">
        <v>25</v>
      </c>
      <c r="K1085" t="b">
        <v>0</v>
      </c>
    </row>
    <row r="1086" spans="1:11" x14ac:dyDescent="0.2">
      <c r="A1086" t="s">
        <v>2254</v>
      </c>
      <c r="B1086" t="s">
        <v>2255</v>
      </c>
      <c r="C1086" s="2">
        <v>44937</v>
      </c>
      <c r="D1086" s="2">
        <v>44942</v>
      </c>
      <c r="E1086">
        <f t="shared" si="16"/>
        <v>5</v>
      </c>
      <c r="F1086" t="s">
        <v>415</v>
      </c>
      <c r="G1086">
        <v>37159</v>
      </c>
      <c r="H1086">
        <v>711</v>
      </c>
      <c r="I1086">
        <v>414.6</v>
      </c>
      <c r="J1086">
        <v>55</v>
      </c>
      <c r="K1086" t="s">
        <v>15</v>
      </c>
    </row>
    <row r="1087" spans="1:11" x14ac:dyDescent="0.2">
      <c r="A1087" t="s">
        <v>2256</v>
      </c>
      <c r="B1087" t="s">
        <v>2257</v>
      </c>
      <c r="C1087" s="2">
        <v>45211</v>
      </c>
      <c r="D1087" s="2">
        <v>45239</v>
      </c>
      <c r="E1087">
        <f t="shared" si="16"/>
        <v>28</v>
      </c>
      <c r="F1087" t="s">
        <v>14</v>
      </c>
      <c r="G1087">
        <v>44925</v>
      </c>
      <c r="H1087">
        <v>2205</v>
      </c>
      <c r="I1087">
        <v>2197.77</v>
      </c>
      <c r="J1087">
        <v>151</v>
      </c>
      <c r="K1087" t="s">
        <v>30</v>
      </c>
    </row>
    <row r="1088" spans="1:11" x14ac:dyDescent="0.2">
      <c r="A1088" t="s">
        <v>2258</v>
      </c>
      <c r="B1088" t="s">
        <v>2259</v>
      </c>
      <c r="C1088" s="2">
        <v>45163</v>
      </c>
      <c r="D1088" s="2">
        <v>45189</v>
      </c>
      <c r="E1088">
        <f t="shared" si="16"/>
        <v>26</v>
      </c>
      <c r="F1088" t="s">
        <v>41</v>
      </c>
      <c r="G1088">
        <v>6951</v>
      </c>
      <c r="H1088">
        <v>217</v>
      </c>
      <c r="I1088">
        <v>357.82</v>
      </c>
      <c r="J1088">
        <v>20</v>
      </c>
      <c r="K1088" t="s">
        <v>24</v>
      </c>
    </row>
    <row r="1089" spans="1:11" x14ac:dyDescent="0.2">
      <c r="A1089" t="s">
        <v>2260</v>
      </c>
      <c r="B1089" t="s">
        <v>2261</v>
      </c>
      <c r="C1089" s="2">
        <v>44992</v>
      </c>
      <c r="D1089" s="2">
        <v>45019</v>
      </c>
      <c r="E1089">
        <f t="shared" si="16"/>
        <v>27</v>
      </c>
      <c r="F1089" t="s">
        <v>14</v>
      </c>
      <c r="G1089">
        <v>88388</v>
      </c>
      <c r="H1089">
        <v>1363</v>
      </c>
      <c r="I1089">
        <v>1527.27</v>
      </c>
      <c r="J1089">
        <v>249</v>
      </c>
      <c r="K1089" t="b">
        <v>0</v>
      </c>
    </row>
    <row r="1090" spans="1:11" x14ac:dyDescent="0.2">
      <c r="A1090" t="s">
        <v>2262</v>
      </c>
      <c r="B1090" t="s">
        <v>2263</v>
      </c>
      <c r="C1090" s="2">
        <v>45040</v>
      </c>
      <c r="D1090" s="2">
        <v>45045</v>
      </c>
      <c r="E1090">
        <f t="shared" ref="E1090:E1153" si="17">D1090-C1090</f>
        <v>5</v>
      </c>
      <c r="F1090" t="s">
        <v>33</v>
      </c>
      <c r="G1090">
        <v>9007</v>
      </c>
      <c r="H1090">
        <v>125</v>
      </c>
      <c r="I1090">
        <v>184.93</v>
      </c>
      <c r="J1090">
        <v>20</v>
      </c>
      <c r="K1090" t="s">
        <v>24</v>
      </c>
    </row>
    <row r="1091" spans="1:11" x14ac:dyDescent="0.2">
      <c r="A1091" t="s">
        <v>2264</v>
      </c>
      <c r="B1091" t="s">
        <v>2265</v>
      </c>
      <c r="C1091" s="2">
        <v>45117</v>
      </c>
      <c r="D1091" s="2">
        <v>45139</v>
      </c>
      <c r="E1091">
        <f t="shared" si="17"/>
        <v>22</v>
      </c>
      <c r="F1091" t="s">
        <v>23</v>
      </c>
      <c r="G1091">
        <v>42832</v>
      </c>
      <c r="H1091">
        <v>786</v>
      </c>
      <c r="I1091">
        <v>1076.3699999999999</v>
      </c>
      <c r="J1091">
        <v>125</v>
      </c>
      <c r="K1091" t="s">
        <v>24</v>
      </c>
    </row>
    <row r="1092" spans="1:11" x14ac:dyDescent="0.2">
      <c r="A1092" t="s">
        <v>2266</v>
      </c>
      <c r="B1092" t="s">
        <v>2267</v>
      </c>
      <c r="C1092" s="2">
        <v>44970</v>
      </c>
      <c r="D1092" s="2">
        <v>44975</v>
      </c>
      <c r="E1092">
        <f t="shared" si="17"/>
        <v>5</v>
      </c>
      <c r="F1092" t="s">
        <v>33</v>
      </c>
      <c r="G1092">
        <v>59596</v>
      </c>
      <c r="H1092">
        <v>2802</v>
      </c>
      <c r="I1092">
        <v>1494.38</v>
      </c>
      <c r="J1092">
        <v>475</v>
      </c>
      <c r="K1092">
        <v>0</v>
      </c>
    </row>
    <row r="1093" spans="1:11" x14ac:dyDescent="0.2">
      <c r="A1093" t="s">
        <v>2268</v>
      </c>
      <c r="B1093" t="s">
        <v>2269</v>
      </c>
      <c r="C1093" s="2">
        <v>44993</v>
      </c>
      <c r="D1093" s="2">
        <v>45140</v>
      </c>
      <c r="E1093">
        <f t="shared" si="17"/>
        <v>147</v>
      </c>
      <c r="F1093" t="s">
        <v>23</v>
      </c>
      <c r="G1093">
        <v>31523</v>
      </c>
      <c r="H1093">
        <v>837</v>
      </c>
      <c r="I1093">
        <v>1659.61</v>
      </c>
      <c r="J1093">
        <v>75</v>
      </c>
      <c r="K1093" t="s">
        <v>30</v>
      </c>
    </row>
    <row r="1094" spans="1:11" x14ac:dyDescent="0.2">
      <c r="A1094" t="s">
        <v>2270</v>
      </c>
      <c r="B1094" t="s">
        <v>2271</v>
      </c>
      <c r="C1094" s="2">
        <v>44960</v>
      </c>
      <c r="D1094" s="2">
        <v>44977</v>
      </c>
      <c r="E1094">
        <f t="shared" si="17"/>
        <v>17</v>
      </c>
      <c r="F1094" t="s">
        <v>19</v>
      </c>
      <c r="G1094">
        <v>89861</v>
      </c>
      <c r="H1094">
        <v>2319</v>
      </c>
      <c r="I1094">
        <v>1303.6099999999999</v>
      </c>
      <c r="J1094">
        <v>424</v>
      </c>
      <c r="K1094">
        <v>0</v>
      </c>
    </row>
    <row r="1095" spans="1:11" x14ac:dyDescent="0.2">
      <c r="A1095" t="s">
        <v>2272</v>
      </c>
      <c r="B1095" t="s">
        <v>2273</v>
      </c>
      <c r="C1095" s="2">
        <v>44997</v>
      </c>
      <c r="D1095" s="2">
        <v>45110</v>
      </c>
      <c r="E1095">
        <f t="shared" si="17"/>
        <v>113</v>
      </c>
      <c r="F1095" t="s">
        <v>19</v>
      </c>
      <c r="G1095">
        <v>87740</v>
      </c>
      <c r="H1095">
        <v>1976</v>
      </c>
      <c r="I1095" s="3">
        <v>3856.57</v>
      </c>
      <c r="J1095">
        <v>139</v>
      </c>
      <c r="K1095" t="s">
        <v>24</v>
      </c>
    </row>
    <row r="1096" spans="1:11" x14ac:dyDescent="0.2">
      <c r="A1096" t="s">
        <v>2274</v>
      </c>
      <c r="B1096" t="s">
        <v>2275</v>
      </c>
      <c r="C1096" s="2">
        <v>45096</v>
      </c>
      <c r="D1096" s="2">
        <v>45124</v>
      </c>
      <c r="E1096">
        <f t="shared" si="17"/>
        <v>28</v>
      </c>
      <c r="F1096" t="s">
        <v>23</v>
      </c>
      <c r="G1096">
        <v>16524</v>
      </c>
      <c r="H1096">
        <v>262</v>
      </c>
      <c r="I1096">
        <v>347.1</v>
      </c>
      <c r="J1096">
        <v>26</v>
      </c>
      <c r="K1096" t="b">
        <v>0</v>
      </c>
    </row>
    <row r="1097" spans="1:11" x14ac:dyDescent="0.2">
      <c r="A1097" t="s">
        <v>2276</v>
      </c>
      <c r="B1097" t="s">
        <v>2277</v>
      </c>
      <c r="C1097" s="2">
        <v>44952</v>
      </c>
      <c r="D1097" s="2">
        <v>44977</v>
      </c>
      <c r="E1097">
        <f t="shared" si="17"/>
        <v>25</v>
      </c>
      <c r="F1097" t="s">
        <v>14</v>
      </c>
      <c r="G1097">
        <v>20282</v>
      </c>
      <c r="H1097">
        <v>598</v>
      </c>
      <c r="I1097" s="3">
        <v>1162.95</v>
      </c>
      <c r="K1097" t="s">
        <v>24</v>
      </c>
    </row>
    <row r="1098" spans="1:11" x14ac:dyDescent="0.2">
      <c r="A1098" t="s">
        <v>2278</v>
      </c>
      <c r="B1098" t="s">
        <v>2279</v>
      </c>
      <c r="C1098" s="2">
        <v>45129</v>
      </c>
      <c r="D1098" s="2">
        <v>45132</v>
      </c>
      <c r="E1098">
        <f t="shared" si="17"/>
        <v>3</v>
      </c>
      <c r="F1098" t="s">
        <v>23</v>
      </c>
      <c r="G1098">
        <v>24930</v>
      </c>
      <c r="H1098">
        <v>378</v>
      </c>
      <c r="I1098">
        <v>254.07</v>
      </c>
      <c r="J1098">
        <v>24</v>
      </c>
      <c r="K1098" t="s">
        <v>15</v>
      </c>
    </row>
    <row r="1099" spans="1:11" x14ac:dyDescent="0.2">
      <c r="A1099" t="s">
        <v>2280</v>
      </c>
      <c r="B1099" t="s">
        <v>2281</v>
      </c>
      <c r="C1099" s="2">
        <v>45145</v>
      </c>
      <c r="D1099" s="2">
        <v>45161</v>
      </c>
      <c r="E1099">
        <f t="shared" si="17"/>
        <v>16</v>
      </c>
      <c r="F1099" t="s">
        <v>41</v>
      </c>
      <c r="G1099">
        <v>1077</v>
      </c>
      <c r="H1099">
        <v>46</v>
      </c>
      <c r="I1099">
        <v>56.84</v>
      </c>
      <c r="K1099" t="s">
        <v>24</v>
      </c>
    </row>
    <row r="1100" spans="1:11" x14ac:dyDescent="0.2">
      <c r="A1100" t="s">
        <v>2282</v>
      </c>
      <c r="B1100" t="s">
        <v>2283</v>
      </c>
      <c r="C1100" s="2">
        <v>45022</v>
      </c>
      <c r="D1100" s="2">
        <v>45039</v>
      </c>
      <c r="E1100">
        <f t="shared" si="17"/>
        <v>17</v>
      </c>
      <c r="F1100" t="s">
        <v>41</v>
      </c>
      <c r="G1100">
        <v>21611</v>
      </c>
      <c r="H1100">
        <v>536</v>
      </c>
      <c r="I1100">
        <v>404.28</v>
      </c>
      <c r="K1100">
        <v>0</v>
      </c>
    </row>
    <row r="1101" spans="1:11" x14ac:dyDescent="0.2">
      <c r="A1101" t="s">
        <v>2284</v>
      </c>
      <c r="B1101" t="s">
        <v>2285</v>
      </c>
      <c r="C1101" s="2">
        <v>45003</v>
      </c>
      <c r="D1101" s="2">
        <v>45006</v>
      </c>
      <c r="E1101">
        <f t="shared" si="17"/>
        <v>3</v>
      </c>
      <c r="F1101" t="s">
        <v>14</v>
      </c>
      <c r="G1101">
        <v>17984</v>
      </c>
      <c r="H1101">
        <v>449</v>
      </c>
      <c r="I1101" s="3">
        <v>258.83</v>
      </c>
      <c r="J1101">
        <v>75</v>
      </c>
      <c r="K1101" t="s">
        <v>30</v>
      </c>
    </row>
    <row r="1102" spans="1:11" x14ac:dyDescent="0.2">
      <c r="A1102" t="s">
        <v>2287</v>
      </c>
      <c r="B1102" t="s">
        <v>2288</v>
      </c>
      <c r="C1102" s="2">
        <v>45244</v>
      </c>
      <c r="D1102" s="2">
        <v>45263</v>
      </c>
      <c r="E1102">
        <f t="shared" si="17"/>
        <v>19</v>
      </c>
      <c r="F1102" t="s">
        <v>41</v>
      </c>
      <c r="G1102">
        <v>15060</v>
      </c>
      <c r="H1102">
        <v>436</v>
      </c>
      <c r="I1102">
        <v>621.86</v>
      </c>
      <c r="J1102">
        <v>54</v>
      </c>
      <c r="K1102" t="b">
        <v>0</v>
      </c>
    </row>
    <row r="1103" spans="1:11" x14ac:dyDescent="0.2">
      <c r="A1103" t="s">
        <v>2289</v>
      </c>
      <c r="B1103" t="s">
        <v>2290</v>
      </c>
      <c r="C1103" s="2">
        <v>45182</v>
      </c>
      <c r="D1103" s="2">
        <v>45188</v>
      </c>
      <c r="E1103">
        <f t="shared" si="17"/>
        <v>6</v>
      </c>
      <c r="F1103" t="s">
        <v>14</v>
      </c>
      <c r="G1103">
        <v>83985</v>
      </c>
      <c r="H1103">
        <v>2331</v>
      </c>
      <c r="I1103">
        <v>1892.01</v>
      </c>
      <c r="K1103">
        <v>0</v>
      </c>
    </row>
    <row r="1104" spans="1:11" x14ac:dyDescent="0.2">
      <c r="A1104" t="s">
        <v>2291</v>
      </c>
      <c r="B1104" t="s">
        <v>2292</v>
      </c>
      <c r="C1104" s="2">
        <v>44928</v>
      </c>
      <c r="D1104" s="2">
        <v>44966</v>
      </c>
      <c r="E1104">
        <f t="shared" si="17"/>
        <v>38</v>
      </c>
      <c r="F1104" t="s">
        <v>191</v>
      </c>
      <c r="G1104">
        <v>85056</v>
      </c>
      <c r="H1104">
        <v>4235</v>
      </c>
      <c r="I1104">
        <v>5850.85</v>
      </c>
      <c r="J1104">
        <v>678</v>
      </c>
      <c r="K1104" t="s">
        <v>24</v>
      </c>
    </row>
    <row r="1105" spans="1:11" x14ac:dyDescent="0.2">
      <c r="A1105" t="s">
        <v>2293</v>
      </c>
      <c r="B1105" t="s">
        <v>2294</v>
      </c>
      <c r="C1105" s="2">
        <v>45123</v>
      </c>
      <c r="D1105" s="2">
        <v>45144</v>
      </c>
      <c r="E1105">
        <f t="shared" si="17"/>
        <v>21</v>
      </c>
      <c r="F1105" t="s">
        <v>33</v>
      </c>
      <c r="G1105">
        <v>44303</v>
      </c>
      <c r="H1105">
        <v>1409</v>
      </c>
      <c r="I1105" s="3">
        <v>941.98</v>
      </c>
      <c r="K1105" t="s">
        <v>15</v>
      </c>
    </row>
    <row r="1106" spans="1:11" x14ac:dyDescent="0.2">
      <c r="A1106" t="s">
        <v>2295</v>
      </c>
      <c r="B1106" t="s">
        <v>2296</v>
      </c>
      <c r="C1106" s="2">
        <v>45196</v>
      </c>
      <c r="D1106" s="2">
        <v>45221</v>
      </c>
      <c r="E1106">
        <f t="shared" si="17"/>
        <v>25</v>
      </c>
      <c r="F1106" t="s">
        <v>19</v>
      </c>
      <c r="G1106">
        <v>60207</v>
      </c>
      <c r="H1106">
        <v>814</v>
      </c>
      <c r="I1106">
        <v>812.36</v>
      </c>
      <c r="J1106">
        <v>100</v>
      </c>
      <c r="K1106">
        <v>1</v>
      </c>
    </row>
    <row r="1107" spans="1:11" x14ac:dyDescent="0.2">
      <c r="A1107" t="s">
        <v>2297</v>
      </c>
      <c r="B1107" t="s">
        <v>2298</v>
      </c>
      <c r="C1107" s="2">
        <v>45205</v>
      </c>
      <c r="D1107" s="2">
        <v>45219</v>
      </c>
      <c r="E1107">
        <f t="shared" si="17"/>
        <v>14</v>
      </c>
      <c r="F1107" t="s">
        <v>19</v>
      </c>
      <c r="G1107">
        <v>76046</v>
      </c>
      <c r="H1107">
        <v>2606</v>
      </c>
      <c r="I1107">
        <v>4358.3999999999996</v>
      </c>
      <c r="J1107">
        <v>159</v>
      </c>
      <c r="K1107" t="s">
        <v>15</v>
      </c>
    </row>
    <row r="1108" spans="1:11" x14ac:dyDescent="0.2">
      <c r="A1108" t="s">
        <v>2299</v>
      </c>
      <c r="B1108" t="s">
        <v>2300</v>
      </c>
      <c r="C1108" s="2">
        <v>45292</v>
      </c>
      <c r="D1108" s="2">
        <v>45319</v>
      </c>
      <c r="E1108">
        <f t="shared" si="17"/>
        <v>27</v>
      </c>
      <c r="F1108" t="s">
        <v>33</v>
      </c>
      <c r="G1108">
        <v>30287</v>
      </c>
      <c r="H1108">
        <v>486</v>
      </c>
      <c r="I1108" s="3">
        <v>561.61</v>
      </c>
      <c r="J1108">
        <v>69</v>
      </c>
      <c r="K1108" t="s">
        <v>24</v>
      </c>
    </row>
    <row r="1109" spans="1:11" x14ac:dyDescent="0.2">
      <c r="A1109" t="s">
        <v>2301</v>
      </c>
      <c r="B1109" t="s">
        <v>2302</v>
      </c>
      <c r="C1109" s="2">
        <v>45175</v>
      </c>
      <c r="D1109" s="2">
        <v>45196</v>
      </c>
      <c r="E1109">
        <f t="shared" si="17"/>
        <v>21</v>
      </c>
      <c r="F1109" t="s">
        <v>14</v>
      </c>
      <c r="G1109">
        <v>94709</v>
      </c>
      <c r="H1109">
        <v>1064</v>
      </c>
      <c r="I1109" s="3">
        <v>1533.88</v>
      </c>
      <c r="J1109">
        <v>159</v>
      </c>
      <c r="K1109" t="s">
        <v>15</v>
      </c>
    </row>
    <row r="1110" spans="1:11" x14ac:dyDescent="0.2">
      <c r="A1110" t="s">
        <v>2303</v>
      </c>
      <c r="B1110" t="s">
        <v>2304</v>
      </c>
      <c r="C1110" s="2">
        <v>45091</v>
      </c>
      <c r="D1110" s="2">
        <v>45103</v>
      </c>
      <c r="E1110">
        <f t="shared" si="17"/>
        <v>12</v>
      </c>
      <c r="F1110" t="s">
        <v>23</v>
      </c>
      <c r="G1110">
        <v>40711</v>
      </c>
      <c r="H1110">
        <v>1987</v>
      </c>
      <c r="I1110">
        <v>2923.25</v>
      </c>
      <c r="J1110">
        <v>212</v>
      </c>
      <c r="K1110">
        <v>1</v>
      </c>
    </row>
    <row r="1111" spans="1:11" x14ac:dyDescent="0.2">
      <c r="A1111" t="s">
        <v>2305</v>
      </c>
      <c r="B1111" t="s">
        <v>2306</v>
      </c>
      <c r="C1111" s="2">
        <v>45085</v>
      </c>
      <c r="D1111" s="2">
        <v>45090</v>
      </c>
      <c r="E1111">
        <f t="shared" si="17"/>
        <v>5</v>
      </c>
      <c r="F1111" t="s">
        <v>19</v>
      </c>
      <c r="G1111">
        <v>12954</v>
      </c>
      <c r="H1111">
        <v>530</v>
      </c>
      <c r="I1111">
        <v>935.79</v>
      </c>
      <c r="J1111">
        <v>102</v>
      </c>
      <c r="K1111" t="s">
        <v>15</v>
      </c>
    </row>
    <row r="1112" spans="1:11" x14ac:dyDescent="0.2">
      <c r="A1112" t="s">
        <v>2307</v>
      </c>
      <c r="B1112" t="s">
        <v>2308</v>
      </c>
      <c r="C1112" s="2">
        <v>45070</v>
      </c>
      <c r="D1112" s="2">
        <v>45097</v>
      </c>
      <c r="E1112">
        <f t="shared" si="17"/>
        <v>27</v>
      </c>
      <c r="F1112" t="s">
        <v>14</v>
      </c>
      <c r="G1112">
        <v>74340</v>
      </c>
      <c r="H1112">
        <v>3657</v>
      </c>
      <c r="I1112">
        <v>3610.86</v>
      </c>
      <c r="J1112">
        <v>662</v>
      </c>
      <c r="K1112">
        <v>1</v>
      </c>
    </row>
    <row r="1113" spans="1:11" x14ac:dyDescent="0.2">
      <c r="A1113" t="s">
        <v>2309</v>
      </c>
      <c r="B1113" t="s">
        <v>2310</v>
      </c>
      <c r="C1113" s="2">
        <v>45168</v>
      </c>
      <c r="D1113" s="2">
        <v>45177</v>
      </c>
      <c r="E1113">
        <f t="shared" si="17"/>
        <v>9</v>
      </c>
      <c r="F1113" t="s">
        <v>41</v>
      </c>
      <c r="G1113">
        <v>73101</v>
      </c>
      <c r="H1113">
        <v>2128</v>
      </c>
      <c r="I1113">
        <v>3257.85</v>
      </c>
      <c r="J1113">
        <v>332</v>
      </c>
      <c r="K1113" t="s">
        <v>24</v>
      </c>
    </row>
    <row r="1114" spans="1:11" x14ac:dyDescent="0.2">
      <c r="A1114" t="s">
        <v>2311</v>
      </c>
      <c r="B1114" t="s">
        <v>2312</v>
      </c>
      <c r="C1114" s="2">
        <v>45046</v>
      </c>
      <c r="D1114" s="2">
        <v>45060</v>
      </c>
      <c r="E1114">
        <f t="shared" si="17"/>
        <v>14</v>
      </c>
      <c r="F1114" t="s">
        <v>14</v>
      </c>
      <c r="G1114">
        <v>72520</v>
      </c>
      <c r="H1114">
        <v>2269</v>
      </c>
      <c r="I1114">
        <v>4407.3599999999997</v>
      </c>
      <c r="J1114">
        <v>356</v>
      </c>
      <c r="K1114">
        <v>1</v>
      </c>
    </row>
    <row r="1115" spans="1:11" x14ac:dyDescent="0.2">
      <c r="A1115" t="s">
        <v>2313</v>
      </c>
      <c r="B1115" t="s">
        <v>2314</v>
      </c>
      <c r="C1115" s="2">
        <v>45263</v>
      </c>
      <c r="D1115" s="2">
        <v>45265</v>
      </c>
      <c r="E1115">
        <f t="shared" si="17"/>
        <v>2</v>
      </c>
      <c r="F1115" t="s">
        <v>41</v>
      </c>
      <c r="G1115">
        <v>88062</v>
      </c>
      <c r="H1115">
        <v>1473</v>
      </c>
      <c r="I1115">
        <v>2349.9699999999998</v>
      </c>
      <c r="J1115">
        <v>129</v>
      </c>
      <c r="K1115">
        <v>0</v>
      </c>
    </row>
    <row r="1116" spans="1:11" x14ac:dyDescent="0.2">
      <c r="A1116" t="s">
        <v>2315</v>
      </c>
      <c r="B1116" t="s">
        <v>2316</v>
      </c>
      <c r="C1116" s="2">
        <v>44955</v>
      </c>
      <c r="D1116" s="2">
        <v>44980</v>
      </c>
      <c r="E1116">
        <f t="shared" si="17"/>
        <v>25</v>
      </c>
      <c r="F1116" t="s">
        <v>19</v>
      </c>
      <c r="G1116">
        <v>19574</v>
      </c>
      <c r="H1116">
        <v>389</v>
      </c>
      <c r="I1116">
        <v>480.34</v>
      </c>
      <c r="J1116">
        <v>57</v>
      </c>
      <c r="K1116">
        <v>0</v>
      </c>
    </row>
    <row r="1117" spans="1:11" x14ac:dyDescent="0.2">
      <c r="A1117" t="s">
        <v>2317</v>
      </c>
      <c r="B1117" t="s">
        <v>2318</v>
      </c>
      <c r="C1117" s="2">
        <v>45221</v>
      </c>
      <c r="D1117" s="2">
        <v>45235</v>
      </c>
      <c r="E1117">
        <f t="shared" si="17"/>
        <v>14</v>
      </c>
      <c r="F1117" t="s">
        <v>41</v>
      </c>
      <c r="G1117">
        <v>10184</v>
      </c>
      <c r="H1117">
        <v>443</v>
      </c>
      <c r="I1117">
        <v>640.61</v>
      </c>
      <c r="K1117">
        <v>1</v>
      </c>
    </row>
    <row r="1118" spans="1:11" x14ac:dyDescent="0.2">
      <c r="A1118" t="s">
        <v>2319</v>
      </c>
      <c r="B1118" t="s">
        <v>2320</v>
      </c>
      <c r="C1118" s="2">
        <v>45108</v>
      </c>
      <c r="D1118" s="2">
        <v>45110</v>
      </c>
      <c r="E1118">
        <f t="shared" si="17"/>
        <v>2</v>
      </c>
      <c r="F1118" t="s">
        <v>234</v>
      </c>
      <c r="G1118">
        <v>20096</v>
      </c>
      <c r="H1118">
        <v>487</v>
      </c>
      <c r="I1118">
        <v>783.84</v>
      </c>
      <c r="J1118">
        <v>34</v>
      </c>
      <c r="K1118" t="b">
        <v>0</v>
      </c>
    </row>
    <row r="1119" spans="1:11" x14ac:dyDescent="0.2">
      <c r="A1119" t="s">
        <v>2321</v>
      </c>
      <c r="B1119" t="s">
        <v>2322</v>
      </c>
      <c r="C1119" s="2">
        <v>45015</v>
      </c>
      <c r="D1119" s="2">
        <v>45043</v>
      </c>
      <c r="E1119">
        <f t="shared" si="17"/>
        <v>28</v>
      </c>
      <c r="F1119" t="s">
        <v>19</v>
      </c>
      <c r="G1119">
        <v>68728</v>
      </c>
      <c r="H1119">
        <v>2960</v>
      </c>
      <c r="I1119">
        <v>4198.5</v>
      </c>
      <c r="J1119">
        <v>591</v>
      </c>
      <c r="K1119" t="s">
        <v>30</v>
      </c>
    </row>
    <row r="1120" spans="1:11" x14ac:dyDescent="0.2">
      <c r="A1120" t="s">
        <v>2323</v>
      </c>
      <c r="B1120" t="s">
        <v>2324</v>
      </c>
      <c r="C1120" s="2">
        <v>45284</v>
      </c>
      <c r="D1120" s="2">
        <v>45295</v>
      </c>
      <c r="E1120">
        <f t="shared" si="17"/>
        <v>11</v>
      </c>
      <c r="F1120" t="s">
        <v>41</v>
      </c>
      <c r="G1120">
        <v>35016</v>
      </c>
      <c r="H1120">
        <v>1343</v>
      </c>
      <c r="I1120">
        <v>705.09</v>
      </c>
      <c r="J1120">
        <v>192</v>
      </c>
      <c r="K1120" t="b">
        <v>0</v>
      </c>
    </row>
    <row r="1121" spans="1:11" x14ac:dyDescent="0.2">
      <c r="A1121" t="s">
        <v>2325</v>
      </c>
      <c r="B1121" t="s">
        <v>2326</v>
      </c>
      <c r="C1121" s="2">
        <v>45287</v>
      </c>
      <c r="D1121" s="2">
        <v>45312</v>
      </c>
      <c r="E1121">
        <f t="shared" si="17"/>
        <v>25</v>
      </c>
      <c r="F1121" t="s">
        <v>23</v>
      </c>
      <c r="G1121">
        <v>12246</v>
      </c>
      <c r="H1121">
        <v>209</v>
      </c>
      <c r="I1121" s="3">
        <v>165.56</v>
      </c>
      <c r="J1121">
        <v>23</v>
      </c>
      <c r="K1121">
        <v>1</v>
      </c>
    </row>
    <row r="1122" spans="1:11" x14ac:dyDescent="0.2">
      <c r="A1122" t="s">
        <v>2327</v>
      </c>
      <c r="B1122" t="s">
        <v>2328</v>
      </c>
      <c r="C1122" s="2">
        <v>45215</v>
      </c>
      <c r="D1122" s="2">
        <v>45228</v>
      </c>
      <c r="E1122">
        <f t="shared" si="17"/>
        <v>13</v>
      </c>
      <c r="F1122" t="s">
        <v>33</v>
      </c>
      <c r="G1122">
        <v>46558</v>
      </c>
      <c r="H1122">
        <v>1410</v>
      </c>
      <c r="I1122">
        <v>2419.14</v>
      </c>
      <c r="J1122">
        <v>131</v>
      </c>
      <c r="K1122" t="s">
        <v>30</v>
      </c>
    </row>
    <row r="1123" spans="1:11" x14ac:dyDescent="0.2">
      <c r="A1123" t="s">
        <v>2329</v>
      </c>
      <c r="B1123" t="s">
        <v>2330</v>
      </c>
      <c r="C1123" s="2">
        <v>45179</v>
      </c>
      <c r="D1123" s="2">
        <v>45180</v>
      </c>
      <c r="E1123">
        <f t="shared" si="17"/>
        <v>1</v>
      </c>
      <c r="F1123" t="s">
        <v>14</v>
      </c>
      <c r="G1123">
        <v>19381</v>
      </c>
      <c r="H1123">
        <v>718</v>
      </c>
      <c r="I1123" s="3">
        <v>652.64</v>
      </c>
      <c r="J1123">
        <v>100</v>
      </c>
      <c r="K1123">
        <v>0</v>
      </c>
    </row>
    <row r="1124" spans="1:11" x14ac:dyDescent="0.2">
      <c r="A1124" t="s">
        <v>2331</v>
      </c>
      <c r="B1124" t="s">
        <v>2332</v>
      </c>
      <c r="C1124" s="2">
        <v>44946</v>
      </c>
      <c r="D1124" s="2">
        <v>44953</v>
      </c>
      <c r="E1124">
        <f t="shared" si="17"/>
        <v>7</v>
      </c>
      <c r="F1124" t="s">
        <v>19</v>
      </c>
      <c r="G1124">
        <v>37455</v>
      </c>
      <c r="H1124">
        <v>726</v>
      </c>
      <c r="I1124">
        <v>1159.67</v>
      </c>
      <c r="J1124">
        <v>41</v>
      </c>
      <c r="K1124" t="s">
        <v>30</v>
      </c>
    </row>
    <row r="1125" spans="1:11" x14ac:dyDescent="0.2">
      <c r="A1125" t="s">
        <v>2334</v>
      </c>
      <c r="B1125" t="s">
        <v>2335</v>
      </c>
      <c r="C1125" s="2">
        <v>45046</v>
      </c>
      <c r="D1125" s="2">
        <v>45068</v>
      </c>
      <c r="E1125">
        <f t="shared" si="17"/>
        <v>22</v>
      </c>
      <c r="F1125" t="s">
        <v>23</v>
      </c>
      <c r="G1125">
        <v>93263</v>
      </c>
      <c r="H1125">
        <v>4031</v>
      </c>
      <c r="I1125" s="3">
        <v>4265.5200000000004</v>
      </c>
      <c r="J1125">
        <v>258</v>
      </c>
      <c r="K1125">
        <v>1</v>
      </c>
    </row>
    <row r="1126" spans="1:11" x14ac:dyDescent="0.2">
      <c r="A1126" t="s">
        <v>2336</v>
      </c>
      <c r="B1126" t="s">
        <v>2337</v>
      </c>
      <c r="C1126" s="2">
        <v>44966</v>
      </c>
      <c r="D1126" s="2">
        <v>45195</v>
      </c>
      <c r="E1126">
        <f t="shared" si="17"/>
        <v>229</v>
      </c>
      <c r="F1126" t="s">
        <v>33</v>
      </c>
      <c r="G1126">
        <v>5018</v>
      </c>
      <c r="H1126">
        <v>159</v>
      </c>
      <c r="I1126">
        <v>203.97</v>
      </c>
      <c r="J1126">
        <v>8</v>
      </c>
      <c r="K1126">
        <v>0</v>
      </c>
    </row>
    <row r="1127" spans="1:11" x14ac:dyDescent="0.2">
      <c r="A1127" t="s">
        <v>2338</v>
      </c>
      <c r="B1127" t="s">
        <v>2339</v>
      </c>
      <c r="C1127" s="2">
        <v>45241</v>
      </c>
      <c r="D1127" s="2">
        <v>45271</v>
      </c>
      <c r="E1127">
        <f t="shared" si="17"/>
        <v>30</v>
      </c>
      <c r="F1127" t="s">
        <v>14</v>
      </c>
      <c r="G1127">
        <v>12302</v>
      </c>
      <c r="H1127">
        <v>204</v>
      </c>
      <c r="I1127">
        <v>-122.8</v>
      </c>
      <c r="J1127">
        <v>25</v>
      </c>
      <c r="K1127" t="s">
        <v>30</v>
      </c>
    </row>
    <row r="1128" spans="1:11" x14ac:dyDescent="0.2">
      <c r="A1128" t="s">
        <v>2340</v>
      </c>
      <c r="B1128" t="s">
        <v>2341</v>
      </c>
      <c r="C1128" s="2">
        <v>45017</v>
      </c>
      <c r="D1128" s="2">
        <v>45029</v>
      </c>
      <c r="E1128">
        <f t="shared" si="17"/>
        <v>12</v>
      </c>
      <c r="F1128" t="s">
        <v>41</v>
      </c>
      <c r="G1128">
        <v>68506</v>
      </c>
      <c r="H1128">
        <v>2282</v>
      </c>
      <c r="I1128">
        <v>1761.34</v>
      </c>
      <c r="J1128">
        <v>319</v>
      </c>
      <c r="K1128" t="s">
        <v>30</v>
      </c>
    </row>
    <row r="1129" spans="1:11" x14ac:dyDescent="0.2">
      <c r="A1129" t="s">
        <v>2342</v>
      </c>
      <c r="B1129" t="s">
        <v>2343</v>
      </c>
      <c r="C1129" s="2">
        <v>45092</v>
      </c>
      <c r="D1129" s="2">
        <v>45105</v>
      </c>
      <c r="E1129">
        <f t="shared" si="17"/>
        <v>13</v>
      </c>
      <c r="F1129" t="s">
        <v>14</v>
      </c>
      <c r="G1129">
        <v>42157</v>
      </c>
      <c r="H1129">
        <v>2107</v>
      </c>
      <c r="I1129">
        <v>4078.72</v>
      </c>
      <c r="J1129">
        <v>125</v>
      </c>
      <c r="K1129" t="b">
        <v>0</v>
      </c>
    </row>
    <row r="1130" spans="1:11" x14ac:dyDescent="0.2">
      <c r="A1130" t="s">
        <v>2345</v>
      </c>
      <c r="B1130" t="s">
        <v>2346</v>
      </c>
      <c r="C1130" s="2">
        <v>45002</v>
      </c>
      <c r="D1130" s="2">
        <v>45017</v>
      </c>
      <c r="E1130">
        <f t="shared" si="17"/>
        <v>15</v>
      </c>
      <c r="F1130" t="s">
        <v>33</v>
      </c>
      <c r="G1130">
        <v>55917</v>
      </c>
      <c r="H1130">
        <v>895</v>
      </c>
      <c r="I1130">
        <v>1642.51</v>
      </c>
      <c r="J1130">
        <v>141</v>
      </c>
      <c r="K1130" t="s">
        <v>30</v>
      </c>
    </row>
    <row r="1131" spans="1:11" x14ac:dyDescent="0.2">
      <c r="A1131" t="s">
        <v>2347</v>
      </c>
      <c r="B1131" t="s">
        <v>2348</v>
      </c>
      <c r="C1131" s="2">
        <v>44983</v>
      </c>
      <c r="D1131" s="2">
        <v>45003</v>
      </c>
      <c r="E1131">
        <f t="shared" si="17"/>
        <v>20</v>
      </c>
      <c r="F1131" t="s">
        <v>23</v>
      </c>
      <c r="G1131">
        <v>93738</v>
      </c>
      <c r="H1131">
        <v>3999</v>
      </c>
      <c r="I1131">
        <v>5912.17</v>
      </c>
      <c r="J1131">
        <v>338</v>
      </c>
      <c r="K1131" t="s">
        <v>24</v>
      </c>
    </row>
    <row r="1132" spans="1:11" x14ac:dyDescent="0.2">
      <c r="A1132" t="s">
        <v>2349</v>
      </c>
      <c r="B1132" t="s">
        <v>2350</v>
      </c>
      <c r="C1132" s="2">
        <v>44964</v>
      </c>
      <c r="D1132" s="2">
        <v>44991</v>
      </c>
      <c r="E1132">
        <f t="shared" si="17"/>
        <v>27</v>
      </c>
      <c r="F1132" t="s">
        <v>23</v>
      </c>
      <c r="G1132">
        <v>97646</v>
      </c>
      <c r="H1132">
        <v>1786</v>
      </c>
      <c r="I1132">
        <v>2124.39</v>
      </c>
      <c r="J1132">
        <v>272</v>
      </c>
      <c r="K1132">
        <v>1</v>
      </c>
    </row>
    <row r="1133" spans="1:11" x14ac:dyDescent="0.2">
      <c r="A1133" t="s">
        <v>2351</v>
      </c>
      <c r="B1133" t="s">
        <v>2352</v>
      </c>
      <c r="C1133" s="2">
        <v>45129</v>
      </c>
      <c r="D1133" s="2">
        <v>45157</v>
      </c>
      <c r="E1133">
        <f t="shared" si="17"/>
        <v>28</v>
      </c>
      <c r="F1133" t="s">
        <v>19</v>
      </c>
      <c r="G1133">
        <v>84122</v>
      </c>
      <c r="H1133">
        <v>3473</v>
      </c>
      <c r="I1133">
        <v>5256.88</v>
      </c>
      <c r="J1133">
        <v>685</v>
      </c>
      <c r="K1133" t="b">
        <v>1</v>
      </c>
    </row>
    <row r="1134" spans="1:11" x14ac:dyDescent="0.2">
      <c r="A1134" t="s">
        <v>2353</v>
      </c>
      <c r="B1134" t="s">
        <v>2354</v>
      </c>
      <c r="C1134" s="2">
        <v>45092</v>
      </c>
      <c r="D1134" s="2">
        <v>45100</v>
      </c>
      <c r="E1134">
        <f t="shared" si="17"/>
        <v>8</v>
      </c>
      <c r="F1134" t="s">
        <v>19</v>
      </c>
      <c r="G1134">
        <v>25519</v>
      </c>
      <c r="H1134">
        <v>1005</v>
      </c>
      <c r="I1134">
        <v>1435.06</v>
      </c>
      <c r="J1134">
        <v>154</v>
      </c>
      <c r="K1134" t="b">
        <v>1</v>
      </c>
    </row>
    <row r="1135" spans="1:11" x14ac:dyDescent="0.2">
      <c r="A1135" t="s">
        <v>2355</v>
      </c>
      <c r="B1135" t="s">
        <v>2356</v>
      </c>
      <c r="C1135" s="2">
        <v>45150</v>
      </c>
      <c r="D1135" s="2">
        <v>45174</v>
      </c>
      <c r="E1135">
        <f t="shared" si="17"/>
        <v>24</v>
      </c>
      <c r="F1135" t="s">
        <v>23</v>
      </c>
      <c r="G1135">
        <v>97809</v>
      </c>
      <c r="H1135">
        <v>2153</v>
      </c>
      <c r="I1135">
        <v>2912.64</v>
      </c>
      <c r="J1135">
        <v>392</v>
      </c>
      <c r="K1135" t="b">
        <v>1</v>
      </c>
    </row>
    <row r="1136" spans="1:11" x14ac:dyDescent="0.2">
      <c r="A1136" t="s">
        <v>2357</v>
      </c>
      <c r="B1136" t="s">
        <v>2358</v>
      </c>
      <c r="C1136" s="2">
        <v>45259</v>
      </c>
      <c r="D1136" s="2">
        <v>45289</v>
      </c>
      <c r="E1136">
        <f t="shared" si="17"/>
        <v>30</v>
      </c>
      <c r="F1136" t="s">
        <v>23</v>
      </c>
      <c r="G1136">
        <v>88487</v>
      </c>
      <c r="H1136">
        <v>2038</v>
      </c>
      <c r="I1136">
        <v>1199.9000000000001</v>
      </c>
      <c r="J1136">
        <v>391</v>
      </c>
      <c r="K1136">
        <v>1</v>
      </c>
    </row>
    <row r="1137" spans="1:11" x14ac:dyDescent="0.2">
      <c r="A1137" t="s">
        <v>2359</v>
      </c>
      <c r="B1137" t="s">
        <v>2360</v>
      </c>
      <c r="C1137" s="2">
        <v>45214</v>
      </c>
      <c r="D1137" s="2">
        <v>45219</v>
      </c>
      <c r="E1137">
        <f t="shared" si="17"/>
        <v>5</v>
      </c>
      <c r="F1137" t="s">
        <v>41</v>
      </c>
      <c r="G1137">
        <v>57819</v>
      </c>
      <c r="H1137">
        <v>2411</v>
      </c>
      <c r="I1137">
        <v>3494.03</v>
      </c>
      <c r="J1137">
        <v>296</v>
      </c>
      <c r="K1137" t="b">
        <v>1</v>
      </c>
    </row>
    <row r="1138" spans="1:11" x14ac:dyDescent="0.2">
      <c r="A1138" t="s">
        <v>2361</v>
      </c>
      <c r="B1138" t="s">
        <v>2362</v>
      </c>
      <c r="C1138" s="2">
        <v>45109</v>
      </c>
      <c r="D1138" s="2">
        <v>45125</v>
      </c>
      <c r="E1138">
        <f t="shared" si="17"/>
        <v>16</v>
      </c>
      <c r="F1138" t="s">
        <v>19</v>
      </c>
      <c r="G1138">
        <v>81910</v>
      </c>
      <c r="H1138">
        <v>2330</v>
      </c>
      <c r="I1138" s="3">
        <v>3852.38</v>
      </c>
      <c r="J1138">
        <v>361</v>
      </c>
      <c r="K1138" t="b">
        <v>0</v>
      </c>
    </row>
    <row r="1139" spans="1:11" x14ac:dyDescent="0.2">
      <c r="A1139" t="s">
        <v>2363</v>
      </c>
      <c r="B1139" t="s">
        <v>2364</v>
      </c>
      <c r="C1139" s="2">
        <v>45016</v>
      </c>
      <c r="D1139" s="2">
        <v>45036</v>
      </c>
      <c r="E1139">
        <f t="shared" si="17"/>
        <v>20</v>
      </c>
      <c r="F1139" t="s">
        <v>23</v>
      </c>
      <c r="G1139">
        <v>72324</v>
      </c>
      <c r="H1139">
        <v>2837</v>
      </c>
      <c r="I1139">
        <v>5648.81</v>
      </c>
      <c r="J1139">
        <v>504</v>
      </c>
      <c r="K1139">
        <v>1</v>
      </c>
    </row>
    <row r="1140" spans="1:11" x14ac:dyDescent="0.2">
      <c r="A1140" t="s">
        <v>2365</v>
      </c>
      <c r="B1140" t="s">
        <v>2366</v>
      </c>
      <c r="C1140" s="2">
        <v>45077</v>
      </c>
      <c r="D1140" s="2">
        <v>45103</v>
      </c>
      <c r="E1140">
        <f t="shared" si="17"/>
        <v>26</v>
      </c>
      <c r="F1140" t="s">
        <v>23</v>
      </c>
      <c r="G1140">
        <v>6408</v>
      </c>
      <c r="H1140">
        <v>102</v>
      </c>
      <c r="I1140">
        <v>52.7</v>
      </c>
      <c r="K1140" t="s">
        <v>24</v>
      </c>
    </row>
    <row r="1141" spans="1:11" x14ac:dyDescent="0.2">
      <c r="A1141" t="s">
        <v>2367</v>
      </c>
      <c r="B1141" t="s">
        <v>2368</v>
      </c>
      <c r="C1141" s="2">
        <v>45286</v>
      </c>
      <c r="D1141" s="2">
        <v>45303</v>
      </c>
      <c r="E1141">
        <f t="shared" si="17"/>
        <v>17</v>
      </c>
      <c r="F1141" t="s">
        <v>19</v>
      </c>
      <c r="G1141">
        <v>60379</v>
      </c>
      <c r="H1141">
        <v>2662</v>
      </c>
      <c r="I1141">
        <v>4246.58</v>
      </c>
      <c r="J1141">
        <v>237</v>
      </c>
      <c r="K1141">
        <v>0</v>
      </c>
    </row>
    <row r="1142" spans="1:11" x14ac:dyDescent="0.2">
      <c r="A1142" t="s">
        <v>2369</v>
      </c>
      <c r="B1142" t="s">
        <v>2370</v>
      </c>
      <c r="C1142" s="2">
        <v>45217</v>
      </c>
      <c r="D1142" s="2">
        <v>45246</v>
      </c>
      <c r="E1142">
        <f t="shared" si="17"/>
        <v>29</v>
      </c>
      <c r="F1142" t="s">
        <v>19</v>
      </c>
      <c r="G1142">
        <v>26053</v>
      </c>
      <c r="H1142">
        <v>1001</v>
      </c>
      <c r="I1142" s="3">
        <v>1359.04</v>
      </c>
      <c r="J1142">
        <v>192</v>
      </c>
      <c r="K1142" t="s">
        <v>24</v>
      </c>
    </row>
    <row r="1143" spans="1:11" x14ac:dyDescent="0.2">
      <c r="A1143" t="s">
        <v>2371</v>
      </c>
      <c r="B1143" t="s">
        <v>2372</v>
      </c>
      <c r="C1143" s="2">
        <v>45235</v>
      </c>
      <c r="D1143" s="2">
        <v>45249</v>
      </c>
      <c r="E1143">
        <f t="shared" si="17"/>
        <v>14</v>
      </c>
      <c r="F1143" t="s">
        <v>41</v>
      </c>
      <c r="G1143">
        <v>10446</v>
      </c>
      <c r="H1143">
        <v>483</v>
      </c>
      <c r="I1143">
        <v>555.97</v>
      </c>
      <c r="K1143">
        <v>1</v>
      </c>
    </row>
    <row r="1144" spans="1:11" x14ac:dyDescent="0.2">
      <c r="A1144" t="s">
        <v>2373</v>
      </c>
      <c r="B1144" t="s">
        <v>2374</v>
      </c>
      <c r="C1144" s="2">
        <v>45240</v>
      </c>
      <c r="D1144" s="2">
        <v>45261</v>
      </c>
      <c r="E1144">
        <f t="shared" si="17"/>
        <v>21</v>
      </c>
      <c r="F1144" t="s">
        <v>138</v>
      </c>
      <c r="G1144">
        <v>1922</v>
      </c>
      <c r="H1144">
        <v>29</v>
      </c>
      <c r="I1144">
        <v>-20.05</v>
      </c>
      <c r="J1144">
        <v>2</v>
      </c>
      <c r="K1144">
        <v>1</v>
      </c>
    </row>
    <row r="1145" spans="1:11" x14ac:dyDescent="0.2">
      <c r="A1145" t="s">
        <v>2375</v>
      </c>
      <c r="B1145" t="s">
        <v>2376</v>
      </c>
      <c r="C1145" s="2">
        <v>45181</v>
      </c>
      <c r="D1145" s="2">
        <v>45209</v>
      </c>
      <c r="E1145">
        <f t="shared" si="17"/>
        <v>28</v>
      </c>
      <c r="F1145" t="s">
        <v>23</v>
      </c>
      <c r="G1145">
        <v>99723</v>
      </c>
      <c r="H1145">
        <v>3362</v>
      </c>
      <c r="I1145">
        <v>3744.02</v>
      </c>
      <c r="J1145">
        <v>394</v>
      </c>
      <c r="K1145" t="s">
        <v>30</v>
      </c>
    </row>
    <row r="1146" spans="1:11" x14ac:dyDescent="0.2">
      <c r="A1146" t="s">
        <v>2377</v>
      </c>
      <c r="B1146" t="s">
        <v>2378</v>
      </c>
      <c r="C1146" s="2">
        <v>45048</v>
      </c>
      <c r="D1146" s="2">
        <v>45073</v>
      </c>
      <c r="E1146">
        <f t="shared" si="17"/>
        <v>25</v>
      </c>
      <c r="F1146" t="s">
        <v>41</v>
      </c>
      <c r="G1146">
        <v>52356</v>
      </c>
      <c r="H1146">
        <v>1778</v>
      </c>
      <c r="I1146">
        <v>1834.12</v>
      </c>
      <c r="J1146">
        <v>301</v>
      </c>
      <c r="K1146" t="s">
        <v>30</v>
      </c>
    </row>
    <row r="1147" spans="1:11" x14ac:dyDescent="0.2">
      <c r="A1147" t="s">
        <v>2379</v>
      </c>
      <c r="B1147" t="s">
        <v>2380</v>
      </c>
      <c r="C1147" s="2">
        <v>45252</v>
      </c>
      <c r="D1147" s="2">
        <v>45273</v>
      </c>
      <c r="E1147">
        <f t="shared" si="17"/>
        <v>21</v>
      </c>
      <c r="F1147" t="s">
        <v>19</v>
      </c>
      <c r="G1147">
        <v>11789</v>
      </c>
      <c r="H1147">
        <v>284</v>
      </c>
      <c r="I1147">
        <v>271.01</v>
      </c>
      <c r="J1147">
        <v>37</v>
      </c>
      <c r="K1147" t="s">
        <v>30</v>
      </c>
    </row>
    <row r="1148" spans="1:11" x14ac:dyDescent="0.2">
      <c r="A1148" t="s">
        <v>2381</v>
      </c>
      <c r="B1148" t="s">
        <v>2382</v>
      </c>
      <c r="C1148" s="2">
        <v>45289</v>
      </c>
      <c r="D1148" s="2">
        <v>45295</v>
      </c>
      <c r="E1148">
        <f t="shared" si="17"/>
        <v>6</v>
      </c>
      <c r="F1148" t="s">
        <v>415</v>
      </c>
      <c r="G1148">
        <v>98720</v>
      </c>
      <c r="H1148">
        <v>2797</v>
      </c>
      <c r="I1148">
        <v>4464.91</v>
      </c>
      <c r="J1148">
        <v>412</v>
      </c>
      <c r="K1148" t="s">
        <v>15</v>
      </c>
    </row>
    <row r="1149" spans="1:11" x14ac:dyDescent="0.2">
      <c r="A1149" t="s">
        <v>2383</v>
      </c>
      <c r="B1149" t="s">
        <v>2384</v>
      </c>
      <c r="C1149" s="2">
        <v>45098</v>
      </c>
      <c r="D1149" s="2">
        <v>45106</v>
      </c>
      <c r="E1149">
        <f t="shared" si="17"/>
        <v>8</v>
      </c>
      <c r="F1149" t="s">
        <v>14</v>
      </c>
      <c r="G1149">
        <v>67656</v>
      </c>
      <c r="H1149">
        <v>779</v>
      </c>
      <c r="I1149">
        <v>1208.3</v>
      </c>
      <c r="J1149">
        <v>127</v>
      </c>
      <c r="K1149" t="b">
        <v>0</v>
      </c>
    </row>
    <row r="1150" spans="1:11" x14ac:dyDescent="0.2">
      <c r="A1150" t="s">
        <v>2385</v>
      </c>
      <c r="B1150" t="s">
        <v>2386</v>
      </c>
      <c r="C1150" s="2">
        <v>45054</v>
      </c>
      <c r="D1150" s="2">
        <v>45074</v>
      </c>
      <c r="E1150">
        <f t="shared" si="17"/>
        <v>20</v>
      </c>
      <c r="F1150" t="s">
        <v>191</v>
      </c>
      <c r="G1150">
        <v>45028</v>
      </c>
      <c r="H1150">
        <v>1793</v>
      </c>
      <c r="I1150">
        <v>2480.67</v>
      </c>
      <c r="J1150">
        <v>256</v>
      </c>
      <c r="K1150">
        <v>1</v>
      </c>
    </row>
    <row r="1151" spans="1:11" x14ac:dyDescent="0.2">
      <c r="A1151" t="s">
        <v>2387</v>
      </c>
      <c r="B1151" t="s">
        <v>2388</v>
      </c>
      <c r="C1151" s="2">
        <v>44982</v>
      </c>
      <c r="D1151" s="2">
        <v>44999</v>
      </c>
      <c r="E1151">
        <f t="shared" si="17"/>
        <v>17</v>
      </c>
      <c r="F1151" t="s">
        <v>33</v>
      </c>
      <c r="G1151">
        <v>65484</v>
      </c>
      <c r="H1151">
        <v>2093</v>
      </c>
      <c r="I1151">
        <v>3993.44</v>
      </c>
      <c r="J1151">
        <v>274</v>
      </c>
      <c r="K1151" t="s">
        <v>24</v>
      </c>
    </row>
    <row r="1152" spans="1:11" x14ac:dyDescent="0.2">
      <c r="A1152" t="s">
        <v>2389</v>
      </c>
      <c r="B1152" t="s">
        <v>2390</v>
      </c>
      <c r="C1152" s="2">
        <v>45151</v>
      </c>
      <c r="D1152" s="2">
        <v>45161</v>
      </c>
      <c r="E1152">
        <f t="shared" si="17"/>
        <v>10</v>
      </c>
      <c r="F1152" t="s">
        <v>23</v>
      </c>
      <c r="G1152">
        <v>33154</v>
      </c>
      <c r="H1152">
        <v>408</v>
      </c>
      <c r="I1152">
        <v>418.11</v>
      </c>
      <c r="K1152">
        <v>1</v>
      </c>
    </row>
    <row r="1153" spans="1:11" x14ac:dyDescent="0.2">
      <c r="A1153" t="s">
        <v>2391</v>
      </c>
      <c r="B1153" t="s">
        <v>2392</v>
      </c>
      <c r="C1153" s="2">
        <v>45138</v>
      </c>
      <c r="D1153" s="2">
        <v>45154</v>
      </c>
      <c r="E1153">
        <f t="shared" si="17"/>
        <v>16</v>
      </c>
      <c r="F1153" t="s">
        <v>33</v>
      </c>
      <c r="G1153">
        <v>83870</v>
      </c>
      <c r="H1153">
        <v>3122</v>
      </c>
      <c r="I1153">
        <v>2702.72</v>
      </c>
      <c r="K1153" t="s">
        <v>30</v>
      </c>
    </row>
    <row r="1154" spans="1:11" x14ac:dyDescent="0.2">
      <c r="A1154" t="s">
        <v>2393</v>
      </c>
      <c r="B1154" t="s">
        <v>2394</v>
      </c>
      <c r="C1154" s="2">
        <v>45206</v>
      </c>
      <c r="D1154" s="2">
        <v>45231</v>
      </c>
      <c r="E1154">
        <f t="shared" ref="E1154:E1217" si="18">D1154-C1154</f>
        <v>25</v>
      </c>
      <c r="F1154" t="s">
        <v>14</v>
      </c>
      <c r="G1154">
        <v>3336</v>
      </c>
      <c r="H1154">
        <v>95</v>
      </c>
      <c r="I1154">
        <v>140.97</v>
      </c>
      <c r="J1154">
        <v>13</v>
      </c>
      <c r="K1154">
        <v>1</v>
      </c>
    </row>
    <row r="1155" spans="1:11" x14ac:dyDescent="0.2">
      <c r="A1155" t="s">
        <v>2395</v>
      </c>
      <c r="B1155" t="s">
        <v>2396</v>
      </c>
      <c r="C1155" s="2">
        <v>45222</v>
      </c>
      <c r="D1155" s="2">
        <v>45225</v>
      </c>
      <c r="E1155">
        <f t="shared" si="18"/>
        <v>3</v>
      </c>
      <c r="F1155" t="s">
        <v>33</v>
      </c>
      <c r="G1155">
        <v>68779</v>
      </c>
      <c r="H1155">
        <v>782</v>
      </c>
      <c r="I1155">
        <v>624.21</v>
      </c>
      <c r="J1155">
        <v>81</v>
      </c>
      <c r="K1155">
        <v>0</v>
      </c>
    </row>
    <row r="1156" spans="1:11" x14ac:dyDescent="0.2">
      <c r="A1156" t="s">
        <v>2397</v>
      </c>
      <c r="B1156" t="s">
        <v>2398</v>
      </c>
      <c r="C1156" s="2">
        <v>45010</v>
      </c>
      <c r="D1156" s="2">
        <v>45024</v>
      </c>
      <c r="E1156">
        <f t="shared" si="18"/>
        <v>14</v>
      </c>
      <c r="F1156" t="s">
        <v>41</v>
      </c>
      <c r="G1156">
        <v>20029</v>
      </c>
      <c r="H1156">
        <v>977</v>
      </c>
      <c r="I1156">
        <v>950.15</v>
      </c>
      <c r="J1156">
        <v>108</v>
      </c>
      <c r="K1156">
        <v>1</v>
      </c>
    </row>
    <row r="1157" spans="1:11" x14ac:dyDescent="0.2">
      <c r="A1157" t="s">
        <v>2399</v>
      </c>
      <c r="B1157" t="s">
        <v>2400</v>
      </c>
      <c r="C1157" s="2">
        <v>44944</v>
      </c>
      <c r="D1157" s="2">
        <v>44964</v>
      </c>
      <c r="E1157">
        <f t="shared" si="18"/>
        <v>20</v>
      </c>
      <c r="F1157" t="s">
        <v>266</v>
      </c>
      <c r="G1157">
        <v>60201</v>
      </c>
      <c r="H1157">
        <v>2887</v>
      </c>
      <c r="I1157">
        <v>2416.14</v>
      </c>
      <c r="J1157">
        <v>564</v>
      </c>
      <c r="K1157" t="s">
        <v>24</v>
      </c>
    </row>
    <row r="1158" spans="1:11" x14ac:dyDescent="0.2">
      <c r="A1158" t="s">
        <v>2401</v>
      </c>
      <c r="B1158" t="s">
        <v>2402</v>
      </c>
      <c r="C1158" s="2">
        <v>44980</v>
      </c>
      <c r="D1158" s="2">
        <v>44981</v>
      </c>
      <c r="E1158">
        <f t="shared" si="18"/>
        <v>1</v>
      </c>
      <c r="F1158" t="s">
        <v>14</v>
      </c>
      <c r="G1158">
        <v>33265</v>
      </c>
      <c r="H1158">
        <v>1015</v>
      </c>
      <c r="I1158">
        <v>612.79</v>
      </c>
      <c r="J1158">
        <v>67</v>
      </c>
      <c r="K1158" t="b">
        <v>1</v>
      </c>
    </row>
    <row r="1159" spans="1:11" x14ac:dyDescent="0.2">
      <c r="A1159" t="s">
        <v>2404</v>
      </c>
      <c r="B1159" t="s">
        <v>2405</v>
      </c>
      <c r="C1159" s="2">
        <v>45014</v>
      </c>
      <c r="D1159" s="2">
        <v>45028</v>
      </c>
      <c r="E1159">
        <f t="shared" si="18"/>
        <v>14</v>
      </c>
      <c r="F1159" t="s">
        <v>23</v>
      </c>
      <c r="G1159">
        <v>44872</v>
      </c>
      <c r="H1159">
        <v>616</v>
      </c>
      <c r="I1159">
        <v>1072.6099999999999</v>
      </c>
      <c r="K1159">
        <v>0</v>
      </c>
    </row>
    <row r="1160" spans="1:11" x14ac:dyDescent="0.2">
      <c r="A1160" t="s">
        <v>2406</v>
      </c>
      <c r="B1160" t="s">
        <v>2407</v>
      </c>
      <c r="C1160" s="2">
        <v>44965</v>
      </c>
      <c r="D1160" s="2">
        <v>44968</v>
      </c>
      <c r="E1160">
        <f t="shared" si="18"/>
        <v>3</v>
      </c>
      <c r="F1160" t="s">
        <v>41</v>
      </c>
      <c r="G1160">
        <v>47197</v>
      </c>
      <c r="H1160">
        <v>1896</v>
      </c>
      <c r="I1160">
        <v>1671.91</v>
      </c>
      <c r="J1160">
        <v>234</v>
      </c>
      <c r="K1160">
        <v>0</v>
      </c>
    </row>
    <row r="1161" spans="1:11" x14ac:dyDescent="0.2">
      <c r="A1161" t="s">
        <v>2408</v>
      </c>
      <c r="B1161" t="s">
        <v>2409</v>
      </c>
      <c r="C1161" s="2">
        <v>44974</v>
      </c>
      <c r="D1161" s="2">
        <v>44992</v>
      </c>
      <c r="E1161">
        <f t="shared" si="18"/>
        <v>18</v>
      </c>
      <c r="F1161" t="s">
        <v>33</v>
      </c>
      <c r="G1161">
        <v>56180</v>
      </c>
      <c r="H1161">
        <v>1667</v>
      </c>
      <c r="I1161">
        <v>2016.31</v>
      </c>
      <c r="J1161">
        <v>292</v>
      </c>
      <c r="K1161">
        <v>1</v>
      </c>
    </row>
    <row r="1162" spans="1:11" x14ac:dyDescent="0.2">
      <c r="A1162" t="s">
        <v>2410</v>
      </c>
      <c r="B1162" t="s">
        <v>2411</v>
      </c>
      <c r="C1162" s="2">
        <v>45174</v>
      </c>
      <c r="D1162" s="2">
        <v>45177</v>
      </c>
      <c r="E1162">
        <f t="shared" si="18"/>
        <v>3</v>
      </c>
      <c r="F1162" t="s">
        <v>33</v>
      </c>
      <c r="G1162">
        <v>24710</v>
      </c>
      <c r="H1162">
        <v>546</v>
      </c>
      <c r="I1162">
        <v>308.48</v>
      </c>
      <c r="J1162">
        <v>40</v>
      </c>
      <c r="K1162" t="s">
        <v>15</v>
      </c>
    </row>
    <row r="1163" spans="1:11" x14ac:dyDescent="0.2">
      <c r="A1163" t="s">
        <v>2412</v>
      </c>
      <c r="B1163" t="s">
        <v>2413</v>
      </c>
      <c r="C1163" s="2">
        <v>45261</v>
      </c>
      <c r="D1163" s="2">
        <v>45284</v>
      </c>
      <c r="E1163">
        <f t="shared" si="18"/>
        <v>23</v>
      </c>
      <c r="F1163" t="s">
        <v>19</v>
      </c>
      <c r="G1163">
        <v>30486</v>
      </c>
      <c r="H1163">
        <v>904</v>
      </c>
      <c r="I1163" s="3">
        <v>1400.3</v>
      </c>
      <c r="J1163">
        <v>82</v>
      </c>
      <c r="K1163" t="s">
        <v>30</v>
      </c>
    </row>
    <row r="1164" spans="1:11" x14ac:dyDescent="0.2">
      <c r="A1164" t="s">
        <v>2414</v>
      </c>
      <c r="B1164" t="s">
        <v>2415</v>
      </c>
      <c r="C1164" s="2">
        <v>45007</v>
      </c>
      <c r="D1164" s="2">
        <v>45036</v>
      </c>
      <c r="E1164">
        <f t="shared" si="18"/>
        <v>29</v>
      </c>
      <c r="F1164" t="s">
        <v>23</v>
      </c>
      <c r="G1164">
        <v>72907</v>
      </c>
      <c r="H1164">
        <v>2252</v>
      </c>
      <c r="I1164" s="3">
        <v>2242.64</v>
      </c>
      <c r="K1164" t="b">
        <v>0</v>
      </c>
    </row>
    <row r="1165" spans="1:11" x14ac:dyDescent="0.2">
      <c r="A1165" t="s">
        <v>2416</v>
      </c>
      <c r="B1165" t="s">
        <v>2417</v>
      </c>
      <c r="C1165" s="2">
        <v>45096</v>
      </c>
      <c r="D1165" s="2">
        <v>45121</v>
      </c>
      <c r="E1165">
        <f t="shared" si="18"/>
        <v>25</v>
      </c>
      <c r="F1165" t="s">
        <v>19</v>
      </c>
      <c r="G1165">
        <v>72895</v>
      </c>
      <c r="H1165">
        <v>2369</v>
      </c>
      <c r="I1165" s="3">
        <v>3830.92</v>
      </c>
      <c r="J1165">
        <v>369</v>
      </c>
      <c r="K1165" t="b">
        <v>0</v>
      </c>
    </row>
    <row r="1166" spans="1:11" x14ac:dyDescent="0.2">
      <c r="A1166" t="s">
        <v>2418</v>
      </c>
      <c r="B1166" t="s">
        <v>2419</v>
      </c>
      <c r="C1166" s="2">
        <v>45283</v>
      </c>
      <c r="D1166" s="2">
        <v>45288</v>
      </c>
      <c r="E1166">
        <f t="shared" si="18"/>
        <v>5</v>
      </c>
      <c r="F1166" t="s">
        <v>23</v>
      </c>
      <c r="G1166">
        <v>65435</v>
      </c>
      <c r="H1166">
        <v>1809</v>
      </c>
      <c r="I1166">
        <v>2023.56</v>
      </c>
      <c r="J1166">
        <v>155</v>
      </c>
      <c r="K1166" t="b">
        <v>1</v>
      </c>
    </row>
    <row r="1167" spans="1:11" x14ac:dyDescent="0.2">
      <c r="A1167" t="s">
        <v>2420</v>
      </c>
      <c r="B1167" t="s">
        <v>2421</v>
      </c>
      <c r="C1167" s="2">
        <v>45203</v>
      </c>
      <c r="D1167" s="2">
        <v>45228</v>
      </c>
      <c r="E1167">
        <f t="shared" si="18"/>
        <v>25</v>
      </c>
      <c r="F1167" t="s">
        <v>19</v>
      </c>
      <c r="G1167">
        <v>41631</v>
      </c>
      <c r="H1167">
        <v>1425</v>
      </c>
      <c r="I1167" s="3">
        <v>1130.93</v>
      </c>
      <c r="J1167">
        <v>154</v>
      </c>
      <c r="K1167" t="b">
        <v>0</v>
      </c>
    </row>
    <row r="1168" spans="1:11" x14ac:dyDescent="0.2">
      <c r="A1168" t="s">
        <v>2422</v>
      </c>
      <c r="B1168" t="s">
        <v>2423</v>
      </c>
      <c r="C1168" s="2">
        <v>44962</v>
      </c>
      <c r="D1168" s="2">
        <v>45069</v>
      </c>
      <c r="E1168">
        <f t="shared" si="18"/>
        <v>107</v>
      </c>
      <c r="F1168" t="s">
        <v>23</v>
      </c>
      <c r="G1168">
        <v>21103</v>
      </c>
      <c r="H1168">
        <v>986</v>
      </c>
      <c r="I1168">
        <v>1251.99</v>
      </c>
      <c r="J1168">
        <v>114</v>
      </c>
      <c r="K1168" t="b">
        <v>0</v>
      </c>
    </row>
    <row r="1169" spans="1:11" x14ac:dyDescent="0.2">
      <c r="A1169" t="s">
        <v>2424</v>
      </c>
      <c r="B1169" t="s">
        <v>2425</v>
      </c>
      <c r="C1169" s="2">
        <v>45128</v>
      </c>
      <c r="D1169" s="2">
        <v>45130</v>
      </c>
      <c r="E1169">
        <f t="shared" si="18"/>
        <v>2</v>
      </c>
      <c r="F1169" t="s">
        <v>19</v>
      </c>
      <c r="G1169">
        <v>65772</v>
      </c>
      <c r="H1169">
        <v>1610</v>
      </c>
      <c r="I1169">
        <v>1120.17</v>
      </c>
      <c r="J1169">
        <v>295</v>
      </c>
      <c r="K1169" t="s">
        <v>30</v>
      </c>
    </row>
    <row r="1170" spans="1:11" x14ac:dyDescent="0.2">
      <c r="A1170" t="s">
        <v>2426</v>
      </c>
      <c r="B1170" t="s">
        <v>2427</v>
      </c>
      <c r="C1170" s="2">
        <v>45005</v>
      </c>
      <c r="D1170" s="2">
        <v>45017</v>
      </c>
      <c r="E1170">
        <f t="shared" si="18"/>
        <v>12</v>
      </c>
      <c r="F1170" t="s">
        <v>14</v>
      </c>
      <c r="G1170">
        <v>15382</v>
      </c>
      <c r="H1170">
        <v>600</v>
      </c>
      <c r="I1170">
        <v>696.49</v>
      </c>
      <c r="J1170">
        <v>67</v>
      </c>
      <c r="K1170" t="s">
        <v>30</v>
      </c>
    </row>
    <row r="1171" spans="1:11" x14ac:dyDescent="0.2">
      <c r="A1171" t="s">
        <v>2429</v>
      </c>
      <c r="B1171" t="s">
        <v>2430</v>
      </c>
      <c r="C1171" s="2">
        <v>44928</v>
      </c>
      <c r="D1171" s="2">
        <v>44937</v>
      </c>
      <c r="E1171">
        <f t="shared" si="18"/>
        <v>9</v>
      </c>
      <c r="F1171" t="s">
        <v>19</v>
      </c>
      <c r="G1171">
        <v>85291</v>
      </c>
      <c r="H1171">
        <v>3904</v>
      </c>
      <c r="I1171">
        <v>3810.14</v>
      </c>
      <c r="J1171">
        <v>280</v>
      </c>
      <c r="K1171" t="s">
        <v>15</v>
      </c>
    </row>
    <row r="1172" spans="1:11" x14ac:dyDescent="0.2">
      <c r="A1172" t="s">
        <v>2431</v>
      </c>
      <c r="B1172" t="s">
        <v>2432</v>
      </c>
      <c r="C1172" s="2">
        <v>45265</v>
      </c>
      <c r="D1172" s="2">
        <v>45278</v>
      </c>
      <c r="E1172">
        <f t="shared" si="18"/>
        <v>13</v>
      </c>
      <c r="F1172" t="s">
        <v>19</v>
      </c>
      <c r="G1172">
        <v>4756</v>
      </c>
      <c r="H1172">
        <v>134</v>
      </c>
      <c r="I1172">
        <v>250.3</v>
      </c>
      <c r="J1172">
        <v>17</v>
      </c>
      <c r="K1172" t="s">
        <v>24</v>
      </c>
    </row>
    <row r="1173" spans="1:11" x14ac:dyDescent="0.2">
      <c r="A1173" t="s">
        <v>2433</v>
      </c>
      <c r="B1173" t="s">
        <v>2434</v>
      </c>
      <c r="C1173" s="2">
        <v>44976</v>
      </c>
      <c r="D1173" s="2">
        <v>44985</v>
      </c>
      <c r="E1173">
        <f t="shared" si="18"/>
        <v>9</v>
      </c>
      <c r="F1173" t="s">
        <v>14</v>
      </c>
      <c r="G1173">
        <v>21609</v>
      </c>
      <c r="H1173">
        <v>599</v>
      </c>
      <c r="I1173" s="3">
        <v>354.24</v>
      </c>
      <c r="J1173">
        <v>116</v>
      </c>
      <c r="K1173" t="b">
        <v>1</v>
      </c>
    </row>
    <row r="1174" spans="1:11" x14ac:dyDescent="0.2">
      <c r="A1174" t="s">
        <v>2435</v>
      </c>
      <c r="B1174" t="s">
        <v>2436</v>
      </c>
      <c r="C1174" s="2">
        <v>45014</v>
      </c>
      <c r="D1174" s="2">
        <v>45029</v>
      </c>
      <c r="E1174">
        <f t="shared" si="18"/>
        <v>15</v>
      </c>
      <c r="F1174" t="s">
        <v>23</v>
      </c>
      <c r="G1174">
        <v>17478</v>
      </c>
      <c r="H1174">
        <v>595</v>
      </c>
      <c r="I1174">
        <v>916.91</v>
      </c>
      <c r="J1174">
        <v>83</v>
      </c>
      <c r="K1174" t="b">
        <v>0</v>
      </c>
    </row>
    <row r="1175" spans="1:11" x14ac:dyDescent="0.2">
      <c r="A1175" t="s">
        <v>2437</v>
      </c>
      <c r="B1175" t="s">
        <v>2438</v>
      </c>
      <c r="C1175" s="2">
        <v>45169</v>
      </c>
      <c r="D1175" s="2">
        <v>45190</v>
      </c>
      <c r="E1175">
        <f t="shared" si="18"/>
        <v>21</v>
      </c>
      <c r="F1175" t="s">
        <v>19</v>
      </c>
      <c r="G1175">
        <v>40666</v>
      </c>
      <c r="H1175">
        <v>1368</v>
      </c>
      <c r="I1175">
        <v>1059.01</v>
      </c>
      <c r="J1175">
        <v>270</v>
      </c>
      <c r="K1175" t="s">
        <v>15</v>
      </c>
    </row>
    <row r="1176" spans="1:11" x14ac:dyDescent="0.2">
      <c r="A1176" t="s">
        <v>2439</v>
      </c>
      <c r="B1176" t="s">
        <v>2440</v>
      </c>
      <c r="C1176" s="2">
        <v>45130</v>
      </c>
      <c r="D1176" s="2">
        <v>45156</v>
      </c>
      <c r="E1176">
        <f t="shared" si="18"/>
        <v>26</v>
      </c>
      <c r="F1176" t="s">
        <v>19</v>
      </c>
      <c r="G1176">
        <v>76683</v>
      </c>
      <c r="H1176">
        <v>3240</v>
      </c>
      <c r="I1176">
        <v>3170.56</v>
      </c>
      <c r="J1176">
        <v>570</v>
      </c>
      <c r="K1176" t="b">
        <v>1</v>
      </c>
    </row>
    <row r="1177" spans="1:11" x14ac:dyDescent="0.2">
      <c r="A1177" t="s">
        <v>2441</v>
      </c>
      <c r="B1177" t="s">
        <v>2442</v>
      </c>
      <c r="C1177" s="2">
        <v>45062</v>
      </c>
      <c r="D1177" s="2">
        <v>45092</v>
      </c>
      <c r="E1177">
        <f t="shared" si="18"/>
        <v>30</v>
      </c>
      <c r="F1177" t="s">
        <v>41</v>
      </c>
      <c r="G1177">
        <v>72315</v>
      </c>
      <c r="H1177">
        <v>2101</v>
      </c>
      <c r="I1177">
        <v>2359.9899999999998</v>
      </c>
      <c r="J1177">
        <v>116</v>
      </c>
      <c r="K1177">
        <v>0</v>
      </c>
    </row>
    <row r="1178" spans="1:11" x14ac:dyDescent="0.2">
      <c r="A1178" t="s">
        <v>2443</v>
      </c>
      <c r="B1178" t="s">
        <v>2444</v>
      </c>
      <c r="C1178" s="2">
        <v>45205</v>
      </c>
      <c r="D1178" s="2">
        <v>45216</v>
      </c>
      <c r="E1178">
        <f t="shared" si="18"/>
        <v>11</v>
      </c>
      <c r="F1178" t="s">
        <v>14</v>
      </c>
      <c r="G1178">
        <v>78834</v>
      </c>
      <c r="H1178">
        <v>3929</v>
      </c>
      <c r="I1178">
        <v>7315.89</v>
      </c>
      <c r="J1178">
        <v>584</v>
      </c>
      <c r="K1178" t="b">
        <v>0</v>
      </c>
    </row>
    <row r="1179" spans="1:11" x14ac:dyDescent="0.2">
      <c r="A1179" t="s">
        <v>2445</v>
      </c>
      <c r="B1179" t="s">
        <v>2446</v>
      </c>
      <c r="C1179" s="2">
        <v>45122</v>
      </c>
      <c r="D1179" s="2">
        <v>45132</v>
      </c>
      <c r="E1179">
        <f t="shared" si="18"/>
        <v>10</v>
      </c>
      <c r="F1179" t="s">
        <v>14</v>
      </c>
      <c r="G1179">
        <v>15153</v>
      </c>
      <c r="H1179">
        <v>187</v>
      </c>
      <c r="I1179" s="3">
        <v>161.54</v>
      </c>
      <c r="J1179">
        <v>17</v>
      </c>
      <c r="K1179" t="b">
        <v>0</v>
      </c>
    </row>
    <row r="1180" spans="1:11" x14ac:dyDescent="0.2">
      <c r="A1180" t="s">
        <v>2447</v>
      </c>
      <c r="B1180" t="s">
        <v>2448</v>
      </c>
      <c r="C1180" s="2">
        <v>45061</v>
      </c>
      <c r="D1180" s="2">
        <v>45088</v>
      </c>
      <c r="E1180">
        <f t="shared" si="18"/>
        <v>27</v>
      </c>
      <c r="F1180" t="s">
        <v>23</v>
      </c>
      <c r="G1180">
        <v>77325</v>
      </c>
      <c r="H1180">
        <v>783</v>
      </c>
      <c r="I1180">
        <v>498.74</v>
      </c>
      <c r="J1180">
        <v>104</v>
      </c>
      <c r="K1180" t="s">
        <v>30</v>
      </c>
    </row>
    <row r="1181" spans="1:11" x14ac:dyDescent="0.2">
      <c r="A1181" t="s">
        <v>2449</v>
      </c>
      <c r="B1181" t="s">
        <v>2450</v>
      </c>
      <c r="C1181" s="2">
        <v>45064</v>
      </c>
      <c r="D1181" s="2">
        <v>45082</v>
      </c>
      <c r="E1181">
        <f t="shared" si="18"/>
        <v>18</v>
      </c>
      <c r="F1181" t="s">
        <v>58</v>
      </c>
      <c r="G1181">
        <v>13999</v>
      </c>
      <c r="H1181">
        <v>498</v>
      </c>
      <c r="I1181">
        <v>487.06</v>
      </c>
      <c r="J1181">
        <v>45</v>
      </c>
      <c r="K1181">
        <v>1</v>
      </c>
    </row>
    <row r="1182" spans="1:11" x14ac:dyDescent="0.2">
      <c r="A1182" t="s">
        <v>2451</v>
      </c>
      <c r="B1182" t="s">
        <v>2452</v>
      </c>
      <c r="C1182" s="2">
        <v>45283</v>
      </c>
      <c r="D1182" s="2">
        <v>45303</v>
      </c>
      <c r="E1182">
        <f t="shared" si="18"/>
        <v>20</v>
      </c>
      <c r="F1182" t="s">
        <v>14</v>
      </c>
      <c r="G1182">
        <v>56318</v>
      </c>
      <c r="H1182">
        <v>1235</v>
      </c>
      <c r="I1182" s="3">
        <v>811.41</v>
      </c>
      <c r="J1182">
        <v>126</v>
      </c>
      <c r="K1182" t="b">
        <v>1</v>
      </c>
    </row>
    <row r="1183" spans="1:11" x14ac:dyDescent="0.2">
      <c r="A1183" t="s">
        <v>2453</v>
      </c>
      <c r="B1183" t="s">
        <v>2454</v>
      </c>
      <c r="C1183" s="2">
        <v>45103</v>
      </c>
      <c r="D1183" s="2">
        <v>45114</v>
      </c>
      <c r="E1183">
        <f t="shared" si="18"/>
        <v>11</v>
      </c>
      <c r="F1183" t="s">
        <v>14</v>
      </c>
      <c r="G1183">
        <v>1814</v>
      </c>
      <c r="H1183">
        <v>35</v>
      </c>
      <c r="I1183" s="3">
        <v>24.25</v>
      </c>
      <c r="J1183">
        <v>6</v>
      </c>
      <c r="K1183" t="b">
        <v>0</v>
      </c>
    </row>
    <row r="1184" spans="1:11" x14ac:dyDescent="0.2">
      <c r="A1184" t="s">
        <v>2455</v>
      </c>
      <c r="B1184" t="s">
        <v>2456</v>
      </c>
      <c r="C1184" s="2">
        <v>45228</v>
      </c>
      <c r="D1184" s="2">
        <v>45258</v>
      </c>
      <c r="E1184">
        <f t="shared" si="18"/>
        <v>30</v>
      </c>
      <c r="F1184" t="s">
        <v>23</v>
      </c>
      <c r="G1184">
        <v>77077</v>
      </c>
      <c r="H1184">
        <v>1732</v>
      </c>
      <c r="I1184">
        <v>2356.86</v>
      </c>
      <c r="J1184">
        <v>140</v>
      </c>
      <c r="K1184" t="b">
        <v>1</v>
      </c>
    </row>
    <row r="1185" spans="1:11" x14ac:dyDescent="0.2">
      <c r="A1185" t="s">
        <v>2457</v>
      </c>
      <c r="B1185" t="s">
        <v>2458</v>
      </c>
      <c r="C1185" s="2">
        <v>45125</v>
      </c>
      <c r="D1185" s="2">
        <v>45135</v>
      </c>
      <c r="E1185">
        <f t="shared" si="18"/>
        <v>10</v>
      </c>
      <c r="F1185" t="s">
        <v>19</v>
      </c>
      <c r="G1185">
        <v>91474</v>
      </c>
      <c r="H1185">
        <v>1851</v>
      </c>
      <c r="I1185">
        <v>1094.5899999999999</v>
      </c>
      <c r="K1185" t="s">
        <v>24</v>
      </c>
    </row>
    <row r="1186" spans="1:11" x14ac:dyDescent="0.2">
      <c r="A1186" t="s">
        <v>2459</v>
      </c>
      <c r="B1186" t="s">
        <v>2460</v>
      </c>
      <c r="C1186" s="2">
        <v>45201</v>
      </c>
      <c r="D1186" s="2">
        <v>45229</v>
      </c>
      <c r="E1186">
        <f t="shared" si="18"/>
        <v>28</v>
      </c>
      <c r="F1186" t="s">
        <v>41</v>
      </c>
      <c r="G1186">
        <v>3443</v>
      </c>
      <c r="H1186">
        <v>38</v>
      </c>
      <c r="I1186">
        <v>20.76</v>
      </c>
      <c r="J1186">
        <v>2</v>
      </c>
      <c r="K1186" t="s">
        <v>15</v>
      </c>
    </row>
    <row r="1187" spans="1:11" x14ac:dyDescent="0.2">
      <c r="A1187" t="s">
        <v>2461</v>
      </c>
      <c r="B1187" t="s">
        <v>2462</v>
      </c>
      <c r="C1187" s="2">
        <v>45215</v>
      </c>
      <c r="D1187" s="2">
        <v>45220</v>
      </c>
      <c r="E1187">
        <f t="shared" si="18"/>
        <v>5</v>
      </c>
      <c r="F1187" t="s">
        <v>19</v>
      </c>
      <c r="G1187">
        <v>76993</v>
      </c>
      <c r="H1187">
        <v>3761</v>
      </c>
      <c r="I1187">
        <v>5910.87</v>
      </c>
      <c r="J1187">
        <v>239</v>
      </c>
      <c r="K1187" t="s">
        <v>15</v>
      </c>
    </row>
    <row r="1188" spans="1:11" x14ac:dyDescent="0.2">
      <c r="A1188" t="s">
        <v>2463</v>
      </c>
      <c r="B1188" t="s">
        <v>2464</v>
      </c>
      <c r="C1188" s="2">
        <v>44967</v>
      </c>
      <c r="D1188" s="2">
        <v>44984</v>
      </c>
      <c r="E1188">
        <f t="shared" si="18"/>
        <v>17</v>
      </c>
      <c r="F1188" t="s">
        <v>23</v>
      </c>
      <c r="G1188">
        <v>76916</v>
      </c>
      <c r="H1188">
        <v>1448</v>
      </c>
      <c r="I1188" s="3">
        <v>1509.5</v>
      </c>
      <c r="J1188">
        <v>258</v>
      </c>
      <c r="K1188">
        <v>1</v>
      </c>
    </row>
    <row r="1189" spans="1:11" x14ac:dyDescent="0.2">
      <c r="A1189" t="s">
        <v>2465</v>
      </c>
      <c r="B1189" t="s">
        <v>2466</v>
      </c>
      <c r="C1189" s="2">
        <v>44944</v>
      </c>
      <c r="D1189" s="2">
        <v>44960</v>
      </c>
      <c r="E1189">
        <f t="shared" si="18"/>
        <v>16</v>
      </c>
      <c r="F1189" t="s">
        <v>23</v>
      </c>
      <c r="G1189">
        <v>74319</v>
      </c>
      <c r="H1189">
        <v>2925</v>
      </c>
      <c r="I1189">
        <v>2012.58</v>
      </c>
      <c r="J1189">
        <v>422</v>
      </c>
      <c r="K1189" t="b">
        <v>0</v>
      </c>
    </row>
    <row r="1190" spans="1:11" x14ac:dyDescent="0.2">
      <c r="A1190" t="s">
        <v>2467</v>
      </c>
      <c r="B1190" t="s">
        <v>2468</v>
      </c>
      <c r="C1190" s="2">
        <v>45219</v>
      </c>
      <c r="D1190" s="2">
        <v>45232</v>
      </c>
      <c r="E1190">
        <f t="shared" si="18"/>
        <v>13</v>
      </c>
      <c r="F1190" t="s">
        <v>33</v>
      </c>
      <c r="G1190">
        <v>18368</v>
      </c>
      <c r="H1190">
        <v>743</v>
      </c>
      <c r="I1190">
        <v>654.15</v>
      </c>
      <c r="J1190">
        <v>120</v>
      </c>
      <c r="K1190" t="s">
        <v>24</v>
      </c>
    </row>
    <row r="1191" spans="1:11" x14ac:dyDescent="0.2">
      <c r="A1191" t="s">
        <v>2469</v>
      </c>
      <c r="B1191" t="s">
        <v>2470</v>
      </c>
      <c r="C1191" s="2">
        <v>44988</v>
      </c>
      <c r="D1191" s="2">
        <v>45013</v>
      </c>
      <c r="E1191">
        <f t="shared" si="18"/>
        <v>25</v>
      </c>
      <c r="F1191" t="s">
        <v>138</v>
      </c>
      <c r="G1191">
        <v>16328</v>
      </c>
      <c r="H1191">
        <v>770</v>
      </c>
      <c r="I1191">
        <v>1126.6099999999999</v>
      </c>
      <c r="J1191">
        <v>62</v>
      </c>
      <c r="K1191" t="s">
        <v>30</v>
      </c>
    </row>
    <row r="1192" spans="1:11" x14ac:dyDescent="0.2">
      <c r="A1192" t="s">
        <v>2471</v>
      </c>
      <c r="B1192" t="s">
        <v>2472</v>
      </c>
      <c r="C1192" s="2">
        <v>45012</v>
      </c>
      <c r="D1192" s="2">
        <v>45040</v>
      </c>
      <c r="E1192">
        <f t="shared" si="18"/>
        <v>28</v>
      </c>
      <c r="F1192" t="s">
        <v>41</v>
      </c>
      <c r="G1192">
        <v>57942</v>
      </c>
      <c r="H1192">
        <v>650</v>
      </c>
      <c r="I1192">
        <v>593.65</v>
      </c>
      <c r="J1192">
        <v>84</v>
      </c>
      <c r="K1192" t="b">
        <v>0</v>
      </c>
    </row>
    <row r="1193" spans="1:11" x14ac:dyDescent="0.2">
      <c r="A1193" t="s">
        <v>2473</v>
      </c>
      <c r="B1193" t="s">
        <v>2474</v>
      </c>
      <c r="C1193" s="2">
        <v>45018</v>
      </c>
      <c r="D1193" s="2">
        <v>45080</v>
      </c>
      <c r="E1193">
        <f t="shared" si="18"/>
        <v>62</v>
      </c>
      <c r="F1193" t="s">
        <v>14</v>
      </c>
      <c r="G1193">
        <v>92751</v>
      </c>
      <c r="H1193">
        <v>4162</v>
      </c>
      <c r="I1193">
        <v>5168.3</v>
      </c>
      <c r="J1193">
        <v>668</v>
      </c>
      <c r="K1193" t="b">
        <v>1</v>
      </c>
    </row>
    <row r="1194" spans="1:11" x14ac:dyDescent="0.2">
      <c r="A1194" t="s">
        <v>2475</v>
      </c>
      <c r="B1194" t="s">
        <v>2476</v>
      </c>
      <c r="C1194" s="2">
        <v>44967</v>
      </c>
      <c r="D1194" s="2">
        <v>44990</v>
      </c>
      <c r="E1194">
        <f t="shared" si="18"/>
        <v>23</v>
      </c>
      <c r="F1194" t="s">
        <v>14</v>
      </c>
      <c r="G1194">
        <v>28306</v>
      </c>
      <c r="H1194">
        <v>880</v>
      </c>
      <c r="I1194">
        <v>600.64</v>
      </c>
      <c r="J1194">
        <v>126</v>
      </c>
      <c r="K1194">
        <v>0</v>
      </c>
    </row>
    <row r="1195" spans="1:11" x14ac:dyDescent="0.2">
      <c r="A1195" t="s">
        <v>2477</v>
      </c>
      <c r="B1195" t="s">
        <v>2478</v>
      </c>
      <c r="C1195" s="2">
        <v>45248</v>
      </c>
      <c r="D1195" s="2">
        <v>45267</v>
      </c>
      <c r="E1195">
        <f t="shared" si="18"/>
        <v>19</v>
      </c>
      <c r="F1195" t="s">
        <v>33</v>
      </c>
      <c r="G1195">
        <v>86451</v>
      </c>
      <c r="H1195">
        <v>3051</v>
      </c>
      <c r="I1195">
        <v>4216.91</v>
      </c>
      <c r="K1195" t="s">
        <v>15</v>
      </c>
    </row>
    <row r="1196" spans="1:11" x14ac:dyDescent="0.2">
      <c r="A1196" t="s">
        <v>2479</v>
      </c>
      <c r="B1196" t="s">
        <v>2480</v>
      </c>
      <c r="C1196" s="2">
        <v>45090</v>
      </c>
      <c r="D1196" s="2">
        <v>45113</v>
      </c>
      <c r="E1196">
        <f t="shared" si="18"/>
        <v>23</v>
      </c>
      <c r="F1196" t="s">
        <v>19</v>
      </c>
      <c r="G1196">
        <v>40915</v>
      </c>
      <c r="H1196">
        <v>1463</v>
      </c>
      <c r="I1196">
        <v>1425.13</v>
      </c>
      <c r="J1196">
        <v>283</v>
      </c>
      <c r="K1196" t="b">
        <v>1</v>
      </c>
    </row>
    <row r="1197" spans="1:11" x14ac:dyDescent="0.2">
      <c r="A1197" t="s">
        <v>2481</v>
      </c>
      <c r="B1197" t="s">
        <v>2482</v>
      </c>
      <c r="C1197" s="2">
        <v>44979</v>
      </c>
      <c r="D1197" s="2">
        <v>45018</v>
      </c>
      <c r="E1197">
        <f t="shared" si="18"/>
        <v>39</v>
      </c>
      <c r="F1197" t="s">
        <v>23</v>
      </c>
      <c r="G1197">
        <v>38219</v>
      </c>
      <c r="H1197">
        <v>1635</v>
      </c>
      <c r="I1197">
        <v>2355.14</v>
      </c>
      <c r="J1197">
        <v>247</v>
      </c>
      <c r="K1197">
        <v>1</v>
      </c>
    </row>
    <row r="1198" spans="1:11" x14ac:dyDescent="0.2">
      <c r="A1198" t="s">
        <v>2483</v>
      </c>
      <c r="B1198" t="s">
        <v>2484</v>
      </c>
      <c r="C1198" s="2">
        <v>45211</v>
      </c>
      <c r="D1198" s="2">
        <v>45241</v>
      </c>
      <c r="E1198">
        <f t="shared" si="18"/>
        <v>30</v>
      </c>
      <c r="F1198" t="s">
        <v>41</v>
      </c>
      <c r="G1198">
        <v>81879</v>
      </c>
      <c r="H1198">
        <v>1910</v>
      </c>
      <c r="I1198">
        <v>3271.05</v>
      </c>
      <c r="J1198">
        <v>355</v>
      </c>
      <c r="K1198" t="s">
        <v>15</v>
      </c>
    </row>
    <row r="1199" spans="1:11" x14ac:dyDescent="0.2">
      <c r="A1199" t="s">
        <v>2485</v>
      </c>
      <c r="B1199" t="s">
        <v>2486</v>
      </c>
      <c r="C1199" s="2">
        <v>45068</v>
      </c>
      <c r="D1199" s="2">
        <v>45090</v>
      </c>
      <c r="E1199">
        <f t="shared" si="18"/>
        <v>22</v>
      </c>
      <c r="F1199" t="s">
        <v>23</v>
      </c>
      <c r="G1199">
        <v>65644</v>
      </c>
      <c r="H1199">
        <v>2581</v>
      </c>
      <c r="I1199">
        <v>3658.49</v>
      </c>
      <c r="J1199">
        <v>411</v>
      </c>
      <c r="K1199" t="s">
        <v>30</v>
      </c>
    </row>
    <row r="1200" spans="1:11" x14ac:dyDescent="0.2">
      <c r="A1200" t="s">
        <v>2487</v>
      </c>
      <c r="B1200" t="s">
        <v>2488</v>
      </c>
      <c r="C1200" s="2">
        <v>44933</v>
      </c>
      <c r="D1200" s="2">
        <v>44953</v>
      </c>
      <c r="E1200">
        <f t="shared" si="18"/>
        <v>20</v>
      </c>
      <c r="F1200" t="s">
        <v>33</v>
      </c>
      <c r="G1200">
        <v>61279</v>
      </c>
      <c r="H1200">
        <v>1908</v>
      </c>
      <c r="I1200">
        <v>1800.43</v>
      </c>
      <c r="K1200" t="s">
        <v>15</v>
      </c>
    </row>
    <row r="1201" spans="1:11" x14ac:dyDescent="0.2">
      <c r="A1201" t="s">
        <v>2489</v>
      </c>
      <c r="B1201" t="s">
        <v>2490</v>
      </c>
      <c r="C1201" s="2">
        <v>45194</v>
      </c>
      <c r="D1201" s="2">
        <v>45214</v>
      </c>
      <c r="E1201">
        <f t="shared" si="18"/>
        <v>20</v>
      </c>
      <c r="F1201" t="s">
        <v>23</v>
      </c>
      <c r="G1201">
        <v>54028</v>
      </c>
      <c r="H1201">
        <v>2254</v>
      </c>
      <c r="I1201">
        <v>1991.67</v>
      </c>
      <c r="J1201">
        <v>139</v>
      </c>
      <c r="K1201">
        <v>0</v>
      </c>
    </row>
    <row r="1202" spans="1:11" x14ac:dyDescent="0.2">
      <c r="A1202" t="s">
        <v>2491</v>
      </c>
      <c r="B1202" t="s">
        <v>2492</v>
      </c>
      <c r="C1202" s="2">
        <v>45003</v>
      </c>
      <c r="D1202" s="2">
        <v>45025</v>
      </c>
      <c r="E1202">
        <f t="shared" si="18"/>
        <v>22</v>
      </c>
      <c r="F1202" t="s">
        <v>41</v>
      </c>
      <c r="G1202">
        <v>1126</v>
      </c>
      <c r="H1202">
        <v>55</v>
      </c>
      <c r="I1202">
        <v>54.51</v>
      </c>
      <c r="J1202">
        <v>5</v>
      </c>
      <c r="K1202" t="s">
        <v>24</v>
      </c>
    </row>
    <row r="1203" spans="1:11" x14ac:dyDescent="0.2">
      <c r="A1203" t="s">
        <v>2493</v>
      </c>
      <c r="B1203" t="s">
        <v>2494</v>
      </c>
      <c r="C1203" s="2">
        <v>44978</v>
      </c>
      <c r="D1203" s="2">
        <v>45004</v>
      </c>
      <c r="E1203">
        <f t="shared" si="18"/>
        <v>26</v>
      </c>
      <c r="F1203" t="s">
        <v>23</v>
      </c>
      <c r="G1203">
        <v>53329</v>
      </c>
      <c r="H1203">
        <v>961</v>
      </c>
      <c r="I1203">
        <v>717.8</v>
      </c>
      <c r="J1203">
        <v>171</v>
      </c>
      <c r="K1203" t="b">
        <v>0</v>
      </c>
    </row>
    <row r="1204" spans="1:11" x14ac:dyDescent="0.2">
      <c r="A1204" t="s">
        <v>2495</v>
      </c>
      <c r="B1204" t="s">
        <v>2496</v>
      </c>
      <c r="C1204" s="2">
        <v>44978</v>
      </c>
      <c r="D1204" s="2">
        <v>44997</v>
      </c>
      <c r="E1204">
        <f t="shared" si="18"/>
        <v>19</v>
      </c>
      <c r="F1204" t="s">
        <v>33</v>
      </c>
      <c r="G1204">
        <v>28632</v>
      </c>
      <c r="H1204">
        <v>1425</v>
      </c>
      <c r="I1204">
        <v>1099.75</v>
      </c>
      <c r="K1204">
        <v>0</v>
      </c>
    </row>
    <row r="1205" spans="1:11" x14ac:dyDescent="0.2">
      <c r="A1205" t="s">
        <v>2497</v>
      </c>
      <c r="B1205" t="s">
        <v>2498</v>
      </c>
      <c r="C1205" s="2">
        <v>45103</v>
      </c>
      <c r="D1205" s="2">
        <v>45108</v>
      </c>
      <c r="E1205">
        <f t="shared" si="18"/>
        <v>5</v>
      </c>
      <c r="F1205" t="s">
        <v>23</v>
      </c>
      <c r="G1205">
        <v>66310</v>
      </c>
      <c r="H1205">
        <v>901</v>
      </c>
      <c r="I1205">
        <v>1519.12</v>
      </c>
      <c r="J1205">
        <v>60</v>
      </c>
      <c r="K1205" t="s">
        <v>24</v>
      </c>
    </row>
    <row r="1206" spans="1:11" x14ac:dyDescent="0.2">
      <c r="A1206" t="s">
        <v>2499</v>
      </c>
      <c r="B1206" t="s">
        <v>2500</v>
      </c>
      <c r="C1206" s="2">
        <v>45262</v>
      </c>
      <c r="D1206" s="2">
        <v>45278</v>
      </c>
      <c r="E1206">
        <f t="shared" si="18"/>
        <v>16</v>
      </c>
      <c r="F1206" t="s">
        <v>23</v>
      </c>
      <c r="G1206">
        <v>56176</v>
      </c>
      <c r="H1206">
        <v>566</v>
      </c>
      <c r="I1206" s="3">
        <v>609.64</v>
      </c>
      <c r="J1206">
        <v>55</v>
      </c>
      <c r="K1206">
        <v>0</v>
      </c>
    </row>
    <row r="1207" spans="1:11" x14ac:dyDescent="0.2">
      <c r="A1207" t="s">
        <v>2501</v>
      </c>
      <c r="B1207" t="s">
        <v>2502</v>
      </c>
      <c r="C1207" s="2">
        <v>44946</v>
      </c>
      <c r="D1207" s="2">
        <v>44957</v>
      </c>
      <c r="E1207">
        <f t="shared" si="18"/>
        <v>11</v>
      </c>
      <c r="F1207" t="s">
        <v>14</v>
      </c>
      <c r="G1207">
        <v>87066</v>
      </c>
      <c r="H1207">
        <v>1024</v>
      </c>
      <c r="I1207" s="3">
        <v>1181.69</v>
      </c>
      <c r="K1207" t="b">
        <v>0</v>
      </c>
    </row>
    <row r="1208" spans="1:11" x14ac:dyDescent="0.2">
      <c r="A1208" t="s">
        <v>2503</v>
      </c>
      <c r="B1208" t="s">
        <v>2504</v>
      </c>
      <c r="C1208" s="2">
        <v>45243</v>
      </c>
      <c r="D1208" s="2">
        <v>45246</v>
      </c>
      <c r="E1208">
        <f t="shared" si="18"/>
        <v>3</v>
      </c>
      <c r="F1208" t="s">
        <v>33</v>
      </c>
      <c r="G1208">
        <v>45327</v>
      </c>
      <c r="H1208">
        <v>1072</v>
      </c>
      <c r="I1208">
        <v>1491.23</v>
      </c>
      <c r="J1208">
        <v>202</v>
      </c>
      <c r="K1208" t="s">
        <v>15</v>
      </c>
    </row>
    <row r="1209" spans="1:11" x14ac:dyDescent="0.2">
      <c r="A1209" t="s">
        <v>2505</v>
      </c>
      <c r="B1209" t="s">
        <v>2506</v>
      </c>
      <c r="C1209" s="2">
        <v>44946</v>
      </c>
      <c r="D1209" s="2">
        <v>44969</v>
      </c>
      <c r="E1209">
        <f t="shared" si="18"/>
        <v>23</v>
      </c>
      <c r="F1209" t="s">
        <v>33</v>
      </c>
      <c r="G1209">
        <v>69904</v>
      </c>
      <c r="H1209">
        <v>2468</v>
      </c>
      <c r="I1209">
        <v>3416.9</v>
      </c>
      <c r="J1209">
        <v>444</v>
      </c>
      <c r="K1209">
        <v>1</v>
      </c>
    </row>
    <row r="1210" spans="1:11" x14ac:dyDescent="0.2">
      <c r="A1210" t="s">
        <v>2507</v>
      </c>
      <c r="B1210" t="s">
        <v>2508</v>
      </c>
      <c r="C1210" s="2">
        <v>45280</v>
      </c>
      <c r="D1210" s="2">
        <v>45296</v>
      </c>
      <c r="E1210">
        <f t="shared" si="18"/>
        <v>16</v>
      </c>
      <c r="F1210" t="s">
        <v>41</v>
      </c>
      <c r="G1210">
        <v>4797</v>
      </c>
      <c r="H1210">
        <v>61</v>
      </c>
      <c r="I1210">
        <v>36.659999999999997</v>
      </c>
      <c r="J1210">
        <v>7</v>
      </c>
      <c r="K1210" t="b">
        <v>0</v>
      </c>
    </row>
    <row r="1211" spans="1:11" x14ac:dyDescent="0.2">
      <c r="A1211" t="s">
        <v>2509</v>
      </c>
      <c r="B1211" t="s">
        <v>2510</v>
      </c>
      <c r="C1211" s="2">
        <v>45064</v>
      </c>
      <c r="D1211" s="2">
        <v>45075</v>
      </c>
      <c r="E1211">
        <f t="shared" si="18"/>
        <v>11</v>
      </c>
      <c r="F1211" t="s">
        <v>14</v>
      </c>
      <c r="G1211">
        <v>48882</v>
      </c>
      <c r="H1211">
        <v>499</v>
      </c>
      <c r="I1211">
        <v>871.91</v>
      </c>
      <c r="J1211">
        <v>29</v>
      </c>
      <c r="K1211" t="b">
        <v>0</v>
      </c>
    </row>
    <row r="1212" spans="1:11" x14ac:dyDescent="0.2">
      <c r="A1212" t="s">
        <v>2511</v>
      </c>
      <c r="B1212" t="s">
        <v>2512</v>
      </c>
      <c r="C1212" s="2">
        <v>45082</v>
      </c>
      <c r="D1212" s="2">
        <v>45100</v>
      </c>
      <c r="E1212">
        <f t="shared" si="18"/>
        <v>18</v>
      </c>
      <c r="F1212" t="s">
        <v>14</v>
      </c>
      <c r="G1212">
        <v>14718</v>
      </c>
      <c r="H1212">
        <v>698</v>
      </c>
      <c r="I1212">
        <v>534.66</v>
      </c>
      <c r="J1212">
        <v>109</v>
      </c>
      <c r="K1212" t="s">
        <v>24</v>
      </c>
    </row>
    <row r="1213" spans="1:11" x14ac:dyDescent="0.2">
      <c r="A1213" t="s">
        <v>2513</v>
      </c>
      <c r="B1213" t="s">
        <v>2514</v>
      </c>
      <c r="C1213" s="2">
        <v>45283</v>
      </c>
      <c r="D1213" s="2">
        <v>45300</v>
      </c>
      <c r="E1213">
        <f t="shared" si="18"/>
        <v>17</v>
      </c>
      <c r="F1213" t="s">
        <v>41</v>
      </c>
      <c r="G1213">
        <v>35560</v>
      </c>
      <c r="H1213">
        <v>1524</v>
      </c>
      <c r="I1213">
        <v>2414.94</v>
      </c>
      <c r="K1213" t="s">
        <v>30</v>
      </c>
    </row>
    <row r="1214" spans="1:11" x14ac:dyDescent="0.2">
      <c r="A1214" t="s">
        <v>2515</v>
      </c>
      <c r="B1214" t="s">
        <v>2516</v>
      </c>
      <c r="C1214" s="2">
        <v>45043</v>
      </c>
      <c r="D1214" s="2">
        <v>45063</v>
      </c>
      <c r="E1214">
        <f t="shared" si="18"/>
        <v>20</v>
      </c>
      <c r="F1214" t="s">
        <v>23</v>
      </c>
      <c r="G1214">
        <v>77589</v>
      </c>
      <c r="H1214">
        <v>3287</v>
      </c>
      <c r="I1214" s="3">
        <v>5453.15</v>
      </c>
      <c r="J1214">
        <v>642</v>
      </c>
      <c r="K1214" t="s">
        <v>15</v>
      </c>
    </row>
    <row r="1215" spans="1:11" x14ac:dyDescent="0.2">
      <c r="A1215" t="s">
        <v>2517</v>
      </c>
      <c r="B1215" t="s">
        <v>2518</v>
      </c>
      <c r="C1215" s="2">
        <v>45153</v>
      </c>
      <c r="D1215" s="2">
        <v>45174</v>
      </c>
      <c r="E1215">
        <f t="shared" si="18"/>
        <v>21</v>
      </c>
      <c r="F1215" t="s">
        <v>138</v>
      </c>
      <c r="G1215">
        <v>23116</v>
      </c>
      <c r="H1215">
        <v>1048</v>
      </c>
      <c r="I1215">
        <v>1647.82</v>
      </c>
      <c r="J1215">
        <v>140</v>
      </c>
      <c r="K1215" t="b">
        <v>0</v>
      </c>
    </row>
    <row r="1216" spans="1:11" x14ac:dyDescent="0.2">
      <c r="A1216" t="s">
        <v>2519</v>
      </c>
      <c r="B1216" t="s">
        <v>2520</v>
      </c>
      <c r="C1216" s="2">
        <v>44968</v>
      </c>
      <c r="D1216" s="2">
        <v>45140</v>
      </c>
      <c r="E1216">
        <f t="shared" si="18"/>
        <v>172</v>
      </c>
      <c r="F1216" t="s">
        <v>41</v>
      </c>
      <c r="G1216">
        <v>37244</v>
      </c>
      <c r="H1216">
        <v>1415</v>
      </c>
      <c r="I1216">
        <v>1936.38</v>
      </c>
      <c r="J1216">
        <v>142</v>
      </c>
      <c r="K1216">
        <v>1</v>
      </c>
    </row>
    <row r="1217" spans="1:11" x14ac:dyDescent="0.2">
      <c r="A1217" t="s">
        <v>2521</v>
      </c>
      <c r="B1217" t="s">
        <v>2522</v>
      </c>
      <c r="C1217" s="2">
        <v>45153</v>
      </c>
      <c r="D1217" s="2">
        <v>45162</v>
      </c>
      <c r="E1217">
        <f t="shared" si="18"/>
        <v>9</v>
      </c>
      <c r="F1217" t="s">
        <v>14</v>
      </c>
      <c r="G1217">
        <v>2645</v>
      </c>
      <c r="H1217">
        <v>37</v>
      </c>
      <c r="I1217">
        <v>19.309999999999999</v>
      </c>
      <c r="K1217" t="b">
        <v>1</v>
      </c>
    </row>
    <row r="1218" spans="1:11" x14ac:dyDescent="0.2">
      <c r="A1218" t="s">
        <v>2523</v>
      </c>
      <c r="B1218" t="s">
        <v>2524</v>
      </c>
      <c r="C1218" s="2">
        <v>45175</v>
      </c>
      <c r="D1218" s="2">
        <v>45196</v>
      </c>
      <c r="E1218">
        <f t="shared" ref="E1218:E1281" si="19">D1218-C1218</f>
        <v>21</v>
      </c>
      <c r="F1218" t="s">
        <v>19</v>
      </c>
      <c r="G1218">
        <v>48523</v>
      </c>
      <c r="H1218">
        <v>1259</v>
      </c>
      <c r="I1218">
        <v>1310.07</v>
      </c>
      <c r="J1218">
        <v>247</v>
      </c>
      <c r="K1218" t="s">
        <v>15</v>
      </c>
    </row>
    <row r="1219" spans="1:11" x14ac:dyDescent="0.2">
      <c r="A1219" t="s">
        <v>2525</v>
      </c>
      <c r="B1219" t="s">
        <v>2526</v>
      </c>
      <c r="C1219" s="2">
        <v>44955</v>
      </c>
      <c r="D1219" s="2">
        <v>44964</v>
      </c>
      <c r="E1219">
        <f t="shared" si="19"/>
        <v>9</v>
      </c>
      <c r="F1219" t="s">
        <v>19</v>
      </c>
      <c r="G1219">
        <v>20256</v>
      </c>
      <c r="H1219">
        <v>788</v>
      </c>
      <c r="I1219">
        <v>1108.92</v>
      </c>
      <c r="J1219">
        <v>121</v>
      </c>
      <c r="K1219" t="s">
        <v>30</v>
      </c>
    </row>
    <row r="1220" spans="1:11" x14ac:dyDescent="0.2">
      <c r="A1220" t="s">
        <v>2527</v>
      </c>
      <c r="B1220" t="s">
        <v>2528</v>
      </c>
      <c r="C1220" s="2">
        <v>45086</v>
      </c>
      <c r="D1220" s="2">
        <v>45116</v>
      </c>
      <c r="E1220">
        <f t="shared" si="19"/>
        <v>30</v>
      </c>
      <c r="F1220" t="s">
        <v>33</v>
      </c>
      <c r="G1220">
        <v>54173</v>
      </c>
      <c r="H1220">
        <v>1149</v>
      </c>
      <c r="I1220">
        <v>1242.27</v>
      </c>
      <c r="J1220">
        <v>173</v>
      </c>
      <c r="K1220">
        <v>0</v>
      </c>
    </row>
    <row r="1221" spans="1:11" x14ac:dyDescent="0.2">
      <c r="A1221" t="s">
        <v>2529</v>
      </c>
      <c r="B1221" t="s">
        <v>2530</v>
      </c>
      <c r="C1221" s="2">
        <v>45195</v>
      </c>
      <c r="D1221" s="2">
        <v>45204</v>
      </c>
      <c r="E1221">
        <f t="shared" si="19"/>
        <v>9</v>
      </c>
      <c r="F1221" t="s">
        <v>33</v>
      </c>
      <c r="G1221">
        <v>38430</v>
      </c>
      <c r="H1221">
        <v>1440</v>
      </c>
      <c r="I1221">
        <v>2585.12</v>
      </c>
      <c r="J1221">
        <v>123</v>
      </c>
      <c r="K1221" t="b">
        <v>0</v>
      </c>
    </row>
    <row r="1222" spans="1:11" x14ac:dyDescent="0.2">
      <c r="A1222" t="s">
        <v>2531</v>
      </c>
      <c r="B1222" t="s">
        <v>2532</v>
      </c>
      <c r="C1222" s="2">
        <v>45025</v>
      </c>
      <c r="D1222" s="2">
        <v>45053</v>
      </c>
      <c r="E1222">
        <f t="shared" si="19"/>
        <v>28</v>
      </c>
      <c r="F1222" t="s">
        <v>138</v>
      </c>
      <c r="G1222">
        <v>40282</v>
      </c>
      <c r="H1222">
        <v>442</v>
      </c>
      <c r="I1222">
        <v>425.74</v>
      </c>
      <c r="J1222">
        <v>71</v>
      </c>
      <c r="K1222">
        <v>1</v>
      </c>
    </row>
    <row r="1223" spans="1:11" x14ac:dyDescent="0.2">
      <c r="A1223" t="s">
        <v>2533</v>
      </c>
      <c r="B1223" t="s">
        <v>2534</v>
      </c>
      <c r="C1223" s="2">
        <v>44956</v>
      </c>
      <c r="D1223" s="2">
        <v>44966</v>
      </c>
      <c r="E1223">
        <f t="shared" si="19"/>
        <v>10</v>
      </c>
      <c r="F1223" t="s">
        <v>14</v>
      </c>
      <c r="G1223">
        <v>64374</v>
      </c>
      <c r="H1223">
        <v>1432</v>
      </c>
      <c r="I1223">
        <v>1346.51</v>
      </c>
      <c r="J1223">
        <v>232</v>
      </c>
      <c r="K1223" t="s">
        <v>15</v>
      </c>
    </row>
    <row r="1224" spans="1:11" x14ac:dyDescent="0.2">
      <c r="A1224" t="s">
        <v>2535</v>
      </c>
      <c r="B1224" t="s">
        <v>2536</v>
      </c>
      <c r="C1224" s="2">
        <v>45111</v>
      </c>
      <c r="D1224" s="2">
        <v>45131</v>
      </c>
      <c r="E1224">
        <f t="shared" si="19"/>
        <v>20</v>
      </c>
      <c r="F1224" t="s">
        <v>33</v>
      </c>
      <c r="G1224">
        <v>69244</v>
      </c>
      <c r="H1224">
        <v>2213</v>
      </c>
      <c r="I1224">
        <v>1989.48</v>
      </c>
      <c r="J1224">
        <v>215</v>
      </c>
      <c r="K1224">
        <v>1</v>
      </c>
    </row>
    <row r="1225" spans="1:11" x14ac:dyDescent="0.2">
      <c r="A1225" t="s">
        <v>2537</v>
      </c>
      <c r="B1225" t="s">
        <v>2538</v>
      </c>
      <c r="C1225" s="2">
        <v>45164</v>
      </c>
      <c r="D1225" s="2">
        <v>45181</v>
      </c>
      <c r="E1225">
        <f t="shared" si="19"/>
        <v>17</v>
      </c>
      <c r="F1225" t="s">
        <v>19</v>
      </c>
      <c r="G1225">
        <v>12694</v>
      </c>
      <c r="H1225">
        <v>447</v>
      </c>
      <c r="I1225">
        <v>446.63</v>
      </c>
      <c r="J1225">
        <v>54</v>
      </c>
      <c r="K1225">
        <v>1</v>
      </c>
    </row>
    <row r="1226" spans="1:11" x14ac:dyDescent="0.2">
      <c r="A1226" t="s">
        <v>2539</v>
      </c>
      <c r="B1226" t="s">
        <v>2540</v>
      </c>
      <c r="C1226" s="2">
        <v>44990</v>
      </c>
      <c r="D1226" s="2">
        <v>44998</v>
      </c>
      <c r="E1226">
        <f t="shared" si="19"/>
        <v>8</v>
      </c>
      <c r="F1226" t="s">
        <v>19</v>
      </c>
      <c r="G1226">
        <v>57264</v>
      </c>
      <c r="H1226">
        <v>1894</v>
      </c>
      <c r="I1226">
        <v>2530.59</v>
      </c>
      <c r="J1226">
        <v>178</v>
      </c>
      <c r="K1226" t="s">
        <v>24</v>
      </c>
    </row>
    <row r="1227" spans="1:11" x14ac:dyDescent="0.2">
      <c r="A1227" t="s">
        <v>2541</v>
      </c>
      <c r="B1227" t="s">
        <v>2542</v>
      </c>
      <c r="C1227" s="2">
        <v>45177</v>
      </c>
      <c r="D1227" s="2">
        <v>45188</v>
      </c>
      <c r="E1227">
        <f t="shared" si="19"/>
        <v>11</v>
      </c>
      <c r="F1227" t="s">
        <v>23</v>
      </c>
      <c r="G1227">
        <v>76060</v>
      </c>
      <c r="H1227">
        <v>2883</v>
      </c>
      <c r="I1227">
        <v>4498.99</v>
      </c>
      <c r="J1227">
        <v>256</v>
      </c>
      <c r="K1227">
        <v>0</v>
      </c>
    </row>
    <row r="1228" spans="1:11" x14ac:dyDescent="0.2">
      <c r="A1228" t="s">
        <v>2543</v>
      </c>
      <c r="B1228" t="s">
        <v>2544</v>
      </c>
      <c r="C1228" s="2">
        <v>45169</v>
      </c>
      <c r="D1228" s="2">
        <v>45199</v>
      </c>
      <c r="E1228">
        <f t="shared" si="19"/>
        <v>30</v>
      </c>
      <c r="F1228" t="s">
        <v>41</v>
      </c>
      <c r="G1228">
        <v>98416</v>
      </c>
      <c r="H1228">
        <v>1008</v>
      </c>
      <c r="I1228">
        <v>1505.8</v>
      </c>
      <c r="K1228" t="s">
        <v>30</v>
      </c>
    </row>
    <row r="1229" spans="1:11" x14ac:dyDescent="0.2">
      <c r="A1229" t="s">
        <v>2545</v>
      </c>
      <c r="B1229" t="s">
        <v>2546</v>
      </c>
      <c r="C1229" s="2">
        <v>45010</v>
      </c>
      <c r="D1229" s="2">
        <v>45039</v>
      </c>
      <c r="E1229">
        <f t="shared" si="19"/>
        <v>29</v>
      </c>
      <c r="F1229" t="s">
        <v>23</v>
      </c>
      <c r="G1229">
        <v>58545</v>
      </c>
      <c r="H1229">
        <v>821</v>
      </c>
      <c r="I1229">
        <v>1405.2</v>
      </c>
      <c r="J1229">
        <v>76</v>
      </c>
      <c r="K1229" t="s">
        <v>15</v>
      </c>
    </row>
    <row r="1230" spans="1:11" x14ac:dyDescent="0.2">
      <c r="A1230" t="s">
        <v>2547</v>
      </c>
      <c r="B1230" t="s">
        <v>2548</v>
      </c>
      <c r="C1230" s="2">
        <v>45279</v>
      </c>
      <c r="D1230" s="2">
        <v>45290</v>
      </c>
      <c r="E1230">
        <f t="shared" si="19"/>
        <v>11</v>
      </c>
      <c r="F1230" t="s">
        <v>191</v>
      </c>
      <c r="G1230">
        <v>40224</v>
      </c>
      <c r="H1230">
        <v>1800</v>
      </c>
      <c r="I1230">
        <v>3291.97</v>
      </c>
      <c r="J1230">
        <v>239</v>
      </c>
      <c r="K1230" t="b">
        <v>0</v>
      </c>
    </row>
    <row r="1231" spans="1:11" x14ac:dyDescent="0.2">
      <c r="A1231" t="s">
        <v>2549</v>
      </c>
      <c r="B1231" t="s">
        <v>2550</v>
      </c>
      <c r="C1231" s="2">
        <v>44941</v>
      </c>
      <c r="D1231" s="2">
        <v>44971</v>
      </c>
      <c r="E1231">
        <f t="shared" si="19"/>
        <v>30</v>
      </c>
      <c r="F1231" t="s">
        <v>19</v>
      </c>
      <c r="G1231">
        <v>98945</v>
      </c>
      <c r="H1231">
        <v>3687</v>
      </c>
      <c r="I1231">
        <v>6356.83</v>
      </c>
      <c r="J1231">
        <v>185</v>
      </c>
      <c r="K1231" t="s">
        <v>30</v>
      </c>
    </row>
    <row r="1232" spans="1:11" x14ac:dyDescent="0.2">
      <c r="A1232" t="s">
        <v>2551</v>
      </c>
      <c r="B1232" t="s">
        <v>2552</v>
      </c>
      <c r="C1232" s="2">
        <v>45219</v>
      </c>
      <c r="D1232" s="2">
        <v>45227</v>
      </c>
      <c r="E1232">
        <f t="shared" si="19"/>
        <v>8</v>
      </c>
      <c r="F1232" t="s">
        <v>138</v>
      </c>
      <c r="G1232">
        <v>14224</v>
      </c>
      <c r="H1232">
        <v>206</v>
      </c>
      <c r="I1232">
        <v>108.85</v>
      </c>
      <c r="J1232">
        <v>19</v>
      </c>
      <c r="K1232" t="b">
        <v>0</v>
      </c>
    </row>
    <row r="1233" spans="1:11" x14ac:dyDescent="0.2">
      <c r="A1233" t="s">
        <v>2553</v>
      </c>
      <c r="B1233" t="s">
        <v>2554</v>
      </c>
      <c r="C1233" s="2">
        <v>45040</v>
      </c>
      <c r="D1233" s="2">
        <v>45059</v>
      </c>
      <c r="E1233">
        <f t="shared" si="19"/>
        <v>19</v>
      </c>
      <c r="F1233" t="s">
        <v>41</v>
      </c>
      <c r="G1233">
        <v>41738</v>
      </c>
      <c r="H1233">
        <v>1823</v>
      </c>
      <c r="I1233">
        <v>2923.87</v>
      </c>
      <c r="J1233">
        <v>332</v>
      </c>
      <c r="K1233" t="b">
        <v>1</v>
      </c>
    </row>
    <row r="1234" spans="1:11" x14ac:dyDescent="0.2">
      <c r="A1234" t="s">
        <v>2555</v>
      </c>
      <c r="B1234" t="s">
        <v>2556</v>
      </c>
      <c r="C1234" s="2">
        <v>45064</v>
      </c>
      <c r="D1234" s="2">
        <v>45071</v>
      </c>
      <c r="E1234">
        <f t="shared" si="19"/>
        <v>7</v>
      </c>
      <c r="F1234" t="s">
        <v>41</v>
      </c>
      <c r="G1234">
        <v>26150</v>
      </c>
      <c r="H1234">
        <v>514</v>
      </c>
      <c r="I1234">
        <v>417.68</v>
      </c>
      <c r="J1234">
        <v>71</v>
      </c>
      <c r="K1234">
        <v>1</v>
      </c>
    </row>
    <row r="1235" spans="1:11" x14ac:dyDescent="0.2">
      <c r="A1235" t="s">
        <v>2557</v>
      </c>
      <c r="B1235" t="s">
        <v>2558</v>
      </c>
      <c r="C1235" s="2">
        <v>45276</v>
      </c>
      <c r="D1235" s="2">
        <v>45288</v>
      </c>
      <c r="E1235">
        <f t="shared" si="19"/>
        <v>12</v>
      </c>
      <c r="F1235" t="s">
        <v>33</v>
      </c>
      <c r="G1235">
        <v>64731</v>
      </c>
      <c r="H1235">
        <v>1885</v>
      </c>
      <c r="I1235">
        <v>1318.35</v>
      </c>
      <c r="J1235">
        <v>266</v>
      </c>
      <c r="K1235" t="b">
        <v>1</v>
      </c>
    </row>
    <row r="1236" spans="1:11" x14ac:dyDescent="0.2">
      <c r="A1236" t="s">
        <v>2560</v>
      </c>
      <c r="B1236" t="s">
        <v>2561</v>
      </c>
      <c r="C1236" s="2">
        <v>44994</v>
      </c>
      <c r="D1236" s="2">
        <v>45004</v>
      </c>
      <c r="E1236">
        <f t="shared" si="19"/>
        <v>10</v>
      </c>
      <c r="F1236" t="s">
        <v>19</v>
      </c>
      <c r="G1236">
        <v>50688</v>
      </c>
      <c r="H1236">
        <v>801</v>
      </c>
      <c r="I1236">
        <v>1167.6400000000001</v>
      </c>
      <c r="J1236">
        <v>88</v>
      </c>
      <c r="K1236" t="s">
        <v>24</v>
      </c>
    </row>
    <row r="1237" spans="1:11" x14ac:dyDescent="0.2">
      <c r="A1237" t="s">
        <v>2562</v>
      </c>
      <c r="B1237" t="s">
        <v>2563</v>
      </c>
      <c r="C1237" s="2">
        <v>44931</v>
      </c>
      <c r="D1237" s="2">
        <v>44938</v>
      </c>
      <c r="E1237">
        <f t="shared" si="19"/>
        <v>7</v>
      </c>
      <c r="F1237" t="s">
        <v>41</v>
      </c>
      <c r="G1237">
        <v>74509</v>
      </c>
      <c r="H1237">
        <v>2861</v>
      </c>
      <c r="I1237" s="3">
        <v>2802.68</v>
      </c>
      <c r="J1237">
        <v>433</v>
      </c>
      <c r="K1237">
        <v>1</v>
      </c>
    </row>
    <row r="1238" spans="1:11" x14ac:dyDescent="0.2">
      <c r="A1238" t="s">
        <v>2564</v>
      </c>
      <c r="B1238" t="s">
        <v>2565</v>
      </c>
      <c r="C1238" s="2">
        <v>45083</v>
      </c>
      <c r="D1238" s="2">
        <v>45110</v>
      </c>
      <c r="E1238">
        <f t="shared" si="19"/>
        <v>27</v>
      </c>
      <c r="F1238" t="s">
        <v>19</v>
      </c>
      <c r="G1238">
        <v>9577</v>
      </c>
      <c r="H1238">
        <v>351</v>
      </c>
      <c r="I1238">
        <v>205.57</v>
      </c>
      <c r="J1238">
        <v>27</v>
      </c>
      <c r="K1238">
        <v>0</v>
      </c>
    </row>
    <row r="1239" spans="1:11" x14ac:dyDescent="0.2">
      <c r="A1239" t="s">
        <v>2566</v>
      </c>
      <c r="B1239" t="s">
        <v>2567</v>
      </c>
      <c r="C1239" s="2">
        <v>45067</v>
      </c>
      <c r="D1239" s="2">
        <v>45078</v>
      </c>
      <c r="E1239">
        <f t="shared" si="19"/>
        <v>11</v>
      </c>
      <c r="F1239" t="s">
        <v>33</v>
      </c>
      <c r="G1239">
        <v>9070</v>
      </c>
      <c r="H1239">
        <v>167</v>
      </c>
      <c r="I1239">
        <v>117.98</v>
      </c>
      <c r="J1239">
        <v>28</v>
      </c>
      <c r="K1239" t="s">
        <v>30</v>
      </c>
    </row>
    <row r="1240" spans="1:11" x14ac:dyDescent="0.2">
      <c r="A1240" t="s">
        <v>2568</v>
      </c>
      <c r="B1240" t="s">
        <v>2569</v>
      </c>
      <c r="C1240" s="2">
        <v>45105</v>
      </c>
      <c r="D1240" s="2">
        <v>45122</v>
      </c>
      <c r="E1240">
        <f t="shared" si="19"/>
        <v>17</v>
      </c>
      <c r="F1240" t="s">
        <v>19</v>
      </c>
      <c r="G1240">
        <v>9666</v>
      </c>
      <c r="H1240">
        <v>430</v>
      </c>
      <c r="I1240" s="3">
        <v>215.6</v>
      </c>
      <c r="J1240">
        <v>29</v>
      </c>
      <c r="K1240" t="b">
        <v>0</v>
      </c>
    </row>
    <row r="1241" spans="1:11" x14ac:dyDescent="0.2">
      <c r="A1241" t="s">
        <v>2570</v>
      </c>
      <c r="B1241" t="s">
        <v>2571</v>
      </c>
      <c r="C1241" s="2">
        <v>45081</v>
      </c>
      <c r="D1241" s="2">
        <v>45103</v>
      </c>
      <c r="E1241">
        <f t="shared" si="19"/>
        <v>22</v>
      </c>
      <c r="F1241" t="s">
        <v>33</v>
      </c>
      <c r="G1241">
        <v>58761</v>
      </c>
      <c r="H1241">
        <v>1530</v>
      </c>
      <c r="I1241">
        <v>2837.9</v>
      </c>
      <c r="J1241">
        <v>227</v>
      </c>
      <c r="K1241" t="s">
        <v>24</v>
      </c>
    </row>
    <row r="1242" spans="1:11" x14ac:dyDescent="0.2">
      <c r="A1242" t="s">
        <v>2572</v>
      </c>
      <c r="B1242" t="s">
        <v>2573</v>
      </c>
      <c r="C1242" s="2">
        <v>45130</v>
      </c>
      <c r="D1242" s="2">
        <v>45144</v>
      </c>
      <c r="E1242">
        <f t="shared" si="19"/>
        <v>14</v>
      </c>
      <c r="F1242" t="s">
        <v>33</v>
      </c>
      <c r="G1242">
        <v>37368</v>
      </c>
      <c r="H1242">
        <v>810</v>
      </c>
      <c r="I1242">
        <v>434.91</v>
      </c>
      <c r="J1242">
        <v>81</v>
      </c>
      <c r="K1242">
        <v>0</v>
      </c>
    </row>
    <row r="1243" spans="1:11" x14ac:dyDescent="0.2">
      <c r="A1243" t="s">
        <v>2574</v>
      </c>
      <c r="B1243" t="s">
        <v>2575</v>
      </c>
      <c r="C1243" s="2">
        <v>45266</v>
      </c>
      <c r="D1243" s="2">
        <v>45275</v>
      </c>
      <c r="E1243">
        <f t="shared" si="19"/>
        <v>9</v>
      </c>
      <c r="F1243" t="s">
        <v>41</v>
      </c>
      <c r="G1243">
        <v>7783</v>
      </c>
      <c r="H1243">
        <v>125</v>
      </c>
      <c r="I1243" s="3">
        <v>101.77</v>
      </c>
      <c r="J1243">
        <v>20</v>
      </c>
      <c r="K1243" t="b">
        <v>0</v>
      </c>
    </row>
    <row r="1244" spans="1:11" x14ac:dyDescent="0.2">
      <c r="A1244" t="s">
        <v>2576</v>
      </c>
      <c r="B1244" t="s">
        <v>2577</v>
      </c>
      <c r="C1244" s="2">
        <v>45214</v>
      </c>
      <c r="D1244" s="2">
        <v>45223</v>
      </c>
      <c r="E1244">
        <f t="shared" si="19"/>
        <v>9</v>
      </c>
      <c r="F1244" t="s">
        <v>23</v>
      </c>
      <c r="G1244">
        <v>42914</v>
      </c>
      <c r="H1244">
        <v>886</v>
      </c>
      <c r="I1244">
        <v>996.21</v>
      </c>
      <c r="J1244">
        <v>117</v>
      </c>
      <c r="K1244" t="s">
        <v>30</v>
      </c>
    </row>
    <row r="1245" spans="1:11" x14ac:dyDescent="0.2">
      <c r="A1245" t="s">
        <v>2578</v>
      </c>
      <c r="B1245" t="s">
        <v>2579</v>
      </c>
      <c r="C1245" s="2">
        <v>45079</v>
      </c>
      <c r="D1245" s="2">
        <v>45099</v>
      </c>
      <c r="E1245">
        <f t="shared" si="19"/>
        <v>20</v>
      </c>
      <c r="F1245" t="s">
        <v>23</v>
      </c>
      <c r="G1245">
        <v>71507</v>
      </c>
      <c r="H1245">
        <v>778</v>
      </c>
      <c r="I1245">
        <v>805.12</v>
      </c>
      <c r="J1245">
        <v>91</v>
      </c>
      <c r="K1245" t="s">
        <v>15</v>
      </c>
    </row>
    <row r="1246" spans="1:11" x14ac:dyDescent="0.2">
      <c r="A1246" t="s">
        <v>2580</v>
      </c>
      <c r="B1246" t="s">
        <v>2581</v>
      </c>
      <c r="C1246" s="2">
        <v>45099</v>
      </c>
      <c r="D1246" s="2">
        <v>45113</v>
      </c>
      <c r="E1246">
        <f t="shared" si="19"/>
        <v>14</v>
      </c>
      <c r="F1246" t="s">
        <v>19</v>
      </c>
      <c r="G1246">
        <v>80026</v>
      </c>
      <c r="H1246">
        <v>2667</v>
      </c>
      <c r="I1246">
        <v>4980.8599999999997</v>
      </c>
      <c r="J1246">
        <v>201</v>
      </c>
      <c r="K1246" t="s">
        <v>24</v>
      </c>
    </row>
    <row r="1247" spans="1:11" x14ac:dyDescent="0.2">
      <c r="A1247" t="s">
        <v>2582</v>
      </c>
      <c r="B1247" t="s">
        <v>2583</v>
      </c>
      <c r="C1247" s="2">
        <v>45068</v>
      </c>
      <c r="D1247" s="2">
        <v>45090</v>
      </c>
      <c r="E1247">
        <f t="shared" si="19"/>
        <v>22</v>
      </c>
      <c r="F1247" t="s">
        <v>33</v>
      </c>
      <c r="G1247">
        <v>68526</v>
      </c>
      <c r="H1247">
        <v>2993</v>
      </c>
      <c r="I1247">
        <v>1677.38</v>
      </c>
      <c r="J1247">
        <v>435</v>
      </c>
      <c r="K1247" t="b">
        <v>1</v>
      </c>
    </row>
    <row r="1248" spans="1:11" x14ac:dyDescent="0.2">
      <c r="A1248" t="s">
        <v>2584</v>
      </c>
      <c r="B1248" t="s">
        <v>2585</v>
      </c>
      <c r="C1248" s="2">
        <v>45260</v>
      </c>
      <c r="D1248" s="2">
        <v>45282</v>
      </c>
      <c r="E1248">
        <f t="shared" si="19"/>
        <v>22</v>
      </c>
      <c r="F1248" t="s">
        <v>33</v>
      </c>
      <c r="G1248">
        <v>71835</v>
      </c>
      <c r="H1248">
        <v>2295</v>
      </c>
      <c r="I1248">
        <v>2910.8</v>
      </c>
      <c r="J1248">
        <v>450</v>
      </c>
      <c r="K1248" t="b">
        <v>1</v>
      </c>
    </row>
    <row r="1249" spans="1:11" x14ac:dyDescent="0.2">
      <c r="A1249" t="s">
        <v>2586</v>
      </c>
      <c r="B1249" t="s">
        <v>2587</v>
      </c>
      <c r="C1249" s="2">
        <v>45050</v>
      </c>
      <c r="D1249" s="2">
        <v>45057</v>
      </c>
      <c r="E1249">
        <f t="shared" si="19"/>
        <v>7</v>
      </c>
      <c r="F1249" t="s">
        <v>41</v>
      </c>
      <c r="G1249">
        <v>46765</v>
      </c>
      <c r="H1249">
        <v>877</v>
      </c>
      <c r="I1249">
        <v>1333.67</v>
      </c>
      <c r="J1249">
        <v>152</v>
      </c>
      <c r="K1249" t="b">
        <v>0</v>
      </c>
    </row>
    <row r="1250" spans="1:11" x14ac:dyDescent="0.2">
      <c r="A1250" t="s">
        <v>2588</v>
      </c>
      <c r="B1250" t="s">
        <v>2589</v>
      </c>
      <c r="C1250" s="2">
        <v>45234</v>
      </c>
      <c r="D1250" s="2">
        <v>45259</v>
      </c>
      <c r="E1250">
        <f t="shared" si="19"/>
        <v>25</v>
      </c>
      <c r="F1250" t="s">
        <v>14</v>
      </c>
      <c r="G1250">
        <v>20956</v>
      </c>
      <c r="H1250">
        <v>237</v>
      </c>
      <c r="I1250" s="3">
        <v>449.72</v>
      </c>
      <c r="J1250">
        <v>13</v>
      </c>
      <c r="K1250" t="b">
        <v>0</v>
      </c>
    </row>
    <row r="1251" spans="1:11" x14ac:dyDescent="0.2">
      <c r="A1251" t="s">
        <v>2590</v>
      </c>
      <c r="B1251" t="s">
        <v>2591</v>
      </c>
      <c r="C1251" s="2">
        <v>44998</v>
      </c>
      <c r="D1251" s="2">
        <v>45018</v>
      </c>
      <c r="E1251">
        <f t="shared" si="19"/>
        <v>20</v>
      </c>
      <c r="F1251" t="s">
        <v>33</v>
      </c>
      <c r="G1251">
        <v>88895</v>
      </c>
      <c r="H1251">
        <v>1652</v>
      </c>
      <c r="I1251">
        <v>2363.2800000000002</v>
      </c>
      <c r="J1251">
        <v>175</v>
      </c>
      <c r="K1251" t="b">
        <v>0</v>
      </c>
    </row>
    <row r="1252" spans="1:11" x14ac:dyDescent="0.2">
      <c r="A1252" t="s">
        <v>2592</v>
      </c>
      <c r="B1252" t="s">
        <v>2593</v>
      </c>
      <c r="C1252" s="2">
        <v>45078</v>
      </c>
      <c r="D1252" s="2">
        <v>45107</v>
      </c>
      <c r="E1252">
        <f t="shared" si="19"/>
        <v>29</v>
      </c>
      <c r="F1252" t="s">
        <v>23</v>
      </c>
      <c r="G1252">
        <v>47240</v>
      </c>
      <c r="H1252">
        <v>1258</v>
      </c>
      <c r="I1252">
        <v>2145.69</v>
      </c>
      <c r="J1252">
        <v>237</v>
      </c>
      <c r="K1252" t="s">
        <v>24</v>
      </c>
    </row>
    <row r="1253" spans="1:11" x14ac:dyDescent="0.2">
      <c r="A1253" t="s">
        <v>2594</v>
      </c>
      <c r="B1253" t="s">
        <v>2595</v>
      </c>
      <c r="C1253" s="2">
        <v>45125</v>
      </c>
      <c r="D1253" s="2">
        <v>45151</v>
      </c>
      <c r="E1253">
        <f t="shared" si="19"/>
        <v>26</v>
      </c>
      <c r="F1253" t="s">
        <v>23</v>
      </c>
      <c r="G1253">
        <v>38148</v>
      </c>
      <c r="H1253">
        <v>1540</v>
      </c>
      <c r="I1253">
        <v>963.4</v>
      </c>
      <c r="J1253">
        <v>193</v>
      </c>
      <c r="K1253" t="s">
        <v>30</v>
      </c>
    </row>
    <row r="1254" spans="1:11" x14ac:dyDescent="0.2">
      <c r="A1254" t="s">
        <v>2596</v>
      </c>
      <c r="B1254" t="s">
        <v>2597</v>
      </c>
      <c r="C1254" s="2">
        <v>45219</v>
      </c>
      <c r="D1254" s="2">
        <v>45224</v>
      </c>
      <c r="E1254">
        <f t="shared" si="19"/>
        <v>5</v>
      </c>
      <c r="F1254" t="s">
        <v>33</v>
      </c>
      <c r="G1254">
        <v>95270</v>
      </c>
      <c r="H1254">
        <v>1668</v>
      </c>
      <c r="I1254" s="3">
        <v>1799.62</v>
      </c>
      <c r="J1254">
        <v>249</v>
      </c>
      <c r="K1254" t="s">
        <v>15</v>
      </c>
    </row>
    <row r="1255" spans="1:11" x14ac:dyDescent="0.2">
      <c r="A1255" t="s">
        <v>2598</v>
      </c>
      <c r="B1255" t="s">
        <v>2599</v>
      </c>
      <c r="C1255" s="2">
        <v>45292</v>
      </c>
      <c r="D1255" s="2">
        <v>45318</v>
      </c>
      <c r="E1255">
        <f t="shared" si="19"/>
        <v>26</v>
      </c>
      <c r="F1255" t="s">
        <v>19</v>
      </c>
      <c r="G1255">
        <v>5757</v>
      </c>
      <c r="H1255">
        <v>223</v>
      </c>
      <c r="I1255">
        <v>236.59</v>
      </c>
      <c r="J1255">
        <v>41</v>
      </c>
      <c r="K1255" t="b">
        <v>1</v>
      </c>
    </row>
    <row r="1256" spans="1:11" x14ac:dyDescent="0.2">
      <c r="A1256" t="s">
        <v>2600</v>
      </c>
      <c r="B1256" t="s">
        <v>2601</v>
      </c>
      <c r="C1256" s="2">
        <v>45170</v>
      </c>
      <c r="D1256" s="2">
        <v>45195</v>
      </c>
      <c r="E1256">
        <f t="shared" si="19"/>
        <v>25</v>
      </c>
      <c r="F1256" t="s">
        <v>41</v>
      </c>
      <c r="G1256">
        <v>20097</v>
      </c>
      <c r="H1256">
        <v>897</v>
      </c>
      <c r="I1256">
        <v>1641</v>
      </c>
      <c r="J1256">
        <v>162</v>
      </c>
      <c r="K1256">
        <v>0</v>
      </c>
    </row>
    <row r="1257" spans="1:11" x14ac:dyDescent="0.2">
      <c r="A1257" t="s">
        <v>2602</v>
      </c>
      <c r="B1257" t="s">
        <v>2603</v>
      </c>
      <c r="C1257" s="2">
        <v>45186</v>
      </c>
      <c r="D1257" s="2">
        <v>45209</v>
      </c>
      <c r="E1257">
        <f t="shared" si="19"/>
        <v>23</v>
      </c>
      <c r="F1257" t="s">
        <v>23</v>
      </c>
      <c r="G1257">
        <v>11395</v>
      </c>
      <c r="H1257">
        <v>320</v>
      </c>
      <c r="I1257">
        <v>232.66</v>
      </c>
      <c r="J1257">
        <v>40</v>
      </c>
      <c r="K1257">
        <v>1</v>
      </c>
    </row>
    <row r="1258" spans="1:11" x14ac:dyDescent="0.2">
      <c r="A1258" t="s">
        <v>2604</v>
      </c>
      <c r="B1258" t="s">
        <v>2605</v>
      </c>
      <c r="C1258" s="2">
        <v>45263</v>
      </c>
      <c r="D1258" s="2">
        <v>45273</v>
      </c>
      <c r="E1258">
        <f t="shared" si="19"/>
        <v>10</v>
      </c>
      <c r="F1258" t="s">
        <v>14</v>
      </c>
      <c r="G1258">
        <v>17241</v>
      </c>
      <c r="H1258">
        <v>738</v>
      </c>
      <c r="I1258" s="3">
        <v>537.14</v>
      </c>
      <c r="K1258" t="s">
        <v>24</v>
      </c>
    </row>
    <row r="1259" spans="1:11" x14ac:dyDescent="0.2">
      <c r="A1259" t="s">
        <v>2606</v>
      </c>
      <c r="B1259" t="s">
        <v>2607</v>
      </c>
      <c r="C1259" s="2">
        <v>44976</v>
      </c>
      <c r="D1259" s="2">
        <v>44983</v>
      </c>
      <c r="E1259">
        <f t="shared" si="19"/>
        <v>7</v>
      </c>
      <c r="F1259" t="s">
        <v>19</v>
      </c>
      <c r="G1259">
        <v>28696</v>
      </c>
      <c r="H1259">
        <v>923</v>
      </c>
      <c r="I1259">
        <v>916.39</v>
      </c>
      <c r="J1259">
        <v>93</v>
      </c>
      <c r="K1259" t="s">
        <v>24</v>
      </c>
    </row>
    <row r="1260" spans="1:11" x14ac:dyDescent="0.2">
      <c r="A1260" t="s">
        <v>2608</v>
      </c>
      <c r="B1260" t="s">
        <v>2609</v>
      </c>
      <c r="C1260" s="2">
        <v>45213</v>
      </c>
      <c r="D1260" s="2">
        <v>45235</v>
      </c>
      <c r="E1260">
        <f t="shared" si="19"/>
        <v>22</v>
      </c>
      <c r="F1260" t="s">
        <v>23</v>
      </c>
      <c r="G1260">
        <v>71480</v>
      </c>
      <c r="H1260">
        <v>2536</v>
      </c>
      <c r="I1260">
        <v>1475.19</v>
      </c>
      <c r="J1260">
        <v>400</v>
      </c>
      <c r="K1260" t="s">
        <v>30</v>
      </c>
    </row>
    <row r="1261" spans="1:11" x14ac:dyDescent="0.2">
      <c r="A1261" t="s">
        <v>2610</v>
      </c>
      <c r="B1261" t="s">
        <v>2611</v>
      </c>
      <c r="C1261" s="2">
        <v>45275</v>
      </c>
      <c r="D1261" s="2">
        <v>45297</v>
      </c>
      <c r="E1261">
        <f t="shared" si="19"/>
        <v>22</v>
      </c>
      <c r="F1261" t="s">
        <v>23</v>
      </c>
      <c r="G1261">
        <v>47163</v>
      </c>
      <c r="H1261">
        <v>1464</v>
      </c>
      <c r="I1261">
        <v>1132.68</v>
      </c>
      <c r="J1261">
        <v>136</v>
      </c>
      <c r="K1261" t="b">
        <v>1</v>
      </c>
    </row>
    <row r="1262" spans="1:11" x14ac:dyDescent="0.2">
      <c r="A1262" t="s">
        <v>2612</v>
      </c>
      <c r="B1262" t="s">
        <v>2613</v>
      </c>
      <c r="C1262" s="2">
        <v>45040</v>
      </c>
      <c r="D1262" s="2">
        <v>45052</v>
      </c>
      <c r="E1262">
        <f t="shared" si="19"/>
        <v>12</v>
      </c>
      <c r="F1262" t="s">
        <v>23</v>
      </c>
      <c r="G1262">
        <v>20816</v>
      </c>
      <c r="H1262">
        <v>593</v>
      </c>
      <c r="I1262">
        <v>1155.05</v>
      </c>
      <c r="J1262">
        <v>51</v>
      </c>
      <c r="K1262" t="s">
        <v>15</v>
      </c>
    </row>
    <row r="1263" spans="1:11" x14ac:dyDescent="0.2">
      <c r="A1263" t="s">
        <v>2614</v>
      </c>
      <c r="B1263" t="s">
        <v>2615</v>
      </c>
      <c r="C1263" s="2">
        <v>45084</v>
      </c>
      <c r="D1263" s="2">
        <v>45107</v>
      </c>
      <c r="E1263">
        <f t="shared" si="19"/>
        <v>23</v>
      </c>
      <c r="F1263" t="s">
        <v>23</v>
      </c>
      <c r="G1263">
        <v>50840</v>
      </c>
      <c r="H1263">
        <v>985</v>
      </c>
      <c r="I1263">
        <v>1125.1400000000001</v>
      </c>
      <c r="J1263">
        <v>101</v>
      </c>
      <c r="K1263" t="s">
        <v>30</v>
      </c>
    </row>
    <row r="1264" spans="1:11" x14ac:dyDescent="0.2">
      <c r="A1264" t="s">
        <v>2616</v>
      </c>
      <c r="B1264" t="s">
        <v>2617</v>
      </c>
      <c r="C1264" s="2">
        <v>45117</v>
      </c>
      <c r="D1264" s="2">
        <v>45135</v>
      </c>
      <c r="E1264">
        <f t="shared" si="19"/>
        <v>18</v>
      </c>
      <c r="F1264" t="s">
        <v>41</v>
      </c>
      <c r="G1264">
        <v>53853</v>
      </c>
      <c r="H1264">
        <v>1191</v>
      </c>
      <c r="I1264">
        <v>1724.6</v>
      </c>
      <c r="J1264">
        <v>91</v>
      </c>
      <c r="K1264">
        <v>0</v>
      </c>
    </row>
    <row r="1265" spans="1:11" x14ac:dyDescent="0.2">
      <c r="A1265" t="s">
        <v>2618</v>
      </c>
      <c r="B1265" t="s">
        <v>2619</v>
      </c>
      <c r="C1265" s="2">
        <v>44987</v>
      </c>
      <c r="D1265" s="2">
        <v>45005</v>
      </c>
      <c r="E1265">
        <f t="shared" si="19"/>
        <v>18</v>
      </c>
      <c r="F1265" t="s">
        <v>23</v>
      </c>
      <c r="G1265">
        <v>25917</v>
      </c>
      <c r="H1265">
        <v>559</v>
      </c>
      <c r="I1265">
        <v>888.34</v>
      </c>
      <c r="J1265">
        <v>86</v>
      </c>
      <c r="K1265" t="b">
        <v>1</v>
      </c>
    </row>
    <row r="1266" spans="1:11" x14ac:dyDescent="0.2">
      <c r="A1266" t="s">
        <v>2620</v>
      </c>
      <c r="B1266" t="s">
        <v>2621</v>
      </c>
      <c r="C1266" s="2">
        <v>45225</v>
      </c>
      <c r="D1266" s="2">
        <v>45236</v>
      </c>
      <c r="E1266">
        <f t="shared" si="19"/>
        <v>11</v>
      </c>
      <c r="F1266" t="s">
        <v>14</v>
      </c>
      <c r="G1266">
        <v>97731</v>
      </c>
      <c r="H1266">
        <v>3179</v>
      </c>
      <c r="I1266">
        <v>3339.36</v>
      </c>
      <c r="K1266" t="s">
        <v>30</v>
      </c>
    </row>
    <row r="1267" spans="1:11" x14ac:dyDescent="0.2">
      <c r="A1267" t="s">
        <v>2622</v>
      </c>
      <c r="B1267" t="s">
        <v>2623</v>
      </c>
      <c r="C1267" s="2">
        <v>45168</v>
      </c>
      <c r="D1267" s="2">
        <v>45175</v>
      </c>
      <c r="E1267">
        <f t="shared" si="19"/>
        <v>7</v>
      </c>
      <c r="F1267" t="s">
        <v>23</v>
      </c>
      <c r="G1267">
        <v>22566</v>
      </c>
      <c r="H1267">
        <v>333</v>
      </c>
      <c r="I1267">
        <v>240.04</v>
      </c>
      <c r="J1267">
        <v>40</v>
      </c>
      <c r="K1267" t="b">
        <v>1</v>
      </c>
    </row>
    <row r="1268" spans="1:11" x14ac:dyDescent="0.2">
      <c r="A1268" t="s">
        <v>2624</v>
      </c>
      <c r="B1268" t="s">
        <v>2625</v>
      </c>
      <c r="C1268" s="2">
        <v>45275</v>
      </c>
      <c r="D1268" s="2">
        <v>45301</v>
      </c>
      <c r="E1268">
        <f t="shared" si="19"/>
        <v>26</v>
      </c>
      <c r="F1268" t="s">
        <v>23</v>
      </c>
      <c r="G1268">
        <v>76452</v>
      </c>
      <c r="H1268">
        <v>3568</v>
      </c>
      <c r="I1268">
        <v>2889.62</v>
      </c>
      <c r="J1268">
        <v>387</v>
      </c>
      <c r="K1268" t="b">
        <v>1</v>
      </c>
    </row>
    <row r="1269" spans="1:11" x14ac:dyDescent="0.2">
      <c r="A1269" t="s">
        <v>2626</v>
      </c>
      <c r="B1269" t="s">
        <v>2627</v>
      </c>
      <c r="C1269" s="2">
        <v>44954</v>
      </c>
      <c r="D1269" s="2">
        <v>44969</v>
      </c>
      <c r="E1269">
        <f t="shared" si="19"/>
        <v>15</v>
      </c>
      <c r="F1269" t="s">
        <v>33</v>
      </c>
      <c r="G1269">
        <v>63823</v>
      </c>
      <c r="H1269">
        <v>2478</v>
      </c>
      <c r="I1269">
        <v>2403.41</v>
      </c>
      <c r="J1269">
        <v>461</v>
      </c>
      <c r="K1269" t="s">
        <v>24</v>
      </c>
    </row>
    <row r="1270" spans="1:11" x14ac:dyDescent="0.2">
      <c r="A1270" t="s">
        <v>2628</v>
      </c>
      <c r="B1270" t="s">
        <v>2629</v>
      </c>
      <c r="C1270" s="2">
        <v>45029</v>
      </c>
      <c r="D1270" s="2">
        <v>45048</v>
      </c>
      <c r="E1270">
        <f t="shared" si="19"/>
        <v>19</v>
      </c>
      <c r="F1270" t="s">
        <v>33</v>
      </c>
      <c r="G1270">
        <v>21806</v>
      </c>
      <c r="H1270">
        <v>568</v>
      </c>
      <c r="I1270" s="3">
        <v>825.93</v>
      </c>
      <c r="J1270">
        <v>30</v>
      </c>
      <c r="K1270" t="s">
        <v>15</v>
      </c>
    </row>
    <row r="1271" spans="1:11" x14ac:dyDescent="0.2">
      <c r="A1271" t="s">
        <v>2630</v>
      </c>
      <c r="B1271" t="s">
        <v>2631</v>
      </c>
      <c r="C1271" s="2">
        <v>45161</v>
      </c>
      <c r="D1271" s="2">
        <v>45178</v>
      </c>
      <c r="E1271">
        <f t="shared" si="19"/>
        <v>17</v>
      </c>
      <c r="F1271" t="s">
        <v>33</v>
      </c>
      <c r="G1271">
        <v>76520</v>
      </c>
      <c r="H1271">
        <v>1250</v>
      </c>
      <c r="I1271">
        <v>1371.78</v>
      </c>
      <c r="J1271">
        <v>206</v>
      </c>
      <c r="K1271" t="s">
        <v>24</v>
      </c>
    </row>
    <row r="1272" spans="1:11" x14ac:dyDescent="0.2">
      <c r="A1272" t="s">
        <v>2632</v>
      </c>
      <c r="B1272" t="s">
        <v>2633</v>
      </c>
      <c r="C1272" s="2">
        <v>45019</v>
      </c>
      <c r="D1272" s="2">
        <v>45025</v>
      </c>
      <c r="E1272">
        <f t="shared" si="19"/>
        <v>6</v>
      </c>
      <c r="F1272" t="s">
        <v>41</v>
      </c>
      <c r="G1272">
        <v>2759</v>
      </c>
      <c r="H1272">
        <v>124</v>
      </c>
      <c r="I1272">
        <v>63.27</v>
      </c>
      <c r="J1272">
        <v>22</v>
      </c>
      <c r="K1272">
        <v>1</v>
      </c>
    </row>
    <row r="1273" spans="1:11" x14ac:dyDescent="0.2">
      <c r="A1273" t="s">
        <v>2634</v>
      </c>
      <c r="B1273" t="s">
        <v>2635</v>
      </c>
      <c r="C1273" s="2">
        <v>45250</v>
      </c>
      <c r="D1273" s="2">
        <v>45254</v>
      </c>
      <c r="E1273">
        <f t="shared" si="19"/>
        <v>4</v>
      </c>
      <c r="F1273" t="s">
        <v>14</v>
      </c>
      <c r="G1273">
        <v>42949</v>
      </c>
      <c r="H1273">
        <v>1844</v>
      </c>
      <c r="I1273">
        <v>2369.7399999999998</v>
      </c>
      <c r="J1273">
        <v>215</v>
      </c>
      <c r="K1273" t="s">
        <v>15</v>
      </c>
    </row>
    <row r="1274" spans="1:11" x14ac:dyDescent="0.2">
      <c r="A1274" t="s">
        <v>2636</v>
      </c>
      <c r="B1274" t="s">
        <v>2637</v>
      </c>
      <c r="C1274" s="2">
        <v>44956</v>
      </c>
      <c r="D1274" s="2">
        <v>44980</v>
      </c>
      <c r="E1274">
        <f t="shared" si="19"/>
        <v>24</v>
      </c>
      <c r="F1274" t="s">
        <v>41</v>
      </c>
      <c r="G1274">
        <v>93374</v>
      </c>
      <c r="H1274">
        <v>3629</v>
      </c>
      <c r="I1274">
        <v>6830.76</v>
      </c>
      <c r="J1274">
        <v>481</v>
      </c>
      <c r="K1274" t="b">
        <v>1</v>
      </c>
    </row>
    <row r="1275" spans="1:11" x14ac:dyDescent="0.2">
      <c r="A1275" t="s">
        <v>2639</v>
      </c>
      <c r="B1275" t="s">
        <v>2640</v>
      </c>
      <c r="C1275" s="2">
        <v>45067</v>
      </c>
      <c r="D1275" s="2">
        <v>45091</v>
      </c>
      <c r="E1275">
        <f t="shared" si="19"/>
        <v>24</v>
      </c>
      <c r="F1275" t="s">
        <v>19</v>
      </c>
      <c r="G1275">
        <v>3482</v>
      </c>
      <c r="H1275">
        <v>72</v>
      </c>
      <c r="I1275">
        <v>123.7</v>
      </c>
      <c r="J1275">
        <v>13</v>
      </c>
      <c r="K1275" t="s">
        <v>30</v>
      </c>
    </row>
    <row r="1276" spans="1:11" x14ac:dyDescent="0.2">
      <c r="A1276" t="s">
        <v>2641</v>
      </c>
      <c r="B1276" t="s">
        <v>2642</v>
      </c>
      <c r="C1276" s="2">
        <v>45222</v>
      </c>
      <c r="D1276" s="2">
        <v>45251</v>
      </c>
      <c r="E1276">
        <f t="shared" si="19"/>
        <v>29</v>
      </c>
      <c r="F1276" t="s">
        <v>19</v>
      </c>
      <c r="G1276">
        <v>25442</v>
      </c>
      <c r="H1276">
        <v>663</v>
      </c>
      <c r="I1276">
        <v>1152.17</v>
      </c>
      <c r="J1276">
        <v>54</v>
      </c>
      <c r="K1276">
        <v>0</v>
      </c>
    </row>
    <row r="1277" spans="1:11" x14ac:dyDescent="0.2">
      <c r="A1277" t="s">
        <v>2643</v>
      </c>
      <c r="B1277" t="s">
        <v>2644</v>
      </c>
      <c r="C1277" s="2">
        <v>44972</v>
      </c>
      <c r="D1277" s="2">
        <v>44982</v>
      </c>
      <c r="E1277">
        <f t="shared" si="19"/>
        <v>10</v>
      </c>
      <c r="F1277" t="s">
        <v>23</v>
      </c>
      <c r="G1277">
        <v>34719</v>
      </c>
      <c r="H1277">
        <v>489</v>
      </c>
      <c r="I1277">
        <v>827.68</v>
      </c>
      <c r="J1277">
        <v>62</v>
      </c>
      <c r="K1277" t="s">
        <v>15</v>
      </c>
    </row>
    <row r="1278" spans="1:11" x14ac:dyDescent="0.2">
      <c r="A1278" t="s">
        <v>2645</v>
      </c>
      <c r="B1278" t="s">
        <v>2646</v>
      </c>
      <c r="C1278" s="2">
        <v>45146</v>
      </c>
      <c r="D1278" s="2">
        <v>45167</v>
      </c>
      <c r="E1278">
        <f t="shared" si="19"/>
        <v>21</v>
      </c>
      <c r="F1278" t="s">
        <v>58</v>
      </c>
      <c r="G1278">
        <v>59066</v>
      </c>
      <c r="H1278">
        <v>1037</v>
      </c>
      <c r="I1278">
        <v>1022.06</v>
      </c>
      <c r="J1278">
        <v>125</v>
      </c>
      <c r="K1278">
        <v>1</v>
      </c>
    </row>
    <row r="1279" spans="1:11" x14ac:dyDescent="0.2">
      <c r="A1279" t="s">
        <v>2647</v>
      </c>
      <c r="B1279" t="s">
        <v>2648</v>
      </c>
      <c r="C1279" s="2">
        <v>45123</v>
      </c>
      <c r="D1279" s="2">
        <v>45131</v>
      </c>
      <c r="E1279">
        <f t="shared" si="19"/>
        <v>8</v>
      </c>
      <c r="F1279" t="s">
        <v>23</v>
      </c>
      <c r="G1279">
        <v>94501</v>
      </c>
      <c r="H1279">
        <v>3904</v>
      </c>
      <c r="I1279">
        <v>6432.98</v>
      </c>
      <c r="J1279">
        <v>346</v>
      </c>
      <c r="K1279" t="b">
        <v>1</v>
      </c>
    </row>
    <row r="1280" spans="1:11" x14ac:dyDescent="0.2">
      <c r="A1280" t="s">
        <v>2650</v>
      </c>
      <c r="B1280" t="s">
        <v>2651</v>
      </c>
      <c r="C1280" s="2">
        <v>45200</v>
      </c>
      <c r="D1280" s="2">
        <v>45207</v>
      </c>
      <c r="E1280">
        <f t="shared" si="19"/>
        <v>7</v>
      </c>
      <c r="F1280" t="s">
        <v>14</v>
      </c>
      <c r="G1280">
        <v>3079</v>
      </c>
      <c r="H1280">
        <v>118</v>
      </c>
      <c r="I1280">
        <v>84.34</v>
      </c>
      <c r="J1280">
        <v>20</v>
      </c>
      <c r="K1280">
        <v>0</v>
      </c>
    </row>
    <row r="1281" spans="1:11" x14ac:dyDescent="0.2">
      <c r="A1281" t="s">
        <v>2652</v>
      </c>
      <c r="B1281" t="s">
        <v>2653</v>
      </c>
      <c r="C1281" s="2">
        <v>44934</v>
      </c>
      <c r="D1281" s="2">
        <v>44954</v>
      </c>
      <c r="E1281">
        <f t="shared" si="19"/>
        <v>20</v>
      </c>
      <c r="F1281" t="s">
        <v>14</v>
      </c>
      <c r="G1281">
        <v>3717</v>
      </c>
      <c r="H1281">
        <v>125</v>
      </c>
      <c r="I1281">
        <v>185.82</v>
      </c>
      <c r="J1281">
        <v>23</v>
      </c>
      <c r="K1281" t="s">
        <v>15</v>
      </c>
    </row>
    <row r="1282" spans="1:11" x14ac:dyDescent="0.2">
      <c r="A1282" t="s">
        <v>2654</v>
      </c>
      <c r="B1282" t="s">
        <v>2655</v>
      </c>
      <c r="C1282" s="2">
        <v>45198</v>
      </c>
      <c r="D1282" s="2">
        <v>45224</v>
      </c>
      <c r="E1282">
        <f t="shared" ref="E1282:E1345" si="20">D1282-C1282</f>
        <v>26</v>
      </c>
      <c r="F1282" t="s">
        <v>14</v>
      </c>
      <c r="G1282">
        <v>60676</v>
      </c>
      <c r="H1282">
        <v>2780</v>
      </c>
      <c r="I1282">
        <v>4065.34</v>
      </c>
      <c r="J1282">
        <v>465</v>
      </c>
      <c r="K1282" t="s">
        <v>24</v>
      </c>
    </row>
    <row r="1283" spans="1:11" x14ac:dyDescent="0.2">
      <c r="A1283" t="s">
        <v>2656</v>
      </c>
      <c r="B1283" t="s">
        <v>2657</v>
      </c>
      <c r="C1283" s="2">
        <v>45247</v>
      </c>
      <c r="D1283" s="2">
        <v>45268</v>
      </c>
      <c r="E1283">
        <f t="shared" si="20"/>
        <v>21</v>
      </c>
      <c r="F1283" t="s">
        <v>234</v>
      </c>
      <c r="G1283">
        <v>28952</v>
      </c>
      <c r="H1283">
        <v>964</v>
      </c>
      <c r="I1283">
        <v>518.97</v>
      </c>
      <c r="J1283">
        <v>76</v>
      </c>
      <c r="K1283" t="s">
        <v>24</v>
      </c>
    </row>
    <row r="1284" spans="1:11" x14ac:dyDescent="0.2">
      <c r="A1284" t="s">
        <v>2658</v>
      </c>
      <c r="B1284" t="s">
        <v>2659</v>
      </c>
      <c r="C1284" s="2">
        <v>45103</v>
      </c>
      <c r="D1284" s="2">
        <v>45130</v>
      </c>
      <c r="E1284">
        <f t="shared" si="20"/>
        <v>27</v>
      </c>
      <c r="F1284" t="s">
        <v>14</v>
      </c>
      <c r="G1284">
        <v>87444</v>
      </c>
      <c r="H1284">
        <v>2507</v>
      </c>
      <c r="I1284">
        <v>4216.66</v>
      </c>
      <c r="J1284">
        <v>157</v>
      </c>
      <c r="K1284" t="s">
        <v>15</v>
      </c>
    </row>
    <row r="1285" spans="1:11" x14ac:dyDescent="0.2">
      <c r="A1285" t="s">
        <v>2660</v>
      </c>
      <c r="B1285" t="s">
        <v>2661</v>
      </c>
      <c r="C1285" s="2">
        <v>45184</v>
      </c>
      <c r="D1285" s="2">
        <v>45195</v>
      </c>
      <c r="E1285">
        <f t="shared" si="20"/>
        <v>11</v>
      </c>
      <c r="F1285" t="s">
        <v>19</v>
      </c>
      <c r="G1285">
        <v>43460</v>
      </c>
      <c r="H1285">
        <v>1026</v>
      </c>
      <c r="I1285">
        <v>1903.1</v>
      </c>
      <c r="J1285">
        <v>144</v>
      </c>
      <c r="K1285" t="s">
        <v>15</v>
      </c>
    </row>
    <row r="1286" spans="1:11" x14ac:dyDescent="0.2">
      <c r="A1286" t="s">
        <v>2662</v>
      </c>
      <c r="B1286" t="s">
        <v>2663</v>
      </c>
      <c r="C1286" s="2">
        <v>44950</v>
      </c>
      <c r="D1286" s="2">
        <v>44956</v>
      </c>
      <c r="E1286">
        <f t="shared" si="20"/>
        <v>6</v>
      </c>
      <c r="F1286" t="s">
        <v>19</v>
      </c>
      <c r="G1286">
        <v>91397</v>
      </c>
      <c r="H1286">
        <v>4352</v>
      </c>
      <c r="I1286">
        <v>3921.69</v>
      </c>
      <c r="J1286">
        <v>254</v>
      </c>
      <c r="K1286" t="s">
        <v>15</v>
      </c>
    </row>
    <row r="1287" spans="1:11" x14ac:dyDescent="0.2">
      <c r="A1287" t="s">
        <v>2664</v>
      </c>
      <c r="B1287" t="s">
        <v>2665</v>
      </c>
      <c r="C1287" s="2">
        <v>45193</v>
      </c>
      <c r="D1287" s="2">
        <v>45222</v>
      </c>
      <c r="E1287">
        <f t="shared" si="20"/>
        <v>29</v>
      </c>
      <c r="F1287" t="s">
        <v>23</v>
      </c>
      <c r="G1287">
        <v>73847</v>
      </c>
      <c r="H1287">
        <v>982</v>
      </c>
      <c r="I1287">
        <v>1687.65</v>
      </c>
      <c r="J1287">
        <v>148</v>
      </c>
      <c r="K1287">
        <v>0</v>
      </c>
    </row>
    <row r="1288" spans="1:11" x14ac:dyDescent="0.2">
      <c r="A1288" t="s">
        <v>2666</v>
      </c>
      <c r="B1288" t="s">
        <v>2667</v>
      </c>
      <c r="C1288" s="2">
        <v>45278</v>
      </c>
      <c r="D1288" s="2">
        <v>45299</v>
      </c>
      <c r="E1288">
        <f t="shared" si="20"/>
        <v>21</v>
      </c>
      <c r="F1288" t="s">
        <v>19</v>
      </c>
      <c r="G1288">
        <v>94607</v>
      </c>
      <c r="H1288">
        <v>4468</v>
      </c>
      <c r="I1288">
        <v>2786.28</v>
      </c>
      <c r="J1288">
        <v>578</v>
      </c>
      <c r="K1288" t="s">
        <v>24</v>
      </c>
    </row>
    <row r="1289" spans="1:11" x14ac:dyDescent="0.2">
      <c r="A1289" t="s">
        <v>2668</v>
      </c>
      <c r="B1289" t="s">
        <v>2669</v>
      </c>
      <c r="C1289" s="2">
        <v>45177</v>
      </c>
      <c r="D1289" s="2">
        <v>45203</v>
      </c>
      <c r="E1289">
        <f t="shared" si="20"/>
        <v>26</v>
      </c>
      <c r="F1289" t="s">
        <v>33</v>
      </c>
      <c r="G1289">
        <v>90106</v>
      </c>
      <c r="H1289">
        <v>3880</v>
      </c>
      <c r="I1289">
        <v>5431.81</v>
      </c>
      <c r="J1289">
        <v>579</v>
      </c>
      <c r="K1289" t="s">
        <v>30</v>
      </c>
    </row>
    <row r="1290" spans="1:11" x14ac:dyDescent="0.2">
      <c r="A1290" t="s">
        <v>2670</v>
      </c>
      <c r="B1290" t="s">
        <v>2671</v>
      </c>
      <c r="C1290" s="2">
        <v>45133</v>
      </c>
      <c r="D1290" s="2">
        <v>45149</v>
      </c>
      <c r="E1290">
        <f t="shared" si="20"/>
        <v>16</v>
      </c>
      <c r="F1290" t="s">
        <v>19</v>
      </c>
      <c r="G1290">
        <v>19449</v>
      </c>
      <c r="H1290">
        <v>295</v>
      </c>
      <c r="I1290">
        <v>362.4</v>
      </c>
      <c r="J1290">
        <v>40</v>
      </c>
      <c r="K1290">
        <v>1</v>
      </c>
    </row>
    <row r="1291" spans="1:11" x14ac:dyDescent="0.2">
      <c r="A1291" t="s">
        <v>2673</v>
      </c>
      <c r="B1291" t="s">
        <v>2674</v>
      </c>
      <c r="C1291" s="2">
        <v>45041</v>
      </c>
      <c r="D1291" s="2">
        <v>45053</v>
      </c>
      <c r="E1291">
        <f t="shared" si="20"/>
        <v>12</v>
      </c>
      <c r="F1291" t="s">
        <v>23</v>
      </c>
      <c r="G1291">
        <v>34536</v>
      </c>
      <c r="H1291">
        <v>1125</v>
      </c>
      <c r="I1291">
        <v>1483.75</v>
      </c>
      <c r="J1291">
        <v>127</v>
      </c>
      <c r="K1291">
        <v>1</v>
      </c>
    </row>
    <row r="1292" spans="1:11" x14ac:dyDescent="0.2">
      <c r="A1292" t="s">
        <v>2675</v>
      </c>
      <c r="B1292" t="s">
        <v>2676</v>
      </c>
      <c r="C1292" s="2">
        <v>44938</v>
      </c>
      <c r="D1292" s="2">
        <v>44946</v>
      </c>
      <c r="E1292">
        <f t="shared" si="20"/>
        <v>8</v>
      </c>
      <c r="F1292" t="s">
        <v>33</v>
      </c>
      <c r="G1292">
        <v>65077</v>
      </c>
      <c r="H1292">
        <v>2906</v>
      </c>
      <c r="I1292">
        <v>5490.33</v>
      </c>
      <c r="J1292">
        <v>232</v>
      </c>
      <c r="K1292" t="b">
        <v>1</v>
      </c>
    </row>
    <row r="1293" spans="1:11" x14ac:dyDescent="0.2">
      <c r="A1293" t="s">
        <v>2677</v>
      </c>
      <c r="B1293" t="s">
        <v>2678</v>
      </c>
      <c r="C1293" s="2">
        <v>45114</v>
      </c>
      <c r="D1293" s="2">
        <v>45127</v>
      </c>
      <c r="E1293">
        <f t="shared" si="20"/>
        <v>13</v>
      </c>
      <c r="F1293" t="s">
        <v>41</v>
      </c>
      <c r="G1293">
        <v>39258</v>
      </c>
      <c r="H1293">
        <v>1290</v>
      </c>
      <c r="I1293">
        <v>2331</v>
      </c>
      <c r="J1293">
        <v>123</v>
      </c>
      <c r="K1293" t="b">
        <v>0</v>
      </c>
    </row>
    <row r="1294" spans="1:11" x14ac:dyDescent="0.2">
      <c r="A1294" t="s">
        <v>2679</v>
      </c>
      <c r="B1294" t="s">
        <v>2680</v>
      </c>
      <c r="C1294" s="2">
        <v>45119</v>
      </c>
      <c r="D1294" s="2">
        <v>45135</v>
      </c>
      <c r="E1294">
        <f t="shared" si="20"/>
        <v>16</v>
      </c>
      <c r="F1294" t="s">
        <v>41</v>
      </c>
      <c r="G1294">
        <v>49302</v>
      </c>
      <c r="H1294">
        <v>2282</v>
      </c>
      <c r="I1294">
        <v>3828.34</v>
      </c>
      <c r="J1294">
        <v>293</v>
      </c>
      <c r="K1294" t="s">
        <v>30</v>
      </c>
    </row>
    <row r="1295" spans="1:11" x14ac:dyDescent="0.2">
      <c r="A1295" t="s">
        <v>2681</v>
      </c>
      <c r="B1295" t="s">
        <v>2682</v>
      </c>
      <c r="C1295" s="2">
        <v>45200</v>
      </c>
      <c r="D1295" s="2">
        <v>45223</v>
      </c>
      <c r="E1295">
        <f t="shared" si="20"/>
        <v>23</v>
      </c>
      <c r="F1295" t="s">
        <v>23</v>
      </c>
      <c r="G1295">
        <v>29865</v>
      </c>
      <c r="H1295">
        <v>1425</v>
      </c>
      <c r="I1295" s="3">
        <v>1297.53</v>
      </c>
      <c r="J1295">
        <v>210</v>
      </c>
      <c r="K1295" t="s">
        <v>24</v>
      </c>
    </row>
    <row r="1296" spans="1:11" x14ac:dyDescent="0.2">
      <c r="A1296" t="s">
        <v>2683</v>
      </c>
      <c r="B1296" t="s">
        <v>2684</v>
      </c>
      <c r="C1296" s="2">
        <v>44951</v>
      </c>
      <c r="D1296" s="2">
        <v>44960</v>
      </c>
      <c r="E1296">
        <f t="shared" si="20"/>
        <v>9</v>
      </c>
      <c r="F1296" t="s">
        <v>23</v>
      </c>
      <c r="G1296">
        <v>7645</v>
      </c>
      <c r="H1296">
        <v>205</v>
      </c>
      <c r="I1296">
        <v>382.88</v>
      </c>
      <c r="J1296">
        <v>34</v>
      </c>
      <c r="K1296" t="b">
        <v>1</v>
      </c>
    </row>
    <row r="1297" spans="1:11" x14ac:dyDescent="0.2">
      <c r="A1297" t="s">
        <v>2685</v>
      </c>
      <c r="B1297" t="s">
        <v>2686</v>
      </c>
      <c r="C1297" s="2">
        <v>44967</v>
      </c>
      <c r="D1297" s="2">
        <v>45231</v>
      </c>
      <c r="E1297">
        <f t="shared" si="20"/>
        <v>264</v>
      </c>
      <c r="F1297" t="s">
        <v>19</v>
      </c>
      <c r="G1297">
        <v>39000</v>
      </c>
      <c r="H1297">
        <v>978</v>
      </c>
      <c r="I1297" s="3">
        <v>632.04</v>
      </c>
      <c r="K1297" t="b">
        <v>1</v>
      </c>
    </row>
    <row r="1298" spans="1:11" x14ac:dyDescent="0.2">
      <c r="A1298" t="s">
        <v>2687</v>
      </c>
      <c r="B1298" t="s">
        <v>2688</v>
      </c>
      <c r="C1298" s="2">
        <v>44986</v>
      </c>
      <c r="D1298" s="2">
        <v>45005</v>
      </c>
      <c r="E1298">
        <f t="shared" si="20"/>
        <v>19</v>
      </c>
      <c r="F1298" t="s">
        <v>41</v>
      </c>
      <c r="G1298">
        <v>27737</v>
      </c>
      <c r="H1298">
        <v>1316</v>
      </c>
      <c r="I1298">
        <v>2342.4699999999998</v>
      </c>
      <c r="J1298">
        <v>257</v>
      </c>
      <c r="K1298" t="s">
        <v>15</v>
      </c>
    </row>
    <row r="1299" spans="1:11" x14ac:dyDescent="0.2">
      <c r="A1299" t="s">
        <v>2689</v>
      </c>
      <c r="B1299" t="s">
        <v>2690</v>
      </c>
      <c r="C1299" s="2">
        <v>45207</v>
      </c>
      <c r="D1299" s="2">
        <v>45222</v>
      </c>
      <c r="E1299">
        <f t="shared" si="20"/>
        <v>15</v>
      </c>
      <c r="F1299" t="s">
        <v>14</v>
      </c>
      <c r="G1299">
        <v>12485</v>
      </c>
      <c r="H1299">
        <v>462</v>
      </c>
      <c r="I1299">
        <v>458.41</v>
      </c>
      <c r="J1299">
        <v>42</v>
      </c>
      <c r="K1299" t="b">
        <v>0</v>
      </c>
    </row>
    <row r="1300" spans="1:11" x14ac:dyDescent="0.2">
      <c r="A1300" t="s">
        <v>2691</v>
      </c>
      <c r="B1300" t="s">
        <v>2692</v>
      </c>
      <c r="C1300" s="2">
        <v>45032</v>
      </c>
      <c r="D1300" s="2">
        <v>45050</v>
      </c>
      <c r="E1300">
        <f t="shared" si="20"/>
        <v>18</v>
      </c>
      <c r="F1300" t="s">
        <v>23</v>
      </c>
      <c r="G1300">
        <v>39565</v>
      </c>
      <c r="H1300">
        <v>579</v>
      </c>
      <c r="I1300">
        <v>336.2</v>
      </c>
      <c r="J1300">
        <v>35</v>
      </c>
      <c r="K1300" t="s">
        <v>24</v>
      </c>
    </row>
    <row r="1301" spans="1:11" x14ac:dyDescent="0.2">
      <c r="A1301" t="s">
        <v>2693</v>
      </c>
      <c r="B1301" t="s">
        <v>2694</v>
      </c>
      <c r="C1301" s="2">
        <v>45081</v>
      </c>
      <c r="D1301" s="2">
        <v>45092</v>
      </c>
      <c r="E1301">
        <f t="shared" si="20"/>
        <v>11</v>
      </c>
      <c r="F1301" t="s">
        <v>19</v>
      </c>
      <c r="G1301">
        <v>26522</v>
      </c>
      <c r="H1301">
        <v>310</v>
      </c>
      <c r="I1301" s="3">
        <v>466.25</v>
      </c>
      <c r="J1301">
        <v>31</v>
      </c>
      <c r="K1301" t="b">
        <v>0</v>
      </c>
    </row>
    <row r="1302" spans="1:11" x14ac:dyDescent="0.2">
      <c r="A1302" t="s">
        <v>2695</v>
      </c>
      <c r="B1302" t="s">
        <v>2696</v>
      </c>
      <c r="C1302" s="2">
        <v>45193</v>
      </c>
      <c r="D1302" s="2">
        <v>45198</v>
      </c>
      <c r="E1302">
        <f t="shared" si="20"/>
        <v>5</v>
      </c>
      <c r="F1302" t="s">
        <v>23</v>
      </c>
      <c r="G1302">
        <v>66155</v>
      </c>
      <c r="H1302">
        <v>2155</v>
      </c>
      <c r="I1302">
        <v>1825.11</v>
      </c>
      <c r="J1302">
        <v>348</v>
      </c>
      <c r="K1302" t="s">
        <v>30</v>
      </c>
    </row>
    <row r="1303" spans="1:11" x14ac:dyDescent="0.2">
      <c r="A1303" t="s">
        <v>2697</v>
      </c>
      <c r="B1303" t="s">
        <v>2698</v>
      </c>
      <c r="C1303" s="2">
        <v>44997</v>
      </c>
      <c r="D1303" s="2">
        <v>45006</v>
      </c>
      <c r="E1303">
        <f t="shared" si="20"/>
        <v>9</v>
      </c>
      <c r="F1303" t="s">
        <v>33</v>
      </c>
      <c r="G1303">
        <v>56168</v>
      </c>
      <c r="H1303">
        <v>2651</v>
      </c>
      <c r="I1303">
        <v>2294.06</v>
      </c>
      <c r="J1303">
        <v>306</v>
      </c>
      <c r="K1303" t="b">
        <v>0</v>
      </c>
    </row>
    <row r="1304" spans="1:11" x14ac:dyDescent="0.2">
      <c r="A1304" t="s">
        <v>2699</v>
      </c>
      <c r="B1304" t="s">
        <v>2700</v>
      </c>
      <c r="C1304" s="2">
        <v>45188</v>
      </c>
      <c r="D1304" s="2">
        <v>45208</v>
      </c>
      <c r="E1304">
        <f t="shared" si="20"/>
        <v>20</v>
      </c>
      <c r="F1304" t="s">
        <v>33</v>
      </c>
      <c r="G1304">
        <v>53487</v>
      </c>
      <c r="H1304">
        <v>2341</v>
      </c>
      <c r="I1304">
        <v>2245.1799999999998</v>
      </c>
      <c r="J1304">
        <v>404</v>
      </c>
      <c r="K1304" t="b">
        <v>1</v>
      </c>
    </row>
    <row r="1305" spans="1:11" x14ac:dyDescent="0.2">
      <c r="A1305" t="s">
        <v>2701</v>
      </c>
      <c r="B1305" t="s">
        <v>2702</v>
      </c>
      <c r="C1305" s="2">
        <v>44985</v>
      </c>
      <c r="D1305" s="2">
        <v>44988</v>
      </c>
      <c r="E1305">
        <f t="shared" si="20"/>
        <v>3</v>
      </c>
      <c r="F1305" t="s">
        <v>33</v>
      </c>
      <c r="G1305">
        <v>13342</v>
      </c>
      <c r="H1305">
        <v>494</v>
      </c>
      <c r="I1305">
        <v>294.19</v>
      </c>
      <c r="J1305">
        <v>65</v>
      </c>
      <c r="K1305" t="b">
        <v>0</v>
      </c>
    </row>
    <row r="1306" spans="1:11" x14ac:dyDescent="0.2">
      <c r="A1306" t="s">
        <v>2703</v>
      </c>
      <c r="B1306" t="s">
        <v>2704</v>
      </c>
      <c r="C1306" s="2">
        <v>45238</v>
      </c>
      <c r="D1306" s="2">
        <v>45247</v>
      </c>
      <c r="E1306">
        <f t="shared" si="20"/>
        <v>9</v>
      </c>
      <c r="F1306" t="s">
        <v>23</v>
      </c>
      <c r="G1306">
        <v>41806</v>
      </c>
      <c r="H1306">
        <v>650</v>
      </c>
      <c r="I1306" s="3">
        <v>497.7</v>
      </c>
      <c r="J1306">
        <v>123</v>
      </c>
      <c r="K1306" t="b">
        <v>0</v>
      </c>
    </row>
    <row r="1307" spans="1:11" x14ac:dyDescent="0.2">
      <c r="A1307" t="s">
        <v>2705</v>
      </c>
      <c r="B1307" t="s">
        <v>2706</v>
      </c>
      <c r="C1307" s="2">
        <v>45194</v>
      </c>
      <c r="D1307" s="2">
        <v>45198</v>
      </c>
      <c r="E1307">
        <f t="shared" si="20"/>
        <v>4</v>
      </c>
      <c r="F1307" t="s">
        <v>23</v>
      </c>
      <c r="G1307">
        <v>49770</v>
      </c>
      <c r="H1307">
        <v>1003</v>
      </c>
      <c r="I1307" s="3">
        <v>509.23</v>
      </c>
      <c r="J1307">
        <v>192</v>
      </c>
      <c r="K1307">
        <v>1</v>
      </c>
    </row>
    <row r="1308" spans="1:11" x14ac:dyDescent="0.2">
      <c r="A1308" t="s">
        <v>2707</v>
      </c>
      <c r="B1308" t="s">
        <v>2708</v>
      </c>
      <c r="C1308" s="2">
        <v>45136</v>
      </c>
      <c r="D1308" s="2">
        <v>45149</v>
      </c>
      <c r="E1308">
        <f t="shared" si="20"/>
        <v>13</v>
      </c>
      <c r="F1308" t="s">
        <v>14</v>
      </c>
      <c r="G1308">
        <v>79623</v>
      </c>
      <c r="H1308">
        <v>3584</v>
      </c>
      <c r="I1308" s="3">
        <v>4186.5200000000004</v>
      </c>
      <c r="J1308">
        <v>216</v>
      </c>
      <c r="K1308" t="s">
        <v>24</v>
      </c>
    </row>
    <row r="1309" spans="1:11" x14ac:dyDescent="0.2">
      <c r="A1309" t="s">
        <v>2709</v>
      </c>
      <c r="B1309" t="s">
        <v>2710</v>
      </c>
      <c r="C1309" s="2">
        <v>45181</v>
      </c>
      <c r="D1309" s="2">
        <v>45208</v>
      </c>
      <c r="E1309">
        <f t="shared" si="20"/>
        <v>27</v>
      </c>
      <c r="F1309" t="s">
        <v>19</v>
      </c>
      <c r="G1309">
        <v>76629</v>
      </c>
      <c r="H1309">
        <v>1326</v>
      </c>
      <c r="I1309" s="3">
        <v>830.58</v>
      </c>
      <c r="J1309">
        <v>157</v>
      </c>
      <c r="K1309" t="s">
        <v>24</v>
      </c>
    </row>
    <row r="1310" spans="1:11" x14ac:dyDescent="0.2">
      <c r="A1310" t="s">
        <v>2711</v>
      </c>
      <c r="B1310" t="s">
        <v>2712</v>
      </c>
      <c r="C1310" s="2">
        <v>45043</v>
      </c>
      <c r="D1310" s="2">
        <v>45173</v>
      </c>
      <c r="E1310">
        <f t="shared" si="20"/>
        <v>130</v>
      </c>
      <c r="F1310" t="s">
        <v>33</v>
      </c>
      <c r="G1310">
        <v>53603</v>
      </c>
      <c r="H1310">
        <v>1133</v>
      </c>
      <c r="I1310">
        <v>1726.67</v>
      </c>
      <c r="J1310">
        <v>160</v>
      </c>
      <c r="K1310" t="b">
        <v>1</v>
      </c>
    </row>
    <row r="1311" spans="1:11" x14ac:dyDescent="0.2">
      <c r="A1311" t="s">
        <v>2713</v>
      </c>
      <c r="B1311" t="s">
        <v>2714</v>
      </c>
      <c r="C1311" s="2">
        <v>45211</v>
      </c>
      <c r="D1311" s="2">
        <v>45283</v>
      </c>
      <c r="E1311">
        <f t="shared" si="20"/>
        <v>72</v>
      </c>
      <c r="F1311" t="s">
        <v>14</v>
      </c>
      <c r="G1311">
        <v>82974</v>
      </c>
      <c r="H1311">
        <v>1259</v>
      </c>
      <c r="I1311">
        <v>1074.47</v>
      </c>
      <c r="J1311">
        <v>111</v>
      </c>
      <c r="K1311">
        <v>0</v>
      </c>
    </row>
    <row r="1312" spans="1:11" x14ac:dyDescent="0.2">
      <c r="A1312" t="s">
        <v>2715</v>
      </c>
      <c r="B1312" t="s">
        <v>2716</v>
      </c>
      <c r="C1312" s="2">
        <v>44983</v>
      </c>
      <c r="D1312" s="2">
        <v>44984</v>
      </c>
      <c r="E1312">
        <f t="shared" si="20"/>
        <v>1</v>
      </c>
      <c r="F1312" t="s">
        <v>14</v>
      </c>
      <c r="G1312">
        <v>27399</v>
      </c>
      <c r="H1312">
        <v>1014</v>
      </c>
      <c r="I1312" s="3">
        <v>1942.18</v>
      </c>
      <c r="J1312">
        <v>112</v>
      </c>
      <c r="K1312" t="b">
        <v>0</v>
      </c>
    </row>
    <row r="1313" spans="1:11" x14ac:dyDescent="0.2">
      <c r="A1313" t="s">
        <v>2717</v>
      </c>
      <c r="B1313" t="s">
        <v>2718</v>
      </c>
      <c r="C1313" s="2">
        <v>45003</v>
      </c>
      <c r="D1313" s="2">
        <v>45006</v>
      </c>
      <c r="E1313">
        <f t="shared" si="20"/>
        <v>3</v>
      </c>
      <c r="F1313" t="s">
        <v>19</v>
      </c>
      <c r="G1313">
        <v>86382</v>
      </c>
      <c r="H1313">
        <v>4125</v>
      </c>
      <c r="I1313">
        <v>7453.37</v>
      </c>
      <c r="J1313">
        <v>625</v>
      </c>
      <c r="K1313" t="b">
        <v>0</v>
      </c>
    </row>
    <row r="1314" spans="1:11" x14ac:dyDescent="0.2">
      <c r="A1314" t="s">
        <v>2719</v>
      </c>
      <c r="B1314" t="s">
        <v>2720</v>
      </c>
      <c r="C1314" s="2">
        <v>44965</v>
      </c>
      <c r="D1314" s="2">
        <v>44972</v>
      </c>
      <c r="E1314">
        <f t="shared" si="20"/>
        <v>7</v>
      </c>
      <c r="F1314" t="s">
        <v>23</v>
      </c>
      <c r="G1314">
        <v>82244</v>
      </c>
      <c r="H1314">
        <v>1707</v>
      </c>
      <c r="I1314" s="3">
        <v>1594.61</v>
      </c>
      <c r="J1314">
        <v>143</v>
      </c>
      <c r="K1314" t="s">
        <v>15</v>
      </c>
    </row>
    <row r="1315" spans="1:11" x14ac:dyDescent="0.2">
      <c r="A1315" t="s">
        <v>2721</v>
      </c>
      <c r="B1315" t="s">
        <v>2722</v>
      </c>
      <c r="C1315" s="2">
        <v>45058</v>
      </c>
      <c r="D1315" s="2">
        <v>45084</v>
      </c>
      <c r="E1315">
        <f t="shared" si="20"/>
        <v>26</v>
      </c>
      <c r="F1315" t="s">
        <v>41</v>
      </c>
      <c r="G1315">
        <v>77534</v>
      </c>
      <c r="H1315">
        <v>2249</v>
      </c>
      <c r="I1315" s="3">
        <v>3766.68</v>
      </c>
      <c r="J1315">
        <v>315</v>
      </c>
      <c r="K1315" t="s">
        <v>24</v>
      </c>
    </row>
    <row r="1316" spans="1:11" x14ac:dyDescent="0.2">
      <c r="A1316" t="s">
        <v>2723</v>
      </c>
      <c r="B1316" t="s">
        <v>2724</v>
      </c>
      <c r="C1316" s="2">
        <v>44962</v>
      </c>
      <c r="D1316" s="2">
        <v>45078</v>
      </c>
      <c r="E1316">
        <f t="shared" si="20"/>
        <v>116</v>
      </c>
      <c r="F1316" t="s">
        <v>19</v>
      </c>
      <c r="G1316">
        <v>56106</v>
      </c>
      <c r="H1316">
        <v>1984</v>
      </c>
      <c r="I1316" s="3">
        <v>3382.46</v>
      </c>
      <c r="J1316">
        <v>306</v>
      </c>
      <c r="K1316" t="b">
        <v>0</v>
      </c>
    </row>
    <row r="1317" spans="1:11" x14ac:dyDescent="0.2">
      <c r="A1317" t="s">
        <v>2725</v>
      </c>
      <c r="B1317" t="s">
        <v>2726</v>
      </c>
      <c r="C1317" s="2">
        <v>45016</v>
      </c>
      <c r="D1317" s="2">
        <v>45025</v>
      </c>
      <c r="E1317">
        <f t="shared" si="20"/>
        <v>9</v>
      </c>
      <c r="F1317" t="s">
        <v>41</v>
      </c>
      <c r="G1317">
        <v>31678</v>
      </c>
      <c r="H1317">
        <v>1583</v>
      </c>
      <c r="I1317">
        <v>3134.09</v>
      </c>
      <c r="J1317">
        <v>100</v>
      </c>
      <c r="K1317" t="s">
        <v>24</v>
      </c>
    </row>
    <row r="1318" spans="1:11" x14ac:dyDescent="0.2">
      <c r="A1318" t="s">
        <v>2727</v>
      </c>
      <c r="B1318" t="s">
        <v>2728</v>
      </c>
      <c r="C1318" s="2">
        <v>45111</v>
      </c>
      <c r="D1318" s="2">
        <v>45141</v>
      </c>
      <c r="E1318">
        <f t="shared" si="20"/>
        <v>30</v>
      </c>
      <c r="F1318" t="s">
        <v>138</v>
      </c>
      <c r="G1318">
        <v>77218</v>
      </c>
      <c r="H1318">
        <v>1095</v>
      </c>
      <c r="I1318">
        <v>1529.45</v>
      </c>
      <c r="J1318">
        <v>136</v>
      </c>
      <c r="K1318" t="b">
        <v>0</v>
      </c>
    </row>
    <row r="1319" spans="1:11" x14ac:dyDescent="0.2">
      <c r="A1319" t="s">
        <v>2729</v>
      </c>
      <c r="B1319" t="s">
        <v>2730</v>
      </c>
      <c r="C1319" s="2">
        <v>44929</v>
      </c>
      <c r="D1319" s="2">
        <v>45002</v>
      </c>
      <c r="E1319">
        <f t="shared" si="20"/>
        <v>73</v>
      </c>
      <c r="F1319" t="s">
        <v>14</v>
      </c>
      <c r="G1319">
        <v>64230</v>
      </c>
      <c r="H1319">
        <v>1923</v>
      </c>
      <c r="I1319">
        <v>-1197.93</v>
      </c>
      <c r="J1319">
        <v>172</v>
      </c>
      <c r="K1319">
        <v>1</v>
      </c>
    </row>
    <row r="1320" spans="1:11" x14ac:dyDescent="0.2">
      <c r="A1320" t="s">
        <v>2731</v>
      </c>
      <c r="B1320" t="s">
        <v>2732</v>
      </c>
      <c r="C1320" s="2">
        <v>44950</v>
      </c>
      <c r="D1320" s="2">
        <v>44965</v>
      </c>
      <c r="E1320">
        <f t="shared" si="20"/>
        <v>15</v>
      </c>
      <c r="F1320" t="s">
        <v>23</v>
      </c>
      <c r="G1320">
        <v>75055</v>
      </c>
      <c r="H1320">
        <v>1906</v>
      </c>
      <c r="I1320" s="3">
        <v>2802.31</v>
      </c>
      <c r="J1320">
        <v>302</v>
      </c>
      <c r="K1320" t="b">
        <v>1</v>
      </c>
    </row>
    <row r="1321" spans="1:11" x14ac:dyDescent="0.2">
      <c r="A1321" t="s">
        <v>2734</v>
      </c>
      <c r="B1321" t="s">
        <v>2735</v>
      </c>
      <c r="C1321" s="2">
        <v>44997</v>
      </c>
      <c r="D1321" s="2">
        <v>45027</v>
      </c>
      <c r="E1321">
        <f t="shared" si="20"/>
        <v>30</v>
      </c>
      <c r="F1321" t="s">
        <v>58</v>
      </c>
      <c r="G1321">
        <v>57373</v>
      </c>
      <c r="H1321">
        <v>2560</v>
      </c>
      <c r="I1321">
        <v>3679.92</v>
      </c>
      <c r="J1321">
        <v>200</v>
      </c>
      <c r="K1321" t="s">
        <v>24</v>
      </c>
    </row>
    <row r="1322" spans="1:11" x14ac:dyDescent="0.2">
      <c r="A1322" t="s">
        <v>2736</v>
      </c>
      <c r="B1322" t="s">
        <v>2737</v>
      </c>
      <c r="C1322" s="2">
        <v>45110</v>
      </c>
      <c r="D1322" s="2">
        <v>45128</v>
      </c>
      <c r="E1322">
        <f t="shared" si="20"/>
        <v>18</v>
      </c>
      <c r="F1322" t="s">
        <v>19</v>
      </c>
      <c r="G1322">
        <v>32480</v>
      </c>
      <c r="H1322">
        <v>943</v>
      </c>
      <c r="I1322">
        <v>1374.45</v>
      </c>
      <c r="J1322">
        <v>173</v>
      </c>
      <c r="K1322" t="s">
        <v>30</v>
      </c>
    </row>
    <row r="1323" spans="1:11" x14ac:dyDescent="0.2">
      <c r="A1323" t="s">
        <v>2738</v>
      </c>
      <c r="B1323" t="s">
        <v>2739</v>
      </c>
      <c r="C1323" s="2">
        <v>45064</v>
      </c>
      <c r="D1323" s="2">
        <v>45083</v>
      </c>
      <c r="E1323">
        <f t="shared" si="20"/>
        <v>19</v>
      </c>
      <c r="F1323" t="s">
        <v>33</v>
      </c>
      <c r="G1323">
        <v>86230</v>
      </c>
      <c r="H1323">
        <v>1245</v>
      </c>
      <c r="I1323" s="3">
        <v>1196.0899999999999</v>
      </c>
      <c r="J1323">
        <v>142</v>
      </c>
      <c r="K1323" t="b">
        <v>1</v>
      </c>
    </row>
    <row r="1324" spans="1:11" x14ac:dyDescent="0.2">
      <c r="A1324" t="s">
        <v>2740</v>
      </c>
      <c r="B1324" t="s">
        <v>2741</v>
      </c>
      <c r="C1324" s="2">
        <v>45102</v>
      </c>
      <c r="D1324" s="2">
        <v>45129</v>
      </c>
      <c r="E1324">
        <f t="shared" si="20"/>
        <v>27</v>
      </c>
      <c r="F1324" t="s">
        <v>41</v>
      </c>
      <c r="G1324">
        <v>69836</v>
      </c>
      <c r="H1324">
        <v>2470</v>
      </c>
      <c r="I1324">
        <v>4420.1099999999997</v>
      </c>
      <c r="J1324">
        <v>196</v>
      </c>
      <c r="K1324" t="s">
        <v>15</v>
      </c>
    </row>
    <row r="1325" spans="1:11" x14ac:dyDescent="0.2">
      <c r="A1325" t="s">
        <v>2742</v>
      </c>
      <c r="B1325" t="s">
        <v>2743</v>
      </c>
      <c r="C1325" s="2">
        <v>45160</v>
      </c>
      <c r="D1325" s="2">
        <v>45169</v>
      </c>
      <c r="E1325">
        <f t="shared" si="20"/>
        <v>9</v>
      </c>
      <c r="F1325" t="s">
        <v>23</v>
      </c>
      <c r="G1325">
        <v>73258</v>
      </c>
      <c r="H1325">
        <v>2991</v>
      </c>
      <c r="I1325">
        <v>5800.17</v>
      </c>
      <c r="J1325">
        <v>346</v>
      </c>
      <c r="K1325" t="b">
        <v>1</v>
      </c>
    </row>
    <row r="1326" spans="1:11" x14ac:dyDescent="0.2">
      <c r="A1326" t="s">
        <v>2744</v>
      </c>
      <c r="B1326" t="s">
        <v>2745</v>
      </c>
      <c r="C1326" s="2">
        <v>45171</v>
      </c>
      <c r="D1326" s="2">
        <v>45188</v>
      </c>
      <c r="E1326">
        <f t="shared" si="20"/>
        <v>17</v>
      </c>
      <c r="F1326" t="s">
        <v>23</v>
      </c>
      <c r="G1326">
        <v>40986</v>
      </c>
      <c r="H1326">
        <v>414</v>
      </c>
      <c r="I1326">
        <v>342.2</v>
      </c>
      <c r="J1326">
        <v>46</v>
      </c>
      <c r="K1326" t="b">
        <v>0</v>
      </c>
    </row>
    <row r="1327" spans="1:11" x14ac:dyDescent="0.2">
      <c r="A1327" t="s">
        <v>2746</v>
      </c>
      <c r="B1327" t="s">
        <v>2747</v>
      </c>
      <c r="C1327" s="2">
        <v>45012</v>
      </c>
      <c r="D1327" s="2">
        <v>45031</v>
      </c>
      <c r="E1327">
        <f t="shared" si="20"/>
        <v>19</v>
      </c>
      <c r="F1327" t="s">
        <v>14</v>
      </c>
      <c r="G1327">
        <v>25160</v>
      </c>
      <c r="H1327">
        <v>1116</v>
      </c>
      <c r="I1327">
        <v>705.57</v>
      </c>
      <c r="J1327">
        <v>127</v>
      </c>
      <c r="K1327" t="s">
        <v>15</v>
      </c>
    </row>
    <row r="1328" spans="1:11" x14ac:dyDescent="0.2">
      <c r="A1328" t="s">
        <v>2748</v>
      </c>
      <c r="B1328" t="s">
        <v>2749</v>
      </c>
      <c r="C1328" s="2">
        <v>44957</v>
      </c>
      <c r="D1328" s="2">
        <v>44971</v>
      </c>
      <c r="E1328">
        <f t="shared" si="20"/>
        <v>14</v>
      </c>
      <c r="F1328" t="s">
        <v>14</v>
      </c>
      <c r="G1328">
        <v>86595</v>
      </c>
      <c r="H1328">
        <v>1510</v>
      </c>
      <c r="I1328" s="3">
        <v>1195.6199999999999</v>
      </c>
      <c r="J1328">
        <v>208</v>
      </c>
      <c r="K1328" t="b">
        <v>1</v>
      </c>
    </row>
    <row r="1329" spans="1:11" x14ac:dyDescent="0.2">
      <c r="A1329" t="s">
        <v>2750</v>
      </c>
      <c r="B1329" t="s">
        <v>2751</v>
      </c>
      <c r="C1329" s="2">
        <v>44980</v>
      </c>
      <c r="D1329" s="2">
        <v>44987</v>
      </c>
      <c r="E1329">
        <f t="shared" si="20"/>
        <v>7</v>
      </c>
      <c r="F1329" t="s">
        <v>14</v>
      </c>
      <c r="G1329">
        <v>80111</v>
      </c>
      <c r="H1329">
        <v>2570</v>
      </c>
      <c r="I1329">
        <v>4448.2299999999996</v>
      </c>
      <c r="J1329">
        <v>329</v>
      </c>
      <c r="K1329" t="s">
        <v>15</v>
      </c>
    </row>
    <row r="1330" spans="1:11" x14ac:dyDescent="0.2">
      <c r="A1330" t="s">
        <v>2752</v>
      </c>
      <c r="B1330" t="s">
        <v>2753</v>
      </c>
      <c r="C1330" s="2">
        <v>45218</v>
      </c>
      <c r="D1330" s="2">
        <v>45227</v>
      </c>
      <c r="E1330">
        <f t="shared" si="20"/>
        <v>9</v>
      </c>
      <c r="F1330" t="s">
        <v>19</v>
      </c>
      <c r="G1330">
        <v>65929</v>
      </c>
      <c r="H1330">
        <v>1755</v>
      </c>
      <c r="I1330">
        <v>2658.77</v>
      </c>
      <c r="K1330" t="s">
        <v>30</v>
      </c>
    </row>
    <row r="1331" spans="1:11" x14ac:dyDescent="0.2">
      <c r="A1331" t="s">
        <v>2754</v>
      </c>
      <c r="B1331" t="s">
        <v>2755</v>
      </c>
      <c r="C1331" s="2">
        <v>45121</v>
      </c>
      <c r="D1331" s="2">
        <v>45123</v>
      </c>
      <c r="E1331">
        <f t="shared" si="20"/>
        <v>2</v>
      </c>
      <c r="F1331" t="s">
        <v>14</v>
      </c>
      <c r="G1331">
        <v>74506</v>
      </c>
      <c r="H1331">
        <v>2889</v>
      </c>
      <c r="I1331">
        <v>4200.8100000000004</v>
      </c>
      <c r="K1331" t="b">
        <v>1</v>
      </c>
    </row>
    <row r="1332" spans="1:11" x14ac:dyDescent="0.2">
      <c r="A1332" t="s">
        <v>2756</v>
      </c>
      <c r="B1332" t="s">
        <v>2757</v>
      </c>
      <c r="C1332" s="2">
        <v>45277</v>
      </c>
      <c r="D1332" s="2">
        <v>45291</v>
      </c>
      <c r="E1332">
        <f t="shared" si="20"/>
        <v>14</v>
      </c>
      <c r="F1332" t="s">
        <v>41</v>
      </c>
      <c r="G1332">
        <v>35911</v>
      </c>
      <c r="H1332">
        <v>892</v>
      </c>
      <c r="I1332" s="3">
        <v>983.6</v>
      </c>
      <c r="J1332">
        <v>142</v>
      </c>
      <c r="K1332" t="s">
        <v>24</v>
      </c>
    </row>
    <row r="1333" spans="1:11" x14ac:dyDescent="0.2">
      <c r="A1333" t="s">
        <v>2758</v>
      </c>
      <c r="B1333" t="s">
        <v>2759</v>
      </c>
      <c r="C1333" s="2">
        <v>44993</v>
      </c>
      <c r="D1333" s="2">
        <v>45014</v>
      </c>
      <c r="E1333">
        <f t="shared" si="20"/>
        <v>21</v>
      </c>
      <c r="F1333" t="s">
        <v>19</v>
      </c>
      <c r="G1333">
        <v>88127</v>
      </c>
      <c r="H1333">
        <v>3947</v>
      </c>
      <c r="I1333">
        <v>5394.53</v>
      </c>
      <c r="J1333">
        <v>528</v>
      </c>
      <c r="K1333" t="s">
        <v>24</v>
      </c>
    </row>
    <row r="1334" spans="1:11" x14ac:dyDescent="0.2">
      <c r="A1334" t="s">
        <v>2760</v>
      </c>
      <c r="B1334" t="s">
        <v>2761</v>
      </c>
      <c r="C1334" s="2">
        <v>45137</v>
      </c>
      <c r="D1334" s="2">
        <v>45153</v>
      </c>
      <c r="E1334">
        <f t="shared" si="20"/>
        <v>16</v>
      </c>
      <c r="F1334" t="s">
        <v>415</v>
      </c>
      <c r="G1334">
        <v>32821</v>
      </c>
      <c r="H1334">
        <v>1287</v>
      </c>
      <c r="I1334">
        <v>1237.8499999999999</v>
      </c>
      <c r="J1334">
        <v>133</v>
      </c>
      <c r="K1334">
        <v>0</v>
      </c>
    </row>
    <row r="1335" spans="1:11" x14ac:dyDescent="0.2">
      <c r="A1335" t="s">
        <v>2762</v>
      </c>
      <c r="B1335" t="s">
        <v>2763</v>
      </c>
      <c r="C1335" s="2">
        <v>45262</v>
      </c>
      <c r="D1335" s="2">
        <v>45282</v>
      </c>
      <c r="E1335">
        <f t="shared" si="20"/>
        <v>20</v>
      </c>
      <c r="F1335" t="s">
        <v>23</v>
      </c>
      <c r="G1335">
        <v>76039</v>
      </c>
      <c r="H1335">
        <v>2730</v>
      </c>
      <c r="I1335">
        <v>3319.13</v>
      </c>
      <c r="J1335">
        <v>467</v>
      </c>
      <c r="K1335" t="b">
        <v>0</v>
      </c>
    </row>
    <row r="1336" spans="1:11" x14ac:dyDescent="0.2">
      <c r="A1336" t="s">
        <v>2764</v>
      </c>
      <c r="B1336" t="s">
        <v>2765</v>
      </c>
      <c r="C1336" s="2">
        <v>45274</v>
      </c>
      <c r="D1336" s="2">
        <v>45278</v>
      </c>
      <c r="E1336">
        <f t="shared" si="20"/>
        <v>4</v>
      </c>
      <c r="F1336" t="s">
        <v>33</v>
      </c>
      <c r="G1336">
        <v>61535</v>
      </c>
      <c r="H1336">
        <v>2575</v>
      </c>
      <c r="I1336">
        <v>4350.71</v>
      </c>
      <c r="J1336">
        <v>278</v>
      </c>
      <c r="K1336" t="s">
        <v>15</v>
      </c>
    </row>
    <row r="1337" spans="1:11" x14ac:dyDescent="0.2">
      <c r="A1337" t="s">
        <v>2766</v>
      </c>
      <c r="B1337" t="s">
        <v>2767</v>
      </c>
      <c r="C1337" s="2">
        <v>45216</v>
      </c>
      <c r="D1337" s="2">
        <v>45232</v>
      </c>
      <c r="E1337">
        <f t="shared" si="20"/>
        <v>16</v>
      </c>
      <c r="F1337" t="s">
        <v>14</v>
      </c>
      <c r="G1337">
        <v>85458</v>
      </c>
      <c r="H1337">
        <v>3432</v>
      </c>
      <c r="I1337">
        <v>6767.43</v>
      </c>
      <c r="J1337">
        <v>581</v>
      </c>
      <c r="K1337">
        <v>0</v>
      </c>
    </row>
    <row r="1338" spans="1:11" x14ac:dyDescent="0.2">
      <c r="A1338" t="s">
        <v>2768</v>
      </c>
      <c r="B1338" t="s">
        <v>2769</v>
      </c>
      <c r="C1338" s="2">
        <v>45100</v>
      </c>
      <c r="D1338" s="2">
        <v>45114</v>
      </c>
      <c r="E1338">
        <f t="shared" si="20"/>
        <v>14</v>
      </c>
      <c r="F1338" t="s">
        <v>33</v>
      </c>
      <c r="G1338">
        <v>13175</v>
      </c>
      <c r="H1338">
        <v>150</v>
      </c>
      <c r="I1338">
        <v>284.81</v>
      </c>
      <c r="K1338">
        <v>0</v>
      </c>
    </row>
    <row r="1339" spans="1:11" x14ac:dyDescent="0.2">
      <c r="A1339" t="s">
        <v>2770</v>
      </c>
      <c r="B1339" t="s">
        <v>2771</v>
      </c>
      <c r="C1339" s="2">
        <v>45243</v>
      </c>
      <c r="D1339" s="2">
        <v>45256</v>
      </c>
      <c r="E1339">
        <f t="shared" si="20"/>
        <v>13</v>
      </c>
      <c r="F1339" t="s">
        <v>23</v>
      </c>
      <c r="G1339">
        <v>55771</v>
      </c>
      <c r="H1339">
        <v>1438</v>
      </c>
      <c r="I1339" s="3">
        <v>2733.35</v>
      </c>
      <c r="J1339">
        <v>87</v>
      </c>
      <c r="K1339">
        <v>1</v>
      </c>
    </row>
    <row r="1340" spans="1:11" x14ac:dyDescent="0.2">
      <c r="A1340" t="s">
        <v>2773</v>
      </c>
      <c r="B1340" t="s">
        <v>2774</v>
      </c>
      <c r="C1340" s="2">
        <v>45265</v>
      </c>
      <c r="D1340" s="2">
        <v>45276</v>
      </c>
      <c r="E1340">
        <f t="shared" si="20"/>
        <v>11</v>
      </c>
      <c r="F1340" t="s">
        <v>19</v>
      </c>
      <c r="G1340">
        <v>87925</v>
      </c>
      <c r="H1340">
        <v>4152</v>
      </c>
      <c r="I1340">
        <v>4581.05</v>
      </c>
      <c r="J1340">
        <v>788</v>
      </c>
      <c r="K1340" t="s">
        <v>15</v>
      </c>
    </row>
    <row r="1341" spans="1:11" x14ac:dyDescent="0.2">
      <c r="A1341" t="s">
        <v>2775</v>
      </c>
      <c r="B1341" t="s">
        <v>2776</v>
      </c>
      <c r="C1341" s="2">
        <v>45261</v>
      </c>
      <c r="D1341" s="2">
        <v>45266</v>
      </c>
      <c r="E1341">
        <f t="shared" si="20"/>
        <v>5</v>
      </c>
      <c r="F1341" t="s">
        <v>19</v>
      </c>
      <c r="G1341">
        <v>67358</v>
      </c>
      <c r="H1341">
        <v>1012</v>
      </c>
      <c r="I1341">
        <v>1217.6199999999999</v>
      </c>
      <c r="J1341">
        <v>110</v>
      </c>
      <c r="K1341">
        <v>0</v>
      </c>
    </row>
    <row r="1342" spans="1:11" x14ac:dyDescent="0.2">
      <c r="A1342" t="s">
        <v>2777</v>
      </c>
      <c r="B1342" t="s">
        <v>2778</v>
      </c>
      <c r="C1342" s="2">
        <v>45212</v>
      </c>
      <c r="D1342" s="2">
        <v>45217</v>
      </c>
      <c r="E1342">
        <f t="shared" si="20"/>
        <v>5</v>
      </c>
      <c r="F1342" t="s">
        <v>14</v>
      </c>
      <c r="G1342">
        <v>18327</v>
      </c>
      <c r="H1342">
        <v>723</v>
      </c>
      <c r="I1342">
        <v>1126.76</v>
      </c>
      <c r="J1342">
        <v>122</v>
      </c>
      <c r="K1342">
        <v>1</v>
      </c>
    </row>
    <row r="1343" spans="1:11" x14ac:dyDescent="0.2">
      <c r="A1343" t="s">
        <v>2779</v>
      </c>
      <c r="B1343" t="s">
        <v>2780</v>
      </c>
      <c r="C1343" s="2">
        <v>44932</v>
      </c>
      <c r="D1343" s="2">
        <v>44938</v>
      </c>
      <c r="E1343">
        <f t="shared" si="20"/>
        <v>6</v>
      </c>
      <c r="F1343" t="s">
        <v>19</v>
      </c>
      <c r="G1343">
        <v>48057</v>
      </c>
      <c r="H1343">
        <v>2354</v>
      </c>
      <c r="I1343">
        <v>4433.26</v>
      </c>
      <c r="J1343">
        <v>216</v>
      </c>
      <c r="K1343">
        <v>0</v>
      </c>
    </row>
    <row r="1344" spans="1:11" x14ac:dyDescent="0.2">
      <c r="A1344" t="s">
        <v>2781</v>
      </c>
      <c r="B1344" t="s">
        <v>2782</v>
      </c>
      <c r="C1344" s="2">
        <v>45167</v>
      </c>
      <c r="D1344" s="2">
        <v>45171</v>
      </c>
      <c r="E1344">
        <f t="shared" si="20"/>
        <v>4</v>
      </c>
      <c r="F1344" t="s">
        <v>14</v>
      </c>
      <c r="G1344">
        <v>7150</v>
      </c>
      <c r="H1344">
        <v>86</v>
      </c>
      <c r="I1344">
        <v>61.32</v>
      </c>
      <c r="J1344">
        <v>12</v>
      </c>
      <c r="K1344" t="b">
        <v>0</v>
      </c>
    </row>
    <row r="1345" spans="1:11" x14ac:dyDescent="0.2">
      <c r="A1345" t="s">
        <v>2783</v>
      </c>
      <c r="B1345" t="s">
        <v>2784</v>
      </c>
      <c r="C1345" s="2">
        <v>44965</v>
      </c>
      <c r="D1345" s="2">
        <v>44977</v>
      </c>
      <c r="E1345">
        <f t="shared" si="20"/>
        <v>12</v>
      </c>
      <c r="F1345" t="s">
        <v>19</v>
      </c>
      <c r="G1345">
        <v>5425</v>
      </c>
      <c r="H1345">
        <v>202</v>
      </c>
      <c r="I1345">
        <v>193.19</v>
      </c>
      <c r="J1345">
        <v>36</v>
      </c>
      <c r="K1345" t="s">
        <v>30</v>
      </c>
    </row>
    <row r="1346" spans="1:11" x14ac:dyDescent="0.2">
      <c r="A1346" t="s">
        <v>2785</v>
      </c>
      <c r="B1346" t="s">
        <v>2786</v>
      </c>
      <c r="C1346" s="2">
        <v>45096</v>
      </c>
      <c r="D1346" s="2">
        <v>45121</v>
      </c>
      <c r="E1346">
        <f t="shared" ref="E1346:E1409" si="21">D1346-C1346</f>
        <v>25</v>
      </c>
      <c r="F1346" t="s">
        <v>33</v>
      </c>
      <c r="G1346">
        <v>17032</v>
      </c>
      <c r="H1346">
        <v>489</v>
      </c>
      <c r="I1346">
        <v>346.64</v>
      </c>
      <c r="J1346">
        <v>27</v>
      </c>
      <c r="K1346">
        <v>1</v>
      </c>
    </row>
    <row r="1347" spans="1:11" x14ac:dyDescent="0.2">
      <c r="A1347" t="s">
        <v>2787</v>
      </c>
      <c r="B1347" t="s">
        <v>2788</v>
      </c>
      <c r="C1347" s="2">
        <v>45041</v>
      </c>
      <c r="D1347" s="2">
        <v>45067</v>
      </c>
      <c r="E1347">
        <f t="shared" si="21"/>
        <v>26</v>
      </c>
      <c r="F1347" t="s">
        <v>33</v>
      </c>
      <c r="G1347">
        <v>3198</v>
      </c>
      <c r="H1347">
        <v>106</v>
      </c>
      <c r="I1347">
        <v>150.31</v>
      </c>
      <c r="J1347">
        <v>18</v>
      </c>
      <c r="K1347" t="s">
        <v>30</v>
      </c>
    </row>
    <row r="1348" spans="1:11" x14ac:dyDescent="0.2">
      <c r="A1348" t="s">
        <v>2789</v>
      </c>
      <c r="B1348" t="s">
        <v>2790</v>
      </c>
      <c r="C1348" s="2">
        <v>44926</v>
      </c>
      <c r="D1348" s="2">
        <v>44931</v>
      </c>
      <c r="E1348">
        <f t="shared" si="21"/>
        <v>5</v>
      </c>
      <c r="F1348" t="s">
        <v>14</v>
      </c>
      <c r="G1348">
        <v>61500</v>
      </c>
      <c r="H1348">
        <v>824</v>
      </c>
      <c r="I1348" s="3">
        <v>790.59</v>
      </c>
      <c r="J1348">
        <v>111</v>
      </c>
      <c r="K1348" t="s">
        <v>15</v>
      </c>
    </row>
    <row r="1349" spans="1:11" x14ac:dyDescent="0.2">
      <c r="A1349" t="s">
        <v>2791</v>
      </c>
      <c r="B1349" t="s">
        <v>2792</v>
      </c>
      <c r="C1349" s="2">
        <v>45154</v>
      </c>
      <c r="D1349" s="2">
        <v>45156</v>
      </c>
      <c r="E1349">
        <f t="shared" si="21"/>
        <v>2</v>
      </c>
      <c r="F1349" t="s">
        <v>23</v>
      </c>
      <c r="G1349">
        <v>54394</v>
      </c>
      <c r="H1349">
        <v>637</v>
      </c>
      <c r="I1349">
        <v>630.1</v>
      </c>
      <c r="J1349">
        <v>89</v>
      </c>
      <c r="K1349" t="b">
        <v>0</v>
      </c>
    </row>
    <row r="1350" spans="1:11" x14ac:dyDescent="0.2">
      <c r="A1350" t="s">
        <v>2793</v>
      </c>
      <c r="B1350" t="s">
        <v>2794</v>
      </c>
      <c r="C1350" s="2">
        <v>45182</v>
      </c>
      <c r="D1350" s="2">
        <v>45210</v>
      </c>
      <c r="E1350">
        <f t="shared" si="21"/>
        <v>28</v>
      </c>
      <c r="F1350" t="s">
        <v>23</v>
      </c>
      <c r="G1350">
        <v>21079</v>
      </c>
      <c r="H1350">
        <v>773</v>
      </c>
      <c r="I1350">
        <v>468.73</v>
      </c>
      <c r="J1350">
        <v>99</v>
      </c>
      <c r="K1350">
        <v>1</v>
      </c>
    </row>
    <row r="1351" spans="1:11" x14ac:dyDescent="0.2">
      <c r="A1351" t="s">
        <v>2795</v>
      </c>
      <c r="B1351" t="s">
        <v>2796</v>
      </c>
      <c r="C1351" s="2">
        <v>45181</v>
      </c>
      <c r="D1351" s="2">
        <v>45272</v>
      </c>
      <c r="E1351">
        <f t="shared" si="21"/>
        <v>91</v>
      </c>
      <c r="F1351" t="s">
        <v>14</v>
      </c>
      <c r="G1351">
        <v>37220</v>
      </c>
      <c r="H1351">
        <v>1597</v>
      </c>
      <c r="I1351">
        <v>1636.44</v>
      </c>
      <c r="J1351">
        <v>289</v>
      </c>
      <c r="K1351" t="s">
        <v>15</v>
      </c>
    </row>
    <row r="1352" spans="1:11" x14ac:dyDescent="0.2">
      <c r="A1352" t="s">
        <v>2797</v>
      </c>
      <c r="B1352" t="s">
        <v>2798</v>
      </c>
      <c r="C1352" s="2">
        <v>45133</v>
      </c>
      <c r="D1352" s="2">
        <v>45142</v>
      </c>
      <c r="E1352">
        <f t="shared" si="21"/>
        <v>9</v>
      </c>
      <c r="F1352" t="s">
        <v>19</v>
      </c>
      <c r="G1352">
        <v>42874</v>
      </c>
      <c r="H1352">
        <v>1769</v>
      </c>
      <c r="I1352">
        <v>3173.13</v>
      </c>
      <c r="K1352">
        <v>0</v>
      </c>
    </row>
    <row r="1353" spans="1:11" x14ac:dyDescent="0.2">
      <c r="A1353" t="s">
        <v>2799</v>
      </c>
      <c r="B1353" t="s">
        <v>2800</v>
      </c>
      <c r="C1353" s="2">
        <v>44927</v>
      </c>
      <c r="D1353" s="2">
        <v>44931</v>
      </c>
      <c r="E1353">
        <f t="shared" si="21"/>
        <v>4</v>
      </c>
      <c r="F1353" t="s">
        <v>14</v>
      </c>
      <c r="G1353">
        <v>14859</v>
      </c>
      <c r="H1353">
        <v>471</v>
      </c>
      <c r="I1353">
        <v>400.17</v>
      </c>
      <c r="J1353">
        <v>41</v>
      </c>
      <c r="K1353" t="s">
        <v>24</v>
      </c>
    </row>
    <row r="1354" spans="1:11" x14ac:dyDescent="0.2">
      <c r="A1354" t="s">
        <v>2801</v>
      </c>
      <c r="B1354" t="s">
        <v>2802</v>
      </c>
      <c r="C1354" s="2">
        <v>45243</v>
      </c>
      <c r="D1354" s="2">
        <v>45261</v>
      </c>
      <c r="E1354">
        <f t="shared" si="21"/>
        <v>18</v>
      </c>
      <c r="F1354" t="s">
        <v>14</v>
      </c>
      <c r="G1354">
        <v>51460</v>
      </c>
      <c r="H1354">
        <v>720</v>
      </c>
      <c r="I1354">
        <v>1110.8</v>
      </c>
      <c r="J1354">
        <v>130</v>
      </c>
      <c r="K1354" t="b">
        <v>1</v>
      </c>
    </row>
    <row r="1355" spans="1:11" x14ac:dyDescent="0.2">
      <c r="A1355" t="s">
        <v>2803</v>
      </c>
      <c r="B1355" t="s">
        <v>2804</v>
      </c>
      <c r="C1355" s="2">
        <v>45214</v>
      </c>
      <c r="D1355" s="2">
        <v>45232</v>
      </c>
      <c r="E1355">
        <f t="shared" si="21"/>
        <v>18</v>
      </c>
      <c r="F1355" t="s">
        <v>33</v>
      </c>
      <c r="G1355">
        <v>32419</v>
      </c>
      <c r="H1355">
        <v>1216</v>
      </c>
      <c r="I1355">
        <v>1756.44</v>
      </c>
      <c r="J1355">
        <v>198</v>
      </c>
      <c r="K1355" t="s">
        <v>15</v>
      </c>
    </row>
    <row r="1356" spans="1:11" x14ac:dyDescent="0.2">
      <c r="A1356" t="s">
        <v>2805</v>
      </c>
      <c r="B1356" t="s">
        <v>2806</v>
      </c>
      <c r="C1356" s="2">
        <v>45101</v>
      </c>
      <c r="D1356" s="2">
        <v>45110</v>
      </c>
      <c r="E1356">
        <f t="shared" si="21"/>
        <v>9</v>
      </c>
      <c r="F1356" t="s">
        <v>23</v>
      </c>
      <c r="G1356">
        <v>9705</v>
      </c>
      <c r="H1356">
        <v>190</v>
      </c>
      <c r="I1356">
        <v>341.09</v>
      </c>
      <c r="J1356">
        <v>10</v>
      </c>
      <c r="K1356" t="s">
        <v>30</v>
      </c>
    </row>
    <row r="1357" spans="1:11" x14ac:dyDescent="0.2">
      <c r="A1357" t="s">
        <v>2807</v>
      </c>
      <c r="B1357" t="s">
        <v>2808</v>
      </c>
      <c r="C1357" s="2">
        <v>45041</v>
      </c>
      <c r="D1357" s="2">
        <v>45046</v>
      </c>
      <c r="E1357">
        <f t="shared" si="21"/>
        <v>5</v>
      </c>
      <c r="F1357" t="s">
        <v>14</v>
      </c>
      <c r="G1357">
        <v>43880</v>
      </c>
      <c r="H1357">
        <v>2037</v>
      </c>
      <c r="I1357">
        <v>1422.71</v>
      </c>
      <c r="K1357" t="b">
        <v>0</v>
      </c>
    </row>
    <row r="1358" spans="1:11" x14ac:dyDescent="0.2">
      <c r="A1358" t="s">
        <v>2809</v>
      </c>
      <c r="B1358" t="s">
        <v>2810</v>
      </c>
      <c r="C1358" s="2">
        <v>45244</v>
      </c>
      <c r="D1358" s="2">
        <v>45270</v>
      </c>
      <c r="E1358">
        <f t="shared" si="21"/>
        <v>26</v>
      </c>
      <c r="F1358" t="s">
        <v>19</v>
      </c>
      <c r="G1358">
        <v>24236</v>
      </c>
      <c r="H1358">
        <v>1055</v>
      </c>
      <c r="I1358">
        <v>2074.54</v>
      </c>
      <c r="K1358" t="b">
        <v>0</v>
      </c>
    </row>
    <row r="1359" spans="1:11" x14ac:dyDescent="0.2">
      <c r="A1359" t="s">
        <v>2811</v>
      </c>
      <c r="B1359" t="s">
        <v>2812</v>
      </c>
      <c r="C1359" s="2">
        <v>45113</v>
      </c>
      <c r="D1359" s="2">
        <v>45117</v>
      </c>
      <c r="E1359">
        <f t="shared" si="21"/>
        <v>4</v>
      </c>
      <c r="F1359" t="s">
        <v>41</v>
      </c>
      <c r="G1359">
        <v>88955</v>
      </c>
      <c r="H1359">
        <v>3413</v>
      </c>
      <c r="I1359">
        <v>4689.2700000000004</v>
      </c>
      <c r="J1359">
        <v>375</v>
      </c>
      <c r="K1359" t="s">
        <v>15</v>
      </c>
    </row>
    <row r="1360" spans="1:11" x14ac:dyDescent="0.2">
      <c r="A1360" t="s">
        <v>2813</v>
      </c>
      <c r="B1360" t="s">
        <v>2814</v>
      </c>
      <c r="C1360" s="2">
        <v>45264</v>
      </c>
      <c r="D1360" s="2">
        <v>45294</v>
      </c>
      <c r="E1360">
        <f t="shared" si="21"/>
        <v>30</v>
      </c>
      <c r="F1360" t="s">
        <v>14</v>
      </c>
      <c r="G1360">
        <v>86514</v>
      </c>
      <c r="H1360">
        <v>4148</v>
      </c>
      <c r="I1360">
        <v>8267.84</v>
      </c>
      <c r="K1360">
        <v>0</v>
      </c>
    </row>
    <row r="1361" spans="1:11" x14ac:dyDescent="0.2">
      <c r="A1361" t="s">
        <v>2815</v>
      </c>
      <c r="B1361" t="s">
        <v>2816</v>
      </c>
      <c r="C1361" s="2">
        <v>45251</v>
      </c>
      <c r="D1361" s="2">
        <v>45275</v>
      </c>
      <c r="E1361">
        <f t="shared" si="21"/>
        <v>24</v>
      </c>
      <c r="F1361" t="s">
        <v>41</v>
      </c>
      <c r="G1361">
        <v>16358</v>
      </c>
      <c r="H1361">
        <v>184</v>
      </c>
      <c r="I1361">
        <v>343.58</v>
      </c>
      <c r="J1361">
        <v>28</v>
      </c>
      <c r="K1361" t="b">
        <v>1</v>
      </c>
    </row>
    <row r="1362" spans="1:11" x14ac:dyDescent="0.2">
      <c r="A1362" t="s">
        <v>2817</v>
      </c>
      <c r="B1362" t="s">
        <v>2818</v>
      </c>
      <c r="C1362" s="2">
        <v>45189</v>
      </c>
      <c r="D1362" s="2">
        <v>45194</v>
      </c>
      <c r="E1362">
        <f t="shared" si="21"/>
        <v>5</v>
      </c>
      <c r="F1362" t="s">
        <v>33</v>
      </c>
      <c r="G1362">
        <v>95914</v>
      </c>
      <c r="H1362">
        <v>3783</v>
      </c>
      <c r="I1362">
        <v>3148.5</v>
      </c>
      <c r="J1362">
        <v>307</v>
      </c>
      <c r="K1362" t="s">
        <v>30</v>
      </c>
    </row>
    <row r="1363" spans="1:11" x14ac:dyDescent="0.2">
      <c r="A1363" t="s">
        <v>2819</v>
      </c>
      <c r="B1363" t="s">
        <v>2820</v>
      </c>
      <c r="C1363" s="2">
        <v>45011</v>
      </c>
      <c r="D1363" s="2">
        <v>45025</v>
      </c>
      <c r="E1363">
        <f t="shared" si="21"/>
        <v>14</v>
      </c>
      <c r="F1363" t="s">
        <v>138</v>
      </c>
      <c r="G1363">
        <v>77918</v>
      </c>
      <c r="H1363">
        <v>1808</v>
      </c>
      <c r="I1363">
        <v>1056.31</v>
      </c>
      <c r="J1363">
        <v>307</v>
      </c>
      <c r="K1363" t="s">
        <v>15</v>
      </c>
    </row>
    <row r="1364" spans="1:11" x14ac:dyDescent="0.2">
      <c r="A1364" t="s">
        <v>2821</v>
      </c>
      <c r="B1364" t="s">
        <v>2822</v>
      </c>
      <c r="C1364" s="2">
        <v>45136</v>
      </c>
      <c r="D1364" s="2">
        <v>45143</v>
      </c>
      <c r="E1364">
        <f t="shared" si="21"/>
        <v>7</v>
      </c>
      <c r="F1364" t="s">
        <v>14</v>
      </c>
      <c r="G1364">
        <v>15596</v>
      </c>
      <c r="H1364">
        <v>721</v>
      </c>
      <c r="I1364">
        <v>636.97</v>
      </c>
      <c r="J1364">
        <v>122</v>
      </c>
      <c r="K1364" t="s">
        <v>15</v>
      </c>
    </row>
    <row r="1365" spans="1:11" x14ac:dyDescent="0.2">
      <c r="A1365" t="s">
        <v>2823</v>
      </c>
      <c r="B1365" t="s">
        <v>2824</v>
      </c>
      <c r="C1365" s="2">
        <v>45023</v>
      </c>
      <c r="D1365" s="2">
        <v>45025</v>
      </c>
      <c r="E1365">
        <f t="shared" si="21"/>
        <v>2</v>
      </c>
      <c r="F1365" t="s">
        <v>33</v>
      </c>
      <c r="G1365">
        <v>34572</v>
      </c>
      <c r="H1365">
        <v>714</v>
      </c>
      <c r="I1365">
        <v>922.02</v>
      </c>
      <c r="J1365">
        <v>80</v>
      </c>
      <c r="K1365" t="s">
        <v>24</v>
      </c>
    </row>
    <row r="1366" spans="1:11" x14ac:dyDescent="0.2">
      <c r="A1366" t="s">
        <v>2825</v>
      </c>
      <c r="B1366" t="s">
        <v>2826</v>
      </c>
      <c r="C1366" s="2">
        <v>45037</v>
      </c>
      <c r="D1366" s="2">
        <v>45066</v>
      </c>
      <c r="E1366">
        <f t="shared" si="21"/>
        <v>29</v>
      </c>
      <c r="F1366" t="s">
        <v>19</v>
      </c>
      <c r="G1366">
        <v>79757</v>
      </c>
      <c r="H1366">
        <v>3110</v>
      </c>
      <c r="I1366">
        <v>2355.5</v>
      </c>
      <c r="J1366">
        <v>287</v>
      </c>
      <c r="K1366" t="b">
        <v>0</v>
      </c>
    </row>
    <row r="1367" spans="1:11" x14ac:dyDescent="0.2">
      <c r="A1367" t="s">
        <v>2827</v>
      </c>
      <c r="B1367" t="s">
        <v>2828</v>
      </c>
      <c r="C1367" s="2">
        <v>45100</v>
      </c>
      <c r="D1367" s="2">
        <v>45122</v>
      </c>
      <c r="E1367">
        <f t="shared" si="21"/>
        <v>22</v>
      </c>
      <c r="F1367" t="s">
        <v>19</v>
      </c>
      <c r="G1367">
        <v>2279</v>
      </c>
      <c r="H1367">
        <v>102</v>
      </c>
      <c r="I1367">
        <v>76.62</v>
      </c>
      <c r="J1367">
        <v>9</v>
      </c>
      <c r="K1367" t="s">
        <v>30</v>
      </c>
    </row>
    <row r="1368" spans="1:11" x14ac:dyDescent="0.2">
      <c r="A1368" t="s">
        <v>2829</v>
      </c>
      <c r="B1368" t="s">
        <v>2830</v>
      </c>
      <c r="C1368" s="2">
        <v>45251</v>
      </c>
      <c r="D1368" s="2">
        <v>45270</v>
      </c>
      <c r="E1368">
        <f t="shared" si="21"/>
        <v>19</v>
      </c>
      <c r="F1368" t="s">
        <v>138</v>
      </c>
      <c r="G1368">
        <v>64197</v>
      </c>
      <c r="H1368">
        <v>748</v>
      </c>
      <c r="I1368">
        <v>893.03</v>
      </c>
      <c r="J1368">
        <v>91</v>
      </c>
      <c r="K1368" t="b">
        <v>1</v>
      </c>
    </row>
    <row r="1369" spans="1:11" x14ac:dyDescent="0.2">
      <c r="A1369" t="s">
        <v>2831</v>
      </c>
      <c r="B1369" t="s">
        <v>2832</v>
      </c>
      <c r="C1369" s="2">
        <v>45157</v>
      </c>
      <c r="D1369" s="2">
        <v>45159</v>
      </c>
      <c r="E1369">
        <f t="shared" si="21"/>
        <v>2</v>
      </c>
      <c r="F1369" t="s">
        <v>23</v>
      </c>
      <c r="G1369">
        <v>63516</v>
      </c>
      <c r="H1369">
        <v>1645</v>
      </c>
      <c r="I1369">
        <v>904.59</v>
      </c>
      <c r="J1369">
        <v>259</v>
      </c>
      <c r="K1369" t="b">
        <v>0</v>
      </c>
    </row>
    <row r="1370" spans="1:11" x14ac:dyDescent="0.2">
      <c r="A1370" t="s">
        <v>2833</v>
      </c>
      <c r="B1370" t="s">
        <v>2834</v>
      </c>
      <c r="C1370" s="2">
        <v>45185</v>
      </c>
      <c r="D1370" s="2">
        <v>45186</v>
      </c>
      <c r="E1370">
        <f t="shared" si="21"/>
        <v>1</v>
      </c>
      <c r="F1370" t="s">
        <v>19</v>
      </c>
      <c r="G1370">
        <v>8083</v>
      </c>
      <c r="H1370">
        <v>327</v>
      </c>
      <c r="I1370">
        <v>223.29</v>
      </c>
      <c r="J1370">
        <v>33</v>
      </c>
      <c r="K1370" t="s">
        <v>15</v>
      </c>
    </row>
    <row r="1371" spans="1:11" x14ac:dyDescent="0.2">
      <c r="A1371" t="s">
        <v>2835</v>
      </c>
      <c r="B1371" t="s">
        <v>2836</v>
      </c>
      <c r="C1371" s="2">
        <v>45198</v>
      </c>
      <c r="D1371" s="2">
        <v>45202</v>
      </c>
      <c r="E1371">
        <f t="shared" si="21"/>
        <v>4</v>
      </c>
      <c r="F1371" t="s">
        <v>33</v>
      </c>
      <c r="G1371">
        <v>18771</v>
      </c>
      <c r="H1371">
        <v>529</v>
      </c>
      <c r="I1371">
        <v>594.49</v>
      </c>
      <c r="J1371">
        <v>74</v>
      </c>
      <c r="K1371" t="b">
        <v>0</v>
      </c>
    </row>
    <row r="1372" spans="1:11" x14ac:dyDescent="0.2">
      <c r="A1372" t="s">
        <v>2837</v>
      </c>
      <c r="B1372" t="s">
        <v>2838</v>
      </c>
      <c r="C1372" s="2">
        <v>45148</v>
      </c>
      <c r="D1372" s="2">
        <v>45159</v>
      </c>
      <c r="E1372">
        <f t="shared" si="21"/>
        <v>11</v>
      </c>
      <c r="F1372" t="s">
        <v>14</v>
      </c>
      <c r="G1372">
        <v>30975</v>
      </c>
      <c r="H1372">
        <v>640</v>
      </c>
      <c r="I1372">
        <v>380.6</v>
      </c>
      <c r="J1372">
        <v>68</v>
      </c>
      <c r="K1372" t="b">
        <v>0</v>
      </c>
    </row>
    <row r="1373" spans="1:11" x14ac:dyDescent="0.2">
      <c r="A1373" t="s">
        <v>2839</v>
      </c>
      <c r="B1373" t="s">
        <v>2840</v>
      </c>
      <c r="C1373" s="2">
        <v>45187</v>
      </c>
      <c r="D1373" s="2">
        <v>45207</v>
      </c>
      <c r="E1373">
        <f t="shared" si="21"/>
        <v>20</v>
      </c>
      <c r="F1373" t="s">
        <v>23</v>
      </c>
      <c r="G1373">
        <v>46648</v>
      </c>
      <c r="H1373">
        <v>876</v>
      </c>
      <c r="I1373">
        <v>959.34</v>
      </c>
      <c r="J1373">
        <v>83</v>
      </c>
      <c r="K1373">
        <v>1</v>
      </c>
    </row>
    <row r="1374" spans="1:11" x14ac:dyDescent="0.2">
      <c r="A1374" t="s">
        <v>2841</v>
      </c>
      <c r="B1374" t="s">
        <v>2842</v>
      </c>
      <c r="C1374" s="2">
        <v>45281</v>
      </c>
      <c r="D1374" s="2">
        <v>45305</v>
      </c>
      <c r="E1374">
        <f t="shared" si="21"/>
        <v>24</v>
      </c>
      <c r="F1374" t="s">
        <v>41</v>
      </c>
      <c r="G1374">
        <v>49285</v>
      </c>
      <c r="H1374">
        <v>752</v>
      </c>
      <c r="I1374">
        <v>910.68</v>
      </c>
      <c r="J1374">
        <v>40</v>
      </c>
      <c r="K1374" t="b">
        <v>0</v>
      </c>
    </row>
    <row r="1375" spans="1:11" x14ac:dyDescent="0.2">
      <c r="A1375" t="s">
        <v>2843</v>
      </c>
      <c r="B1375" t="s">
        <v>2844</v>
      </c>
      <c r="C1375" s="2">
        <v>44992</v>
      </c>
      <c r="D1375" s="2">
        <v>45001</v>
      </c>
      <c r="E1375">
        <f t="shared" si="21"/>
        <v>9</v>
      </c>
      <c r="F1375" t="s">
        <v>19</v>
      </c>
      <c r="G1375">
        <v>20063</v>
      </c>
      <c r="H1375">
        <v>888</v>
      </c>
      <c r="I1375">
        <v>1045.0899999999999</v>
      </c>
      <c r="J1375">
        <v>44</v>
      </c>
      <c r="K1375">
        <v>0</v>
      </c>
    </row>
    <row r="1376" spans="1:11" x14ac:dyDescent="0.2">
      <c r="A1376" t="s">
        <v>2845</v>
      </c>
      <c r="B1376" t="s">
        <v>2846</v>
      </c>
      <c r="C1376" s="2">
        <v>45237</v>
      </c>
      <c r="D1376" s="2">
        <v>45247</v>
      </c>
      <c r="E1376">
        <f t="shared" si="21"/>
        <v>10</v>
      </c>
      <c r="F1376" t="s">
        <v>41</v>
      </c>
      <c r="G1376">
        <v>68642</v>
      </c>
      <c r="H1376">
        <v>2266</v>
      </c>
      <c r="I1376">
        <v>4087.33</v>
      </c>
      <c r="J1376">
        <v>190</v>
      </c>
      <c r="K1376" t="b">
        <v>0</v>
      </c>
    </row>
    <row r="1377" spans="1:11" x14ac:dyDescent="0.2">
      <c r="A1377" t="s">
        <v>2847</v>
      </c>
      <c r="B1377" t="s">
        <v>2848</v>
      </c>
      <c r="C1377" s="2">
        <v>45123</v>
      </c>
      <c r="D1377" s="2">
        <v>45137</v>
      </c>
      <c r="E1377">
        <f t="shared" si="21"/>
        <v>14</v>
      </c>
      <c r="F1377" t="s">
        <v>33</v>
      </c>
      <c r="G1377">
        <v>91093</v>
      </c>
      <c r="H1377">
        <v>1189</v>
      </c>
      <c r="I1377" s="3">
        <v>1539.87</v>
      </c>
      <c r="J1377">
        <v>131</v>
      </c>
      <c r="K1377">
        <v>0</v>
      </c>
    </row>
    <row r="1378" spans="1:11" x14ac:dyDescent="0.2">
      <c r="A1378" t="s">
        <v>2849</v>
      </c>
      <c r="B1378" t="s">
        <v>2850</v>
      </c>
      <c r="C1378" s="2">
        <v>45281</v>
      </c>
      <c r="D1378" s="2">
        <v>45289</v>
      </c>
      <c r="E1378">
        <f t="shared" si="21"/>
        <v>8</v>
      </c>
      <c r="F1378" t="s">
        <v>58</v>
      </c>
      <c r="G1378">
        <v>87143</v>
      </c>
      <c r="H1378">
        <v>2204</v>
      </c>
      <c r="I1378">
        <v>2649.14</v>
      </c>
      <c r="J1378">
        <v>391</v>
      </c>
      <c r="K1378" t="s">
        <v>30</v>
      </c>
    </row>
    <row r="1379" spans="1:11" x14ac:dyDescent="0.2">
      <c r="A1379" t="s">
        <v>2851</v>
      </c>
      <c r="B1379" t="s">
        <v>2852</v>
      </c>
      <c r="C1379" s="2">
        <v>45102</v>
      </c>
      <c r="D1379" s="2">
        <v>45110</v>
      </c>
      <c r="E1379">
        <f t="shared" si="21"/>
        <v>8</v>
      </c>
      <c r="F1379" t="s">
        <v>19</v>
      </c>
      <c r="G1379">
        <v>38599</v>
      </c>
      <c r="H1379">
        <v>953</v>
      </c>
      <c r="I1379" s="3">
        <v>1063.6099999999999</v>
      </c>
      <c r="K1379" t="b">
        <v>0</v>
      </c>
    </row>
    <row r="1380" spans="1:11" x14ac:dyDescent="0.2">
      <c r="A1380" t="s">
        <v>2853</v>
      </c>
      <c r="B1380" t="s">
        <v>2854</v>
      </c>
      <c r="C1380" s="2">
        <v>44995</v>
      </c>
      <c r="D1380" s="2">
        <v>45003</v>
      </c>
      <c r="E1380">
        <f t="shared" si="21"/>
        <v>8</v>
      </c>
      <c r="F1380" t="s">
        <v>14</v>
      </c>
      <c r="G1380">
        <v>52920</v>
      </c>
      <c r="H1380">
        <v>913</v>
      </c>
      <c r="I1380">
        <v>1576.24</v>
      </c>
      <c r="J1380">
        <v>82</v>
      </c>
      <c r="K1380" t="b">
        <v>1</v>
      </c>
    </row>
    <row r="1381" spans="1:11" x14ac:dyDescent="0.2">
      <c r="A1381" t="s">
        <v>2855</v>
      </c>
      <c r="B1381" t="s">
        <v>2856</v>
      </c>
      <c r="C1381" s="2">
        <v>45189</v>
      </c>
      <c r="D1381" s="2">
        <v>45209</v>
      </c>
      <c r="E1381">
        <f t="shared" si="21"/>
        <v>20</v>
      </c>
      <c r="F1381" t="s">
        <v>14</v>
      </c>
      <c r="G1381">
        <v>29529</v>
      </c>
      <c r="H1381">
        <v>809</v>
      </c>
      <c r="I1381">
        <v>1490.65</v>
      </c>
      <c r="J1381">
        <v>70</v>
      </c>
      <c r="K1381">
        <v>0</v>
      </c>
    </row>
    <row r="1382" spans="1:11" x14ac:dyDescent="0.2">
      <c r="A1382" t="s">
        <v>2857</v>
      </c>
      <c r="B1382" t="s">
        <v>2858</v>
      </c>
      <c r="C1382" s="2">
        <v>45087</v>
      </c>
      <c r="D1382" s="2">
        <v>45107</v>
      </c>
      <c r="E1382">
        <f t="shared" si="21"/>
        <v>20</v>
      </c>
      <c r="F1382" t="s">
        <v>234</v>
      </c>
      <c r="G1382">
        <v>36954</v>
      </c>
      <c r="H1382">
        <v>860</v>
      </c>
      <c r="I1382" s="3">
        <v>1530.68</v>
      </c>
      <c r="J1382">
        <v>72</v>
      </c>
      <c r="K1382">
        <v>0</v>
      </c>
    </row>
    <row r="1383" spans="1:11" x14ac:dyDescent="0.2">
      <c r="A1383" t="s">
        <v>2859</v>
      </c>
      <c r="B1383" t="s">
        <v>2860</v>
      </c>
      <c r="C1383" s="2">
        <v>45250</v>
      </c>
      <c r="D1383" s="2">
        <v>45269</v>
      </c>
      <c r="E1383">
        <f t="shared" si="21"/>
        <v>19</v>
      </c>
      <c r="F1383" t="s">
        <v>41</v>
      </c>
      <c r="G1383">
        <v>28856</v>
      </c>
      <c r="H1383">
        <v>683</v>
      </c>
      <c r="I1383">
        <v>1031.55</v>
      </c>
      <c r="J1383">
        <v>68</v>
      </c>
      <c r="K1383" t="s">
        <v>15</v>
      </c>
    </row>
    <row r="1384" spans="1:11" x14ac:dyDescent="0.2">
      <c r="A1384" t="s">
        <v>2861</v>
      </c>
      <c r="B1384" t="s">
        <v>2862</v>
      </c>
      <c r="C1384" s="2">
        <v>45292</v>
      </c>
      <c r="D1384" s="2">
        <v>45317</v>
      </c>
      <c r="E1384">
        <f t="shared" si="21"/>
        <v>25</v>
      </c>
      <c r="F1384" t="s">
        <v>33</v>
      </c>
      <c r="G1384">
        <v>3573</v>
      </c>
      <c r="H1384">
        <v>141</v>
      </c>
      <c r="I1384">
        <v>99.55</v>
      </c>
      <c r="J1384">
        <v>17</v>
      </c>
      <c r="K1384" t="s">
        <v>30</v>
      </c>
    </row>
    <row r="1385" spans="1:11" x14ac:dyDescent="0.2">
      <c r="A1385" t="s">
        <v>2863</v>
      </c>
      <c r="B1385" t="s">
        <v>2864</v>
      </c>
      <c r="C1385" s="2">
        <v>45271</v>
      </c>
      <c r="D1385" s="2">
        <v>45280</v>
      </c>
      <c r="E1385">
        <f t="shared" si="21"/>
        <v>9</v>
      </c>
      <c r="F1385" t="s">
        <v>14</v>
      </c>
      <c r="G1385">
        <v>79344</v>
      </c>
      <c r="H1385">
        <v>1502</v>
      </c>
      <c r="I1385">
        <v>1374.79</v>
      </c>
      <c r="J1385">
        <v>173</v>
      </c>
      <c r="K1385" t="b">
        <v>0</v>
      </c>
    </row>
    <row r="1386" spans="1:11" x14ac:dyDescent="0.2">
      <c r="A1386" t="s">
        <v>2865</v>
      </c>
      <c r="B1386" t="s">
        <v>2866</v>
      </c>
      <c r="C1386" s="2">
        <v>45018</v>
      </c>
      <c r="D1386" s="2">
        <v>45048</v>
      </c>
      <c r="E1386">
        <f t="shared" si="21"/>
        <v>30</v>
      </c>
      <c r="F1386" t="s">
        <v>19</v>
      </c>
      <c r="G1386">
        <v>36367</v>
      </c>
      <c r="H1386">
        <v>1297</v>
      </c>
      <c r="I1386">
        <v>738.12</v>
      </c>
      <c r="J1386">
        <v>107</v>
      </c>
      <c r="K1386" t="s">
        <v>24</v>
      </c>
    </row>
    <row r="1387" spans="1:11" x14ac:dyDescent="0.2">
      <c r="A1387" t="s">
        <v>2867</v>
      </c>
      <c r="B1387" t="s">
        <v>2868</v>
      </c>
      <c r="C1387" s="2">
        <v>45092</v>
      </c>
      <c r="D1387" s="2">
        <v>45110</v>
      </c>
      <c r="E1387">
        <f t="shared" si="21"/>
        <v>18</v>
      </c>
      <c r="F1387" t="s">
        <v>33</v>
      </c>
      <c r="G1387">
        <v>61774</v>
      </c>
      <c r="H1387">
        <v>2027</v>
      </c>
      <c r="I1387">
        <v>3843.67</v>
      </c>
      <c r="J1387">
        <v>141</v>
      </c>
      <c r="K1387" t="b">
        <v>1</v>
      </c>
    </row>
    <row r="1388" spans="1:11" x14ac:dyDescent="0.2">
      <c r="A1388" t="s">
        <v>2869</v>
      </c>
      <c r="B1388" t="s">
        <v>2870</v>
      </c>
      <c r="C1388" s="2">
        <v>45214</v>
      </c>
      <c r="D1388" s="2">
        <v>45226</v>
      </c>
      <c r="E1388">
        <f t="shared" si="21"/>
        <v>12</v>
      </c>
      <c r="F1388" t="s">
        <v>14</v>
      </c>
      <c r="G1388">
        <v>24752</v>
      </c>
      <c r="H1388">
        <v>809</v>
      </c>
      <c r="I1388">
        <v>1206.3800000000001</v>
      </c>
      <c r="J1388">
        <v>41</v>
      </c>
      <c r="K1388" t="s">
        <v>15</v>
      </c>
    </row>
    <row r="1389" spans="1:11" x14ac:dyDescent="0.2">
      <c r="A1389" t="s">
        <v>2871</v>
      </c>
      <c r="B1389" t="s">
        <v>2872</v>
      </c>
      <c r="C1389" s="2">
        <v>45268</v>
      </c>
      <c r="D1389" s="2">
        <v>45295</v>
      </c>
      <c r="E1389">
        <f t="shared" si="21"/>
        <v>27</v>
      </c>
      <c r="F1389" t="s">
        <v>138</v>
      </c>
      <c r="G1389">
        <v>56029</v>
      </c>
      <c r="H1389">
        <v>2046</v>
      </c>
      <c r="I1389">
        <v>3313.59</v>
      </c>
      <c r="J1389">
        <v>149</v>
      </c>
      <c r="K1389" t="s">
        <v>30</v>
      </c>
    </row>
    <row r="1390" spans="1:11" x14ac:dyDescent="0.2">
      <c r="A1390" t="s">
        <v>2873</v>
      </c>
      <c r="B1390" t="s">
        <v>2874</v>
      </c>
      <c r="C1390" s="2">
        <v>45200</v>
      </c>
      <c r="D1390" s="2">
        <v>45208</v>
      </c>
      <c r="E1390">
        <f t="shared" si="21"/>
        <v>8</v>
      </c>
      <c r="F1390" t="s">
        <v>33</v>
      </c>
      <c r="G1390">
        <v>18685</v>
      </c>
      <c r="H1390">
        <v>596</v>
      </c>
      <c r="I1390">
        <v>576.54999999999995</v>
      </c>
      <c r="J1390">
        <v>92</v>
      </c>
      <c r="K1390">
        <v>0</v>
      </c>
    </row>
    <row r="1391" spans="1:11" x14ac:dyDescent="0.2">
      <c r="A1391" t="s">
        <v>2875</v>
      </c>
      <c r="B1391" t="s">
        <v>2876</v>
      </c>
      <c r="C1391" s="2">
        <v>44933</v>
      </c>
      <c r="D1391" s="2">
        <v>45113</v>
      </c>
      <c r="E1391">
        <f t="shared" si="21"/>
        <v>180</v>
      </c>
      <c r="F1391" t="s">
        <v>23</v>
      </c>
      <c r="G1391">
        <v>52693</v>
      </c>
      <c r="H1391">
        <v>2380</v>
      </c>
      <c r="I1391">
        <v>4208.9799999999996</v>
      </c>
      <c r="J1391">
        <v>205</v>
      </c>
      <c r="K1391" t="b">
        <v>1</v>
      </c>
    </row>
    <row r="1392" spans="1:11" x14ac:dyDescent="0.2">
      <c r="A1392" t="s">
        <v>2877</v>
      </c>
      <c r="B1392" t="s">
        <v>2878</v>
      </c>
      <c r="C1392" s="2">
        <v>45001</v>
      </c>
      <c r="D1392" s="2">
        <v>45002</v>
      </c>
      <c r="E1392">
        <f t="shared" si="21"/>
        <v>1</v>
      </c>
      <c r="F1392" t="s">
        <v>41</v>
      </c>
      <c r="G1392">
        <v>56961</v>
      </c>
      <c r="H1392">
        <v>2108</v>
      </c>
      <c r="I1392">
        <v>1874.87</v>
      </c>
      <c r="J1392">
        <v>253</v>
      </c>
      <c r="K1392" t="b">
        <v>0</v>
      </c>
    </row>
    <row r="1393" spans="1:11" x14ac:dyDescent="0.2">
      <c r="A1393" t="s">
        <v>2880</v>
      </c>
      <c r="B1393" t="s">
        <v>2881</v>
      </c>
      <c r="C1393" s="2">
        <v>44955</v>
      </c>
      <c r="D1393" s="2">
        <v>44973</v>
      </c>
      <c r="E1393">
        <f t="shared" si="21"/>
        <v>18</v>
      </c>
      <c r="F1393" t="s">
        <v>14</v>
      </c>
      <c r="G1393">
        <v>77908</v>
      </c>
      <c r="H1393">
        <v>2483</v>
      </c>
      <c r="I1393">
        <v>1247.6199999999999</v>
      </c>
      <c r="K1393" t="s">
        <v>24</v>
      </c>
    </row>
    <row r="1394" spans="1:11" x14ac:dyDescent="0.2">
      <c r="A1394" t="s">
        <v>2882</v>
      </c>
      <c r="B1394" t="s">
        <v>2883</v>
      </c>
      <c r="C1394" s="2">
        <v>45009</v>
      </c>
      <c r="D1394" s="2">
        <v>45028</v>
      </c>
      <c r="E1394">
        <f t="shared" si="21"/>
        <v>19</v>
      </c>
      <c r="F1394" t="s">
        <v>19</v>
      </c>
      <c r="G1394">
        <v>75532</v>
      </c>
      <c r="H1394">
        <v>3262</v>
      </c>
      <c r="I1394">
        <v>3472.8</v>
      </c>
      <c r="J1394">
        <v>597</v>
      </c>
      <c r="K1394">
        <v>1</v>
      </c>
    </row>
    <row r="1395" spans="1:11" x14ac:dyDescent="0.2">
      <c r="A1395" t="s">
        <v>2884</v>
      </c>
      <c r="B1395" t="s">
        <v>2885</v>
      </c>
      <c r="C1395" s="2">
        <v>45001</v>
      </c>
      <c r="D1395" s="2">
        <v>45012</v>
      </c>
      <c r="E1395">
        <f t="shared" si="21"/>
        <v>11</v>
      </c>
      <c r="F1395" t="s">
        <v>33</v>
      </c>
      <c r="G1395">
        <v>82994</v>
      </c>
      <c r="H1395">
        <v>2842</v>
      </c>
      <c r="I1395">
        <v>3854.16</v>
      </c>
      <c r="J1395">
        <v>521</v>
      </c>
      <c r="K1395">
        <v>1</v>
      </c>
    </row>
    <row r="1396" spans="1:11" x14ac:dyDescent="0.2">
      <c r="A1396" t="s">
        <v>2886</v>
      </c>
      <c r="B1396" t="s">
        <v>2887</v>
      </c>
      <c r="C1396" s="2">
        <v>45078</v>
      </c>
      <c r="D1396" s="2">
        <v>45103</v>
      </c>
      <c r="E1396">
        <f t="shared" si="21"/>
        <v>25</v>
      </c>
      <c r="F1396" t="s">
        <v>33</v>
      </c>
      <c r="G1396">
        <v>57133</v>
      </c>
      <c r="H1396">
        <v>1236</v>
      </c>
      <c r="I1396">
        <v>1505.52</v>
      </c>
      <c r="J1396">
        <v>200</v>
      </c>
      <c r="K1396" t="s">
        <v>30</v>
      </c>
    </row>
    <row r="1397" spans="1:11" x14ac:dyDescent="0.2">
      <c r="A1397" t="s">
        <v>2888</v>
      </c>
      <c r="B1397" t="s">
        <v>2889</v>
      </c>
      <c r="C1397" s="2">
        <v>45110</v>
      </c>
      <c r="D1397" s="2">
        <v>45118</v>
      </c>
      <c r="E1397">
        <f t="shared" si="21"/>
        <v>8</v>
      </c>
      <c r="F1397" t="s">
        <v>19</v>
      </c>
      <c r="G1397">
        <v>98425</v>
      </c>
      <c r="H1397">
        <v>1799</v>
      </c>
      <c r="I1397">
        <v>3225.81</v>
      </c>
      <c r="K1397" t="s">
        <v>24</v>
      </c>
    </row>
    <row r="1398" spans="1:11" x14ac:dyDescent="0.2">
      <c r="A1398" t="s">
        <v>2890</v>
      </c>
      <c r="B1398" t="s">
        <v>2891</v>
      </c>
      <c r="C1398" s="2">
        <v>45272</v>
      </c>
      <c r="D1398" s="2">
        <v>45278</v>
      </c>
      <c r="E1398">
        <f t="shared" si="21"/>
        <v>6</v>
      </c>
      <c r="F1398" t="s">
        <v>23</v>
      </c>
      <c r="G1398">
        <v>62268</v>
      </c>
      <c r="H1398">
        <v>1002</v>
      </c>
      <c r="I1398">
        <v>659.42</v>
      </c>
      <c r="J1398">
        <v>136</v>
      </c>
      <c r="K1398" t="b">
        <v>1</v>
      </c>
    </row>
    <row r="1399" spans="1:11" x14ac:dyDescent="0.2">
      <c r="A1399" t="s">
        <v>2892</v>
      </c>
      <c r="B1399" t="s">
        <v>2893</v>
      </c>
      <c r="C1399" s="2">
        <v>45258</v>
      </c>
      <c r="D1399" s="2">
        <v>45284</v>
      </c>
      <c r="E1399">
        <f t="shared" si="21"/>
        <v>26</v>
      </c>
      <c r="F1399" t="s">
        <v>19</v>
      </c>
      <c r="G1399">
        <v>93201</v>
      </c>
      <c r="H1399">
        <v>4285</v>
      </c>
      <c r="I1399">
        <v>5702.2</v>
      </c>
      <c r="K1399" t="s">
        <v>15</v>
      </c>
    </row>
    <row r="1400" spans="1:11" x14ac:dyDescent="0.2">
      <c r="A1400" t="s">
        <v>2894</v>
      </c>
      <c r="B1400" t="s">
        <v>2895</v>
      </c>
      <c r="C1400" s="2">
        <v>45283</v>
      </c>
      <c r="D1400" s="2">
        <v>45310</v>
      </c>
      <c r="E1400">
        <f t="shared" si="21"/>
        <v>27</v>
      </c>
      <c r="F1400" t="s">
        <v>23</v>
      </c>
      <c r="G1400">
        <v>39243</v>
      </c>
      <c r="H1400">
        <v>1507</v>
      </c>
      <c r="I1400">
        <v>1913.09</v>
      </c>
      <c r="J1400">
        <v>79</v>
      </c>
      <c r="K1400" t="b">
        <v>1</v>
      </c>
    </row>
    <row r="1401" spans="1:11" x14ac:dyDescent="0.2">
      <c r="A1401" t="s">
        <v>2896</v>
      </c>
      <c r="B1401" t="s">
        <v>2897</v>
      </c>
      <c r="C1401" s="2">
        <v>45122</v>
      </c>
      <c r="D1401" s="2">
        <v>45135</v>
      </c>
      <c r="E1401">
        <f t="shared" si="21"/>
        <v>13</v>
      </c>
      <c r="F1401" t="s">
        <v>19</v>
      </c>
      <c r="G1401">
        <v>58384</v>
      </c>
      <c r="H1401">
        <v>2772</v>
      </c>
      <c r="I1401">
        <v>2556.0300000000002</v>
      </c>
      <c r="J1401">
        <v>367</v>
      </c>
      <c r="K1401" t="s">
        <v>24</v>
      </c>
    </row>
    <row r="1402" spans="1:11" x14ac:dyDescent="0.2">
      <c r="A1402" t="s">
        <v>2898</v>
      </c>
      <c r="B1402" t="s">
        <v>2899</v>
      </c>
      <c r="C1402" s="2">
        <v>45277</v>
      </c>
      <c r="D1402" s="2">
        <v>45284</v>
      </c>
      <c r="E1402">
        <f t="shared" si="21"/>
        <v>7</v>
      </c>
      <c r="F1402" t="s">
        <v>41</v>
      </c>
      <c r="G1402">
        <v>32653</v>
      </c>
      <c r="H1402">
        <v>1114</v>
      </c>
      <c r="I1402">
        <v>1930.94</v>
      </c>
      <c r="J1402">
        <v>199</v>
      </c>
      <c r="K1402">
        <v>0</v>
      </c>
    </row>
    <row r="1403" spans="1:11" x14ac:dyDescent="0.2">
      <c r="A1403" t="s">
        <v>2900</v>
      </c>
      <c r="B1403" t="s">
        <v>2901</v>
      </c>
      <c r="C1403" s="2">
        <v>44933</v>
      </c>
      <c r="D1403" s="2">
        <v>44951</v>
      </c>
      <c r="E1403">
        <f t="shared" si="21"/>
        <v>18</v>
      </c>
      <c r="F1403" t="s">
        <v>58</v>
      </c>
      <c r="G1403">
        <v>27657</v>
      </c>
      <c r="H1403">
        <v>800</v>
      </c>
      <c r="I1403">
        <v>1303.42</v>
      </c>
      <c r="J1403">
        <v>96</v>
      </c>
      <c r="K1403">
        <v>1</v>
      </c>
    </row>
    <row r="1404" spans="1:11" x14ac:dyDescent="0.2">
      <c r="A1404" t="s">
        <v>2902</v>
      </c>
      <c r="B1404" t="s">
        <v>2903</v>
      </c>
      <c r="C1404" s="2">
        <v>45153</v>
      </c>
      <c r="D1404" s="2">
        <v>45173</v>
      </c>
      <c r="E1404">
        <f t="shared" si="21"/>
        <v>20</v>
      </c>
      <c r="F1404" t="s">
        <v>14</v>
      </c>
      <c r="G1404">
        <v>40952</v>
      </c>
      <c r="H1404">
        <v>507</v>
      </c>
      <c r="I1404">
        <v>810.84</v>
      </c>
      <c r="J1404">
        <v>25</v>
      </c>
      <c r="K1404" t="s">
        <v>30</v>
      </c>
    </row>
    <row r="1405" spans="1:11" x14ac:dyDescent="0.2">
      <c r="A1405" t="s">
        <v>2904</v>
      </c>
      <c r="B1405" t="s">
        <v>2905</v>
      </c>
      <c r="C1405" s="2">
        <v>45287</v>
      </c>
      <c r="D1405" s="2">
        <v>45288</v>
      </c>
      <c r="E1405">
        <f t="shared" si="21"/>
        <v>1</v>
      </c>
      <c r="F1405" t="s">
        <v>33</v>
      </c>
      <c r="G1405">
        <v>23180</v>
      </c>
      <c r="H1405">
        <v>854</v>
      </c>
      <c r="I1405">
        <v>1549.4</v>
      </c>
      <c r="J1405">
        <v>44</v>
      </c>
      <c r="K1405" t="b">
        <v>0</v>
      </c>
    </row>
    <row r="1406" spans="1:11" x14ac:dyDescent="0.2">
      <c r="A1406" t="s">
        <v>2906</v>
      </c>
      <c r="B1406" t="s">
        <v>2907</v>
      </c>
      <c r="C1406" s="2">
        <v>45228</v>
      </c>
      <c r="D1406" s="2">
        <v>45234</v>
      </c>
      <c r="E1406">
        <f t="shared" si="21"/>
        <v>6</v>
      </c>
      <c r="F1406" t="s">
        <v>33</v>
      </c>
      <c r="G1406">
        <v>98432</v>
      </c>
      <c r="H1406">
        <v>3276</v>
      </c>
      <c r="I1406">
        <v>5189.76</v>
      </c>
      <c r="K1406" t="b">
        <v>1</v>
      </c>
    </row>
    <row r="1407" spans="1:11" x14ac:dyDescent="0.2">
      <c r="A1407" t="s">
        <v>2908</v>
      </c>
      <c r="B1407" t="s">
        <v>2909</v>
      </c>
      <c r="C1407" s="2">
        <v>45026</v>
      </c>
      <c r="D1407" s="2">
        <v>45029</v>
      </c>
      <c r="E1407">
        <f t="shared" si="21"/>
        <v>3</v>
      </c>
      <c r="F1407" t="s">
        <v>19</v>
      </c>
      <c r="G1407">
        <v>79411</v>
      </c>
      <c r="H1407">
        <v>3939</v>
      </c>
      <c r="I1407">
        <v>3339.33</v>
      </c>
      <c r="J1407">
        <v>288</v>
      </c>
      <c r="K1407">
        <v>1</v>
      </c>
    </row>
    <row r="1408" spans="1:11" x14ac:dyDescent="0.2">
      <c r="A1408" t="s">
        <v>2910</v>
      </c>
      <c r="B1408" t="s">
        <v>2911</v>
      </c>
      <c r="C1408" s="2">
        <v>45276</v>
      </c>
      <c r="D1408" s="2">
        <v>45295</v>
      </c>
      <c r="E1408">
        <f t="shared" si="21"/>
        <v>19</v>
      </c>
      <c r="F1408" t="s">
        <v>19</v>
      </c>
      <c r="G1408">
        <v>2622</v>
      </c>
      <c r="H1408">
        <v>51</v>
      </c>
      <c r="I1408">
        <v>79.48</v>
      </c>
      <c r="J1408">
        <v>7</v>
      </c>
      <c r="K1408" t="s">
        <v>15</v>
      </c>
    </row>
    <row r="1409" spans="1:11" x14ac:dyDescent="0.2">
      <c r="A1409" t="s">
        <v>2912</v>
      </c>
      <c r="B1409" t="s">
        <v>2913</v>
      </c>
      <c r="C1409" s="2">
        <v>45015</v>
      </c>
      <c r="D1409" s="2">
        <v>45039</v>
      </c>
      <c r="E1409">
        <f t="shared" si="21"/>
        <v>24</v>
      </c>
      <c r="F1409" t="s">
        <v>33</v>
      </c>
      <c r="G1409">
        <v>49756</v>
      </c>
      <c r="H1409">
        <v>1553</v>
      </c>
      <c r="I1409">
        <v>1493.29</v>
      </c>
      <c r="J1409">
        <v>242</v>
      </c>
      <c r="K1409" t="s">
        <v>30</v>
      </c>
    </row>
    <row r="1410" spans="1:11" x14ac:dyDescent="0.2">
      <c r="A1410" t="s">
        <v>2914</v>
      </c>
      <c r="B1410" t="s">
        <v>2915</v>
      </c>
      <c r="C1410" s="2">
        <v>44947</v>
      </c>
      <c r="D1410" s="2">
        <v>44967</v>
      </c>
      <c r="E1410">
        <f t="shared" ref="E1410:E1473" si="22">D1410-C1410</f>
        <v>20</v>
      </c>
      <c r="F1410" t="s">
        <v>19</v>
      </c>
      <c r="G1410">
        <v>41809</v>
      </c>
      <c r="H1410">
        <v>1506</v>
      </c>
      <c r="I1410">
        <v>1300.07</v>
      </c>
      <c r="J1410">
        <v>115</v>
      </c>
      <c r="K1410" t="b">
        <v>0</v>
      </c>
    </row>
    <row r="1411" spans="1:11" x14ac:dyDescent="0.2">
      <c r="A1411" t="s">
        <v>2916</v>
      </c>
      <c r="B1411" t="s">
        <v>2917</v>
      </c>
      <c r="C1411" s="2">
        <v>44993</v>
      </c>
      <c r="D1411" s="2">
        <v>45002</v>
      </c>
      <c r="E1411">
        <f t="shared" si="22"/>
        <v>9</v>
      </c>
      <c r="F1411" t="s">
        <v>19</v>
      </c>
      <c r="G1411">
        <v>17725</v>
      </c>
      <c r="H1411">
        <v>634</v>
      </c>
      <c r="I1411">
        <v>-386.43</v>
      </c>
      <c r="J1411">
        <v>116</v>
      </c>
      <c r="K1411" t="b">
        <v>1</v>
      </c>
    </row>
    <row r="1412" spans="1:11" x14ac:dyDescent="0.2">
      <c r="A1412" t="s">
        <v>2918</v>
      </c>
      <c r="B1412" t="s">
        <v>2919</v>
      </c>
      <c r="C1412" s="2">
        <v>44929</v>
      </c>
      <c r="D1412" s="2">
        <v>44955</v>
      </c>
      <c r="E1412">
        <f t="shared" si="22"/>
        <v>26</v>
      </c>
      <c r="F1412" t="s">
        <v>33</v>
      </c>
      <c r="G1412">
        <v>62396</v>
      </c>
      <c r="H1412">
        <v>2024</v>
      </c>
      <c r="I1412" s="3">
        <v>3270.87</v>
      </c>
      <c r="J1412">
        <v>235</v>
      </c>
      <c r="K1412" t="s">
        <v>15</v>
      </c>
    </row>
    <row r="1413" spans="1:11" x14ac:dyDescent="0.2">
      <c r="A1413" t="s">
        <v>2920</v>
      </c>
      <c r="B1413" t="s">
        <v>2921</v>
      </c>
      <c r="C1413" s="2">
        <v>45006</v>
      </c>
      <c r="D1413" s="2">
        <v>45022</v>
      </c>
      <c r="E1413">
        <f t="shared" si="22"/>
        <v>16</v>
      </c>
      <c r="F1413" t="s">
        <v>19</v>
      </c>
      <c r="G1413">
        <v>52226</v>
      </c>
      <c r="H1413">
        <v>2145</v>
      </c>
      <c r="I1413" s="3">
        <v>3360.15</v>
      </c>
      <c r="J1413">
        <v>153</v>
      </c>
      <c r="K1413" t="b">
        <v>0</v>
      </c>
    </row>
    <row r="1414" spans="1:11" x14ac:dyDescent="0.2">
      <c r="A1414" t="s">
        <v>2922</v>
      </c>
      <c r="B1414" t="s">
        <v>2923</v>
      </c>
      <c r="C1414" s="2">
        <v>45092</v>
      </c>
      <c r="D1414" s="2">
        <v>45096</v>
      </c>
      <c r="E1414">
        <f t="shared" si="22"/>
        <v>4</v>
      </c>
      <c r="F1414" t="s">
        <v>19</v>
      </c>
      <c r="G1414">
        <v>82182</v>
      </c>
      <c r="H1414">
        <v>1495</v>
      </c>
      <c r="I1414">
        <v>1273.3699999999999</v>
      </c>
      <c r="J1414">
        <v>246</v>
      </c>
      <c r="K1414">
        <v>0</v>
      </c>
    </row>
    <row r="1415" spans="1:11" x14ac:dyDescent="0.2">
      <c r="A1415" t="s">
        <v>2924</v>
      </c>
      <c r="B1415" t="s">
        <v>2925</v>
      </c>
      <c r="C1415" s="2">
        <v>45247</v>
      </c>
      <c r="D1415" s="2">
        <v>45251</v>
      </c>
      <c r="E1415">
        <f t="shared" si="22"/>
        <v>4</v>
      </c>
      <c r="F1415" t="s">
        <v>41</v>
      </c>
      <c r="G1415">
        <v>83565</v>
      </c>
      <c r="H1415">
        <v>3261</v>
      </c>
      <c r="I1415">
        <v>5296.09</v>
      </c>
      <c r="J1415">
        <v>549</v>
      </c>
      <c r="K1415">
        <v>1</v>
      </c>
    </row>
    <row r="1416" spans="1:11" x14ac:dyDescent="0.2">
      <c r="A1416" t="s">
        <v>2926</v>
      </c>
      <c r="B1416" t="s">
        <v>2927</v>
      </c>
      <c r="C1416" s="2">
        <v>45178</v>
      </c>
      <c r="D1416" s="2">
        <v>45186</v>
      </c>
      <c r="E1416">
        <f t="shared" si="22"/>
        <v>8</v>
      </c>
      <c r="F1416" t="s">
        <v>33</v>
      </c>
      <c r="G1416">
        <v>30402</v>
      </c>
      <c r="H1416">
        <v>1057</v>
      </c>
      <c r="I1416">
        <v>1983.74</v>
      </c>
      <c r="J1416">
        <v>154</v>
      </c>
      <c r="K1416">
        <v>0</v>
      </c>
    </row>
    <row r="1417" spans="1:11" x14ac:dyDescent="0.2">
      <c r="A1417" t="s">
        <v>2928</v>
      </c>
      <c r="B1417" t="s">
        <v>2929</v>
      </c>
      <c r="C1417" s="2">
        <v>44964</v>
      </c>
      <c r="D1417" s="2">
        <v>44992</v>
      </c>
      <c r="E1417">
        <f t="shared" si="22"/>
        <v>28</v>
      </c>
      <c r="F1417" t="s">
        <v>23</v>
      </c>
      <c r="G1417">
        <v>5263</v>
      </c>
      <c r="H1417">
        <v>241</v>
      </c>
      <c r="I1417">
        <v>159.55000000000001</v>
      </c>
      <c r="J1417">
        <v>42</v>
      </c>
      <c r="K1417">
        <v>1</v>
      </c>
    </row>
    <row r="1418" spans="1:11" x14ac:dyDescent="0.2">
      <c r="A1418" t="s">
        <v>2930</v>
      </c>
      <c r="B1418" t="s">
        <v>2931</v>
      </c>
      <c r="C1418" s="2">
        <v>45039</v>
      </c>
      <c r="D1418" s="2">
        <v>45053</v>
      </c>
      <c r="E1418">
        <f t="shared" si="22"/>
        <v>14</v>
      </c>
      <c r="F1418" t="s">
        <v>14</v>
      </c>
      <c r="G1418">
        <v>97523</v>
      </c>
      <c r="H1418">
        <v>4280</v>
      </c>
      <c r="I1418">
        <v>3633.53</v>
      </c>
      <c r="J1418">
        <v>687</v>
      </c>
      <c r="K1418" t="s">
        <v>15</v>
      </c>
    </row>
    <row r="1419" spans="1:11" x14ac:dyDescent="0.2">
      <c r="A1419" t="s">
        <v>2932</v>
      </c>
      <c r="B1419" t="s">
        <v>2933</v>
      </c>
      <c r="C1419" s="2">
        <v>45185</v>
      </c>
      <c r="D1419" s="2">
        <v>45193</v>
      </c>
      <c r="E1419">
        <f t="shared" si="22"/>
        <v>8</v>
      </c>
      <c r="F1419" t="s">
        <v>33</v>
      </c>
      <c r="G1419">
        <v>47828</v>
      </c>
      <c r="H1419">
        <v>1081</v>
      </c>
      <c r="I1419">
        <v>1757.05</v>
      </c>
      <c r="J1419">
        <v>197</v>
      </c>
      <c r="K1419">
        <v>0</v>
      </c>
    </row>
    <row r="1420" spans="1:11" x14ac:dyDescent="0.2">
      <c r="A1420" t="s">
        <v>2934</v>
      </c>
      <c r="B1420" t="s">
        <v>2935</v>
      </c>
      <c r="C1420" s="2">
        <v>45133</v>
      </c>
      <c r="D1420" s="2">
        <v>45141</v>
      </c>
      <c r="E1420">
        <f t="shared" si="22"/>
        <v>8</v>
      </c>
      <c r="F1420" t="s">
        <v>41</v>
      </c>
      <c r="G1420">
        <v>48924</v>
      </c>
      <c r="H1420">
        <v>1029</v>
      </c>
      <c r="I1420">
        <v>-938.2</v>
      </c>
      <c r="J1420">
        <v>118</v>
      </c>
      <c r="K1420">
        <v>1</v>
      </c>
    </row>
    <row r="1421" spans="1:11" x14ac:dyDescent="0.2">
      <c r="A1421" t="s">
        <v>2936</v>
      </c>
      <c r="B1421" t="s">
        <v>2937</v>
      </c>
      <c r="C1421" s="2">
        <v>45040</v>
      </c>
      <c r="D1421" s="2">
        <v>45055</v>
      </c>
      <c r="E1421">
        <f t="shared" si="22"/>
        <v>15</v>
      </c>
      <c r="F1421" t="s">
        <v>14</v>
      </c>
      <c r="G1421">
        <v>75182</v>
      </c>
      <c r="H1421">
        <v>3703</v>
      </c>
      <c r="I1421">
        <v>5321.2</v>
      </c>
      <c r="J1421">
        <v>600</v>
      </c>
      <c r="K1421" t="s">
        <v>30</v>
      </c>
    </row>
    <row r="1422" spans="1:11" x14ac:dyDescent="0.2">
      <c r="A1422" t="s">
        <v>2938</v>
      </c>
      <c r="B1422" t="s">
        <v>2939</v>
      </c>
      <c r="C1422" s="2">
        <v>45096</v>
      </c>
      <c r="D1422" s="2">
        <v>45116</v>
      </c>
      <c r="E1422">
        <f t="shared" si="22"/>
        <v>20</v>
      </c>
      <c r="F1422" t="s">
        <v>19</v>
      </c>
      <c r="G1422">
        <v>94065</v>
      </c>
      <c r="H1422">
        <v>2924</v>
      </c>
      <c r="I1422" s="3">
        <v>1817.99</v>
      </c>
      <c r="J1422">
        <v>584</v>
      </c>
      <c r="K1422" t="s">
        <v>15</v>
      </c>
    </row>
    <row r="1423" spans="1:11" x14ac:dyDescent="0.2">
      <c r="A1423" t="s">
        <v>2940</v>
      </c>
      <c r="B1423" t="s">
        <v>2941</v>
      </c>
      <c r="C1423" s="2">
        <v>45243</v>
      </c>
      <c r="D1423" s="2">
        <v>45249</v>
      </c>
      <c r="E1423">
        <f t="shared" si="22"/>
        <v>6</v>
      </c>
      <c r="F1423" t="s">
        <v>14</v>
      </c>
      <c r="G1423">
        <v>60052</v>
      </c>
      <c r="H1423">
        <v>2777</v>
      </c>
      <c r="I1423">
        <v>3272.15</v>
      </c>
      <c r="J1423">
        <v>440</v>
      </c>
      <c r="K1423">
        <v>1</v>
      </c>
    </row>
    <row r="1424" spans="1:11" x14ac:dyDescent="0.2">
      <c r="A1424" t="s">
        <v>2942</v>
      </c>
      <c r="B1424" t="s">
        <v>2943</v>
      </c>
      <c r="C1424" s="2">
        <v>45259</v>
      </c>
      <c r="D1424" s="2">
        <v>45288</v>
      </c>
      <c r="E1424">
        <f t="shared" si="22"/>
        <v>29</v>
      </c>
      <c r="F1424" t="s">
        <v>41</v>
      </c>
      <c r="G1424">
        <v>12664</v>
      </c>
      <c r="H1424">
        <v>209</v>
      </c>
      <c r="I1424">
        <v>336.21</v>
      </c>
      <c r="J1424">
        <v>14</v>
      </c>
      <c r="K1424" t="b">
        <v>1</v>
      </c>
    </row>
    <row r="1425" spans="1:11" x14ac:dyDescent="0.2">
      <c r="A1425" t="s">
        <v>2944</v>
      </c>
      <c r="B1425" t="s">
        <v>2945</v>
      </c>
      <c r="C1425" s="2">
        <v>45269</v>
      </c>
      <c r="D1425" s="2">
        <v>45275</v>
      </c>
      <c r="E1425">
        <f t="shared" si="22"/>
        <v>6</v>
      </c>
      <c r="F1425" t="s">
        <v>191</v>
      </c>
      <c r="G1425">
        <v>36737</v>
      </c>
      <c r="H1425">
        <v>1311</v>
      </c>
      <c r="I1425" s="3">
        <v>2005.53</v>
      </c>
      <c r="J1425">
        <v>167</v>
      </c>
      <c r="K1425">
        <v>1</v>
      </c>
    </row>
    <row r="1426" spans="1:11" x14ac:dyDescent="0.2">
      <c r="A1426" t="s">
        <v>2946</v>
      </c>
      <c r="B1426" t="s">
        <v>2947</v>
      </c>
      <c r="C1426" s="2">
        <v>45255</v>
      </c>
      <c r="D1426" s="2">
        <v>45285</v>
      </c>
      <c r="E1426">
        <f t="shared" si="22"/>
        <v>30</v>
      </c>
      <c r="F1426" t="s">
        <v>33</v>
      </c>
      <c r="G1426">
        <v>90563</v>
      </c>
      <c r="H1426">
        <v>3839</v>
      </c>
      <c r="I1426">
        <v>6613.09</v>
      </c>
      <c r="K1426">
        <v>0</v>
      </c>
    </row>
    <row r="1427" spans="1:11" x14ac:dyDescent="0.2">
      <c r="A1427" t="s">
        <v>2948</v>
      </c>
      <c r="B1427" t="s">
        <v>2949</v>
      </c>
      <c r="C1427" s="2">
        <v>44947</v>
      </c>
      <c r="D1427" s="2">
        <v>44955</v>
      </c>
      <c r="E1427">
        <f t="shared" si="22"/>
        <v>8</v>
      </c>
      <c r="F1427" t="s">
        <v>23</v>
      </c>
      <c r="G1427">
        <v>30373</v>
      </c>
      <c r="H1427">
        <v>1454</v>
      </c>
      <c r="I1427" s="3">
        <v>2640.72</v>
      </c>
      <c r="J1427">
        <v>110</v>
      </c>
      <c r="K1427" t="s">
        <v>30</v>
      </c>
    </row>
    <row r="1428" spans="1:11" x14ac:dyDescent="0.2">
      <c r="A1428" t="s">
        <v>2950</v>
      </c>
      <c r="B1428" t="s">
        <v>2951</v>
      </c>
      <c r="C1428" s="2">
        <v>44985</v>
      </c>
      <c r="D1428" s="2">
        <v>44994</v>
      </c>
      <c r="E1428">
        <f t="shared" si="22"/>
        <v>9</v>
      </c>
      <c r="F1428" t="s">
        <v>19</v>
      </c>
      <c r="G1428">
        <v>37397</v>
      </c>
      <c r="H1428">
        <v>878</v>
      </c>
      <c r="I1428">
        <v>1457.28</v>
      </c>
      <c r="J1428">
        <v>170</v>
      </c>
      <c r="K1428" t="b">
        <v>0</v>
      </c>
    </row>
    <row r="1429" spans="1:11" x14ac:dyDescent="0.2">
      <c r="A1429" t="s">
        <v>2952</v>
      </c>
      <c r="B1429" t="s">
        <v>2953</v>
      </c>
      <c r="C1429" s="2">
        <v>45071</v>
      </c>
      <c r="D1429" s="2">
        <v>45075</v>
      </c>
      <c r="E1429">
        <f t="shared" si="22"/>
        <v>4</v>
      </c>
      <c r="F1429" t="s">
        <v>23</v>
      </c>
      <c r="G1429">
        <v>87145</v>
      </c>
      <c r="H1429">
        <v>3398</v>
      </c>
      <c r="I1429">
        <v>5122.08</v>
      </c>
      <c r="J1429">
        <v>259</v>
      </c>
      <c r="K1429" t="b">
        <v>0</v>
      </c>
    </row>
    <row r="1430" spans="1:11" x14ac:dyDescent="0.2">
      <c r="A1430" t="s">
        <v>2955</v>
      </c>
      <c r="B1430" t="s">
        <v>2956</v>
      </c>
      <c r="C1430" s="2">
        <v>45191</v>
      </c>
      <c r="D1430" s="2">
        <v>45192</v>
      </c>
      <c r="E1430">
        <f t="shared" si="22"/>
        <v>1</v>
      </c>
      <c r="F1430" t="s">
        <v>19</v>
      </c>
      <c r="G1430">
        <v>39709</v>
      </c>
      <c r="H1430">
        <v>1252</v>
      </c>
      <c r="I1430">
        <v>685.57</v>
      </c>
      <c r="K1430">
        <v>1</v>
      </c>
    </row>
    <row r="1431" spans="1:11" x14ac:dyDescent="0.2">
      <c r="A1431" t="s">
        <v>2957</v>
      </c>
      <c r="B1431" t="s">
        <v>2958</v>
      </c>
      <c r="C1431" s="2">
        <v>45187</v>
      </c>
      <c r="D1431" s="2">
        <v>45195</v>
      </c>
      <c r="E1431">
        <f t="shared" si="22"/>
        <v>8</v>
      </c>
      <c r="F1431" t="s">
        <v>14</v>
      </c>
      <c r="G1431">
        <v>62120</v>
      </c>
      <c r="H1431">
        <v>771</v>
      </c>
      <c r="I1431">
        <v>1004.19</v>
      </c>
      <c r="J1431">
        <v>144</v>
      </c>
      <c r="K1431" t="b">
        <v>0</v>
      </c>
    </row>
    <row r="1432" spans="1:11" x14ac:dyDescent="0.2">
      <c r="A1432" t="s">
        <v>2959</v>
      </c>
      <c r="B1432" t="s">
        <v>2960</v>
      </c>
      <c r="C1432" s="2">
        <v>45260</v>
      </c>
      <c r="D1432" s="2">
        <v>45282</v>
      </c>
      <c r="E1432">
        <f t="shared" si="22"/>
        <v>22</v>
      </c>
      <c r="F1432" t="s">
        <v>33</v>
      </c>
      <c r="G1432">
        <v>20250</v>
      </c>
      <c r="H1432">
        <v>761</v>
      </c>
      <c r="I1432">
        <v>423.53</v>
      </c>
      <c r="J1432">
        <v>91</v>
      </c>
      <c r="K1432">
        <v>1</v>
      </c>
    </row>
    <row r="1433" spans="1:11" x14ac:dyDescent="0.2">
      <c r="A1433" t="s">
        <v>2961</v>
      </c>
      <c r="B1433" t="s">
        <v>2962</v>
      </c>
      <c r="C1433" s="2">
        <v>44976</v>
      </c>
      <c r="D1433" s="2">
        <v>44986</v>
      </c>
      <c r="E1433">
        <f t="shared" si="22"/>
        <v>10</v>
      </c>
      <c r="F1433" t="s">
        <v>41</v>
      </c>
      <c r="G1433">
        <v>22172</v>
      </c>
      <c r="H1433">
        <v>833</v>
      </c>
      <c r="I1433">
        <v>1426.18</v>
      </c>
      <c r="K1433" t="s">
        <v>30</v>
      </c>
    </row>
    <row r="1434" spans="1:11" x14ac:dyDescent="0.2">
      <c r="A1434" t="s">
        <v>2963</v>
      </c>
      <c r="B1434" t="s">
        <v>2964</v>
      </c>
      <c r="C1434" s="2">
        <v>45202</v>
      </c>
      <c r="D1434" s="2">
        <v>45216</v>
      </c>
      <c r="E1434">
        <f t="shared" si="22"/>
        <v>14</v>
      </c>
      <c r="F1434" t="s">
        <v>138</v>
      </c>
      <c r="G1434">
        <v>12555</v>
      </c>
      <c r="H1434">
        <v>592</v>
      </c>
      <c r="I1434">
        <v>580.79999999999995</v>
      </c>
      <c r="J1434">
        <v>82</v>
      </c>
      <c r="K1434" t="b">
        <v>0</v>
      </c>
    </row>
    <row r="1435" spans="1:11" x14ac:dyDescent="0.2">
      <c r="A1435" t="s">
        <v>2965</v>
      </c>
      <c r="B1435" t="s">
        <v>2966</v>
      </c>
      <c r="C1435" s="2">
        <v>45034</v>
      </c>
      <c r="D1435" s="2">
        <v>45053</v>
      </c>
      <c r="E1435">
        <f t="shared" si="22"/>
        <v>19</v>
      </c>
      <c r="F1435" t="s">
        <v>19</v>
      </c>
      <c r="G1435">
        <v>88410</v>
      </c>
      <c r="H1435">
        <v>2642</v>
      </c>
      <c r="I1435">
        <v>3549.91</v>
      </c>
      <c r="J1435">
        <v>370</v>
      </c>
      <c r="K1435">
        <v>0</v>
      </c>
    </row>
    <row r="1436" spans="1:11" x14ac:dyDescent="0.2">
      <c r="A1436" t="s">
        <v>2967</v>
      </c>
      <c r="B1436" t="s">
        <v>2968</v>
      </c>
      <c r="C1436" s="2">
        <v>45277</v>
      </c>
      <c r="D1436" s="2">
        <v>45305</v>
      </c>
      <c r="E1436">
        <f t="shared" si="22"/>
        <v>28</v>
      </c>
      <c r="F1436" t="s">
        <v>23</v>
      </c>
      <c r="G1436">
        <v>79617</v>
      </c>
      <c r="H1436">
        <v>1529</v>
      </c>
      <c r="I1436" s="3">
        <v>1405.41</v>
      </c>
      <c r="J1436">
        <v>91</v>
      </c>
      <c r="K1436">
        <v>0</v>
      </c>
    </row>
    <row r="1437" spans="1:11" x14ac:dyDescent="0.2">
      <c r="A1437" t="s">
        <v>2969</v>
      </c>
      <c r="B1437" t="s">
        <v>2970</v>
      </c>
      <c r="C1437" s="2">
        <v>45202</v>
      </c>
      <c r="D1437" s="2">
        <v>45222</v>
      </c>
      <c r="E1437">
        <f t="shared" si="22"/>
        <v>20</v>
      </c>
      <c r="F1437" t="s">
        <v>23</v>
      </c>
      <c r="G1437">
        <v>54276</v>
      </c>
      <c r="H1437">
        <v>639</v>
      </c>
      <c r="I1437">
        <v>1069.53</v>
      </c>
      <c r="J1437">
        <v>125</v>
      </c>
      <c r="K1437" t="b">
        <v>1</v>
      </c>
    </row>
    <row r="1438" spans="1:11" x14ac:dyDescent="0.2">
      <c r="A1438" t="s">
        <v>2971</v>
      </c>
      <c r="B1438" t="s">
        <v>2972</v>
      </c>
      <c r="C1438" s="2">
        <v>45149</v>
      </c>
      <c r="D1438" s="2">
        <v>45177</v>
      </c>
      <c r="E1438">
        <f t="shared" si="22"/>
        <v>28</v>
      </c>
      <c r="F1438" t="s">
        <v>33</v>
      </c>
      <c r="G1438">
        <v>58492</v>
      </c>
      <c r="H1438">
        <v>1557</v>
      </c>
      <c r="I1438">
        <v>2848.93</v>
      </c>
      <c r="J1438">
        <v>204</v>
      </c>
      <c r="K1438">
        <v>1</v>
      </c>
    </row>
    <row r="1439" spans="1:11" x14ac:dyDescent="0.2">
      <c r="A1439" t="s">
        <v>2973</v>
      </c>
      <c r="B1439" t="s">
        <v>2974</v>
      </c>
      <c r="C1439" s="2">
        <v>45278</v>
      </c>
      <c r="D1439" s="2">
        <v>45291</v>
      </c>
      <c r="E1439">
        <f t="shared" si="22"/>
        <v>13</v>
      </c>
      <c r="F1439" t="s">
        <v>19</v>
      </c>
      <c r="G1439">
        <v>54002</v>
      </c>
      <c r="H1439">
        <v>1192</v>
      </c>
      <c r="I1439">
        <v>1308.77</v>
      </c>
      <c r="J1439">
        <v>159</v>
      </c>
      <c r="K1439" t="b">
        <v>0</v>
      </c>
    </row>
    <row r="1440" spans="1:11" x14ac:dyDescent="0.2">
      <c r="A1440" t="s">
        <v>2975</v>
      </c>
      <c r="B1440" t="s">
        <v>2976</v>
      </c>
      <c r="C1440" s="2">
        <v>45096</v>
      </c>
      <c r="D1440" s="2">
        <v>45111</v>
      </c>
      <c r="E1440">
        <f t="shared" si="22"/>
        <v>15</v>
      </c>
      <c r="F1440" t="s">
        <v>23</v>
      </c>
      <c r="G1440">
        <v>90599</v>
      </c>
      <c r="H1440">
        <v>3664</v>
      </c>
      <c r="I1440">
        <v>6574.62</v>
      </c>
      <c r="J1440">
        <v>469</v>
      </c>
      <c r="K1440">
        <v>0</v>
      </c>
    </row>
    <row r="1441" spans="1:11" x14ac:dyDescent="0.2">
      <c r="A1441" t="s">
        <v>2978</v>
      </c>
      <c r="B1441" t="s">
        <v>2979</v>
      </c>
      <c r="C1441" s="2">
        <v>44971</v>
      </c>
      <c r="D1441" s="2">
        <v>45109</v>
      </c>
      <c r="E1441">
        <f t="shared" si="22"/>
        <v>138</v>
      </c>
      <c r="F1441" t="s">
        <v>19</v>
      </c>
      <c r="G1441">
        <v>73355</v>
      </c>
      <c r="H1441">
        <v>1773</v>
      </c>
      <c r="I1441" s="3">
        <v>1596.79</v>
      </c>
      <c r="J1441">
        <v>251</v>
      </c>
      <c r="K1441" t="s">
        <v>24</v>
      </c>
    </row>
    <row r="1442" spans="1:11" x14ac:dyDescent="0.2">
      <c r="A1442" t="s">
        <v>2980</v>
      </c>
      <c r="B1442" t="s">
        <v>2981</v>
      </c>
      <c r="C1442" s="2">
        <v>45055</v>
      </c>
      <c r="D1442" s="2">
        <v>45063</v>
      </c>
      <c r="E1442">
        <f t="shared" si="22"/>
        <v>8</v>
      </c>
      <c r="F1442" t="s">
        <v>14</v>
      </c>
      <c r="G1442">
        <v>92248</v>
      </c>
      <c r="H1442">
        <v>4424</v>
      </c>
      <c r="I1442">
        <v>5760.01</v>
      </c>
      <c r="J1442">
        <v>396</v>
      </c>
      <c r="K1442" t="s">
        <v>30</v>
      </c>
    </row>
    <row r="1443" spans="1:11" x14ac:dyDescent="0.2">
      <c r="A1443" t="s">
        <v>2982</v>
      </c>
      <c r="B1443" t="s">
        <v>2983</v>
      </c>
      <c r="C1443" s="2">
        <v>45043</v>
      </c>
      <c r="D1443" s="2">
        <v>45047</v>
      </c>
      <c r="E1443">
        <f t="shared" si="22"/>
        <v>4</v>
      </c>
      <c r="F1443" t="s">
        <v>23</v>
      </c>
      <c r="G1443">
        <v>25762</v>
      </c>
      <c r="H1443">
        <v>1249</v>
      </c>
      <c r="I1443">
        <v>2233.39</v>
      </c>
      <c r="J1443">
        <v>116</v>
      </c>
      <c r="K1443" t="s">
        <v>30</v>
      </c>
    </row>
    <row r="1444" spans="1:11" x14ac:dyDescent="0.2">
      <c r="A1444" t="s">
        <v>2984</v>
      </c>
      <c r="B1444" t="s">
        <v>2985</v>
      </c>
      <c r="C1444" s="2">
        <v>45157</v>
      </c>
      <c r="D1444" s="2">
        <v>45185</v>
      </c>
      <c r="E1444">
        <f t="shared" si="22"/>
        <v>28</v>
      </c>
      <c r="F1444" t="s">
        <v>33</v>
      </c>
      <c r="G1444">
        <v>12046</v>
      </c>
      <c r="H1444">
        <v>419</v>
      </c>
      <c r="I1444">
        <v>414.32</v>
      </c>
      <c r="J1444">
        <v>53</v>
      </c>
      <c r="K1444" t="s">
        <v>24</v>
      </c>
    </row>
    <row r="1445" spans="1:11" x14ac:dyDescent="0.2">
      <c r="A1445" t="s">
        <v>2986</v>
      </c>
      <c r="B1445" t="s">
        <v>2987</v>
      </c>
      <c r="C1445" s="2">
        <v>44935</v>
      </c>
      <c r="D1445" s="2">
        <v>44938</v>
      </c>
      <c r="E1445">
        <f t="shared" si="22"/>
        <v>3</v>
      </c>
      <c r="F1445" t="s">
        <v>41</v>
      </c>
      <c r="G1445">
        <v>97999</v>
      </c>
      <c r="H1445">
        <v>4620</v>
      </c>
      <c r="I1445">
        <v>8921.51</v>
      </c>
      <c r="J1445">
        <v>790</v>
      </c>
      <c r="K1445" t="s">
        <v>24</v>
      </c>
    </row>
    <row r="1446" spans="1:11" x14ac:dyDescent="0.2">
      <c r="A1446" t="s">
        <v>2988</v>
      </c>
      <c r="B1446" t="s">
        <v>2989</v>
      </c>
      <c r="C1446" s="2">
        <v>44930</v>
      </c>
      <c r="D1446" s="2">
        <v>44944</v>
      </c>
      <c r="E1446">
        <f t="shared" si="22"/>
        <v>14</v>
      </c>
      <c r="F1446" t="s">
        <v>14</v>
      </c>
      <c r="G1446">
        <v>29769</v>
      </c>
      <c r="H1446">
        <v>1203</v>
      </c>
      <c r="I1446">
        <v>821.43</v>
      </c>
      <c r="J1446">
        <v>69</v>
      </c>
      <c r="K1446" t="b">
        <v>1</v>
      </c>
    </row>
    <row r="1447" spans="1:11" x14ac:dyDescent="0.2">
      <c r="A1447" t="s">
        <v>2990</v>
      </c>
      <c r="B1447" t="s">
        <v>2991</v>
      </c>
      <c r="C1447" s="2">
        <v>45226</v>
      </c>
      <c r="D1447" s="2">
        <v>45249</v>
      </c>
      <c r="E1447">
        <f t="shared" si="22"/>
        <v>23</v>
      </c>
      <c r="F1447" t="s">
        <v>19</v>
      </c>
      <c r="G1447">
        <v>54302</v>
      </c>
      <c r="H1447">
        <v>1730</v>
      </c>
      <c r="I1447" s="3">
        <v>912.42</v>
      </c>
      <c r="J1447">
        <v>243</v>
      </c>
      <c r="K1447" t="s">
        <v>30</v>
      </c>
    </row>
    <row r="1448" spans="1:11" x14ac:dyDescent="0.2">
      <c r="A1448" t="s">
        <v>2993</v>
      </c>
      <c r="B1448" t="s">
        <v>2994</v>
      </c>
      <c r="C1448" s="2">
        <v>44964</v>
      </c>
      <c r="D1448" s="2">
        <v>44979</v>
      </c>
      <c r="E1448">
        <f t="shared" si="22"/>
        <v>15</v>
      </c>
      <c r="F1448" t="s">
        <v>23</v>
      </c>
      <c r="G1448">
        <v>24150</v>
      </c>
      <c r="H1448">
        <v>415</v>
      </c>
      <c r="I1448">
        <v>770.32</v>
      </c>
      <c r="J1448">
        <v>70</v>
      </c>
      <c r="K1448" t="s">
        <v>30</v>
      </c>
    </row>
    <row r="1449" spans="1:11" x14ac:dyDescent="0.2">
      <c r="A1449" t="s">
        <v>2995</v>
      </c>
      <c r="B1449" t="s">
        <v>2996</v>
      </c>
      <c r="C1449" s="2">
        <v>45075</v>
      </c>
      <c r="D1449" s="2">
        <v>45090</v>
      </c>
      <c r="E1449">
        <f t="shared" si="22"/>
        <v>15</v>
      </c>
      <c r="F1449" t="s">
        <v>14</v>
      </c>
      <c r="G1449">
        <v>69247</v>
      </c>
      <c r="H1449">
        <v>1962</v>
      </c>
      <c r="I1449">
        <v>1183.03</v>
      </c>
      <c r="J1449">
        <v>144</v>
      </c>
      <c r="K1449" t="b">
        <v>0</v>
      </c>
    </row>
    <row r="1450" spans="1:11" x14ac:dyDescent="0.2">
      <c r="A1450" t="s">
        <v>2997</v>
      </c>
      <c r="B1450" t="s">
        <v>2998</v>
      </c>
      <c r="C1450" s="2">
        <v>44971</v>
      </c>
      <c r="D1450" s="2">
        <v>44976</v>
      </c>
      <c r="E1450">
        <f t="shared" si="22"/>
        <v>5</v>
      </c>
      <c r="F1450" t="s">
        <v>41</v>
      </c>
      <c r="G1450">
        <v>5853</v>
      </c>
      <c r="H1450">
        <v>189</v>
      </c>
      <c r="I1450">
        <v>375.7</v>
      </c>
      <c r="J1450">
        <v>9</v>
      </c>
      <c r="K1450">
        <v>1</v>
      </c>
    </row>
    <row r="1451" spans="1:11" x14ac:dyDescent="0.2">
      <c r="A1451" t="s">
        <v>2999</v>
      </c>
      <c r="B1451" t="s">
        <v>3000</v>
      </c>
      <c r="C1451" s="2">
        <v>45122</v>
      </c>
      <c r="D1451" s="2">
        <v>45146</v>
      </c>
      <c r="E1451">
        <f t="shared" si="22"/>
        <v>24</v>
      </c>
      <c r="F1451" t="s">
        <v>41</v>
      </c>
      <c r="G1451">
        <v>95613</v>
      </c>
      <c r="H1451">
        <v>4260</v>
      </c>
      <c r="I1451">
        <v>8209.43</v>
      </c>
      <c r="J1451">
        <v>412</v>
      </c>
      <c r="K1451" t="s">
        <v>15</v>
      </c>
    </row>
    <row r="1452" spans="1:11" x14ac:dyDescent="0.2">
      <c r="A1452" t="s">
        <v>3001</v>
      </c>
      <c r="B1452" t="s">
        <v>3002</v>
      </c>
      <c r="C1452" s="2">
        <v>45169</v>
      </c>
      <c r="D1452" s="2">
        <v>45198</v>
      </c>
      <c r="E1452">
        <f t="shared" si="22"/>
        <v>29</v>
      </c>
      <c r="F1452" t="s">
        <v>19</v>
      </c>
      <c r="G1452">
        <v>90399</v>
      </c>
      <c r="H1452">
        <v>2644</v>
      </c>
      <c r="I1452">
        <v>1865.42</v>
      </c>
      <c r="J1452">
        <v>365</v>
      </c>
      <c r="K1452" t="s">
        <v>30</v>
      </c>
    </row>
    <row r="1453" spans="1:11" x14ac:dyDescent="0.2">
      <c r="A1453" t="s">
        <v>3003</v>
      </c>
      <c r="B1453" t="s">
        <v>3004</v>
      </c>
      <c r="C1453" s="2">
        <v>45127</v>
      </c>
      <c r="D1453" s="2">
        <v>45140</v>
      </c>
      <c r="E1453">
        <f t="shared" si="22"/>
        <v>13</v>
      </c>
      <c r="F1453" t="s">
        <v>14</v>
      </c>
      <c r="G1453">
        <v>22792</v>
      </c>
      <c r="H1453">
        <v>1046</v>
      </c>
      <c r="I1453">
        <v>1366.47</v>
      </c>
      <c r="J1453">
        <v>73</v>
      </c>
      <c r="K1453" t="s">
        <v>30</v>
      </c>
    </row>
    <row r="1454" spans="1:11" x14ac:dyDescent="0.2">
      <c r="A1454" t="s">
        <v>3005</v>
      </c>
      <c r="B1454" t="s">
        <v>3006</v>
      </c>
      <c r="C1454" s="2">
        <v>45078</v>
      </c>
      <c r="D1454" s="2">
        <v>45106</v>
      </c>
      <c r="E1454">
        <f t="shared" si="22"/>
        <v>28</v>
      </c>
      <c r="F1454" t="s">
        <v>41</v>
      </c>
      <c r="G1454">
        <v>60129</v>
      </c>
      <c r="H1454">
        <v>2223</v>
      </c>
      <c r="I1454">
        <v>1728.12</v>
      </c>
      <c r="J1454">
        <v>253</v>
      </c>
      <c r="K1454" t="s">
        <v>15</v>
      </c>
    </row>
    <row r="1455" spans="1:11" x14ac:dyDescent="0.2">
      <c r="A1455" t="s">
        <v>3007</v>
      </c>
      <c r="B1455" t="s">
        <v>3008</v>
      </c>
      <c r="C1455" s="2">
        <v>45273</v>
      </c>
      <c r="D1455" s="2">
        <v>45293</v>
      </c>
      <c r="E1455">
        <f t="shared" si="22"/>
        <v>20</v>
      </c>
      <c r="F1455" t="s">
        <v>33</v>
      </c>
      <c r="G1455">
        <v>75478</v>
      </c>
      <c r="H1455">
        <v>1168</v>
      </c>
      <c r="I1455" s="3">
        <v>1334.13</v>
      </c>
      <c r="J1455">
        <v>155</v>
      </c>
      <c r="K1455" t="s">
        <v>30</v>
      </c>
    </row>
    <row r="1456" spans="1:11" x14ac:dyDescent="0.2">
      <c r="A1456" t="s">
        <v>3009</v>
      </c>
      <c r="B1456" t="s">
        <v>3010</v>
      </c>
      <c r="C1456" s="2">
        <v>45258</v>
      </c>
      <c r="D1456" s="2">
        <v>45283</v>
      </c>
      <c r="E1456">
        <f t="shared" si="22"/>
        <v>25</v>
      </c>
      <c r="F1456" t="s">
        <v>41</v>
      </c>
      <c r="G1456">
        <v>68298</v>
      </c>
      <c r="H1456">
        <v>3401</v>
      </c>
      <c r="I1456" s="3">
        <v>2013.86</v>
      </c>
      <c r="J1456">
        <v>475</v>
      </c>
      <c r="K1456" t="b">
        <v>0</v>
      </c>
    </row>
    <row r="1457" spans="1:11" x14ac:dyDescent="0.2">
      <c r="A1457" t="s">
        <v>3011</v>
      </c>
      <c r="B1457" t="s">
        <v>3012</v>
      </c>
      <c r="C1457" s="2">
        <v>45210</v>
      </c>
      <c r="D1457" s="2">
        <v>45223</v>
      </c>
      <c r="E1457">
        <f t="shared" si="22"/>
        <v>13</v>
      </c>
      <c r="F1457" t="s">
        <v>33</v>
      </c>
      <c r="G1457">
        <v>32987</v>
      </c>
      <c r="H1457">
        <v>1025</v>
      </c>
      <c r="I1457">
        <v>856.78</v>
      </c>
      <c r="J1457">
        <v>93</v>
      </c>
      <c r="K1457" t="b">
        <v>0</v>
      </c>
    </row>
    <row r="1458" spans="1:11" x14ac:dyDescent="0.2">
      <c r="A1458" t="s">
        <v>3013</v>
      </c>
      <c r="B1458" t="s">
        <v>3014</v>
      </c>
      <c r="C1458" s="2">
        <v>44948</v>
      </c>
      <c r="D1458" s="2">
        <v>44949</v>
      </c>
      <c r="E1458">
        <f t="shared" si="22"/>
        <v>1</v>
      </c>
      <c r="F1458" t="s">
        <v>33</v>
      </c>
      <c r="G1458">
        <v>16850</v>
      </c>
      <c r="H1458">
        <v>432</v>
      </c>
      <c r="I1458">
        <v>451.4</v>
      </c>
      <c r="K1458" t="s">
        <v>15</v>
      </c>
    </row>
    <row r="1459" spans="1:11" x14ac:dyDescent="0.2">
      <c r="A1459" t="s">
        <v>3016</v>
      </c>
      <c r="B1459" t="s">
        <v>3017</v>
      </c>
      <c r="C1459" s="2">
        <v>45232</v>
      </c>
      <c r="D1459" s="2">
        <v>45250</v>
      </c>
      <c r="E1459">
        <f t="shared" si="22"/>
        <v>18</v>
      </c>
      <c r="F1459" t="s">
        <v>33</v>
      </c>
      <c r="G1459">
        <v>13112</v>
      </c>
      <c r="H1459">
        <v>476</v>
      </c>
      <c r="I1459">
        <v>-551.19000000000005</v>
      </c>
      <c r="J1459">
        <v>79</v>
      </c>
      <c r="K1459">
        <v>0</v>
      </c>
    </row>
    <row r="1460" spans="1:11" x14ac:dyDescent="0.2">
      <c r="A1460" t="s">
        <v>3018</v>
      </c>
      <c r="B1460" t="s">
        <v>3019</v>
      </c>
      <c r="C1460" s="2">
        <v>44970</v>
      </c>
      <c r="D1460" s="2">
        <v>44995</v>
      </c>
      <c r="E1460">
        <f t="shared" si="22"/>
        <v>25</v>
      </c>
      <c r="F1460" t="s">
        <v>14</v>
      </c>
      <c r="G1460">
        <v>25058</v>
      </c>
      <c r="H1460">
        <v>359</v>
      </c>
      <c r="I1460" s="3">
        <v>705.88</v>
      </c>
      <c r="J1460">
        <v>68</v>
      </c>
      <c r="K1460" t="s">
        <v>30</v>
      </c>
    </row>
    <row r="1461" spans="1:11" x14ac:dyDescent="0.2">
      <c r="A1461" t="s">
        <v>3020</v>
      </c>
      <c r="B1461" t="s">
        <v>3021</v>
      </c>
      <c r="C1461" s="2">
        <v>45103</v>
      </c>
      <c r="D1461" s="2">
        <v>45112</v>
      </c>
      <c r="E1461">
        <f t="shared" si="22"/>
        <v>9</v>
      </c>
      <c r="F1461" t="s">
        <v>33</v>
      </c>
      <c r="G1461">
        <v>46420</v>
      </c>
      <c r="H1461">
        <v>1646</v>
      </c>
      <c r="I1461">
        <v>2817.62</v>
      </c>
      <c r="K1461">
        <v>0</v>
      </c>
    </row>
    <row r="1462" spans="1:11" x14ac:dyDescent="0.2">
      <c r="A1462" t="s">
        <v>3022</v>
      </c>
      <c r="B1462" t="s">
        <v>3023</v>
      </c>
      <c r="C1462" s="2">
        <v>45189</v>
      </c>
      <c r="D1462" s="2">
        <v>45196</v>
      </c>
      <c r="E1462">
        <f t="shared" si="22"/>
        <v>7</v>
      </c>
      <c r="F1462" t="s">
        <v>19</v>
      </c>
      <c r="G1462">
        <v>39890</v>
      </c>
      <c r="H1462">
        <v>1193</v>
      </c>
      <c r="I1462">
        <v>500000</v>
      </c>
      <c r="J1462">
        <v>160</v>
      </c>
      <c r="K1462" t="s">
        <v>30</v>
      </c>
    </row>
    <row r="1463" spans="1:11" x14ac:dyDescent="0.2">
      <c r="A1463" t="s">
        <v>3024</v>
      </c>
      <c r="B1463" t="s">
        <v>3025</v>
      </c>
      <c r="C1463" s="2">
        <v>45242</v>
      </c>
      <c r="D1463" s="2">
        <v>45271</v>
      </c>
      <c r="E1463">
        <f t="shared" si="22"/>
        <v>29</v>
      </c>
      <c r="F1463" t="s">
        <v>14</v>
      </c>
      <c r="G1463">
        <v>67017</v>
      </c>
      <c r="H1463">
        <v>1760</v>
      </c>
      <c r="I1463">
        <v>2297.79</v>
      </c>
      <c r="K1463">
        <v>1</v>
      </c>
    </row>
    <row r="1464" spans="1:11" x14ac:dyDescent="0.2">
      <c r="A1464" t="s">
        <v>3026</v>
      </c>
      <c r="B1464" t="s">
        <v>3027</v>
      </c>
      <c r="C1464" s="2">
        <v>45014</v>
      </c>
      <c r="D1464" s="2">
        <v>45019</v>
      </c>
      <c r="E1464">
        <f t="shared" si="22"/>
        <v>5</v>
      </c>
      <c r="F1464" t="s">
        <v>33</v>
      </c>
      <c r="G1464">
        <v>48304</v>
      </c>
      <c r="H1464">
        <v>2324</v>
      </c>
      <c r="I1464">
        <v>4090.23</v>
      </c>
      <c r="K1464" t="s">
        <v>30</v>
      </c>
    </row>
    <row r="1465" spans="1:11" x14ac:dyDescent="0.2">
      <c r="A1465" t="s">
        <v>3028</v>
      </c>
      <c r="B1465" t="s">
        <v>3029</v>
      </c>
      <c r="C1465" s="2">
        <v>44954</v>
      </c>
      <c r="D1465" s="2">
        <v>44970</v>
      </c>
      <c r="E1465">
        <f t="shared" si="22"/>
        <v>16</v>
      </c>
      <c r="F1465" t="s">
        <v>33</v>
      </c>
      <c r="G1465">
        <v>33921</v>
      </c>
      <c r="H1465">
        <v>1048</v>
      </c>
      <c r="I1465">
        <v>1057.42</v>
      </c>
      <c r="J1465">
        <v>72</v>
      </c>
      <c r="K1465" t="b">
        <v>0</v>
      </c>
    </row>
    <row r="1466" spans="1:11" x14ac:dyDescent="0.2">
      <c r="A1466" t="s">
        <v>3030</v>
      </c>
      <c r="B1466" t="s">
        <v>3031</v>
      </c>
      <c r="C1466" s="2">
        <v>45208</v>
      </c>
      <c r="D1466" s="2">
        <v>45222</v>
      </c>
      <c r="E1466">
        <f t="shared" si="22"/>
        <v>14</v>
      </c>
      <c r="F1466" t="s">
        <v>33</v>
      </c>
      <c r="G1466">
        <v>2524</v>
      </c>
      <c r="H1466">
        <v>47</v>
      </c>
      <c r="I1466">
        <v>73.48</v>
      </c>
      <c r="J1466">
        <v>3</v>
      </c>
      <c r="K1466" t="b">
        <v>1</v>
      </c>
    </row>
    <row r="1467" spans="1:11" x14ac:dyDescent="0.2">
      <c r="A1467" t="s">
        <v>3032</v>
      </c>
      <c r="B1467" t="s">
        <v>3033</v>
      </c>
      <c r="C1467" s="2">
        <v>45075</v>
      </c>
      <c r="D1467" s="2">
        <v>45101</v>
      </c>
      <c r="E1467">
        <f t="shared" si="22"/>
        <v>26</v>
      </c>
      <c r="F1467" t="s">
        <v>23</v>
      </c>
      <c r="G1467">
        <v>16048</v>
      </c>
      <c r="H1467">
        <v>455</v>
      </c>
      <c r="I1467">
        <v>905.76</v>
      </c>
      <c r="J1467">
        <v>69</v>
      </c>
      <c r="K1467" t="s">
        <v>24</v>
      </c>
    </row>
    <row r="1468" spans="1:11" x14ac:dyDescent="0.2">
      <c r="A1468" t="s">
        <v>3034</v>
      </c>
      <c r="B1468" t="s">
        <v>3035</v>
      </c>
      <c r="C1468" s="2">
        <v>45028</v>
      </c>
      <c r="D1468" s="2">
        <v>45057</v>
      </c>
      <c r="E1468">
        <f t="shared" si="22"/>
        <v>29</v>
      </c>
      <c r="F1468" t="s">
        <v>33</v>
      </c>
      <c r="G1468">
        <v>36111</v>
      </c>
      <c r="H1468">
        <v>1689</v>
      </c>
      <c r="I1468">
        <v>1641.61</v>
      </c>
      <c r="J1468">
        <v>150</v>
      </c>
      <c r="K1468" t="b">
        <v>1</v>
      </c>
    </row>
    <row r="1469" spans="1:11" x14ac:dyDescent="0.2">
      <c r="A1469" t="s">
        <v>3036</v>
      </c>
      <c r="B1469" t="s">
        <v>3037</v>
      </c>
      <c r="C1469" s="2">
        <v>45096</v>
      </c>
      <c r="D1469" s="2">
        <v>45113</v>
      </c>
      <c r="E1469">
        <f t="shared" si="22"/>
        <v>17</v>
      </c>
      <c r="F1469" t="s">
        <v>19</v>
      </c>
      <c r="G1469">
        <v>38904</v>
      </c>
      <c r="H1469">
        <v>663</v>
      </c>
      <c r="I1469" s="3">
        <v>1001.81</v>
      </c>
      <c r="J1469">
        <v>58</v>
      </c>
      <c r="K1469" t="b">
        <v>1</v>
      </c>
    </row>
    <row r="1470" spans="1:11" x14ac:dyDescent="0.2">
      <c r="A1470" t="s">
        <v>3038</v>
      </c>
      <c r="B1470" t="s">
        <v>3039</v>
      </c>
      <c r="C1470" s="2">
        <v>45047</v>
      </c>
      <c r="D1470" s="2">
        <v>45058</v>
      </c>
      <c r="E1470">
        <f t="shared" si="22"/>
        <v>11</v>
      </c>
      <c r="F1470" t="s">
        <v>138</v>
      </c>
      <c r="G1470">
        <v>55912</v>
      </c>
      <c r="H1470">
        <v>1037</v>
      </c>
      <c r="I1470">
        <v>1831.83</v>
      </c>
      <c r="J1470">
        <v>207</v>
      </c>
      <c r="K1470" t="b">
        <v>1</v>
      </c>
    </row>
    <row r="1471" spans="1:11" x14ac:dyDescent="0.2">
      <c r="A1471" t="s">
        <v>3040</v>
      </c>
      <c r="B1471" t="s">
        <v>3041</v>
      </c>
      <c r="C1471" s="2">
        <v>45026</v>
      </c>
      <c r="D1471" s="2">
        <v>45037</v>
      </c>
      <c r="E1471">
        <f t="shared" si="22"/>
        <v>11</v>
      </c>
      <c r="F1471" t="s">
        <v>33</v>
      </c>
      <c r="G1471">
        <v>35008</v>
      </c>
      <c r="H1471">
        <v>368</v>
      </c>
      <c r="I1471" s="3">
        <v>689.53</v>
      </c>
      <c r="J1471">
        <v>28</v>
      </c>
      <c r="K1471" t="s">
        <v>24</v>
      </c>
    </row>
    <row r="1472" spans="1:11" x14ac:dyDescent="0.2">
      <c r="A1472" t="s">
        <v>3042</v>
      </c>
      <c r="B1472" t="s">
        <v>3043</v>
      </c>
      <c r="C1472" s="2">
        <v>45242</v>
      </c>
      <c r="D1472" s="2">
        <v>45243</v>
      </c>
      <c r="E1472">
        <f t="shared" si="22"/>
        <v>1</v>
      </c>
      <c r="F1472" t="s">
        <v>138</v>
      </c>
      <c r="G1472">
        <v>1060</v>
      </c>
      <c r="H1472">
        <v>11</v>
      </c>
      <c r="I1472">
        <v>17.350000000000001</v>
      </c>
      <c r="J1472">
        <v>0</v>
      </c>
      <c r="K1472">
        <v>0</v>
      </c>
    </row>
    <row r="1473" spans="1:11" x14ac:dyDescent="0.2">
      <c r="A1473" t="s">
        <v>3044</v>
      </c>
      <c r="B1473" t="s">
        <v>3045</v>
      </c>
      <c r="C1473" s="2">
        <v>45005</v>
      </c>
      <c r="D1473" s="2">
        <v>45021</v>
      </c>
      <c r="E1473">
        <f t="shared" si="22"/>
        <v>16</v>
      </c>
      <c r="F1473" t="s">
        <v>41</v>
      </c>
      <c r="G1473">
        <v>75666</v>
      </c>
      <c r="H1473">
        <v>3266</v>
      </c>
      <c r="I1473">
        <v>3022.4</v>
      </c>
      <c r="J1473">
        <v>211</v>
      </c>
      <c r="K1473" t="s">
        <v>24</v>
      </c>
    </row>
    <row r="1474" spans="1:11" x14ac:dyDescent="0.2">
      <c r="A1474" t="s">
        <v>3046</v>
      </c>
      <c r="B1474" t="s">
        <v>3047</v>
      </c>
      <c r="C1474" s="2">
        <v>45088</v>
      </c>
      <c r="D1474" s="2">
        <v>45105</v>
      </c>
      <c r="E1474">
        <f t="shared" ref="E1474:E1537" si="23">D1474-C1474</f>
        <v>17</v>
      </c>
      <c r="F1474" t="s">
        <v>14</v>
      </c>
      <c r="G1474">
        <v>84559</v>
      </c>
      <c r="H1474">
        <v>3321</v>
      </c>
      <c r="I1474">
        <v>3285.87</v>
      </c>
      <c r="J1474">
        <v>454</v>
      </c>
      <c r="K1474">
        <v>0</v>
      </c>
    </row>
    <row r="1475" spans="1:11" x14ac:dyDescent="0.2">
      <c r="A1475" t="s">
        <v>3048</v>
      </c>
      <c r="B1475" t="s">
        <v>3049</v>
      </c>
      <c r="C1475" s="2">
        <v>45087</v>
      </c>
      <c r="D1475" s="2">
        <v>45107</v>
      </c>
      <c r="E1475">
        <f t="shared" si="23"/>
        <v>20</v>
      </c>
      <c r="F1475" t="s">
        <v>33</v>
      </c>
      <c r="G1475">
        <v>56337</v>
      </c>
      <c r="H1475">
        <v>1363</v>
      </c>
      <c r="I1475">
        <v>723.94</v>
      </c>
      <c r="J1475">
        <v>196</v>
      </c>
      <c r="K1475" t="s">
        <v>24</v>
      </c>
    </row>
    <row r="1476" spans="1:11" x14ac:dyDescent="0.2">
      <c r="A1476" t="s">
        <v>3050</v>
      </c>
      <c r="B1476" t="s">
        <v>3051</v>
      </c>
      <c r="C1476" s="2">
        <v>45255</v>
      </c>
      <c r="D1476" s="2">
        <v>45268</v>
      </c>
      <c r="E1476">
        <f t="shared" si="23"/>
        <v>13</v>
      </c>
      <c r="F1476" t="s">
        <v>138</v>
      </c>
      <c r="G1476">
        <v>14350</v>
      </c>
      <c r="H1476">
        <v>544</v>
      </c>
      <c r="I1476" s="3">
        <v>892.88</v>
      </c>
      <c r="J1476">
        <v>57</v>
      </c>
      <c r="K1476" t="s">
        <v>24</v>
      </c>
    </row>
    <row r="1477" spans="1:11" x14ac:dyDescent="0.2">
      <c r="A1477" t="s">
        <v>3052</v>
      </c>
      <c r="B1477" t="s">
        <v>3053</v>
      </c>
      <c r="C1477" s="2">
        <v>44995</v>
      </c>
      <c r="D1477" s="2">
        <v>45022</v>
      </c>
      <c r="E1477">
        <f t="shared" si="23"/>
        <v>27</v>
      </c>
      <c r="F1477" t="s">
        <v>41</v>
      </c>
      <c r="G1477">
        <v>25354</v>
      </c>
      <c r="H1477">
        <v>654</v>
      </c>
      <c r="I1477">
        <v>368.93</v>
      </c>
      <c r="J1477">
        <v>85</v>
      </c>
      <c r="K1477" t="s">
        <v>30</v>
      </c>
    </row>
    <row r="1478" spans="1:11" x14ac:dyDescent="0.2">
      <c r="A1478" t="s">
        <v>3054</v>
      </c>
      <c r="B1478" t="s">
        <v>3055</v>
      </c>
      <c r="C1478" s="2">
        <v>45172</v>
      </c>
      <c r="D1478" s="2">
        <v>45187</v>
      </c>
      <c r="E1478">
        <f t="shared" si="23"/>
        <v>15</v>
      </c>
      <c r="F1478" t="s">
        <v>33</v>
      </c>
      <c r="G1478">
        <v>46186</v>
      </c>
      <c r="H1478">
        <v>2222</v>
      </c>
      <c r="I1478">
        <v>3992.89</v>
      </c>
      <c r="J1478">
        <v>373</v>
      </c>
      <c r="K1478">
        <v>0</v>
      </c>
    </row>
    <row r="1479" spans="1:11" x14ac:dyDescent="0.2">
      <c r="A1479" t="s">
        <v>3056</v>
      </c>
      <c r="B1479" t="s">
        <v>3057</v>
      </c>
      <c r="C1479" s="2">
        <v>45083</v>
      </c>
      <c r="D1479" s="2">
        <v>45103</v>
      </c>
      <c r="E1479">
        <f t="shared" si="23"/>
        <v>20</v>
      </c>
      <c r="F1479" t="s">
        <v>14</v>
      </c>
      <c r="G1479">
        <v>29145</v>
      </c>
      <c r="H1479">
        <v>1418</v>
      </c>
      <c r="I1479">
        <v>961.39</v>
      </c>
      <c r="K1479" t="s">
        <v>30</v>
      </c>
    </row>
    <row r="1480" spans="1:11" x14ac:dyDescent="0.2">
      <c r="A1480" t="s">
        <v>3058</v>
      </c>
      <c r="B1480" t="s">
        <v>3059</v>
      </c>
      <c r="C1480" s="2">
        <v>45257</v>
      </c>
      <c r="D1480" s="2">
        <v>45264</v>
      </c>
      <c r="E1480">
        <f t="shared" si="23"/>
        <v>7</v>
      </c>
      <c r="F1480" t="s">
        <v>14</v>
      </c>
      <c r="G1480">
        <v>35020</v>
      </c>
      <c r="H1480">
        <v>900</v>
      </c>
      <c r="I1480">
        <v>682.03</v>
      </c>
      <c r="K1480">
        <v>1</v>
      </c>
    </row>
    <row r="1481" spans="1:11" x14ac:dyDescent="0.2">
      <c r="A1481" t="s">
        <v>3060</v>
      </c>
      <c r="B1481" t="s">
        <v>3061</v>
      </c>
      <c r="C1481" s="2">
        <v>44998</v>
      </c>
      <c r="D1481" s="2">
        <v>45010</v>
      </c>
      <c r="E1481">
        <f t="shared" si="23"/>
        <v>12</v>
      </c>
      <c r="F1481" t="s">
        <v>234</v>
      </c>
      <c r="G1481">
        <v>87123</v>
      </c>
      <c r="H1481">
        <v>3848</v>
      </c>
      <c r="I1481">
        <v>4674.51</v>
      </c>
      <c r="J1481">
        <v>668</v>
      </c>
      <c r="K1481" t="s">
        <v>30</v>
      </c>
    </row>
    <row r="1482" spans="1:11" x14ac:dyDescent="0.2">
      <c r="A1482" t="s">
        <v>3062</v>
      </c>
      <c r="B1482" t="s">
        <v>3063</v>
      </c>
      <c r="C1482" s="2">
        <v>45247</v>
      </c>
      <c r="D1482" s="2">
        <v>45252</v>
      </c>
      <c r="E1482">
        <f t="shared" si="23"/>
        <v>5</v>
      </c>
      <c r="F1482" t="s">
        <v>14</v>
      </c>
      <c r="G1482">
        <v>76186</v>
      </c>
      <c r="H1482">
        <v>3117</v>
      </c>
      <c r="I1482" s="3">
        <v>5008.46</v>
      </c>
      <c r="J1482">
        <v>419</v>
      </c>
      <c r="K1482" t="b">
        <v>1</v>
      </c>
    </row>
    <row r="1483" spans="1:11" x14ac:dyDescent="0.2">
      <c r="A1483" t="s">
        <v>3065</v>
      </c>
      <c r="B1483" t="s">
        <v>3066</v>
      </c>
      <c r="C1483" s="2">
        <v>44965</v>
      </c>
      <c r="D1483" s="2">
        <v>44988</v>
      </c>
      <c r="E1483">
        <f t="shared" si="23"/>
        <v>23</v>
      </c>
      <c r="F1483" t="s">
        <v>19</v>
      </c>
      <c r="G1483">
        <v>86469</v>
      </c>
      <c r="H1483">
        <v>1936</v>
      </c>
      <c r="I1483">
        <v>1371.66</v>
      </c>
      <c r="J1483">
        <v>148</v>
      </c>
      <c r="K1483" t="s">
        <v>15</v>
      </c>
    </row>
    <row r="1484" spans="1:11" x14ac:dyDescent="0.2">
      <c r="A1484" t="s">
        <v>3067</v>
      </c>
      <c r="B1484" t="s">
        <v>3068</v>
      </c>
      <c r="C1484" s="2">
        <v>45250</v>
      </c>
      <c r="D1484" s="2">
        <v>45253</v>
      </c>
      <c r="E1484">
        <f t="shared" si="23"/>
        <v>3</v>
      </c>
      <c r="F1484" t="s">
        <v>41</v>
      </c>
      <c r="G1484">
        <v>21581</v>
      </c>
      <c r="H1484">
        <v>416</v>
      </c>
      <c r="I1484" s="3">
        <v>482.6</v>
      </c>
      <c r="J1484">
        <v>27</v>
      </c>
      <c r="K1484" t="s">
        <v>15</v>
      </c>
    </row>
    <row r="1485" spans="1:11" x14ac:dyDescent="0.2">
      <c r="A1485" t="s">
        <v>3070</v>
      </c>
      <c r="B1485" t="s">
        <v>3071</v>
      </c>
      <c r="C1485" s="2">
        <v>45224</v>
      </c>
      <c r="D1485" s="2">
        <v>45244</v>
      </c>
      <c r="E1485">
        <f t="shared" si="23"/>
        <v>20</v>
      </c>
      <c r="F1485" t="s">
        <v>33</v>
      </c>
      <c r="G1485">
        <v>89929</v>
      </c>
      <c r="H1485">
        <v>2547</v>
      </c>
      <c r="I1485">
        <v>3118.23</v>
      </c>
      <c r="J1485">
        <v>148</v>
      </c>
      <c r="K1485" t="b">
        <v>0</v>
      </c>
    </row>
    <row r="1486" spans="1:11" x14ac:dyDescent="0.2">
      <c r="A1486" t="s">
        <v>3072</v>
      </c>
      <c r="B1486" t="s">
        <v>3073</v>
      </c>
      <c r="C1486" s="2">
        <v>45035</v>
      </c>
      <c r="D1486" s="2">
        <v>45062</v>
      </c>
      <c r="E1486">
        <f t="shared" si="23"/>
        <v>27</v>
      </c>
      <c r="F1486" t="s">
        <v>33</v>
      </c>
      <c r="G1486">
        <v>24051</v>
      </c>
      <c r="H1486">
        <v>992</v>
      </c>
      <c r="I1486">
        <v>811.88</v>
      </c>
      <c r="J1486">
        <v>148</v>
      </c>
      <c r="K1486" t="b">
        <v>0</v>
      </c>
    </row>
    <row r="1487" spans="1:11" x14ac:dyDescent="0.2">
      <c r="A1487" t="s">
        <v>3074</v>
      </c>
      <c r="B1487" t="s">
        <v>3075</v>
      </c>
      <c r="C1487" s="2">
        <v>45205</v>
      </c>
      <c r="D1487" s="2">
        <v>45228</v>
      </c>
      <c r="E1487">
        <f t="shared" si="23"/>
        <v>23</v>
      </c>
      <c r="F1487" t="s">
        <v>14</v>
      </c>
      <c r="G1487">
        <v>52474</v>
      </c>
      <c r="H1487">
        <v>2540</v>
      </c>
      <c r="I1487">
        <v>1710.28</v>
      </c>
      <c r="J1487">
        <v>434</v>
      </c>
      <c r="K1487" t="s">
        <v>30</v>
      </c>
    </row>
    <row r="1488" spans="1:11" x14ac:dyDescent="0.2">
      <c r="A1488" t="s">
        <v>3076</v>
      </c>
      <c r="B1488" t="s">
        <v>3077</v>
      </c>
      <c r="C1488" s="2">
        <v>45261</v>
      </c>
      <c r="D1488" s="2">
        <v>45283</v>
      </c>
      <c r="E1488">
        <f t="shared" si="23"/>
        <v>22</v>
      </c>
      <c r="F1488" t="s">
        <v>41</v>
      </c>
      <c r="G1488">
        <v>92748</v>
      </c>
      <c r="H1488">
        <v>3760</v>
      </c>
      <c r="I1488">
        <v>6597.41</v>
      </c>
      <c r="J1488">
        <v>474</v>
      </c>
      <c r="K1488" t="s">
        <v>24</v>
      </c>
    </row>
    <row r="1489" spans="1:11" x14ac:dyDescent="0.2">
      <c r="A1489" t="s">
        <v>3078</v>
      </c>
      <c r="B1489" t="s">
        <v>3079</v>
      </c>
      <c r="C1489" s="2">
        <v>45041</v>
      </c>
      <c r="D1489" s="2">
        <v>45054</v>
      </c>
      <c r="E1489">
        <f t="shared" si="23"/>
        <v>13</v>
      </c>
      <c r="F1489" t="s">
        <v>23</v>
      </c>
      <c r="G1489">
        <v>70626</v>
      </c>
      <c r="H1489">
        <v>3122</v>
      </c>
      <c r="I1489">
        <v>3914.05</v>
      </c>
      <c r="J1489">
        <v>181</v>
      </c>
      <c r="K1489" t="s">
        <v>24</v>
      </c>
    </row>
    <row r="1490" spans="1:11" x14ac:dyDescent="0.2">
      <c r="A1490" t="s">
        <v>3080</v>
      </c>
      <c r="B1490" t="s">
        <v>3081</v>
      </c>
      <c r="C1490" s="2">
        <v>45075</v>
      </c>
      <c r="D1490" s="2">
        <v>45081</v>
      </c>
      <c r="E1490">
        <f t="shared" si="23"/>
        <v>6</v>
      </c>
      <c r="F1490" t="s">
        <v>138</v>
      </c>
      <c r="G1490">
        <v>7960</v>
      </c>
      <c r="H1490">
        <v>271</v>
      </c>
      <c r="I1490">
        <v>141.35</v>
      </c>
      <c r="J1490">
        <v>35</v>
      </c>
      <c r="K1490" t="s">
        <v>15</v>
      </c>
    </row>
    <row r="1491" spans="1:11" x14ac:dyDescent="0.2">
      <c r="A1491" t="s">
        <v>3082</v>
      </c>
      <c r="B1491" t="s">
        <v>3083</v>
      </c>
      <c r="C1491" s="2">
        <v>44973</v>
      </c>
      <c r="D1491" s="2">
        <v>44999</v>
      </c>
      <c r="E1491">
        <f t="shared" si="23"/>
        <v>26</v>
      </c>
      <c r="F1491" t="s">
        <v>14</v>
      </c>
      <c r="G1491">
        <v>36772</v>
      </c>
      <c r="H1491">
        <v>1596</v>
      </c>
      <c r="I1491">
        <v>2720.34</v>
      </c>
      <c r="K1491" t="b">
        <v>1</v>
      </c>
    </row>
    <row r="1492" spans="1:11" x14ac:dyDescent="0.2">
      <c r="A1492" t="s">
        <v>3084</v>
      </c>
      <c r="B1492" t="s">
        <v>3085</v>
      </c>
      <c r="C1492" s="2">
        <v>45266</v>
      </c>
      <c r="D1492" s="2">
        <v>45279</v>
      </c>
      <c r="E1492">
        <f t="shared" si="23"/>
        <v>13</v>
      </c>
      <c r="F1492" t="s">
        <v>415</v>
      </c>
      <c r="G1492">
        <v>22520</v>
      </c>
      <c r="H1492">
        <v>931</v>
      </c>
      <c r="I1492">
        <v>1835.18</v>
      </c>
      <c r="J1492">
        <v>130</v>
      </c>
      <c r="K1492">
        <v>0</v>
      </c>
    </row>
    <row r="1493" spans="1:11" x14ac:dyDescent="0.2">
      <c r="A1493" t="s">
        <v>3086</v>
      </c>
      <c r="B1493" t="s">
        <v>3087</v>
      </c>
      <c r="C1493" s="2">
        <v>45241</v>
      </c>
      <c r="D1493" s="2">
        <v>45248</v>
      </c>
      <c r="E1493">
        <f t="shared" si="23"/>
        <v>7</v>
      </c>
      <c r="F1493" t="s">
        <v>23</v>
      </c>
      <c r="G1493">
        <v>50481</v>
      </c>
      <c r="H1493">
        <v>1266</v>
      </c>
      <c r="I1493" s="3">
        <v>1783.65</v>
      </c>
      <c r="J1493">
        <v>217</v>
      </c>
      <c r="K1493" t="b">
        <v>1</v>
      </c>
    </row>
    <row r="1494" spans="1:11" x14ac:dyDescent="0.2">
      <c r="A1494" t="s">
        <v>3088</v>
      </c>
      <c r="B1494" t="s">
        <v>3089</v>
      </c>
      <c r="C1494" s="2">
        <v>44998</v>
      </c>
      <c r="D1494" s="2">
        <v>45005</v>
      </c>
      <c r="E1494">
        <f t="shared" si="23"/>
        <v>7</v>
      </c>
      <c r="F1494" t="s">
        <v>41</v>
      </c>
      <c r="G1494">
        <v>37408</v>
      </c>
      <c r="H1494">
        <v>1200</v>
      </c>
      <c r="I1494">
        <v>1506.68</v>
      </c>
      <c r="J1494">
        <v>204</v>
      </c>
      <c r="K1494" t="b">
        <v>1</v>
      </c>
    </row>
    <row r="1495" spans="1:11" x14ac:dyDescent="0.2">
      <c r="A1495" t="s">
        <v>3090</v>
      </c>
      <c r="B1495" t="s">
        <v>3091</v>
      </c>
      <c r="C1495" s="2">
        <v>45216</v>
      </c>
      <c r="D1495" s="2">
        <v>45227</v>
      </c>
      <c r="E1495">
        <f t="shared" si="23"/>
        <v>11</v>
      </c>
      <c r="F1495" t="s">
        <v>14</v>
      </c>
      <c r="G1495">
        <v>95006</v>
      </c>
      <c r="H1495">
        <v>4008</v>
      </c>
      <c r="I1495">
        <v>7285.04</v>
      </c>
      <c r="J1495">
        <v>760</v>
      </c>
      <c r="K1495" t="s">
        <v>30</v>
      </c>
    </row>
    <row r="1496" spans="1:11" x14ac:dyDescent="0.2">
      <c r="A1496" t="s">
        <v>3092</v>
      </c>
      <c r="B1496" t="s">
        <v>3093</v>
      </c>
      <c r="C1496" s="2">
        <v>45067</v>
      </c>
      <c r="D1496" s="2">
        <v>45174</v>
      </c>
      <c r="E1496">
        <f t="shared" si="23"/>
        <v>107</v>
      </c>
      <c r="F1496" t="s">
        <v>41</v>
      </c>
      <c r="G1496">
        <v>58134</v>
      </c>
      <c r="H1496">
        <v>688</v>
      </c>
      <c r="I1496">
        <v>1327</v>
      </c>
      <c r="J1496">
        <v>113</v>
      </c>
      <c r="K1496" t="s">
        <v>30</v>
      </c>
    </row>
    <row r="1497" spans="1:11" x14ac:dyDescent="0.2">
      <c r="A1497" t="s">
        <v>3094</v>
      </c>
      <c r="B1497" t="s">
        <v>3095</v>
      </c>
      <c r="C1497" s="2">
        <v>45176</v>
      </c>
      <c r="D1497" s="2">
        <v>45189</v>
      </c>
      <c r="E1497">
        <f t="shared" si="23"/>
        <v>13</v>
      </c>
      <c r="F1497" t="s">
        <v>41</v>
      </c>
      <c r="G1497">
        <v>21491</v>
      </c>
      <c r="H1497">
        <v>909</v>
      </c>
      <c r="I1497">
        <v>1483.31</v>
      </c>
      <c r="K1497">
        <v>1</v>
      </c>
    </row>
    <row r="1498" spans="1:11" x14ac:dyDescent="0.2">
      <c r="A1498" t="s">
        <v>3096</v>
      </c>
      <c r="B1498" t="s">
        <v>3097</v>
      </c>
      <c r="C1498" s="2">
        <v>45046</v>
      </c>
      <c r="D1498" s="2">
        <v>45055</v>
      </c>
      <c r="E1498">
        <f t="shared" si="23"/>
        <v>9</v>
      </c>
      <c r="F1498" t="s">
        <v>23</v>
      </c>
      <c r="G1498">
        <v>2341</v>
      </c>
      <c r="H1498">
        <v>40</v>
      </c>
      <c r="I1498" s="3">
        <v>46.73</v>
      </c>
      <c r="J1498">
        <v>3</v>
      </c>
      <c r="K1498" t="b">
        <v>1</v>
      </c>
    </row>
    <row r="1499" spans="1:11" x14ac:dyDescent="0.2">
      <c r="A1499" t="s">
        <v>3099</v>
      </c>
      <c r="B1499" t="s">
        <v>3100</v>
      </c>
      <c r="C1499" s="2">
        <v>45027</v>
      </c>
      <c r="D1499" s="2">
        <v>45032</v>
      </c>
      <c r="E1499">
        <f t="shared" si="23"/>
        <v>5</v>
      </c>
      <c r="F1499" t="s">
        <v>19</v>
      </c>
      <c r="G1499">
        <v>45623</v>
      </c>
      <c r="H1499">
        <v>1395</v>
      </c>
      <c r="I1499">
        <v>1936.72</v>
      </c>
      <c r="J1499">
        <v>82</v>
      </c>
      <c r="K1499" t="s">
        <v>24</v>
      </c>
    </row>
    <row r="1500" spans="1:11" x14ac:dyDescent="0.2">
      <c r="A1500" t="s">
        <v>3101</v>
      </c>
      <c r="B1500" t="s">
        <v>3102</v>
      </c>
      <c r="C1500" s="2">
        <v>45125</v>
      </c>
      <c r="D1500" s="2">
        <v>45148</v>
      </c>
      <c r="E1500">
        <f t="shared" si="23"/>
        <v>23</v>
      </c>
      <c r="F1500" t="s">
        <v>19</v>
      </c>
      <c r="G1500">
        <v>91327</v>
      </c>
      <c r="H1500">
        <v>3865</v>
      </c>
      <c r="I1500">
        <v>5996.17</v>
      </c>
      <c r="J1500">
        <v>493</v>
      </c>
      <c r="K1500" t="s">
        <v>24</v>
      </c>
    </row>
    <row r="1501" spans="1:11" x14ac:dyDescent="0.2">
      <c r="A1501" t="s">
        <v>3103</v>
      </c>
      <c r="B1501" t="s">
        <v>3104</v>
      </c>
      <c r="C1501" s="2">
        <v>44950</v>
      </c>
      <c r="D1501" s="2">
        <v>44960</v>
      </c>
      <c r="E1501">
        <f t="shared" si="23"/>
        <v>10</v>
      </c>
      <c r="F1501" t="s">
        <v>23</v>
      </c>
      <c r="G1501">
        <v>1338</v>
      </c>
      <c r="H1501">
        <v>26</v>
      </c>
      <c r="I1501">
        <v>20.58</v>
      </c>
      <c r="K1501" t="b">
        <v>1</v>
      </c>
    </row>
    <row r="1502" spans="1:11" x14ac:dyDescent="0.2">
      <c r="A1502" t="s">
        <v>3105</v>
      </c>
      <c r="B1502" t="s">
        <v>3106</v>
      </c>
      <c r="C1502" s="2">
        <v>45259</v>
      </c>
      <c r="D1502" s="2">
        <v>45288</v>
      </c>
      <c r="E1502">
        <f t="shared" si="23"/>
        <v>29</v>
      </c>
      <c r="F1502" t="s">
        <v>14</v>
      </c>
      <c r="G1502">
        <v>72431</v>
      </c>
      <c r="H1502">
        <v>1436</v>
      </c>
      <c r="I1502">
        <v>1681.27</v>
      </c>
      <c r="J1502">
        <v>279</v>
      </c>
      <c r="K1502" t="s">
        <v>30</v>
      </c>
    </row>
    <row r="1503" spans="1:11" x14ac:dyDescent="0.2">
      <c r="A1503" t="s">
        <v>3107</v>
      </c>
      <c r="B1503" t="s">
        <v>3108</v>
      </c>
      <c r="C1503" s="2">
        <v>45193</v>
      </c>
      <c r="D1503" s="2">
        <v>45201</v>
      </c>
      <c r="E1503">
        <f t="shared" si="23"/>
        <v>8</v>
      </c>
      <c r="F1503" t="s">
        <v>138</v>
      </c>
      <c r="G1503">
        <v>13254</v>
      </c>
      <c r="H1503">
        <v>346</v>
      </c>
      <c r="I1503">
        <v>603.67999999999995</v>
      </c>
      <c r="J1503">
        <v>32</v>
      </c>
      <c r="K1503" t="s">
        <v>30</v>
      </c>
    </row>
    <row r="1504" spans="1:11" x14ac:dyDescent="0.2">
      <c r="A1504" t="s">
        <v>3109</v>
      </c>
      <c r="B1504" t="s">
        <v>3110</v>
      </c>
      <c r="C1504" s="2">
        <v>45061</v>
      </c>
      <c r="D1504" s="2">
        <v>45074</v>
      </c>
      <c r="E1504">
        <f t="shared" si="23"/>
        <v>13</v>
      </c>
      <c r="F1504" t="s">
        <v>14</v>
      </c>
      <c r="G1504">
        <v>52860</v>
      </c>
      <c r="H1504">
        <v>2420</v>
      </c>
      <c r="I1504">
        <v>3586.65</v>
      </c>
      <c r="J1504">
        <v>430</v>
      </c>
      <c r="K1504">
        <v>1</v>
      </c>
    </row>
    <row r="1505" spans="1:11" x14ac:dyDescent="0.2">
      <c r="A1505" t="s">
        <v>3111</v>
      </c>
      <c r="B1505" t="s">
        <v>3112</v>
      </c>
      <c r="C1505" s="2">
        <v>45119</v>
      </c>
      <c r="D1505" s="2">
        <v>45139</v>
      </c>
      <c r="E1505">
        <f t="shared" si="23"/>
        <v>20</v>
      </c>
      <c r="F1505" t="s">
        <v>41</v>
      </c>
      <c r="G1505">
        <v>12344</v>
      </c>
      <c r="H1505">
        <v>123</v>
      </c>
      <c r="I1505">
        <v>137.37</v>
      </c>
      <c r="J1505">
        <v>13</v>
      </c>
      <c r="K1505">
        <v>1</v>
      </c>
    </row>
    <row r="1506" spans="1:11" x14ac:dyDescent="0.2">
      <c r="A1506" t="s">
        <v>3113</v>
      </c>
      <c r="B1506" t="s">
        <v>3114</v>
      </c>
      <c r="C1506" s="2">
        <v>44967</v>
      </c>
      <c r="D1506" s="2">
        <v>45261</v>
      </c>
      <c r="E1506">
        <f t="shared" si="23"/>
        <v>294</v>
      </c>
      <c r="F1506" t="s">
        <v>14</v>
      </c>
      <c r="G1506">
        <v>2750</v>
      </c>
      <c r="H1506">
        <v>126</v>
      </c>
      <c r="I1506">
        <v>188.38</v>
      </c>
      <c r="J1506">
        <v>12</v>
      </c>
      <c r="K1506" t="b">
        <v>0</v>
      </c>
    </row>
    <row r="1507" spans="1:11" x14ac:dyDescent="0.2">
      <c r="A1507" t="s">
        <v>3115</v>
      </c>
      <c r="B1507" t="s">
        <v>3116</v>
      </c>
      <c r="C1507" s="2">
        <v>45055</v>
      </c>
      <c r="D1507" s="2">
        <v>45071</v>
      </c>
      <c r="E1507">
        <f t="shared" si="23"/>
        <v>16</v>
      </c>
      <c r="F1507" t="s">
        <v>33</v>
      </c>
      <c r="G1507">
        <v>55756</v>
      </c>
      <c r="H1507">
        <v>900</v>
      </c>
      <c r="I1507">
        <v>609.6</v>
      </c>
      <c r="J1507">
        <v>171</v>
      </c>
      <c r="K1507" t="s">
        <v>15</v>
      </c>
    </row>
    <row r="1508" spans="1:11" x14ac:dyDescent="0.2">
      <c r="A1508" t="s">
        <v>3117</v>
      </c>
      <c r="B1508" t="s">
        <v>3118</v>
      </c>
      <c r="C1508" s="2">
        <v>45191</v>
      </c>
      <c r="D1508" s="2">
        <v>45192</v>
      </c>
      <c r="E1508">
        <f t="shared" si="23"/>
        <v>1</v>
      </c>
      <c r="F1508" t="s">
        <v>19</v>
      </c>
      <c r="G1508">
        <v>68957</v>
      </c>
      <c r="H1508">
        <v>3420</v>
      </c>
      <c r="I1508" s="3">
        <v>3769.68</v>
      </c>
      <c r="J1508">
        <v>357</v>
      </c>
      <c r="K1508" t="b">
        <v>1</v>
      </c>
    </row>
    <row r="1509" spans="1:11" x14ac:dyDescent="0.2">
      <c r="A1509" t="s">
        <v>3119</v>
      </c>
      <c r="B1509" t="s">
        <v>3120</v>
      </c>
      <c r="C1509" s="2">
        <v>45103</v>
      </c>
      <c r="D1509" s="2">
        <v>45125</v>
      </c>
      <c r="E1509">
        <f t="shared" si="23"/>
        <v>22</v>
      </c>
      <c r="F1509" t="s">
        <v>41</v>
      </c>
      <c r="G1509">
        <v>59053</v>
      </c>
      <c r="H1509">
        <v>2845</v>
      </c>
      <c r="I1509">
        <v>4807.18</v>
      </c>
      <c r="J1509">
        <v>308</v>
      </c>
      <c r="K1509" t="s">
        <v>24</v>
      </c>
    </row>
    <row r="1510" spans="1:11" x14ac:dyDescent="0.2">
      <c r="A1510" t="s">
        <v>3121</v>
      </c>
      <c r="B1510" t="s">
        <v>3122</v>
      </c>
      <c r="C1510" s="2">
        <v>45088</v>
      </c>
      <c r="D1510" s="2">
        <v>45266</v>
      </c>
      <c r="E1510">
        <f t="shared" si="23"/>
        <v>178</v>
      </c>
      <c r="F1510" t="s">
        <v>19</v>
      </c>
      <c r="G1510">
        <v>71855</v>
      </c>
      <c r="H1510">
        <v>2140</v>
      </c>
      <c r="I1510">
        <v>1777.83</v>
      </c>
      <c r="J1510">
        <v>141</v>
      </c>
      <c r="K1510" t="b">
        <v>1</v>
      </c>
    </row>
    <row r="1511" spans="1:11" x14ac:dyDescent="0.2">
      <c r="A1511" t="s">
        <v>3123</v>
      </c>
      <c r="B1511" t="s">
        <v>3124</v>
      </c>
      <c r="C1511" s="2">
        <v>44998</v>
      </c>
      <c r="D1511" s="2">
        <v>45017</v>
      </c>
      <c r="E1511">
        <f t="shared" si="23"/>
        <v>19</v>
      </c>
      <c r="F1511" t="s">
        <v>138</v>
      </c>
      <c r="G1511">
        <v>16896</v>
      </c>
      <c r="H1511">
        <v>515</v>
      </c>
      <c r="I1511">
        <v>401.16</v>
      </c>
      <c r="J1511">
        <v>77</v>
      </c>
      <c r="K1511">
        <v>1</v>
      </c>
    </row>
    <row r="1512" spans="1:11" x14ac:dyDescent="0.2">
      <c r="A1512" t="s">
        <v>3125</v>
      </c>
      <c r="B1512" t="s">
        <v>3126</v>
      </c>
      <c r="C1512" s="2">
        <v>45190</v>
      </c>
      <c r="D1512" s="2">
        <v>45198</v>
      </c>
      <c r="E1512">
        <f t="shared" si="23"/>
        <v>8</v>
      </c>
      <c r="F1512" t="s">
        <v>138</v>
      </c>
      <c r="G1512">
        <v>56761</v>
      </c>
      <c r="H1512">
        <v>1660</v>
      </c>
      <c r="I1512" s="3">
        <v>3197.54</v>
      </c>
      <c r="J1512">
        <v>154</v>
      </c>
      <c r="K1512">
        <v>1</v>
      </c>
    </row>
    <row r="1513" spans="1:11" x14ac:dyDescent="0.2">
      <c r="A1513" t="s">
        <v>3127</v>
      </c>
      <c r="B1513" t="s">
        <v>3128</v>
      </c>
      <c r="C1513" s="2">
        <v>45022</v>
      </c>
      <c r="D1513" s="2">
        <v>45043</v>
      </c>
      <c r="E1513">
        <f t="shared" si="23"/>
        <v>21</v>
      </c>
      <c r="F1513" t="s">
        <v>33</v>
      </c>
      <c r="G1513">
        <v>63552</v>
      </c>
      <c r="H1513">
        <v>2250</v>
      </c>
      <c r="I1513">
        <v>1833.4</v>
      </c>
      <c r="J1513">
        <v>310</v>
      </c>
      <c r="K1513" t="b">
        <v>0</v>
      </c>
    </row>
    <row r="1514" spans="1:11" x14ac:dyDescent="0.2">
      <c r="A1514" t="s">
        <v>3129</v>
      </c>
      <c r="B1514" t="s">
        <v>3130</v>
      </c>
      <c r="C1514" s="2">
        <v>44987</v>
      </c>
      <c r="D1514" s="2">
        <v>45010</v>
      </c>
      <c r="E1514">
        <f t="shared" si="23"/>
        <v>23</v>
      </c>
      <c r="F1514" t="s">
        <v>23</v>
      </c>
      <c r="G1514">
        <v>78454</v>
      </c>
      <c r="H1514">
        <v>1069</v>
      </c>
      <c r="I1514">
        <v>952.88</v>
      </c>
      <c r="J1514">
        <v>148</v>
      </c>
      <c r="K1514" t="s">
        <v>15</v>
      </c>
    </row>
    <row r="1515" spans="1:11" x14ac:dyDescent="0.2">
      <c r="A1515" t="s">
        <v>3131</v>
      </c>
      <c r="B1515" t="s">
        <v>3132</v>
      </c>
      <c r="C1515" s="2">
        <v>45096</v>
      </c>
      <c r="D1515" s="2">
        <v>45099</v>
      </c>
      <c r="E1515">
        <f t="shared" si="23"/>
        <v>3</v>
      </c>
      <c r="F1515" t="s">
        <v>415</v>
      </c>
      <c r="G1515">
        <v>91600</v>
      </c>
      <c r="H1515">
        <v>1035</v>
      </c>
      <c r="I1515">
        <v>2022.83</v>
      </c>
      <c r="J1515">
        <v>163</v>
      </c>
      <c r="K1515" t="b">
        <v>0</v>
      </c>
    </row>
    <row r="1516" spans="1:11" x14ac:dyDescent="0.2">
      <c r="A1516" t="s">
        <v>3133</v>
      </c>
      <c r="B1516" t="s">
        <v>3134</v>
      </c>
      <c r="C1516" s="2">
        <v>45172</v>
      </c>
      <c r="D1516" s="2">
        <v>45187</v>
      </c>
      <c r="E1516">
        <f t="shared" si="23"/>
        <v>15</v>
      </c>
      <c r="F1516" t="s">
        <v>19</v>
      </c>
      <c r="G1516">
        <v>28935</v>
      </c>
      <c r="H1516">
        <v>356</v>
      </c>
      <c r="I1516">
        <v>570.33000000000004</v>
      </c>
      <c r="J1516">
        <v>57</v>
      </c>
      <c r="K1516" t="s">
        <v>24</v>
      </c>
    </row>
    <row r="1517" spans="1:11" x14ac:dyDescent="0.2">
      <c r="A1517" t="s">
        <v>3135</v>
      </c>
      <c r="B1517" t="s">
        <v>3136</v>
      </c>
      <c r="C1517" s="2">
        <v>45258</v>
      </c>
      <c r="D1517" s="2">
        <v>45281</v>
      </c>
      <c r="E1517">
        <f t="shared" si="23"/>
        <v>23</v>
      </c>
      <c r="F1517" t="s">
        <v>14</v>
      </c>
      <c r="G1517">
        <v>38641</v>
      </c>
      <c r="H1517">
        <v>1073</v>
      </c>
      <c r="I1517">
        <v>1662.5</v>
      </c>
      <c r="J1517">
        <v>136</v>
      </c>
      <c r="K1517" t="s">
        <v>15</v>
      </c>
    </row>
    <row r="1518" spans="1:11" x14ac:dyDescent="0.2">
      <c r="A1518" t="s">
        <v>3137</v>
      </c>
      <c r="B1518" t="s">
        <v>3138</v>
      </c>
      <c r="C1518" s="2">
        <v>44949</v>
      </c>
      <c r="D1518" s="2">
        <v>44975</v>
      </c>
      <c r="E1518">
        <f t="shared" si="23"/>
        <v>26</v>
      </c>
      <c r="F1518" t="s">
        <v>23</v>
      </c>
      <c r="G1518">
        <v>30711</v>
      </c>
      <c r="H1518">
        <v>645</v>
      </c>
      <c r="I1518">
        <v>1147.71</v>
      </c>
      <c r="J1518">
        <v>64</v>
      </c>
      <c r="K1518">
        <v>0</v>
      </c>
    </row>
    <row r="1519" spans="1:11" x14ac:dyDescent="0.2">
      <c r="A1519" t="s">
        <v>3139</v>
      </c>
      <c r="B1519" t="s">
        <v>3140</v>
      </c>
      <c r="C1519" s="2">
        <v>44995</v>
      </c>
      <c r="D1519" s="2">
        <v>45203</v>
      </c>
      <c r="E1519">
        <f t="shared" si="23"/>
        <v>208</v>
      </c>
      <c r="F1519" t="s">
        <v>19</v>
      </c>
      <c r="G1519">
        <v>71342</v>
      </c>
      <c r="H1519">
        <v>2488</v>
      </c>
      <c r="I1519">
        <v>1676.25</v>
      </c>
      <c r="J1519">
        <v>436</v>
      </c>
      <c r="K1519" t="b">
        <v>1</v>
      </c>
    </row>
    <row r="1520" spans="1:11" x14ac:dyDescent="0.2">
      <c r="A1520" t="s">
        <v>3141</v>
      </c>
      <c r="B1520" t="s">
        <v>3142</v>
      </c>
      <c r="C1520" s="2">
        <v>45220</v>
      </c>
      <c r="D1520" s="2">
        <v>45233</v>
      </c>
      <c r="E1520">
        <f t="shared" si="23"/>
        <v>13</v>
      </c>
      <c r="F1520" t="s">
        <v>138</v>
      </c>
      <c r="G1520">
        <v>13182</v>
      </c>
      <c r="H1520">
        <v>655</v>
      </c>
      <c r="I1520">
        <v>1021.1</v>
      </c>
      <c r="J1520">
        <v>63</v>
      </c>
      <c r="K1520" t="b">
        <v>0</v>
      </c>
    </row>
    <row r="1521" spans="1:11" x14ac:dyDescent="0.2">
      <c r="A1521" t="s">
        <v>3143</v>
      </c>
      <c r="B1521" t="s">
        <v>3144</v>
      </c>
      <c r="C1521" s="2">
        <v>45019</v>
      </c>
      <c r="D1521" s="2">
        <v>45038</v>
      </c>
      <c r="E1521">
        <f t="shared" si="23"/>
        <v>19</v>
      </c>
      <c r="F1521" t="s">
        <v>33</v>
      </c>
      <c r="G1521">
        <v>88833</v>
      </c>
      <c r="H1521">
        <v>2261</v>
      </c>
      <c r="I1521">
        <v>2838.76</v>
      </c>
      <c r="J1521">
        <v>285</v>
      </c>
      <c r="K1521">
        <v>1</v>
      </c>
    </row>
    <row r="1522" spans="1:11" x14ac:dyDescent="0.2">
      <c r="A1522" t="s">
        <v>3145</v>
      </c>
      <c r="B1522" t="s">
        <v>3146</v>
      </c>
      <c r="C1522" s="2">
        <v>45215</v>
      </c>
      <c r="D1522" s="2">
        <v>45227</v>
      </c>
      <c r="E1522">
        <f t="shared" si="23"/>
        <v>12</v>
      </c>
      <c r="F1522" t="s">
        <v>41</v>
      </c>
      <c r="G1522">
        <v>57276</v>
      </c>
      <c r="H1522">
        <v>1887</v>
      </c>
      <c r="I1522">
        <v>3290.41</v>
      </c>
      <c r="J1522">
        <v>207</v>
      </c>
      <c r="K1522" t="b">
        <v>0</v>
      </c>
    </row>
    <row r="1523" spans="1:11" x14ac:dyDescent="0.2">
      <c r="A1523" t="s">
        <v>3147</v>
      </c>
      <c r="B1523" t="s">
        <v>3148</v>
      </c>
      <c r="C1523" s="2">
        <v>45265</v>
      </c>
      <c r="D1523" s="2">
        <v>45277</v>
      </c>
      <c r="E1523">
        <f t="shared" si="23"/>
        <v>12</v>
      </c>
      <c r="F1523" t="s">
        <v>23</v>
      </c>
      <c r="G1523">
        <v>20541</v>
      </c>
      <c r="H1523">
        <v>546</v>
      </c>
      <c r="I1523">
        <v>689.17</v>
      </c>
      <c r="J1523">
        <v>97</v>
      </c>
      <c r="K1523">
        <v>0</v>
      </c>
    </row>
    <row r="1524" spans="1:11" x14ac:dyDescent="0.2">
      <c r="A1524" t="s">
        <v>3149</v>
      </c>
      <c r="B1524" t="s">
        <v>3150</v>
      </c>
      <c r="C1524" s="2">
        <v>45037</v>
      </c>
      <c r="D1524" s="2">
        <v>45050</v>
      </c>
      <c r="E1524">
        <f t="shared" si="23"/>
        <v>13</v>
      </c>
      <c r="F1524" t="s">
        <v>14</v>
      </c>
      <c r="G1524">
        <v>95457</v>
      </c>
      <c r="H1524">
        <v>4189</v>
      </c>
      <c r="I1524">
        <v>5991.79</v>
      </c>
      <c r="J1524">
        <v>480</v>
      </c>
      <c r="K1524" t="b">
        <v>0</v>
      </c>
    </row>
    <row r="1525" spans="1:11" x14ac:dyDescent="0.2">
      <c r="A1525" t="s">
        <v>3151</v>
      </c>
      <c r="B1525" t="s">
        <v>3152</v>
      </c>
      <c r="C1525" s="2">
        <v>45173</v>
      </c>
      <c r="D1525" s="2">
        <v>45174</v>
      </c>
      <c r="E1525">
        <f t="shared" si="23"/>
        <v>1</v>
      </c>
      <c r="F1525" t="s">
        <v>14</v>
      </c>
      <c r="G1525">
        <v>83310</v>
      </c>
      <c r="H1525">
        <v>3839</v>
      </c>
      <c r="I1525">
        <v>4670.58</v>
      </c>
      <c r="J1525">
        <v>414</v>
      </c>
      <c r="K1525" t="b">
        <v>1</v>
      </c>
    </row>
    <row r="1526" spans="1:11" x14ac:dyDescent="0.2">
      <c r="A1526" t="s">
        <v>3153</v>
      </c>
      <c r="B1526" t="s">
        <v>3154</v>
      </c>
      <c r="C1526" s="2">
        <v>45234</v>
      </c>
      <c r="D1526" s="2">
        <v>45250</v>
      </c>
      <c r="E1526">
        <f t="shared" si="23"/>
        <v>16</v>
      </c>
      <c r="F1526" t="s">
        <v>19</v>
      </c>
      <c r="G1526">
        <v>45813</v>
      </c>
      <c r="H1526">
        <v>2065</v>
      </c>
      <c r="I1526">
        <v>2513.6</v>
      </c>
      <c r="J1526">
        <v>316</v>
      </c>
      <c r="K1526">
        <v>0</v>
      </c>
    </row>
    <row r="1527" spans="1:11" x14ac:dyDescent="0.2">
      <c r="A1527" t="s">
        <v>3155</v>
      </c>
      <c r="B1527" t="s">
        <v>3156</v>
      </c>
      <c r="C1527" s="2">
        <v>45020</v>
      </c>
      <c r="D1527" s="2">
        <v>45034</v>
      </c>
      <c r="E1527">
        <f t="shared" si="23"/>
        <v>14</v>
      </c>
      <c r="F1527" t="s">
        <v>23</v>
      </c>
      <c r="G1527">
        <v>38198</v>
      </c>
      <c r="H1527">
        <v>1870</v>
      </c>
      <c r="I1527">
        <v>3089.16</v>
      </c>
      <c r="J1527">
        <v>262</v>
      </c>
      <c r="K1527">
        <v>1</v>
      </c>
    </row>
    <row r="1528" spans="1:11" x14ac:dyDescent="0.2">
      <c r="A1528" t="s">
        <v>3157</v>
      </c>
      <c r="B1528" t="s">
        <v>3158</v>
      </c>
      <c r="C1528" s="2">
        <v>45012</v>
      </c>
      <c r="D1528" s="2">
        <v>45036</v>
      </c>
      <c r="E1528">
        <f t="shared" si="23"/>
        <v>24</v>
      </c>
      <c r="F1528" t="s">
        <v>41</v>
      </c>
      <c r="G1528">
        <v>9820</v>
      </c>
      <c r="H1528">
        <v>109</v>
      </c>
      <c r="I1528">
        <v>157.27000000000001</v>
      </c>
      <c r="J1528">
        <v>7</v>
      </c>
      <c r="K1528">
        <v>1</v>
      </c>
    </row>
    <row r="1529" spans="1:11" x14ac:dyDescent="0.2">
      <c r="A1529" t="s">
        <v>3159</v>
      </c>
      <c r="B1529" t="s">
        <v>3160</v>
      </c>
      <c r="C1529" s="2">
        <v>45159</v>
      </c>
      <c r="D1529" s="2">
        <v>45174</v>
      </c>
      <c r="E1529">
        <f t="shared" si="23"/>
        <v>15</v>
      </c>
      <c r="F1529" t="s">
        <v>41</v>
      </c>
      <c r="G1529">
        <v>25070</v>
      </c>
      <c r="H1529">
        <v>1092</v>
      </c>
      <c r="I1529">
        <v>1583.29</v>
      </c>
      <c r="J1529">
        <v>137</v>
      </c>
      <c r="K1529" t="s">
        <v>30</v>
      </c>
    </row>
    <row r="1530" spans="1:11" x14ac:dyDescent="0.2">
      <c r="A1530" t="s">
        <v>3161</v>
      </c>
      <c r="B1530" t="s">
        <v>3162</v>
      </c>
      <c r="C1530" s="2">
        <v>45120</v>
      </c>
      <c r="D1530" s="2">
        <v>45150</v>
      </c>
      <c r="E1530">
        <f t="shared" si="23"/>
        <v>30</v>
      </c>
      <c r="F1530" t="s">
        <v>14</v>
      </c>
      <c r="G1530">
        <v>70768</v>
      </c>
      <c r="H1530">
        <v>2835</v>
      </c>
      <c r="I1530">
        <v>3332.33</v>
      </c>
      <c r="J1530">
        <v>454</v>
      </c>
      <c r="K1530">
        <v>0</v>
      </c>
    </row>
    <row r="1531" spans="1:11" x14ac:dyDescent="0.2">
      <c r="A1531" t="s">
        <v>3163</v>
      </c>
      <c r="B1531" t="s">
        <v>3164</v>
      </c>
      <c r="C1531" s="2">
        <v>45030</v>
      </c>
      <c r="D1531" s="2">
        <v>45044</v>
      </c>
      <c r="E1531">
        <f t="shared" si="23"/>
        <v>14</v>
      </c>
      <c r="F1531" t="s">
        <v>19</v>
      </c>
      <c r="G1531">
        <v>12122</v>
      </c>
      <c r="H1531">
        <v>232</v>
      </c>
      <c r="I1531">
        <v>300.83</v>
      </c>
      <c r="J1531">
        <v>46</v>
      </c>
      <c r="K1531" t="s">
        <v>30</v>
      </c>
    </row>
    <row r="1532" spans="1:11" x14ac:dyDescent="0.2">
      <c r="A1532" t="s">
        <v>3165</v>
      </c>
      <c r="B1532" t="s">
        <v>3166</v>
      </c>
      <c r="C1532" s="2">
        <v>45277</v>
      </c>
      <c r="D1532" s="2">
        <v>45280</v>
      </c>
      <c r="E1532">
        <f t="shared" si="23"/>
        <v>3</v>
      </c>
      <c r="F1532" t="s">
        <v>234</v>
      </c>
      <c r="G1532">
        <v>81559</v>
      </c>
      <c r="H1532">
        <v>3935</v>
      </c>
      <c r="I1532">
        <v>6369.1</v>
      </c>
      <c r="J1532">
        <v>568</v>
      </c>
      <c r="K1532" t="s">
        <v>30</v>
      </c>
    </row>
    <row r="1533" spans="1:11" x14ac:dyDescent="0.2">
      <c r="A1533" t="s">
        <v>3167</v>
      </c>
      <c r="B1533" t="s">
        <v>3168</v>
      </c>
      <c r="C1533" s="2">
        <v>44976</v>
      </c>
      <c r="D1533" s="2">
        <v>44990</v>
      </c>
      <c r="E1533">
        <f t="shared" si="23"/>
        <v>14</v>
      </c>
      <c r="F1533" t="s">
        <v>19</v>
      </c>
      <c r="G1533">
        <v>74543</v>
      </c>
      <c r="H1533">
        <v>1187</v>
      </c>
      <c r="I1533">
        <v>2064.09</v>
      </c>
      <c r="J1533">
        <v>125</v>
      </c>
      <c r="K1533" t="b">
        <v>1</v>
      </c>
    </row>
    <row r="1534" spans="1:11" x14ac:dyDescent="0.2">
      <c r="A1534" t="s">
        <v>3169</v>
      </c>
      <c r="B1534" t="s">
        <v>3170</v>
      </c>
      <c r="C1534" s="2">
        <v>45027</v>
      </c>
      <c r="D1534" s="2">
        <v>45243</v>
      </c>
      <c r="E1534">
        <f t="shared" si="23"/>
        <v>216</v>
      </c>
      <c r="F1534" t="s">
        <v>14</v>
      </c>
      <c r="G1534">
        <v>84441</v>
      </c>
      <c r="H1534">
        <v>3139</v>
      </c>
      <c r="I1534">
        <v>4849.26</v>
      </c>
      <c r="J1534">
        <v>263</v>
      </c>
      <c r="K1534" t="b">
        <v>0</v>
      </c>
    </row>
    <row r="1535" spans="1:11" x14ac:dyDescent="0.2">
      <c r="A1535" t="s">
        <v>3171</v>
      </c>
      <c r="B1535" t="s">
        <v>3172</v>
      </c>
      <c r="C1535" s="2">
        <v>45199</v>
      </c>
      <c r="D1535" s="2">
        <v>45211</v>
      </c>
      <c r="E1535">
        <f t="shared" si="23"/>
        <v>12</v>
      </c>
      <c r="F1535" t="s">
        <v>41</v>
      </c>
      <c r="G1535">
        <v>42786</v>
      </c>
      <c r="H1535">
        <v>812</v>
      </c>
      <c r="I1535">
        <v>1531.52</v>
      </c>
      <c r="J1535">
        <v>146</v>
      </c>
      <c r="K1535">
        <v>1</v>
      </c>
    </row>
    <row r="1536" spans="1:11" x14ac:dyDescent="0.2">
      <c r="A1536" t="s">
        <v>3173</v>
      </c>
      <c r="B1536" t="s">
        <v>3174</v>
      </c>
      <c r="C1536" s="2">
        <v>45173</v>
      </c>
      <c r="D1536" s="2">
        <v>45181</v>
      </c>
      <c r="E1536">
        <f t="shared" si="23"/>
        <v>8</v>
      </c>
      <c r="F1536" t="s">
        <v>33</v>
      </c>
      <c r="G1536">
        <v>95934</v>
      </c>
      <c r="H1536">
        <v>2614</v>
      </c>
      <c r="I1536">
        <v>4523.49</v>
      </c>
      <c r="J1536">
        <v>450</v>
      </c>
      <c r="K1536">
        <v>1</v>
      </c>
    </row>
    <row r="1537" spans="1:11" x14ac:dyDescent="0.2">
      <c r="A1537" t="s">
        <v>3175</v>
      </c>
      <c r="B1537" t="s">
        <v>3176</v>
      </c>
      <c r="C1537" s="2">
        <v>45203</v>
      </c>
      <c r="D1537" s="2">
        <v>45212</v>
      </c>
      <c r="E1537">
        <f t="shared" si="23"/>
        <v>9</v>
      </c>
      <c r="F1537" t="s">
        <v>33</v>
      </c>
      <c r="G1537">
        <v>7737</v>
      </c>
      <c r="H1537">
        <v>299</v>
      </c>
      <c r="I1537">
        <v>401.5</v>
      </c>
      <c r="J1537">
        <v>25</v>
      </c>
      <c r="K1537" t="b">
        <v>0</v>
      </c>
    </row>
    <row r="1538" spans="1:11" x14ac:dyDescent="0.2">
      <c r="A1538" t="s">
        <v>3177</v>
      </c>
      <c r="B1538" t="s">
        <v>3178</v>
      </c>
      <c r="C1538" s="2">
        <v>45274</v>
      </c>
      <c r="D1538" s="2">
        <v>45286</v>
      </c>
      <c r="E1538">
        <f t="shared" ref="E1538:E1601" si="24">D1538-C1538</f>
        <v>12</v>
      </c>
      <c r="F1538" t="s">
        <v>33</v>
      </c>
      <c r="G1538">
        <v>37062</v>
      </c>
      <c r="H1538">
        <v>1205</v>
      </c>
      <c r="I1538">
        <v>1816.07</v>
      </c>
      <c r="J1538">
        <v>96</v>
      </c>
      <c r="K1538">
        <v>1</v>
      </c>
    </row>
    <row r="1539" spans="1:11" x14ac:dyDescent="0.2">
      <c r="A1539" t="s">
        <v>3179</v>
      </c>
      <c r="B1539" t="s">
        <v>3180</v>
      </c>
      <c r="C1539" s="2">
        <v>45116</v>
      </c>
      <c r="D1539" s="2">
        <v>45146</v>
      </c>
      <c r="E1539">
        <f t="shared" si="24"/>
        <v>30</v>
      </c>
      <c r="F1539" t="s">
        <v>23</v>
      </c>
      <c r="G1539">
        <v>55237</v>
      </c>
      <c r="H1539">
        <v>1496</v>
      </c>
      <c r="I1539" s="3">
        <v>2826.64</v>
      </c>
      <c r="J1539">
        <v>235</v>
      </c>
      <c r="K1539" t="b">
        <v>0</v>
      </c>
    </row>
    <row r="1540" spans="1:11" x14ac:dyDescent="0.2">
      <c r="A1540" t="s">
        <v>3181</v>
      </c>
      <c r="B1540" t="s">
        <v>3182</v>
      </c>
      <c r="C1540" s="2">
        <v>45146</v>
      </c>
      <c r="D1540" s="2">
        <v>45155</v>
      </c>
      <c r="E1540">
        <f t="shared" si="24"/>
        <v>9</v>
      </c>
      <c r="F1540" t="s">
        <v>14</v>
      </c>
      <c r="G1540">
        <v>52571</v>
      </c>
      <c r="H1540">
        <v>1211</v>
      </c>
      <c r="I1540">
        <v>1730.22</v>
      </c>
      <c r="J1540">
        <v>117</v>
      </c>
      <c r="K1540">
        <v>0</v>
      </c>
    </row>
    <row r="1541" spans="1:11" x14ac:dyDescent="0.2">
      <c r="A1541" t="s">
        <v>3183</v>
      </c>
      <c r="B1541" t="s">
        <v>3184</v>
      </c>
      <c r="C1541" s="2">
        <v>45122</v>
      </c>
      <c r="D1541" s="2">
        <v>45138</v>
      </c>
      <c r="E1541">
        <f t="shared" si="24"/>
        <v>16</v>
      </c>
      <c r="F1541" t="s">
        <v>33</v>
      </c>
      <c r="G1541">
        <v>26510</v>
      </c>
      <c r="H1541">
        <v>1155</v>
      </c>
      <c r="I1541">
        <v>2006.48</v>
      </c>
      <c r="J1541">
        <v>110</v>
      </c>
      <c r="K1541" t="b">
        <v>1</v>
      </c>
    </row>
    <row r="1542" spans="1:11" x14ac:dyDescent="0.2">
      <c r="A1542" t="s">
        <v>3185</v>
      </c>
      <c r="B1542" t="s">
        <v>3186</v>
      </c>
      <c r="C1542" s="2">
        <v>45283</v>
      </c>
      <c r="D1542" s="2">
        <v>45289</v>
      </c>
      <c r="E1542">
        <f t="shared" si="24"/>
        <v>6</v>
      </c>
      <c r="F1542" t="s">
        <v>19</v>
      </c>
      <c r="G1542">
        <v>20426</v>
      </c>
      <c r="H1542">
        <v>321</v>
      </c>
      <c r="I1542">
        <v>492.16</v>
      </c>
      <c r="J1542">
        <v>23</v>
      </c>
      <c r="K1542" t="b">
        <v>1</v>
      </c>
    </row>
    <row r="1543" spans="1:11" x14ac:dyDescent="0.2">
      <c r="A1543" t="s">
        <v>3187</v>
      </c>
      <c r="B1543" t="s">
        <v>3188</v>
      </c>
      <c r="C1543" s="2">
        <v>45057</v>
      </c>
      <c r="D1543" s="2">
        <v>45063</v>
      </c>
      <c r="E1543">
        <f t="shared" si="24"/>
        <v>6</v>
      </c>
      <c r="F1543" t="s">
        <v>33</v>
      </c>
      <c r="G1543">
        <v>38265</v>
      </c>
      <c r="H1543">
        <v>1040</v>
      </c>
      <c r="I1543" s="3">
        <v>1381.02</v>
      </c>
      <c r="J1543">
        <v>93</v>
      </c>
      <c r="K1543" t="s">
        <v>24</v>
      </c>
    </row>
    <row r="1544" spans="1:11" x14ac:dyDescent="0.2">
      <c r="A1544" t="s">
        <v>3189</v>
      </c>
      <c r="B1544" t="s">
        <v>3190</v>
      </c>
      <c r="C1544" s="2">
        <v>44969</v>
      </c>
      <c r="D1544" s="2">
        <v>44977</v>
      </c>
      <c r="E1544">
        <f t="shared" si="24"/>
        <v>8</v>
      </c>
      <c r="F1544" t="s">
        <v>14</v>
      </c>
      <c r="G1544">
        <v>18850</v>
      </c>
      <c r="H1544">
        <v>869</v>
      </c>
      <c r="I1544" s="3">
        <v>749.74</v>
      </c>
      <c r="J1544">
        <v>99</v>
      </c>
      <c r="K1544" t="b">
        <v>1</v>
      </c>
    </row>
    <row r="1545" spans="1:11" x14ac:dyDescent="0.2">
      <c r="A1545" t="s">
        <v>3191</v>
      </c>
      <c r="B1545" t="s">
        <v>3192</v>
      </c>
      <c r="C1545" s="2">
        <v>45136</v>
      </c>
      <c r="D1545" s="2">
        <v>45164</v>
      </c>
      <c r="E1545">
        <f t="shared" si="24"/>
        <v>28</v>
      </c>
      <c r="F1545" t="s">
        <v>23</v>
      </c>
      <c r="G1545">
        <v>67150</v>
      </c>
      <c r="H1545">
        <v>2943</v>
      </c>
      <c r="I1545">
        <v>3352.07</v>
      </c>
      <c r="J1545">
        <v>470</v>
      </c>
      <c r="K1545" t="b">
        <v>0</v>
      </c>
    </row>
    <row r="1546" spans="1:11" x14ac:dyDescent="0.2">
      <c r="A1546" t="s">
        <v>3193</v>
      </c>
      <c r="B1546" t="s">
        <v>3194</v>
      </c>
      <c r="C1546" s="2">
        <v>44930</v>
      </c>
      <c r="D1546" s="2">
        <v>44949</v>
      </c>
      <c r="E1546">
        <f t="shared" si="24"/>
        <v>19</v>
      </c>
      <c r="F1546" t="s">
        <v>33</v>
      </c>
      <c r="G1546">
        <v>88312</v>
      </c>
      <c r="H1546">
        <v>2299</v>
      </c>
      <c r="I1546">
        <v>4486.76</v>
      </c>
      <c r="K1546" t="s">
        <v>24</v>
      </c>
    </row>
    <row r="1547" spans="1:11" x14ac:dyDescent="0.2">
      <c r="A1547" t="s">
        <v>3195</v>
      </c>
      <c r="B1547" t="s">
        <v>3196</v>
      </c>
      <c r="C1547" s="2">
        <v>44930</v>
      </c>
      <c r="D1547" s="2">
        <v>44951</v>
      </c>
      <c r="E1547">
        <f t="shared" si="24"/>
        <v>21</v>
      </c>
      <c r="F1547" t="s">
        <v>19</v>
      </c>
      <c r="G1547">
        <v>90613</v>
      </c>
      <c r="H1547">
        <v>3672</v>
      </c>
      <c r="I1547">
        <v>5458.97</v>
      </c>
      <c r="J1547">
        <v>364</v>
      </c>
      <c r="K1547" t="b">
        <v>0</v>
      </c>
    </row>
    <row r="1548" spans="1:11" x14ac:dyDescent="0.2">
      <c r="A1548" t="s">
        <v>3197</v>
      </c>
      <c r="B1548" t="s">
        <v>3198</v>
      </c>
      <c r="C1548" s="2">
        <v>45088</v>
      </c>
      <c r="D1548" s="2">
        <v>45105</v>
      </c>
      <c r="E1548">
        <f t="shared" si="24"/>
        <v>17</v>
      </c>
      <c r="F1548" t="s">
        <v>138</v>
      </c>
      <c r="G1548">
        <v>75910</v>
      </c>
      <c r="H1548">
        <v>3258</v>
      </c>
      <c r="I1548">
        <v>4387.2</v>
      </c>
      <c r="J1548">
        <v>302</v>
      </c>
      <c r="K1548" t="s">
        <v>15</v>
      </c>
    </row>
    <row r="1549" spans="1:11" x14ac:dyDescent="0.2">
      <c r="A1549" t="s">
        <v>3199</v>
      </c>
      <c r="B1549" t="s">
        <v>3200</v>
      </c>
      <c r="C1549" s="2">
        <v>45145</v>
      </c>
      <c r="D1549" s="2">
        <v>45165</v>
      </c>
      <c r="E1549">
        <f t="shared" si="24"/>
        <v>20</v>
      </c>
      <c r="F1549" t="s">
        <v>19</v>
      </c>
      <c r="G1549">
        <v>53375</v>
      </c>
      <c r="H1549">
        <v>2431</v>
      </c>
      <c r="I1549">
        <v>4617.53</v>
      </c>
      <c r="J1549">
        <v>295</v>
      </c>
      <c r="K1549" t="s">
        <v>24</v>
      </c>
    </row>
    <row r="1550" spans="1:11" x14ac:dyDescent="0.2">
      <c r="A1550" t="s">
        <v>3201</v>
      </c>
      <c r="B1550" t="s">
        <v>3202</v>
      </c>
      <c r="C1550" s="2">
        <v>45201</v>
      </c>
      <c r="D1550" s="2">
        <v>45218</v>
      </c>
      <c r="E1550">
        <f t="shared" si="24"/>
        <v>17</v>
      </c>
      <c r="F1550" t="s">
        <v>14</v>
      </c>
      <c r="G1550">
        <v>36435</v>
      </c>
      <c r="H1550">
        <v>1157</v>
      </c>
      <c r="I1550">
        <v>1596.39</v>
      </c>
      <c r="J1550">
        <v>89</v>
      </c>
      <c r="K1550">
        <v>1</v>
      </c>
    </row>
    <row r="1551" spans="1:11" x14ac:dyDescent="0.2">
      <c r="A1551" t="s">
        <v>3203</v>
      </c>
      <c r="B1551" t="s">
        <v>3204</v>
      </c>
      <c r="C1551" s="2">
        <v>45068</v>
      </c>
      <c r="D1551" s="2">
        <v>45094</v>
      </c>
      <c r="E1551">
        <f t="shared" si="24"/>
        <v>26</v>
      </c>
      <c r="F1551" t="s">
        <v>266</v>
      </c>
      <c r="G1551">
        <v>97443</v>
      </c>
      <c r="H1551">
        <v>1771</v>
      </c>
      <c r="I1551">
        <v>2283.04</v>
      </c>
      <c r="J1551">
        <v>217</v>
      </c>
      <c r="K1551">
        <v>1</v>
      </c>
    </row>
    <row r="1552" spans="1:11" x14ac:dyDescent="0.2">
      <c r="A1552" t="s">
        <v>3205</v>
      </c>
      <c r="B1552" t="s">
        <v>3206</v>
      </c>
      <c r="C1552" s="2">
        <v>45031</v>
      </c>
      <c r="D1552" s="2">
        <v>45038</v>
      </c>
      <c r="E1552">
        <f t="shared" si="24"/>
        <v>7</v>
      </c>
      <c r="F1552" t="s">
        <v>41</v>
      </c>
      <c r="G1552">
        <v>58132</v>
      </c>
      <c r="H1552">
        <v>1174</v>
      </c>
      <c r="I1552">
        <v>1924.15</v>
      </c>
      <c r="J1552">
        <v>182</v>
      </c>
      <c r="K1552" t="s">
        <v>15</v>
      </c>
    </row>
    <row r="1553" spans="1:11" x14ac:dyDescent="0.2">
      <c r="A1553" t="s">
        <v>3207</v>
      </c>
      <c r="B1553" t="s">
        <v>3208</v>
      </c>
      <c r="C1553" s="2">
        <v>45174</v>
      </c>
      <c r="D1553" s="2">
        <v>45202</v>
      </c>
      <c r="E1553">
        <f t="shared" si="24"/>
        <v>28</v>
      </c>
      <c r="F1553" t="s">
        <v>19</v>
      </c>
      <c r="G1553">
        <v>79945</v>
      </c>
      <c r="H1553">
        <v>1745</v>
      </c>
      <c r="I1553">
        <v>2737.9</v>
      </c>
      <c r="J1553">
        <v>95</v>
      </c>
      <c r="K1553" t="s">
        <v>15</v>
      </c>
    </row>
    <row r="1554" spans="1:11" x14ac:dyDescent="0.2">
      <c r="A1554" t="s">
        <v>3209</v>
      </c>
      <c r="B1554" t="s">
        <v>3210</v>
      </c>
      <c r="C1554" s="2">
        <v>45174</v>
      </c>
      <c r="D1554" s="2">
        <v>45176</v>
      </c>
      <c r="E1554">
        <f t="shared" si="24"/>
        <v>2</v>
      </c>
      <c r="F1554" t="s">
        <v>19</v>
      </c>
      <c r="G1554">
        <v>83050</v>
      </c>
      <c r="H1554">
        <v>2803</v>
      </c>
      <c r="I1554" s="3">
        <v>2213.64</v>
      </c>
      <c r="J1554">
        <v>144</v>
      </c>
      <c r="K1554" t="b">
        <v>1</v>
      </c>
    </row>
    <row r="1555" spans="1:11" x14ac:dyDescent="0.2">
      <c r="A1555" t="s">
        <v>3211</v>
      </c>
      <c r="B1555" t="s">
        <v>3212</v>
      </c>
      <c r="C1555" s="2">
        <v>45103</v>
      </c>
      <c r="D1555" s="2">
        <v>45116</v>
      </c>
      <c r="E1555">
        <f t="shared" si="24"/>
        <v>13</v>
      </c>
      <c r="F1555" t="s">
        <v>23</v>
      </c>
      <c r="G1555">
        <v>96402</v>
      </c>
      <c r="H1555">
        <v>1090</v>
      </c>
      <c r="I1555">
        <v>1315.59</v>
      </c>
      <c r="J1555">
        <v>66</v>
      </c>
      <c r="K1555" t="s">
        <v>15</v>
      </c>
    </row>
    <row r="1556" spans="1:11" x14ac:dyDescent="0.2">
      <c r="A1556" t="s">
        <v>3213</v>
      </c>
      <c r="B1556" t="s">
        <v>3214</v>
      </c>
      <c r="C1556" s="2">
        <v>44997</v>
      </c>
      <c r="D1556" s="2">
        <v>45009</v>
      </c>
      <c r="E1556">
        <f t="shared" si="24"/>
        <v>12</v>
      </c>
      <c r="F1556" t="s">
        <v>14</v>
      </c>
      <c r="G1556">
        <v>3983</v>
      </c>
      <c r="H1556">
        <v>141</v>
      </c>
      <c r="I1556">
        <v>170.44</v>
      </c>
      <c r="J1556">
        <v>18</v>
      </c>
      <c r="K1556" t="b">
        <v>0</v>
      </c>
    </row>
    <row r="1557" spans="1:11" x14ac:dyDescent="0.2">
      <c r="A1557" t="s">
        <v>3215</v>
      </c>
      <c r="B1557" t="s">
        <v>3216</v>
      </c>
      <c r="C1557" s="2">
        <v>45044</v>
      </c>
      <c r="D1557" s="2">
        <v>45046</v>
      </c>
      <c r="E1557">
        <f t="shared" si="24"/>
        <v>2</v>
      </c>
      <c r="F1557" t="s">
        <v>41</v>
      </c>
      <c r="G1557">
        <v>98241</v>
      </c>
      <c r="H1557">
        <v>2414</v>
      </c>
      <c r="I1557">
        <v>2576.5500000000002</v>
      </c>
      <c r="J1557">
        <v>430</v>
      </c>
      <c r="K1557" t="s">
        <v>30</v>
      </c>
    </row>
    <row r="1558" spans="1:11" x14ac:dyDescent="0.2">
      <c r="A1558" t="s">
        <v>3217</v>
      </c>
      <c r="B1558" t="s">
        <v>3218</v>
      </c>
      <c r="C1558" s="2">
        <v>45009</v>
      </c>
      <c r="D1558" s="2">
        <v>45034</v>
      </c>
      <c r="E1558">
        <f t="shared" si="24"/>
        <v>25</v>
      </c>
      <c r="F1558" t="s">
        <v>14</v>
      </c>
      <c r="G1558">
        <v>21662</v>
      </c>
      <c r="H1558">
        <v>472</v>
      </c>
      <c r="I1558" s="3">
        <v>602.24</v>
      </c>
      <c r="J1558">
        <v>23</v>
      </c>
      <c r="K1558" t="b">
        <v>0</v>
      </c>
    </row>
    <row r="1559" spans="1:11" x14ac:dyDescent="0.2">
      <c r="A1559" t="s">
        <v>3219</v>
      </c>
      <c r="B1559" t="s">
        <v>3220</v>
      </c>
      <c r="C1559" s="2">
        <v>45100</v>
      </c>
      <c r="D1559" s="2">
        <v>45108</v>
      </c>
      <c r="E1559">
        <f t="shared" si="24"/>
        <v>8</v>
      </c>
      <c r="F1559" t="s">
        <v>23</v>
      </c>
      <c r="G1559">
        <v>24510</v>
      </c>
      <c r="H1559">
        <v>1107</v>
      </c>
      <c r="I1559">
        <v>1239.46</v>
      </c>
      <c r="K1559" t="s">
        <v>24</v>
      </c>
    </row>
    <row r="1560" spans="1:11" x14ac:dyDescent="0.2">
      <c r="A1560" t="s">
        <v>3221</v>
      </c>
      <c r="B1560" t="s">
        <v>3222</v>
      </c>
      <c r="C1560" s="2">
        <v>45277</v>
      </c>
      <c r="D1560" s="2">
        <v>45280</v>
      </c>
      <c r="E1560">
        <f t="shared" si="24"/>
        <v>3</v>
      </c>
      <c r="F1560" t="s">
        <v>41</v>
      </c>
      <c r="G1560">
        <v>79187</v>
      </c>
      <c r="H1560">
        <v>2248</v>
      </c>
      <c r="I1560">
        <v>1796.19</v>
      </c>
      <c r="J1560">
        <v>148</v>
      </c>
      <c r="K1560" t="s">
        <v>15</v>
      </c>
    </row>
    <row r="1561" spans="1:11" x14ac:dyDescent="0.2">
      <c r="A1561" t="s">
        <v>3223</v>
      </c>
      <c r="B1561" t="s">
        <v>3224</v>
      </c>
      <c r="C1561" s="2">
        <v>45252</v>
      </c>
      <c r="D1561" s="2">
        <v>45275</v>
      </c>
      <c r="E1561">
        <f t="shared" si="24"/>
        <v>23</v>
      </c>
      <c r="F1561" t="s">
        <v>41</v>
      </c>
      <c r="G1561">
        <v>41998</v>
      </c>
      <c r="H1561">
        <v>579</v>
      </c>
      <c r="I1561">
        <v>-647.64</v>
      </c>
      <c r="J1561">
        <v>102</v>
      </c>
      <c r="K1561">
        <v>1</v>
      </c>
    </row>
    <row r="1562" spans="1:11" x14ac:dyDescent="0.2">
      <c r="A1562" t="s">
        <v>3226</v>
      </c>
      <c r="B1562" t="s">
        <v>3227</v>
      </c>
      <c r="C1562" s="2">
        <v>44973</v>
      </c>
      <c r="D1562" s="2">
        <v>45003</v>
      </c>
      <c r="E1562">
        <f t="shared" si="24"/>
        <v>30</v>
      </c>
      <c r="F1562" t="s">
        <v>33</v>
      </c>
      <c r="G1562">
        <v>57846</v>
      </c>
      <c r="H1562">
        <v>2491</v>
      </c>
      <c r="I1562">
        <v>1515.56</v>
      </c>
      <c r="J1562">
        <v>304</v>
      </c>
      <c r="K1562" t="b">
        <v>0</v>
      </c>
    </row>
    <row r="1563" spans="1:11" x14ac:dyDescent="0.2">
      <c r="A1563" t="s">
        <v>3228</v>
      </c>
      <c r="B1563" t="s">
        <v>3229</v>
      </c>
      <c r="C1563" s="2">
        <v>45033</v>
      </c>
      <c r="D1563" s="2">
        <v>45234</v>
      </c>
      <c r="E1563">
        <f t="shared" si="24"/>
        <v>201</v>
      </c>
      <c r="F1563" t="s">
        <v>14</v>
      </c>
      <c r="G1563">
        <v>95071</v>
      </c>
      <c r="H1563">
        <v>1131</v>
      </c>
      <c r="I1563">
        <v>1542.32</v>
      </c>
      <c r="J1563">
        <v>168</v>
      </c>
      <c r="K1563">
        <v>1</v>
      </c>
    </row>
    <row r="1564" spans="1:11" x14ac:dyDescent="0.2">
      <c r="A1564" t="s">
        <v>3230</v>
      </c>
      <c r="B1564" t="s">
        <v>3231</v>
      </c>
      <c r="C1564" s="2">
        <v>45040</v>
      </c>
      <c r="D1564" s="2">
        <v>45043</v>
      </c>
      <c r="E1564">
        <f t="shared" si="24"/>
        <v>3</v>
      </c>
      <c r="F1564" t="s">
        <v>19</v>
      </c>
      <c r="G1564">
        <v>7640</v>
      </c>
      <c r="H1564">
        <v>298</v>
      </c>
      <c r="I1564" s="3">
        <v>530.58000000000004</v>
      </c>
      <c r="J1564">
        <v>37</v>
      </c>
      <c r="K1564" t="b">
        <v>0</v>
      </c>
    </row>
    <row r="1565" spans="1:11" x14ac:dyDescent="0.2">
      <c r="A1565" t="s">
        <v>3232</v>
      </c>
      <c r="B1565" t="s">
        <v>3233</v>
      </c>
      <c r="C1565" s="2">
        <v>45123</v>
      </c>
      <c r="D1565" s="2">
        <v>45143</v>
      </c>
      <c r="E1565">
        <f t="shared" si="24"/>
        <v>20</v>
      </c>
      <c r="F1565" t="s">
        <v>41</v>
      </c>
      <c r="G1565">
        <v>45547</v>
      </c>
      <c r="H1565">
        <v>1865</v>
      </c>
      <c r="I1565">
        <v>2961.49</v>
      </c>
      <c r="J1565">
        <v>226</v>
      </c>
      <c r="K1565">
        <v>1</v>
      </c>
    </row>
    <row r="1566" spans="1:11" x14ac:dyDescent="0.2">
      <c r="A1566" t="s">
        <v>3234</v>
      </c>
      <c r="B1566" t="s">
        <v>3235</v>
      </c>
      <c r="C1566" s="2">
        <v>45262</v>
      </c>
      <c r="D1566" s="2">
        <v>45285</v>
      </c>
      <c r="E1566">
        <f t="shared" si="24"/>
        <v>23</v>
      </c>
      <c r="F1566" t="s">
        <v>19</v>
      </c>
      <c r="G1566">
        <v>55620</v>
      </c>
      <c r="H1566">
        <v>1340</v>
      </c>
      <c r="I1566">
        <v>1394.39</v>
      </c>
      <c r="J1566">
        <v>234</v>
      </c>
      <c r="K1566">
        <v>0</v>
      </c>
    </row>
    <row r="1567" spans="1:11" x14ac:dyDescent="0.2">
      <c r="A1567" t="s">
        <v>3236</v>
      </c>
      <c r="B1567" t="s">
        <v>3237</v>
      </c>
      <c r="C1567" s="2">
        <v>44968</v>
      </c>
      <c r="D1567" s="2">
        <v>45250</v>
      </c>
      <c r="E1567">
        <f t="shared" si="24"/>
        <v>282</v>
      </c>
      <c r="F1567" t="s">
        <v>14</v>
      </c>
      <c r="G1567">
        <v>16317</v>
      </c>
      <c r="H1567">
        <v>701</v>
      </c>
      <c r="I1567">
        <v>442.06</v>
      </c>
      <c r="J1567">
        <v>114</v>
      </c>
      <c r="K1567" t="b">
        <v>0</v>
      </c>
    </row>
    <row r="1568" spans="1:11" x14ac:dyDescent="0.2">
      <c r="A1568" t="s">
        <v>3238</v>
      </c>
      <c r="B1568" t="s">
        <v>3239</v>
      </c>
      <c r="C1568" s="2">
        <v>45016</v>
      </c>
      <c r="D1568" s="2">
        <v>45018</v>
      </c>
      <c r="E1568">
        <f t="shared" si="24"/>
        <v>2</v>
      </c>
      <c r="F1568" t="s">
        <v>415</v>
      </c>
      <c r="G1568">
        <v>8564</v>
      </c>
      <c r="H1568">
        <v>262</v>
      </c>
      <c r="I1568">
        <v>210.44</v>
      </c>
      <c r="J1568">
        <v>32</v>
      </c>
      <c r="K1568" t="s">
        <v>24</v>
      </c>
    </row>
    <row r="1569" spans="1:11" x14ac:dyDescent="0.2">
      <c r="A1569" t="s">
        <v>3240</v>
      </c>
      <c r="B1569" t="s">
        <v>3241</v>
      </c>
      <c r="C1569" s="2">
        <v>45030</v>
      </c>
      <c r="D1569" s="2">
        <v>45039</v>
      </c>
      <c r="E1569">
        <f t="shared" si="24"/>
        <v>9</v>
      </c>
      <c r="F1569" t="s">
        <v>19</v>
      </c>
      <c r="G1569">
        <v>28345</v>
      </c>
      <c r="H1569">
        <v>808</v>
      </c>
      <c r="I1569">
        <v>1065.1300000000001</v>
      </c>
      <c r="J1569">
        <v>53</v>
      </c>
      <c r="K1569">
        <v>1</v>
      </c>
    </row>
    <row r="1570" spans="1:11" x14ac:dyDescent="0.2">
      <c r="A1570" t="s">
        <v>3242</v>
      </c>
      <c r="B1570" t="s">
        <v>3243</v>
      </c>
      <c r="C1570" s="2">
        <v>45192</v>
      </c>
      <c r="D1570" s="2">
        <v>45195</v>
      </c>
      <c r="E1570">
        <f t="shared" si="24"/>
        <v>3</v>
      </c>
      <c r="F1570" t="s">
        <v>41</v>
      </c>
      <c r="G1570">
        <v>95223</v>
      </c>
      <c r="H1570">
        <v>1125</v>
      </c>
      <c r="I1570">
        <v>911.91</v>
      </c>
      <c r="J1570">
        <v>75</v>
      </c>
      <c r="K1570" t="s">
        <v>30</v>
      </c>
    </row>
    <row r="1571" spans="1:11" x14ac:dyDescent="0.2">
      <c r="A1571" t="s">
        <v>3244</v>
      </c>
      <c r="B1571" t="s">
        <v>3245</v>
      </c>
      <c r="C1571" s="2">
        <v>45233</v>
      </c>
      <c r="D1571" s="2">
        <v>45250</v>
      </c>
      <c r="E1571">
        <f t="shared" si="24"/>
        <v>17</v>
      </c>
      <c r="F1571" t="s">
        <v>33</v>
      </c>
      <c r="G1571">
        <v>80273</v>
      </c>
      <c r="H1571">
        <v>1733</v>
      </c>
      <c r="I1571">
        <v>2280.56</v>
      </c>
      <c r="J1571">
        <v>295</v>
      </c>
      <c r="K1571" t="s">
        <v>24</v>
      </c>
    </row>
    <row r="1572" spans="1:11" x14ac:dyDescent="0.2">
      <c r="A1572" t="s">
        <v>3246</v>
      </c>
      <c r="B1572" t="s">
        <v>3247</v>
      </c>
      <c r="C1572" s="2">
        <v>45241</v>
      </c>
      <c r="D1572" s="2">
        <v>45271</v>
      </c>
      <c r="E1572">
        <f t="shared" si="24"/>
        <v>30</v>
      </c>
      <c r="F1572" t="s">
        <v>23</v>
      </c>
      <c r="G1572">
        <v>75859</v>
      </c>
      <c r="H1572">
        <v>3583</v>
      </c>
      <c r="I1572">
        <v>3036.23</v>
      </c>
      <c r="K1572" t="b">
        <v>1</v>
      </c>
    </row>
    <row r="1573" spans="1:11" x14ac:dyDescent="0.2">
      <c r="A1573" t="s">
        <v>3248</v>
      </c>
      <c r="B1573" t="s">
        <v>3249</v>
      </c>
      <c r="C1573" s="2">
        <v>45049</v>
      </c>
      <c r="D1573" s="2">
        <v>45058</v>
      </c>
      <c r="E1573">
        <f t="shared" si="24"/>
        <v>9</v>
      </c>
      <c r="F1573" t="s">
        <v>14</v>
      </c>
      <c r="G1573">
        <v>81765</v>
      </c>
      <c r="H1573">
        <v>2099</v>
      </c>
      <c r="I1573">
        <v>3722.34</v>
      </c>
      <c r="K1573" t="b">
        <v>0</v>
      </c>
    </row>
    <row r="1574" spans="1:11" x14ac:dyDescent="0.2">
      <c r="A1574" t="s">
        <v>3250</v>
      </c>
      <c r="B1574" t="s">
        <v>3251</v>
      </c>
      <c r="C1574" s="2">
        <v>44971</v>
      </c>
      <c r="D1574" s="2">
        <v>44986</v>
      </c>
      <c r="E1574">
        <f t="shared" si="24"/>
        <v>15</v>
      </c>
      <c r="F1574" t="s">
        <v>415</v>
      </c>
      <c r="G1574">
        <v>75038</v>
      </c>
      <c r="H1574">
        <v>2391</v>
      </c>
      <c r="I1574">
        <v>2620.31</v>
      </c>
      <c r="J1574">
        <v>363</v>
      </c>
      <c r="K1574" t="s">
        <v>30</v>
      </c>
    </row>
    <row r="1575" spans="1:11" x14ac:dyDescent="0.2">
      <c r="A1575" t="s">
        <v>3252</v>
      </c>
      <c r="B1575" t="s">
        <v>3253</v>
      </c>
      <c r="C1575" s="2">
        <v>45107</v>
      </c>
      <c r="D1575" s="2">
        <v>45112</v>
      </c>
      <c r="E1575">
        <f t="shared" si="24"/>
        <v>5</v>
      </c>
      <c r="F1575" t="s">
        <v>191</v>
      </c>
      <c r="G1575">
        <v>53393</v>
      </c>
      <c r="H1575">
        <v>1670</v>
      </c>
      <c r="I1575" s="3">
        <v>1450.1</v>
      </c>
      <c r="K1575" t="b">
        <v>1</v>
      </c>
    </row>
    <row r="1576" spans="1:11" x14ac:dyDescent="0.2">
      <c r="A1576" t="s">
        <v>3254</v>
      </c>
      <c r="B1576" t="s">
        <v>3255</v>
      </c>
      <c r="C1576" s="2">
        <v>45029</v>
      </c>
      <c r="D1576" s="2">
        <v>45039</v>
      </c>
      <c r="E1576">
        <f t="shared" si="24"/>
        <v>10</v>
      </c>
      <c r="F1576" t="s">
        <v>41</v>
      </c>
      <c r="G1576">
        <v>67081</v>
      </c>
      <c r="H1576">
        <v>2255</v>
      </c>
      <c r="I1576">
        <v>3875.19</v>
      </c>
      <c r="J1576">
        <v>325</v>
      </c>
      <c r="K1576" t="b">
        <v>0</v>
      </c>
    </row>
    <row r="1577" spans="1:11" x14ac:dyDescent="0.2">
      <c r="A1577" t="s">
        <v>3256</v>
      </c>
      <c r="B1577" t="s">
        <v>3257</v>
      </c>
      <c r="C1577" s="2">
        <v>44962</v>
      </c>
      <c r="D1577" s="2">
        <v>44967</v>
      </c>
      <c r="E1577">
        <f t="shared" si="24"/>
        <v>5</v>
      </c>
      <c r="F1577" t="s">
        <v>41</v>
      </c>
      <c r="G1577">
        <v>30430</v>
      </c>
      <c r="H1577">
        <v>378</v>
      </c>
      <c r="I1577">
        <v>383.39</v>
      </c>
      <c r="J1577">
        <v>62</v>
      </c>
      <c r="K1577" t="s">
        <v>30</v>
      </c>
    </row>
    <row r="1578" spans="1:11" x14ac:dyDescent="0.2">
      <c r="A1578" t="s">
        <v>3258</v>
      </c>
      <c r="B1578" t="s">
        <v>3259</v>
      </c>
      <c r="C1578" s="2">
        <v>45213</v>
      </c>
      <c r="D1578" s="2">
        <v>45241</v>
      </c>
      <c r="E1578">
        <f t="shared" si="24"/>
        <v>28</v>
      </c>
      <c r="F1578" t="s">
        <v>33</v>
      </c>
      <c r="G1578">
        <v>76532</v>
      </c>
      <c r="H1578">
        <v>1874</v>
      </c>
      <c r="I1578">
        <v>1250.3900000000001</v>
      </c>
      <c r="J1578">
        <v>308</v>
      </c>
      <c r="K1578" t="s">
        <v>30</v>
      </c>
    </row>
    <row r="1579" spans="1:11" x14ac:dyDescent="0.2">
      <c r="A1579" t="s">
        <v>3260</v>
      </c>
      <c r="B1579" t="s">
        <v>3261</v>
      </c>
      <c r="C1579" s="2">
        <v>45068</v>
      </c>
      <c r="D1579" s="2">
        <v>45082</v>
      </c>
      <c r="E1579">
        <f t="shared" si="24"/>
        <v>14</v>
      </c>
      <c r="F1579" t="s">
        <v>14</v>
      </c>
      <c r="G1579">
        <v>28788</v>
      </c>
      <c r="H1579">
        <v>1120</v>
      </c>
      <c r="I1579">
        <v>1518.29</v>
      </c>
      <c r="J1579">
        <v>115</v>
      </c>
      <c r="K1579" t="s">
        <v>24</v>
      </c>
    </row>
    <row r="1580" spans="1:11" x14ac:dyDescent="0.2">
      <c r="A1580" t="s">
        <v>3262</v>
      </c>
      <c r="B1580" t="s">
        <v>3263</v>
      </c>
      <c r="C1580" s="2">
        <v>45159</v>
      </c>
      <c r="D1580" s="2">
        <v>45168</v>
      </c>
      <c r="E1580">
        <f t="shared" si="24"/>
        <v>9</v>
      </c>
      <c r="F1580" t="s">
        <v>19</v>
      </c>
      <c r="G1580">
        <v>96505</v>
      </c>
      <c r="H1580">
        <v>1739</v>
      </c>
      <c r="I1580">
        <v>2386.5100000000002</v>
      </c>
      <c r="J1580">
        <v>158</v>
      </c>
      <c r="K1580">
        <v>0</v>
      </c>
    </row>
    <row r="1581" spans="1:11" x14ac:dyDescent="0.2">
      <c r="A1581" t="s">
        <v>3264</v>
      </c>
      <c r="B1581" t="s">
        <v>3265</v>
      </c>
      <c r="C1581" s="2">
        <v>45060</v>
      </c>
      <c r="D1581" s="2">
        <v>45088</v>
      </c>
      <c r="E1581">
        <f t="shared" si="24"/>
        <v>28</v>
      </c>
      <c r="F1581" t="s">
        <v>14</v>
      </c>
      <c r="G1581">
        <v>49543</v>
      </c>
      <c r="H1581">
        <v>898</v>
      </c>
      <c r="I1581">
        <v>1411.7</v>
      </c>
      <c r="K1581" t="s">
        <v>30</v>
      </c>
    </row>
    <row r="1582" spans="1:11" x14ac:dyDescent="0.2">
      <c r="A1582" t="s">
        <v>3266</v>
      </c>
      <c r="B1582" t="s">
        <v>3267</v>
      </c>
      <c r="C1582" s="2">
        <v>45213</v>
      </c>
      <c r="D1582" s="2">
        <v>45243</v>
      </c>
      <c r="E1582">
        <f t="shared" si="24"/>
        <v>30</v>
      </c>
      <c r="F1582" t="s">
        <v>19</v>
      </c>
      <c r="G1582">
        <v>14919</v>
      </c>
      <c r="H1582">
        <v>155</v>
      </c>
      <c r="I1582">
        <v>133.35</v>
      </c>
      <c r="J1582">
        <v>16</v>
      </c>
      <c r="K1582">
        <v>0</v>
      </c>
    </row>
    <row r="1583" spans="1:11" x14ac:dyDescent="0.2">
      <c r="A1583" t="s">
        <v>3269</v>
      </c>
      <c r="B1583" t="s">
        <v>3270</v>
      </c>
      <c r="C1583" s="2">
        <v>45077</v>
      </c>
      <c r="D1583" s="2">
        <v>45083</v>
      </c>
      <c r="E1583">
        <f t="shared" si="24"/>
        <v>6</v>
      </c>
      <c r="F1583" t="s">
        <v>41</v>
      </c>
      <c r="G1583">
        <v>70346</v>
      </c>
      <c r="H1583">
        <v>1934</v>
      </c>
      <c r="I1583" s="3">
        <v>2254.38</v>
      </c>
      <c r="J1583">
        <v>358</v>
      </c>
      <c r="K1583" t="s">
        <v>15</v>
      </c>
    </row>
    <row r="1584" spans="1:11" x14ac:dyDescent="0.2">
      <c r="A1584" t="s">
        <v>3271</v>
      </c>
      <c r="B1584" t="s">
        <v>3272</v>
      </c>
      <c r="C1584" s="2">
        <v>45189</v>
      </c>
      <c r="D1584" s="2">
        <v>45197</v>
      </c>
      <c r="E1584">
        <f t="shared" si="24"/>
        <v>8</v>
      </c>
      <c r="F1584" t="s">
        <v>33</v>
      </c>
      <c r="G1584">
        <v>97122</v>
      </c>
      <c r="H1584">
        <v>4400</v>
      </c>
      <c r="I1584">
        <v>4063.63</v>
      </c>
      <c r="J1584">
        <v>265</v>
      </c>
      <c r="K1584" t="s">
        <v>24</v>
      </c>
    </row>
    <row r="1585" spans="1:11" x14ac:dyDescent="0.2">
      <c r="A1585" t="s">
        <v>3273</v>
      </c>
      <c r="B1585" t="s">
        <v>3274</v>
      </c>
      <c r="C1585" s="2">
        <v>45221</v>
      </c>
      <c r="D1585" s="2">
        <v>45235</v>
      </c>
      <c r="E1585">
        <f t="shared" si="24"/>
        <v>14</v>
      </c>
      <c r="F1585" t="s">
        <v>23</v>
      </c>
      <c r="G1585">
        <v>40974</v>
      </c>
      <c r="H1585">
        <v>494</v>
      </c>
      <c r="I1585">
        <v>306.99</v>
      </c>
      <c r="J1585">
        <v>29</v>
      </c>
      <c r="K1585">
        <v>1</v>
      </c>
    </row>
    <row r="1586" spans="1:11" x14ac:dyDescent="0.2">
      <c r="A1586" t="s">
        <v>3275</v>
      </c>
      <c r="B1586" t="s">
        <v>3276</v>
      </c>
      <c r="C1586" s="2">
        <v>45120</v>
      </c>
      <c r="D1586" s="2">
        <v>45130</v>
      </c>
      <c r="E1586">
        <f t="shared" si="24"/>
        <v>10</v>
      </c>
      <c r="F1586" t="s">
        <v>58</v>
      </c>
      <c r="G1586">
        <v>17371</v>
      </c>
      <c r="H1586">
        <v>306</v>
      </c>
      <c r="I1586">
        <v>555.37</v>
      </c>
      <c r="J1586">
        <v>57</v>
      </c>
      <c r="K1586" t="s">
        <v>24</v>
      </c>
    </row>
    <row r="1587" spans="1:11" x14ac:dyDescent="0.2">
      <c r="A1587" t="s">
        <v>3277</v>
      </c>
      <c r="B1587" t="s">
        <v>3278</v>
      </c>
      <c r="C1587" s="2">
        <v>45100</v>
      </c>
      <c r="D1587" s="2">
        <v>45106</v>
      </c>
      <c r="E1587">
        <f t="shared" si="24"/>
        <v>6</v>
      </c>
      <c r="F1587" t="s">
        <v>14</v>
      </c>
      <c r="G1587">
        <v>46084</v>
      </c>
      <c r="H1587">
        <v>1032</v>
      </c>
      <c r="I1587">
        <v>1644.29</v>
      </c>
      <c r="J1587">
        <v>151</v>
      </c>
      <c r="K1587" t="b">
        <v>1</v>
      </c>
    </row>
    <row r="1588" spans="1:11" x14ac:dyDescent="0.2">
      <c r="A1588" t="s">
        <v>3279</v>
      </c>
      <c r="B1588" t="s">
        <v>3280</v>
      </c>
      <c r="C1588" s="2">
        <v>45162</v>
      </c>
      <c r="D1588" s="2">
        <v>45179</v>
      </c>
      <c r="E1588">
        <f t="shared" si="24"/>
        <v>17</v>
      </c>
      <c r="F1588" t="s">
        <v>41</v>
      </c>
      <c r="G1588">
        <v>30629</v>
      </c>
      <c r="H1588">
        <v>1202</v>
      </c>
      <c r="I1588">
        <v>1144.54</v>
      </c>
      <c r="K1588">
        <v>1</v>
      </c>
    </row>
    <row r="1589" spans="1:11" x14ac:dyDescent="0.2">
      <c r="A1589" t="s">
        <v>3281</v>
      </c>
      <c r="B1589" t="s">
        <v>3282</v>
      </c>
      <c r="C1589" s="2">
        <v>45028</v>
      </c>
      <c r="D1589" s="2">
        <v>45173</v>
      </c>
      <c r="E1589">
        <f t="shared" si="24"/>
        <v>145</v>
      </c>
      <c r="F1589" t="s">
        <v>23</v>
      </c>
      <c r="G1589">
        <v>52184</v>
      </c>
      <c r="H1589">
        <v>1859</v>
      </c>
      <c r="I1589">
        <v>2600.85</v>
      </c>
      <c r="J1589">
        <v>303</v>
      </c>
      <c r="K1589">
        <v>1</v>
      </c>
    </row>
    <row r="1590" spans="1:11" x14ac:dyDescent="0.2">
      <c r="A1590" t="s">
        <v>3283</v>
      </c>
      <c r="B1590" t="s">
        <v>3284</v>
      </c>
      <c r="C1590" s="2">
        <v>45251</v>
      </c>
      <c r="D1590" s="2">
        <v>45259</v>
      </c>
      <c r="E1590">
        <f t="shared" si="24"/>
        <v>8</v>
      </c>
      <c r="F1590" t="s">
        <v>14</v>
      </c>
      <c r="G1590">
        <v>62916</v>
      </c>
      <c r="H1590">
        <v>1675</v>
      </c>
      <c r="I1590">
        <v>1343.18</v>
      </c>
      <c r="J1590">
        <v>252</v>
      </c>
      <c r="K1590">
        <v>0</v>
      </c>
    </row>
    <row r="1591" spans="1:11" x14ac:dyDescent="0.2">
      <c r="A1591" t="s">
        <v>3285</v>
      </c>
      <c r="B1591" t="s">
        <v>3286</v>
      </c>
      <c r="C1591" s="2">
        <v>45286</v>
      </c>
      <c r="D1591" s="2">
        <v>45314</v>
      </c>
      <c r="E1591">
        <f t="shared" si="24"/>
        <v>28</v>
      </c>
      <c r="F1591" t="s">
        <v>14</v>
      </c>
      <c r="G1591">
        <v>74972</v>
      </c>
      <c r="H1591">
        <v>3026</v>
      </c>
      <c r="I1591" s="3">
        <v>5553.78</v>
      </c>
      <c r="J1591">
        <v>392</v>
      </c>
      <c r="K1591">
        <v>1</v>
      </c>
    </row>
    <row r="1592" spans="1:11" x14ac:dyDescent="0.2">
      <c r="A1592" t="s">
        <v>3287</v>
      </c>
      <c r="B1592" t="s">
        <v>3288</v>
      </c>
      <c r="C1592" s="2">
        <v>45107</v>
      </c>
      <c r="D1592" s="2">
        <v>45110</v>
      </c>
      <c r="E1592">
        <f t="shared" si="24"/>
        <v>3</v>
      </c>
      <c r="F1592" t="s">
        <v>14</v>
      </c>
      <c r="G1592">
        <v>63187</v>
      </c>
      <c r="H1592">
        <v>2172</v>
      </c>
      <c r="I1592">
        <v>1460.36</v>
      </c>
      <c r="J1592">
        <v>140</v>
      </c>
      <c r="K1592" t="s">
        <v>30</v>
      </c>
    </row>
    <row r="1593" spans="1:11" x14ac:dyDescent="0.2">
      <c r="A1593" t="s">
        <v>3289</v>
      </c>
      <c r="B1593" t="s">
        <v>3290</v>
      </c>
      <c r="C1593" s="2">
        <v>45061</v>
      </c>
      <c r="D1593" s="2">
        <v>45081</v>
      </c>
      <c r="E1593">
        <f t="shared" si="24"/>
        <v>20</v>
      </c>
      <c r="F1593" t="s">
        <v>138</v>
      </c>
      <c r="G1593">
        <v>13984</v>
      </c>
      <c r="H1593">
        <v>641</v>
      </c>
      <c r="I1593">
        <v>324.19</v>
      </c>
      <c r="J1593">
        <v>110</v>
      </c>
      <c r="K1593">
        <v>0</v>
      </c>
    </row>
    <row r="1594" spans="1:11" x14ac:dyDescent="0.2">
      <c r="A1594" t="s">
        <v>3291</v>
      </c>
      <c r="B1594" t="s">
        <v>3292</v>
      </c>
      <c r="C1594" s="2">
        <v>45271</v>
      </c>
      <c r="D1594" s="2">
        <v>45273</v>
      </c>
      <c r="E1594">
        <f t="shared" si="24"/>
        <v>2</v>
      </c>
      <c r="F1594" t="s">
        <v>33</v>
      </c>
      <c r="G1594">
        <v>34039</v>
      </c>
      <c r="H1594">
        <v>1454</v>
      </c>
      <c r="I1594">
        <v>1821.88</v>
      </c>
      <c r="J1594">
        <v>261</v>
      </c>
      <c r="K1594">
        <v>1</v>
      </c>
    </row>
    <row r="1595" spans="1:11" x14ac:dyDescent="0.2">
      <c r="A1595" t="s">
        <v>3293</v>
      </c>
      <c r="B1595" t="s">
        <v>3294</v>
      </c>
      <c r="C1595" s="2">
        <v>45210</v>
      </c>
      <c r="D1595" s="2">
        <v>45229</v>
      </c>
      <c r="E1595">
        <f t="shared" si="24"/>
        <v>19</v>
      </c>
      <c r="F1595" t="s">
        <v>19</v>
      </c>
      <c r="G1595">
        <v>86431</v>
      </c>
      <c r="H1595">
        <v>1738</v>
      </c>
      <c r="I1595">
        <v>2389.21</v>
      </c>
      <c r="K1595">
        <v>0</v>
      </c>
    </row>
    <row r="1596" spans="1:11" x14ac:dyDescent="0.2">
      <c r="A1596" t="s">
        <v>3295</v>
      </c>
      <c r="B1596" t="s">
        <v>3296</v>
      </c>
      <c r="C1596" s="2">
        <v>45108</v>
      </c>
      <c r="D1596" s="2">
        <v>45129</v>
      </c>
      <c r="E1596">
        <f t="shared" si="24"/>
        <v>21</v>
      </c>
      <c r="F1596" t="s">
        <v>19</v>
      </c>
      <c r="G1596">
        <v>84691</v>
      </c>
      <c r="H1596">
        <v>1766</v>
      </c>
      <c r="I1596">
        <v>2416.6799999999998</v>
      </c>
      <c r="J1596">
        <v>313</v>
      </c>
      <c r="K1596" t="s">
        <v>15</v>
      </c>
    </row>
    <row r="1597" spans="1:11" x14ac:dyDescent="0.2">
      <c r="A1597" t="s">
        <v>3297</v>
      </c>
      <c r="B1597" t="s">
        <v>3298</v>
      </c>
      <c r="C1597" s="2">
        <v>45020</v>
      </c>
      <c r="D1597" s="2">
        <v>45046</v>
      </c>
      <c r="E1597">
        <f t="shared" si="24"/>
        <v>26</v>
      </c>
      <c r="F1597" t="s">
        <v>41</v>
      </c>
      <c r="G1597">
        <v>59606</v>
      </c>
      <c r="H1597">
        <v>894</v>
      </c>
      <c r="I1597">
        <v>520.1</v>
      </c>
      <c r="J1597">
        <v>162</v>
      </c>
      <c r="K1597">
        <v>0</v>
      </c>
    </row>
    <row r="1598" spans="1:11" x14ac:dyDescent="0.2">
      <c r="A1598" t="s">
        <v>3299</v>
      </c>
      <c r="B1598" t="s">
        <v>3300</v>
      </c>
      <c r="C1598" s="2">
        <v>45024</v>
      </c>
      <c r="D1598" s="2">
        <v>45050</v>
      </c>
      <c r="E1598">
        <f t="shared" si="24"/>
        <v>26</v>
      </c>
      <c r="F1598" t="s">
        <v>41</v>
      </c>
      <c r="G1598">
        <v>11616</v>
      </c>
      <c r="H1598">
        <v>272</v>
      </c>
      <c r="I1598">
        <v>264.13</v>
      </c>
      <c r="J1598">
        <v>36</v>
      </c>
      <c r="K1598" t="b">
        <v>0</v>
      </c>
    </row>
    <row r="1599" spans="1:11" x14ac:dyDescent="0.2">
      <c r="A1599" t="s">
        <v>3301</v>
      </c>
      <c r="B1599" t="s">
        <v>3302</v>
      </c>
      <c r="C1599" s="2">
        <v>45050</v>
      </c>
      <c r="D1599" s="2">
        <v>45078</v>
      </c>
      <c r="E1599">
        <f t="shared" si="24"/>
        <v>28</v>
      </c>
      <c r="F1599" t="s">
        <v>41</v>
      </c>
      <c r="G1599">
        <v>51072</v>
      </c>
      <c r="H1599">
        <v>2552</v>
      </c>
      <c r="I1599">
        <v>3186.93</v>
      </c>
      <c r="J1599">
        <v>378</v>
      </c>
      <c r="K1599" t="s">
        <v>30</v>
      </c>
    </row>
    <row r="1600" spans="1:11" x14ac:dyDescent="0.2">
      <c r="A1600" t="s">
        <v>3303</v>
      </c>
      <c r="B1600" t="s">
        <v>3304</v>
      </c>
      <c r="C1600" s="2">
        <v>45030</v>
      </c>
      <c r="D1600" s="2">
        <v>45058</v>
      </c>
      <c r="E1600">
        <f t="shared" si="24"/>
        <v>28</v>
      </c>
      <c r="F1600" t="s">
        <v>19</v>
      </c>
      <c r="G1600">
        <v>25574</v>
      </c>
      <c r="H1600">
        <v>670</v>
      </c>
      <c r="I1600" s="3">
        <v>552.66</v>
      </c>
      <c r="K1600" t="b">
        <v>1</v>
      </c>
    </row>
    <row r="1601" spans="1:11" x14ac:dyDescent="0.2">
      <c r="A1601" t="s">
        <v>3305</v>
      </c>
      <c r="B1601" t="s">
        <v>3306</v>
      </c>
      <c r="C1601" s="2">
        <v>45109</v>
      </c>
      <c r="D1601" s="2">
        <v>45133</v>
      </c>
      <c r="E1601">
        <f t="shared" si="24"/>
        <v>24</v>
      </c>
      <c r="F1601" t="s">
        <v>23</v>
      </c>
      <c r="G1601">
        <v>4430</v>
      </c>
      <c r="H1601">
        <v>83</v>
      </c>
      <c r="I1601">
        <v>150.13999999999999</v>
      </c>
      <c r="J1601">
        <v>7</v>
      </c>
      <c r="K1601" t="b">
        <v>0</v>
      </c>
    </row>
    <row r="1602" spans="1:11" x14ac:dyDescent="0.2">
      <c r="A1602" t="s">
        <v>3307</v>
      </c>
      <c r="B1602" t="s">
        <v>3308</v>
      </c>
      <c r="C1602" s="2">
        <v>44967</v>
      </c>
      <c r="D1602" s="2">
        <v>44973</v>
      </c>
      <c r="E1602">
        <f t="shared" ref="E1602:E1665" si="25">D1602-C1602</f>
        <v>6</v>
      </c>
      <c r="F1602" t="s">
        <v>14</v>
      </c>
      <c r="G1602">
        <v>13676</v>
      </c>
      <c r="H1602">
        <v>553</v>
      </c>
      <c r="I1602" s="3">
        <v>348.76</v>
      </c>
      <c r="J1602">
        <v>87</v>
      </c>
      <c r="K1602" t="b">
        <v>0</v>
      </c>
    </row>
    <row r="1603" spans="1:11" x14ac:dyDescent="0.2">
      <c r="A1603" t="s">
        <v>3309</v>
      </c>
      <c r="B1603" t="s">
        <v>3310</v>
      </c>
      <c r="C1603" s="2">
        <v>45241</v>
      </c>
      <c r="D1603" s="2">
        <v>45251</v>
      </c>
      <c r="E1603">
        <f t="shared" si="25"/>
        <v>10</v>
      </c>
      <c r="F1603" t="s">
        <v>41</v>
      </c>
      <c r="G1603">
        <v>11816</v>
      </c>
      <c r="H1603">
        <v>374</v>
      </c>
      <c r="I1603">
        <v>460.42</v>
      </c>
      <c r="J1603">
        <v>67</v>
      </c>
      <c r="K1603" t="b">
        <v>0</v>
      </c>
    </row>
    <row r="1604" spans="1:11" x14ac:dyDescent="0.2">
      <c r="A1604" t="s">
        <v>3311</v>
      </c>
      <c r="B1604" t="s">
        <v>3312</v>
      </c>
      <c r="C1604" s="2">
        <v>45204</v>
      </c>
      <c r="D1604" s="2">
        <v>45222</v>
      </c>
      <c r="E1604">
        <f t="shared" si="25"/>
        <v>18</v>
      </c>
      <c r="F1604" t="s">
        <v>23</v>
      </c>
      <c r="G1604">
        <v>33733</v>
      </c>
      <c r="H1604">
        <v>539</v>
      </c>
      <c r="I1604">
        <v>828.51</v>
      </c>
      <c r="J1604">
        <v>79</v>
      </c>
      <c r="K1604">
        <v>1</v>
      </c>
    </row>
    <row r="1605" spans="1:11" x14ac:dyDescent="0.2">
      <c r="A1605" t="s">
        <v>3313</v>
      </c>
      <c r="B1605" t="s">
        <v>3314</v>
      </c>
      <c r="C1605" s="2">
        <v>45117</v>
      </c>
      <c r="D1605" s="2">
        <v>45133</v>
      </c>
      <c r="E1605">
        <f t="shared" si="25"/>
        <v>16</v>
      </c>
      <c r="F1605" t="s">
        <v>23</v>
      </c>
      <c r="G1605">
        <v>86680</v>
      </c>
      <c r="H1605">
        <v>2186</v>
      </c>
      <c r="I1605" s="3">
        <v>1951.28</v>
      </c>
      <c r="J1605">
        <v>277</v>
      </c>
      <c r="K1605">
        <v>0</v>
      </c>
    </row>
    <row r="1606" spans="1:11" x14ac:dyDescent="0.2">
      <c r="A1606" t="s">
        <v>3315</v>
      </c>
      <c r="B1606" t="s">
        <v>3316</v>
      </c>
      <c r="C1606" s="2">
        <v>45221</v>
      </c>
      <c r="D1606" s="2">
        <v>45235</v>
      </c>
      <c r="E1606">
        <f t="shared" si="25"/>
        <v>14</v>
      </c>
      <c r="F1606" t="s">
        <v>41</v>
      </c>
      <c r="G1606">
        <v>3050</v>
      </c>
      <c r="H1606">
        <v>81</v>
      </c>
      <c r="I1606">
        <v>116.35</v>
      </c>
      <c r="K1606">
        <v>0</v>
      </c>
    </row>
    <row r="1607" spans="1:11" x14ac:dyDescent="0.2">
      <c r="A1607" t="s">
        <v>3317</v>
      </c>
      <c r="B1607" t="s">
        <v>3318</v>
      </c>
      <c r="C1607" s="2">
        <v>45188</v>
      </c>
      <c r="D1607" s="2">
        <v>45217</v>
      </c>
      <c r="E1607">
        <f t="shared" si="25"/>
        <v>29</v>
      </c>
      <c r="F1607" t="s">
        <v>14</v>
      </c>
      <c r="G1607">
        <v>34933</v>
      </c>
      <c r="H1607">
        <v>1402</v>
      </c>
      <c r="I1607">
        <v>2445.1999999999998</v>
      </c>
      <c r="J1607">
        <v>81</v>
      </c>
      <c r="K1607" t="s">
        <v>24</v>
      </c>
    </row>
    <row r="1608" spans="1:11" x14ac:dyDescent="0.2">
      <c r="A1608" t="s">
        <v>3319</v>
      </c>
      <c r="B1608" t="s">
        <v>3320</v>
      </c>
      <c r="C1608" s="2">
        <v>45222</v>
      </c>
      <c r="D1608" s="2">
        <v>45228</v>
      </c>
      <c r="E1608">
        <f t="shared" si="25"/>
        <v>6</v>
      </c>
      <c r="F1608" t="s">
        <v>23</v>
      </c>
      <c r="G1608">
        <v>25951</v>
      </c>
      <c r="H1608">
        <v>280</v>
      </c>
      <c r="I1608">
        <v>219.94</v>
      </c>
      <c r="J1608">
        <v>32</v>
      </c>
      <c r="K1608">
        <v>1</v>
      </c>
    </row>
    <row r="1609" spans="1:11" x14ac:dyDescent="0.2">
      <c r="A1609" t="s">
        <v>3321</v>
      </c>
      <c r="B1609" t="s">
        <v>3322</v>
      </c>
      <c r="C1609" s="2">
        <v>45143</v>
      </c>
      <c r="D1609" s="2">
        <v>45151</v>
      </c>
      <c r="E1609">
        <f t="shared" si="25"/>
        <v>8</v>
      </c>
      <c r="F1609" t="s">
        <v>14</v>
      </c>
      <c r="G1609">
        <v>33413</v>
      </c>
      <c r="H1609">
        <v>693</v>
      </c>
      <c r="I1609">
        <v>1299.95</v>
      </c>
      <c r="J1609">
        <v>39</v>
      </c>
      <c r="K1609" t="s">
        <v>30</v>
      </c>
    </row>
    <row r="1610" spans="1:11" x14ac:dyDescent="0.2">
      <c r="A1610" t="s">
        <v>3323</v>
      </c>
      <c r="B1610" t="s">
        <v>3324</v>
      </c>
      <c r="C1610" s="2">
        <v>45184</v>
      </c>
      <c r="D1610" s="2">
        <v>45185</v>
      </c>
      <c r="E1610">
        <f t="shared" si="25"/>
        <v>1</v>
      </c>
      <c r="F1610" t="s">
        <v>33</v>
      </c>
      <c r="G1610">
        <v>35801</v>
      </c>
      <c r="H1610">
        <v>1099</v>
      </c>
      <c r="I1610">
        <v>1462.04</v>
      </c>
      <c r="J1610">
        <v>148</v>
      </c>
      <c r="K1610">
        <v>1</v>
      </c>
    </row>
    <row r="1611" spans="1:11" x14ac:dyDescent="0.2">
      <c r="A1611" t="s">
        <v>3325</v>
      </c>
      <c r="B1611" t="s">
        <v>3326</v>
      </c>
      <c r="C1611" s="2">
        <v>45016</v>
      </c>
      <c r="D1611" s="2">
        <v>45042</v>
      </c>
      <c r="E1611">
        <f t="shared" si="25"/>
        <v>26</v>
      </c>
      <c r="F1611" t="s">
        <v>41</v>
      </c>
      <c r="G1611">
        <v>56619</v>
      </c>
      <c r="H1611">
        <v>1175</v>
      </c>
      <c r="I1611">
        <v>1114.9000000000001</v>
      </c>
      <c r="J1611">
        <v>126</v>
      </c>
      <c r="K1611">
        <v>1</v>
      </c>
    </row>
    <row r="1612" spans="1:11" x14ac:dyDescent="0.2">
      <c r="A1612" t="s">
        <v>3327</v>
      </c>
      <c r="B1612" t="s">
        <v>3328</v>
      </c>
      <c r="C1612" s="2">
        <v>45192</v>
      </c>
      <c r="D1612" s="2">
        <v>45199</v>
      </c>
      <c r="E1612">
        <f t="shared" si="25"/>
        <v>7</v>
      </c>
      <c r="F1612" t="s">
        <v>19</v>
      </c>
      <c r="G1612">
        <v>33913</v>
      </c>
      <c r="H1612">
        <v>1191</v>
      </c>
      <c r="I1612" s="3">
        <v>1365.23</v>
      </c>
      <c r="J1612">
        <v>194</v>
      </c>
      <c r="K1612">
        <v>1</v>
      </c>
    </row>
    <row r="1613" spans="1:11" x14ac:dyDescent="0.2">
      <c r="A1613" t="s">
        <v>3329</v>
      </c>
      <c r="B1613" t="s">
        <v>3330</v>
      </c>
      <c r="C1613" s="2">
        <v>44933</v>
      </c>
      <c r="D1613" s="2">
        <v>44953</v>
      </c>
      <c r="E1613">
        <f t="shared" si="25"/>
        <v>20</v>
      </c>
      <c r="F1613" t="s">
        <v>23</v>
      </c>
      <c r="G1613">
        <v>41600</v>
      </c>
      <c r="H1613">
        <v>1217</v>
      </c>
      <c r="I1613">
        <v>1178.4100000000001</v>
      </c>
      <c r="J1613">
        <v>116</v>
      </c>
      <c r="K1613" t="s">
        <v>30</v>
      </c>
    </row>
    <row r="1614" spans="1:11" x14ac:dyDescent="0.2">
      <c r="A1614" t="s">
        <v>3331</v>
      </c>
      <c r="B1614" t="s">
        <v>3332</v>
      </c>
      <c r="C1614" s="2">
        <v>44978</v>
      </c>
      <c r="D1614" s="2">
        <v>45001</v>
      </c>
      <c r="E1614">
        <f t="shared" si="25"/>
        <v>23</v>
      </c>
      <c r="F1614" t="s">
        <v>19</v>
      </c>
      <c r="G1614">
        <v>58775</v>
      </c>
      <c r="H1614">
        <v>1438</v>
      </c>
      <c r="I1614" s="3">
        <v>2283.06</v>
      </c>
      <c r="J1614">
        <v>199</v>
      </c>
      <c r="K1614" t="s">
        <v>24</v>
      </c>
    </row>
    <row r="1615" spans="1:11" x14ac:dyDescent="0.2">
      <c r="A1615" t="s">
        <v>3333</v>
      </c>
      <c r="B1615" t="s">
        <v>3334</v>
      </c>
      <c r="C1615" s="2">
        <v>45059</v>
      </c>
      <c r="D1615" s="2">
        <v>45062</v>
      </c>
      <c r="E1615">
        <f t="shared" si="25"/>
        <v>3</v>
      </c>
      <c r="F1615" t="s">
        <v>33</v>
      </c>
      <c r="G1615">
        <v>91816</v>
      </c>
      <c r="H1615">
        <v>4404</v>
      </c>
      <c r="I1615">
        <v>7462.36</v>
      </c>
      <c r="J1615">
        <v>575</v>
      </c>
      <c r="K1615" t="s">
        <v>30</v>
      </c>
    </row>
    <row r="1616" spans="1:11" x14ac:dyDescent="0.2">
      <c r="A1616" t="s">
        <v>3335</v>
      </c>
      <c r="B1616" t="s">
        <v>3336</v>
      </c>
      <c r="C1616" s="2">
        <v>45064</v>
      </c>
      <c r="D1616" s="2">
        <v>45067</v>
      </c>
      <c r="E1616">
        <f t="shared" si="25"/>
        <v>3</v>
      </c>
      <c r="F1616" t="s">
        <v>14</v>
      </c>
      <c r="G1616">
        <v>91093</v>
      </c>
      <c r="H1616">
        <v>3214</v>
      </c>
      <c r="I1616">
        <v>5622.59</v>
      </c>
      <c r="J1616">
        <v>162</v>
      </c>
      <c r="K1616" t="s">
        <v>15</v>
      </c>
    </row>
    <row r="1617" spans="1:11" x14ac:dyDescent="0.2">
      <c r="A1617" t="s">
        <v>3337</v>
      </c>
      <c r="B1617" t="s">
        <v>3338</v>
      </c>
      <c r="C1617" s="2">
        <v>45114</v>
      </c>
      <c r="D1617" s="2">
        <v>45139</v>
      </c>
      <c r="E1617">
        <f t="shared" si="25"/>
        <v>25</v>
      </c>
      <c r="F1617" t="s">
        <v>138</v>
      </c>
      <c r="G1617">
        <v>36400</v>
      </c>
      <c r="H1617">
        <v>553</v>
      </c>
      <c r="I1617">
        <v>1094.19</v>
      </c>
      <c r="J1617">
        <v>33</v>
      </c>
      <c r="K1617" t="s">
        <v>24</v>
      </c>
    </row>
    <row r="1618" spans="1:11" x14ac:dyDescent="0.2">
      <c r="A1618" t="s">
        <v>3339</v>
      </c>
      <c r="B1618" t="s">
        <v>3340</v>
      </c>
      <c r="C1618" s="2">
        <v>45141</v>
      </c>
      <c r="D1618" s="2">
        <v>45145</v>
      </c>
      <c r="E1618">
        <f t="shared" si="25"/>
        <v>4</v>
      </c>
      <c r="F1618" t="s">
        <v>23</v>
      </c>
      <c r="G1618">
        <v>5494</v>
      </c>
      <c r="H1618">
        <v>178</v>
      </c>
      <c r="I1618">
        <v>300.27</v>
      </c>
      <c r="J1618">
        <v>16</v>
      </c>
      <c r="K1618" t="s">
        <v>15</v>
      </c>
    </row>
    <row r="1619" spans="1:11" x14ac:dyDescent="0.2">
      <c r="A1619" t="s">
        <v>3341</v>
      </c>
      <c r="B1619" t="s">
        <v>3342</v>
      </c>
      <c r="C1619" s="2">
        <v>45132</v>
      </c>
      <c r="D1619" s="2">
        <v>45141</v>
      </c>
      <c r="E1619">
        <f t="shared" si="25"/>
        <v>9</v>
      </c>
      <c r="F1619" t="s">
        <v>138</v>
      </c>
      <c r="G1619">
        <v>81688</v>
      </c>
      <c r="H1619">
        <v>3367</v>
      </c>
      <c r="I1619">
        <v>4720.79</v>
      </c>
      <c r="J1619">
        <v>613</v>
      </c>
      <c r="K1619" t="s">
        <v>15</v>
      </c>
    </row>
    <row r="1620" spans="1:11" x14ac:dyDescent="0.2">
      <c r="A1620" t="s">
        <v>3343</v>
      </c>
      <c r="B1620" t="s">
        <v>3344</v>
      </c>
      <c r="C1620" s="2">
        <v>44994</v>
      </c>
      <c r="D1620" s="2">
        <v>45021</v>
      </c>
      <c r="E1620">
        <f t="shared" si="25"/>
        <v>27</v>
      </c>
      <c r="F1620" t="s">
        <v>41</v>
      </c>
      <c r="G1620">
        <v>90431</v>
      </c>
      <c r="H1620">
        <v>3467</v>
      </c>
      <c r="I1620">
        <v>3497.62</v>
      </c>
      <c r="J1620">
        <v>249</v>
      </c>
      <c r="K1620" t="s">
        <v>15</v>
      </c>
    </row>
    <row r="1621" spans="1:11" x14ac:dyDescent="0.2">
      <c r="A1621" t="s">
        <v>3345</v>
      </c>
      <c r="B1621" t="s">
        <v>3346</v>
      </c>
      <c r="C1621" s="2">
        <v>44978</v>
      </c>
      <c r="D1621" s="2">
        <v>45004</v>
      </c>
      <c r="E1621">
        <f t="shared" si="25"/>
        <v>26</v>
      </c>
      <c r="F1621" t="s">
        <v>33</v>
      </c>
      <c r="G1621">
        <v>75691</v>
      </c>
      <c r="H1621">
        <v>1277</v>
      </c>
      <c r="I1621">
        <v>1681.67</v>
      </c>
      <c r="J1621">
        <v>200</v>
      </c>
      <c r="K1621">
        <v>0</v>
      </c>
    </row>
    <row r="1622" spans="1:11" x14ac:dyDescent="0.2">
      <c r="A1622" t="s">
        <v>3347</v>
      </c>
      <c r="B1622" t="s">
        <v>3348</v>
      </c>
      <c r="C1622" s="2">
        <v>45211</v>
      </c>
      <c r="D1622" s="2">
        <v>45217</v>
      </c>
      <c r="E1622">
        <f t="shared" si="25"/>
        <v>6</v>
      </c>
      <c r="F1622" t="s">
        <v>23</v>
      </c>
      <c r="G1622">
        <v>98419</v>
      </c>
      <c r="H1622">
        <v>4812</v>
      </c>
      <c r="I1622" s="3">
        <v>2702.43</v>
      </c>
      <c r="J1622">
        <v>943</v>
      </c>
      <c r="K1622" t="b">
        <v>0</v>
      </c>
    </row>
    <row r="1623" spans="1:11" x14ac:dyDescent="0.2">
      <c r="A1623" t="s">
        <v>3349</v>
      </c>
      <c r="B1623" t="s">
        <v>3350</v>
      </c>
      <c r="C1623" s="2">
        <v>45001</v>
      </c>
      <c r="D1623" s="2">
        <v>45019</v>
      </c>
      <c r="E1623">
        <f t="shared" si="25"/>
        <v>18</v>
      </c>
      <c r="F1623" t="s">
        <v>19</v>
      </c>
      <c r="G1623">
        <v>44001</v>
      </c>
      <c r="H1623">
        <v>1229</v>
      </c>
      <c r="I1623">
        <v>1987.59</v>
      </c>
      <c r="J1623">
        <v>207</v>
      </c>
      <c r="K1623" t="b">
        <v>0</v>
      </c>
    </row>
    <row r="1624" spans="1:11" x14ac:dyDescent="0.2">
      <c r="A1624" t="s">
        <v>3351</v>
      </c>
      <c r="B1624" t="s">
        <v>3352</v>
      </c>
      <c r="C1624" s="2">
        <v>45169</v>
      </c>
      <c r="D1624" s="2">
        <v>45173</v>
      </c>
      <c r="E1624">
        <f t="shared" si="25"/>
        <v>4</v>
      </c>
      <c r="F1624" t="s">
        <v>23</v>
      </c>
      <c r="G1624">
        <v>68364</v>
      </c>
      <c r="H1624">
        <v>1118</v>
      </c>
      <c r="I1624">
        <v>1306.8699999999999</v>
      </c>
      <c r="J1624">
        <v>96</v>
      </c>
      <c r="K1624" t="s">
        <v>15</v>
      </c>
    </row>
    <row r="1625" spans="1:11" x14ac:dyDescent="0.2">
      <c r="A1625" t="s">
        <v>3353</v>
      </c>
      <c r="B1625" t="s">
        <v>3354</v>
      </c>
      <c r="C1625" s="2">
        <v>45182</v>
      </c>
      <c r="D1625" s="2">
        <v>45207</v>
      </c>
      <c r="E1625">
        <f t="shared" si="25"/>
        <v>25</v>
      </c>
      <c r="F1625" t="s">
        <v>41</v>
      </c>
      <c r="G1625">
        <v>46028</v>
      </c>
      <c r="H1625">
        <v>792</v>
      </c>
      <c r="I1625" s="3">
        <v>419.79</v>
      </c>
      <c r="J1625">
        <v>147</v>
      </c>
      <c r="K1625" t="s">
        <v>15</v>
      </c>
    </row>
    <row r="1626" spans="1:11" x14ac:dyDescent="0.2">
      <c r="A1626" t="s">
        <v>3355</v>
      </c>
      <c r="B1626" t="s">
        <v>3356</v>
      </c>
      <c r="C1626" s="2">
        <v>45249</v>
      </c>
      <c r="D1626" s="2">
        <v>45264</v>
      </c>
      <c r="E1626">
        <f t="shared" si="25"/>
        <v>15</v>
      </c>
      <c r="F1626" t="s">
        <v>41</v>
      </c>
      <c r="G1626">
        <v>98659</v>
      </c>
      <c r="H1626">
        <v>1374</v>
      </c>
      <c r="I1626">
        <v>815.83</v>
      </c>
      <c r="J1626">
        <v>87</v>
      </c>
      <c r="K1626" t="b">
        <v>1</v>
      </c>
    </row>
    <row r="1627" spans="1:11" x14ac:dyDescent="0.2">
      <c r="A1627" t="s">
        <v>3357</v>
      </c>
      <c r="B1627" t="s">
        <v>3358</v>
      </c>
      <c r="C1627" s="2">
        <v>45176</v>
      </c>
      <c r="D1627" s="2">
        <v>45194</v>
      </c>
      <c r="E1627">
        <f t="shared" si="25"/>
        <v>18</v>
      </c>
      <c r="F1627" t="s">
        <v>14</v>
      </c>
      <c r="G1627">
        <v>38573</v>
      </c>
      <c r="H1627">
        <v>1625</v>
      </c>
      <c r="I1627" s="3">
        <v>1756.95</v>
      </c>
      <c r="K1627" t="b">
        <v>0</v>
      </c>
    </row>
    <row r="1628" spans="1:11" x14ac:dyDescent="0.2">
      <c r="A1628" t="s">
        <v>3359</v>
      </c>
      <c r="B1628" t="s">
        <v>3360</v>
      </c>
      <c r="C1628" s="2">
        <v>45217</v>
      </c>
      <c r="D1628" s="2">
        <v>45242</v>
      </c>
      <c r="E1628">
        <f t="shared" si="25"/>
        <v>25</v>
      </c>
      <c r="F1628" t="s">
        <v>33</v>
      </c>
      <c r="G1628">
        <v>1806</v>
      </c>
      <c r="H1628">
        <v>26</v>
      </c>
      <c r="I1628">
        <v>35.75</v>
      </c>
      <c r="J1628">
        <v>4</v>
      </c>
      <c r="K1628" t="b">
        <v>1</v>
      </c>
    </row>
    <row r="1629" spans="1:11" x14ac:dyDescent="0.2">
      <c r="A1629" t="s">
        <v>3361</v>
      </c>
      <c r="B1629" t="s">
        <v>3362</v>
      </c>
      <c r="C1629" s="2">
        <v>44977</v>
      </c>
      <c r="D1629" s="2">
        <v>44989</v>
      </c>
      <c r="E1629">
        <f t="shared" si="25"/>
        <v>12</v>
      </c>
      <c r="F1629" t="s">
        <v>33</v>
      </c>
      <c r="G1629">
        <v>57638</v>
      </c>
      <c r="H1629">
        <v>864</v>
      </c>
      <c r="I1629">
        <v>1033.6099999999999</v>
      </c>
      <c r="J1629">
        <v>126</v>
      </c>
      <c r="K1629" t="s">
        <v>24</v>
      </c>
    </row>
    <row r="1630" spans="1:11" x14ac:dyDescent="0.2">
      <c r="A1630" t="s">
        <v>3363</v>
      </c>
      <c r="B1630" t="s">
        <v>3364</v>
      </c>
      <c r="C1630" s="2">
        <v>45057</v>
      </c>
      <c r="D1630" s="2">
        <v>45081</v>
      </c>
      <c r="E1630">
        <f t="shared" si="25"/>
        <v>24</v>
      </c>
      <c r="F1630" t="s">
        <v>19</v>
      </c>
      <c r="G1630">
        <v>30757</v>
      </c>
      <c r="H1630">
        <v>1353</v>
      </c>
      <c r="I1630">
        <v>1933.18</v>
      </c>
      <c r="J1630">
        <v>151</v>
      </c>
      <c r="K1630" t="b">
        <v>1</v>
      </c>
    </row>
    <row r="1631" spans="1:11" x14ac:dyDescent="0.2">
      <c r="A1631" t="s">
        <v>3365</v>
      </c>
      <c r="B1631" t="s">
        <v>3366</v>
      </c>
      <c r="C1631" s="2">
        <v>45157</v>
      </c>
      <c r="D1631" s="2">
        <v>45163</v>
      </c>
      <c r="E1631">
        <f t="shared" si="25"/>
        <v>6</v>
      </c>
      <c r="F1631" t="s">
        <v>41</v>
      </c>
      <c r="G1631">
        <v>35636</v>
      </c>
      <c r="H1631">
        <v>847</v>
      </c>
      <c r="I1631">
        <v>1033.71</v>
      </c>
      <c r="J1631">
        <v>79</v>
      </c>
      <c r="K1631">
        <v>1</v>
      </c>
    </row>
    <row r="1632" spans="1:11" x14ac:dyDescent="0.2">
      <c r="A1632" t="s">
        <v>3367</v>
      </c>
      <c r="B1632" t="s">
        <v>3368</v>
      </c>
      <c r="C1632" s="2">
        <v>45111</v>
      </c>
      <c r="D1632" s="2">
        <v>45116</v>
      </c>
      <c r="E1632">
        <f t="shared" si="25"/>
        <v>5</v>
      </c>
      <c r="F1632" t="s">
        <v>19</v>
      </c>
      <c r="G1632">
        <v>81097</v>
      </c>
      <c r="H1632">
        <v>911</v>
      </c>
      <c r="I1632">
        <v>1359.72</v>
      </c>
      <c r="J1632">
        <v>96</v>
      </c>
      <c r="K1632">
        <v>0</v>
      </c>
    </row>
    <row r="1633" spans="1:11" x14ac:dyDescent="0.2">
      <c r="A1633" t="s">
        <v>3369</v>
      </c>
      <c r="B1633" t="s">
        <v>3370</v>
      </c>
      <c r="C1633" s="2">
        <v>45058</v>
      </c>
      <c r="D1633" s="2">
        <v>45076</v>
      </c>
      <c r="E1633">
        <f t="shared" si="25"/>
        <v>18</v>
      </c>
      <c r="F1633" t="s">
        <v>23</v>
      </c>
      <c r="G1633">
        <v>49280</v>
      </c>
      <c r="H1633">
        <v>595</v>
      </c>
      <c r="I1633">
        <v>493.07</v>
      </c>
      <c r="J1633">
        <v>75</v>
      </c>
      <c r="K1633" t="s">
        <v>24</v>
      </c>
    </row>
    <row r="1634" spans="1:11" x14ac:dyDescent="0.2">
      <c r="A1634" t="s">
        <v>3371</v>
      </c>
      <c r="B1634" t="s">
        <v>3372</v>
      </c>
      <c r="C1634" s="2">
        <v>45106</v>
      </c>
      <c r="D1634" s="2">
        <v>45136</v>
      </c>
      <c r="E1634">
        <f t="shared" si="25"/>
        <v>30</v>
      </c>
      <c r="F1634" t="s">
        <v>33</v>
      </c>
      <c r="G1634">
        <v>25262</v>
      </c>
      <c r="H1634">
        <v>396</v>
      </c>
      <c r="I1634" s="3">
        <v>265.02999999999997</v>
      </c>
      <c r="J1634">
        <v>38</v>
      </c>
      <c r="K1634" t="s">
        <v>30</v>
      </c>
    </row>
    <row r="1635" spans="1:11" x14ac:dyDescent="0.2">
      <c r="A1635" t="s">
        <v>3373</v>
      </c>
      <c r="B1635" t="s">
        <v>3374</v>
      </c>
      <c r="C1635" s="2">
        <v>45023</v>
      </c>
      <c r="D1635" s="2">
        <v>45028</v>
      </c>
      <c r="E1635">
        <f t="shared" si="25"/>
        <v>5</v>
      </c>
      <c r="F1635" t="s">
        <v>138</v>
      </c>
      <c r="G1635">
        <v>81435</v>
      </c>
      <c r="H1635">
        <v>1509</v>
      </c>
      <c r="I1635">
        <v>2104.5300000000002</v>
      </c>
      <c r="J1635">
        <v>294</v>
      </c>
      <c r="K1635" t="b">
        <v>0</v>
      </c>
    </row>
    <row r="1636" spans="1:11" x14ac:dyDescent="0.2">
      <c r="A1636" t="s">
        <v>3375</v>
      </c>
      <c r="B1636" t="s">
        <v>3376</v>
      </c>
      <c r="C1636" s="2">
        <v>45202</v>
      </c>
      <c r="D1636" s="2">
        <v>45210</v>
      </c>
      <c r="E1636">
        <f t="shared" si="25"/>
        <v>8</v>
      </c>
      <c r="F1636" t="s">
        <v>41</v>
      </c>
      <c r="G1636">
        <v>63211</v>
      </c>
      <c r="H1636">
        <v>2313</v>
      </c>
      <c r="I1636" s="3">
        <v>2838.13</v>
      </c>
      <c r="J1636">
        <v>439</v>
      </c>
      <c r="K1636" t="s">
        <v>15</v>
      </c>
    </row>
    <row r="1637" spans="1:11" x14ac:dyDescent="0.2">
      <c r="A1637" t="s">
        <v>3377</v>
      </c>
      <c r="B1637" t="s">
        <v>3378</v>
      </c>
      <c r="C1637" s="2">
        <v>45108</v>
      </c>
      <c r="D1637" s="2">
        <v>45134</v>
      </c>
      <c r="E1637">
        <f t="shared" si="25"/>
        <v>26</v>
      </c>
      <c r="F1637" t="s">
        <v>33</v>
      </c>
      <c r="G1637">
        <v>55842</v>
      </c>
      <c r="H1637">
        <v>909</v>
      </c>
      <c r="I1637">
        <v>491.13</v>
      </c>
      <c r="J1637">
        <v>164</v>
      </c>
      <c r="K1637" t="s">
        <v>24</v>
      </c>
    </row>
    <row r="1638" spans="1:11" x14ac:dyDescent="0.2">
      <c r="A1638" t="s">
        <v>3379</v>
      </c>
      <c r="B1638" t="s">
        <v>3380</v>
      </c>
      <c r="C1638" s="2">
        <v>45155</v>
      </c>
      <c r="D1638" s="2">
        <v>45156</v>
      </c>
      <c r="E1638">
        <f t="shared" si="25"/>
        <v>1</v>
      </c>
      <c r="F1638" t="s">
        <v>33</v>
      </c>
      <c r="G1638">
        <v>57979</v>
      </c>
      <c r="H1638">
        <v>855</v>
      </c>
      <c r="I1638">
        <v>915.47</v>
      </c>
      <c r="J1638">
        <v>96</v>
      </c>
      <c r="K1638" t="s">
        <v>15</v>
      </c>
    </row>
    <row r="1639" spans="1:11" x14ac:dyDescent="0.2">
      <c r="A1639" t="s">
        <v>3381</v>
      </c>
      <c r="B1639" t="s">
        <v>3382</v>
      </c>
      <c r="C1639" s="2">
        <v>45073</v>
      </c>
      <c r="D1639" s="2">
        <v>45084</v>
      </c>
      <c r="E1639">
        <f t="shared" si="25"/>
        <v>11</v>
      </c>
      <c r="F1639" t="s">
        <v>138</v>
      </c>
      <c r="G1639">
        <v>82470</v>
      </c>
      <c r="H1639">
        <v>3347</v>
      </c>
      <c r="I1639">
        <v>2206.3000000000002</v>
      </c>
      <c r="J1639">
        <v>514</v>
      </c>
      <c r="K1639" t="s">
        <v>30</v>
      </c>
    </row>
    <row r="1640" spans="1:11" x14ac:dyDescent="0.2">
      <c r="A1640" t="s">
        <v>3383</v>
      </c>
      <c r="B1640" t="s">
        <v>3384</v>
      </c>
      <c r="C1640" s="2">
        <v>45012</v>
      </c>
      <c r="D1640" s="2">
        <v>45040</v>
      </c>
      <c r="E1640">
        <f t="shared" si="25"/>
        <v>28</v>
      </c>
      <c r="F1640" t="s">
        <v>33</v>
      </c>
      <c r="G1640">
        <v>39197</v>
      </c>
      <c r="H1640">
        <v>1444</v>
      </c>
      <c r="I1640">
        <v>1872.92</v>
      </c>
      <c r="J1640">
        <v>267</v>
      </c>
      <c r="K1640" t="s">
        <v>24</v>
      </c>
    </row>
    <row r="1641" spans="1:11" x14ac:dyDescent="0.2">
      <c r="A1641" t="s">
        <v>3385</v>
      </c>
      <c r="B1641" t="s">
        <v>3386</v>
      </c>
      <c r="C1641" s="2">
        <v>45142</v>
      </c>
      <c r="D1641" s="2">
        <v>45148</v>
      </c>
      <c r="E1641">
        <f t="shared" si="25"/>
        <v>6</v>
      </c>
      <c r="F1641" t="s">
        <v>14</v>
      </c>
      <c r="G1641">
        <v>42844</v>
      </c>
      <c r="H1641">
        <v>1174</v>
      </c>
      <c r="I1641">
        <v>1283.96</v>
      </c>
      <c r="J1641">
        <v>208</v>
      </c>
      <c r="K1641" t="b">
        <v>0</v>
      </c>
    </row>
    <row r="1642" spans="1:11" x14ac:dyDescent="0.2">
      <c r="A1642" t="s">
        <v>3387</v>
      </c>
      <c r="B1642" t="s">
        <v>3388</v>
      </c>
      <c r="C1642" s="2">
        <v>44988</v>
      </c>
      <c r="D1642" s="2">
        <v>45079</v>
      </c>
      <c r="E1642">
        <f t="shared" si="25"/>
        <v>91</v>
      </c>
      <c r="F1642" t="s">
        <v>33</v>
      </c>
      <c r="G1642">
        <v>65754</v>
      </c>
      <c r="H1642">
        <v>2102</v>
      </c>
      <c r="I1642">
        <v>2984.27</v>
      </c>
      <c r="J1642">
        <v>235</v>
      </c>
      <c r="K1642" t="s">
        <v>24</v>
      </c>
    </row>
    <row r="1643" spans="1:11" x14ac:dyDescent="0.2">
      <c r="A1643" t="s">
        <v>3389</v>
      </c>
      <c r="B1643" t="s">
        <v>3390</v>
      </c>
      <c r="C1643" s="2">
        <v>45102</v>
      </c>
      <c r="D1643" s="2">
        <v>45111</v>
      </c>
      <c r="E1643">
        <f t="shared" si="25"/>
        <v>9</v>
      </c>
      <c r="F1643" t="s">
        <v>23</v>
      </c>
      <c r="G1643">
        <v>35157</v>
      </c>
      <c r="H1643">
        <v>790</v>
      </c>
      <c r="I1643">
        <v>1349.64</v>
      </c>
      <c r="K1643" t="s">
        <v>15</v>
      </c>
    </row>
    <row r="1644" spans="1:11" x14ac:dyDescent="0.2">
      <c r="A1644" t="s">
        <v>3391</v>
      </c>
      <c r="B1644" t="s">
        <v>3392</v>
      </c>
      <c r="C1644" s="2">
        <v>45076</v>
      </c>
      <c r="D1644" s="2">
        <v>45093</v>
      </c>
      <c r="E1644">
        <f t="shared" si="25"/>
        <v>17</v>
      </c>
      <c r="F1644" t="s">
        <v>14</v>
      </c>
      <c r="G1644">
        <v>78129</v>
      </c>
      <c r="H1644">
        <v>2289</v>
      </c>
      <c r="I1644">
        <v>2173.41</v>
      </c>
      <c r="J1644">
        <v>140</v>
      </c>
      <c r="K1644" t="s">
        <v>15</v>
      </c>
    </row>
    <row r="1645" spans="1:11" x14ac:dyDescent="0.2">
      <c r="A1645" t="s">
        <v>3393</v>
      </c>
      <c r="B1645" t="s">
        <v>3394</v>
      </c>
      <c r="C1645" s="2">
        <v>45129</v>
      </c>
      <c r="D1645" s="2">
        <v>45156</v>
      </c>
      <c r="E1645">
        <f t="shared" si="25"/>
        <v>27</v>
      </c>
      <c r="F1645" t="s">
        <v>41</v>
      </c>
      <c r="G1645">
        <v>41042</v>
      </c>
      <c r="H1645">
        <v>1242</v>
      </c>
      <c r="I1645">
        <v>2413.4</v>
      </c>
      <c r="J1645">
        <v>169</v>
      </c>
      <c r="K1645">
        <v>1</v>
      </c>
    </row>
    <row r="1646" spans="1:11" x14ac:dyDescent="0.2">
      <c r="A1646" t="s">
        <v>3395</v>
      </c>
      <c r="B1646" t="s">
        <v>3396</v>
      </c>
      <c r="C1646" s="2">
        <v>45112</v>
      </c>
      <c r="D1646" s="2">
        <v>45113</v>
      </c>
      <c r="E1646">
        <f t="shared" si="25"/>
        <v>1</v>
      </c>
      <c r="F1646" t="s">
        <v>14</v>
      </c>
      <c r="G1646">
        <v>62665</v>
      </c>
      <c r="H1646">
        <v>1597</v>
      </c>
      <c r="I1646">
        <v>2081.61</v>
      </c>
      <c r="J1646">
        <v>233</v>
      </c>
      <c r="K1646" t="b">
        <v>1</v>
      </c>
    </row>
    <row r="1647" spans="1:11" x14ac:dyDescent="0.2">
      <c r="A1647" t="s">
        <v>3397</v>
      </c>
      <c r="B1647" t="s">
        <v>3398</v>
      </c>
      <c r="C1647" s="2">
        <v>45157</v>
      </c>
      <c r="D1647" s="2">
        <v>45174</v>
      </c>
      <c r="E1647">
        <f t="shared" si="25"/>
        <v>17</v>
      </c>
      <c r="F1647" t="s">
        <v>41</v>
      </c>
      <c r="G1647">
        <v>83856</v>
      </c>
      <c r="H1647">
        <v>3879</v>
      </c>
      <c r="I1647" s="3">
        <v>5537.03</v>
      </c>
      <c r="J1647">
        <v>688</v>
      </c>
      <c r="K1647" t="s">
        <v>24</v>
      </c>
    </row>
    <row r="1648" spans="1:11" x14ac:dyDescent="0.2">
      <c r="A1648" t="s">
        <v>3399</v>
      </c>
      <c r="B1648" t="s">
        <v>3400</v>
      </c>
      <c r="C1648" s="2">
        <v>44938</v>
      </c>
      <c r="D1648" s="2">
        <v>44955</v>
      </c>
      <c r="E1648">
        <f t="shared" si="25"/>
        <v>17</v>
      </c>
      <c r="F1648" t="s">
        <v>33</v>
      </c>
      <c r="G1648">
        <v>28376</v>
      </c>
      <c r="H1648">
        <v>301</v>
      </c>
      <c r="I1648">
        <v>457.82</v>
      </c>
      <c r="J1648">
        <v>28</v>
      </c>
      <c r="K1648" t="s">
        <v>15</v>
      </c>
    </row>
    <row r="1649" spans="1:11" x14ac:dyDescent="0.2">
      <c r="A1649" t="s">
        <v>3401</v>
      </c>
      <c r="B1649" t="s">
        <v>3402</v>
      </c>
      <c r="C1649" s="2">
        <v>45055</v>
      </c>
      <c r="D1649" s="2">
        <v>45084</v>
      </c>
      <c r="E1649">
        <f t="shared" si="25"/>
        <v>29</v>
      </c>
      <c r="F1649" t="s">
        <v>23</v>
      </c>
      <c r="G1649">
        <v>56554</v>
      </c>
      <c r="H1649">
        <v>2334</v>
      </c>
      <c r="I1649">
        <v>3501.23</v>
      </c>
      <c r="J1649">
        <v>175</v>
      </c>
      <c r="K1649">
        <v>0</v>
      </c>
    </row>
    <row r="1650" spans="1:11" x14ac:dyDescent="0.2">
      <c r="A1650" t="s">
        <v>3403</v>
      </c>
      <c r="B1650" t="s">
        <v>3404</v>
      </c>
      <c r="C1650" s="2">
        <v>44967</v>
      </c>
      <c r="D1650" s="2">
        <v>44969</v>
      </c>
      <c r="E1650">
        <f t="shared" si="25"/>
        <v>2</v>
      </c>
      <c r="F1650" t="s">
        <v>33</v>
      </c>
      <c r="G1650">
        <v>15199</v>
      </c>
      <c r="H1650">
        <v>227</v>
      </c>
      <c r="I1650">
        <v>287.49</v>
      </c>
      <c r="J1650">
        <v>24</v>
      </c>
      <c r="K1650" t="b">
        <v>0</v>
      </c>
    </row>
    <row r="1651" spans="1:11" x14ac:dyDescent="0.2">
      <c r="A1651" t="s">
        <v>3405</v>
      </c>
      <c r="B1651" t="s">
        <v>3406</v>
      </c>
      <c r="C1651" s="2">
        <v>44975</v>
      </c>
      <c r="D1651" s="2">
        <v>44988</v>
      </c>
      <c r="E1651">
        <f t="shared" si="25"/>
        <v>13</v>
      </c>
      <c r="F1651" t="s">
        <v>23</v>
      </c>
      <c r="G1651">
        <v>82412</v>
      </c>
      <c r="H1651">
        <v>3453</v>
      </c>
      <c r="I1651">
        <v>3947.28</v>
      </c>
      <c r="J1651">
        <v>355</v>
      </c>
      <c r="K1651">
        <v>0</v>
      </c>
    </row>
    <row r="1652" spans="1:11" x14ac:dyDescent="0.2">
      <c r="A1652" t="s">
        <v>3408</v>
      </c>
      <c r="B1652" t="s">
        <v>3409</v>
      </c>
      <c r="C1652" s="2">
        <v>45169</v>
      </c>
      <c r="D1652" s="2">
        <v>45174</v>
      </c>
      <c r="E1652">
        <f t="shared" si="25"/>
        <v>5</v>
      </c>
      <c r="F1652" t="s">
        <v>19</v>
      </c>
      <c r="G1652">
        <v>51948</v>
      </c>
      <c r="H1652">
        <v>1799</v>
      </c>
      <c r="I1652">
        <v>1044.6300000000001</v>
      </c>
      <c r="J1652">
        <v>125</v>
      </c>
      <c r="K1652" t="s">
        <v>30</v>
      </c>
    </row>
    <row r="1653" spans="1:11" x14ac:dyDescent="0.2">
      <c r="A1653" t="s">
        <v>3410</v>
      </c>
      <c r="B1653" t="s">
        <v>3411</v>
      </c>
      <c r="C1653" s="2">
        <v>45130</v>
      </c>
      <c r="D1653" s="2">
        <v>45136</v>
      </c>
      <c r="E1653">
        <f t="shared" si="25"/>
        <v>6</v>
      </c>
      <c r="F1653" t="s">
        <v>41</v>
      </c>
      <c r="G1653">
        <v>74781</v>
      </c>
      <c r="H1653">
        <v>3270</v>
      </c>
      <c r="I1653">
        <v>1743.33</v>
      </c>
      <c r="J1653">
        <v>493</v>
      </c>
      <c r="K1653" t="s">
        <v>24</v>
      </c>
    </row>
    <row r="1654" spans="1:11" x14ac:dyDescent="0.2">
      <c r="A1654" t="s">
        <v>3412</v>
      </c>
      <c r="B1654" t="s">
        <v>3413</v>
      </c>
      <c r="C1654" s="2">
        <v>44980</v>
      </c>
      <c r="D1654" s="2">
        <v>44982</v>
      </c>
      <c r="E1654">
        <f t="shared" si="25"/>
        <v>2</v>
      </c>
      <c r="F1654" t="s">
        <v>33</v>
      </c>
      <c r="G1654">
        <v>73750</v>
      </c>
      <c r="H1654">
        <v>1025</v>
      </c>
      <c r="I1654">
        <v>1062.8699999999999</v>
      </c>
      <c r="J1654">
        <v>129</v>
      </c>
      <c r="K1654">
        <v>1</v>
      </c>
    </row>
    <row r="1655" spans="1:11" x14ac:dyDescent="0.2">
      <c r="A1655" t="s">
        <v>3414</v>
      </c>
      <c r="B1655" t="s">
        <v>3415</v>
      </c>
      <c r="C1655" s="2">
        <v>45262</v>
      </c>
      <c r="D1655" s="2">
        <v>45278</v>
      </c>
      <c r="E1655">
        <f t="shared" si="25"/>
        <v>16</v>
      </c>
      <c r="F1655" t="s">
        <v>14</v>
      </c>
      <c r="G1655">
        <v>67262</v>
      </c>
      <c r="H1655">
        <v>2176</v>
      </c>
      <c r="I1655">
        <v>2177.0700000000002</v>
      </c>
      <c r="J1655">
        <v>344</v>
      </c>
      <c r="K1655" t="b">
        <v>0</v>
      </c>
    </row>
    <row r="1656" spans="1:11" x14ac:dyDescent="0.2">
      <c r="A1656" t="s">
        <v>3416</v>
      </c>
      <c r="B1656" t="s">
        <v>3417</v>
      </c>
      <c r="C1656" s="2">
        <v>45044</v>
      </c>
      <c r="D1656" s="2">
        <v>45049</v>
      </c>
      <c r="E1656">
        <f t="shared" si="25"/>
        <v>5</v>
      </c>
      <c r="F1656" t="s">
        <v>41</v>
      </c>
      <c r="G1656">
        <v>47600</v>
      </c>
      <c r="H1656">
        <v>1430</v>
      </c>
      <c r="I1656">
        <v>1546.61</v>
      </c>
      <c r="J1656">
        <v>147</v>
      </c>
      <c r="K1656">
        <v>1</v>
      </c>
    </row>
    <row r="1657" spans="1:11" x14ac:dyDescent="0.2">
      <c r="A1657" t="s">
        <v>3418</v>
      </c>
      <c r="B1657" t="s">
        <v>3419</v>
      </c>
      <c r="C1657" s="2">
        <v>45247</v>
      </c>
      <c r="D1657" s="2">
        <v>45275</v>
      </c>
      <c r="E1657">
        <f t="shared" si="25"/>
        <v>28</v>
      </c>
      <c r="F1657" t="s">
        <v>33</v>
      </c>
      <c r="G1657">
        <v>77898</v>
      </c>
      <c r="H1657">
        <v>2979</v>
      </c>
      <c r="I1657">
        <v>2107.8000000000002</v>
      </c>
      <c r="J1657">
        <v>294</v>
      </c>
      <c r="K1657" t="b">
        <v>1</v>
      </c>
    </row>
    <row r="1658" spans="1:11" x14ac:dyDescent="0.2">
      <c r="A1658" t="s">
        <v>3420</v>
      </c>
      <c r="B1658" t="s">
        <v>3421</v>
      </c>
      <c r="C1658" s="2">
        <v>45014</v>
      </c>
      <c r="D1658" s="2">
        <v>45019</v>
      </c>
      <c r="E1658">
        <f t="shared" si="25"/>
        <v>5</v>
      </c>
      <c r="F1658" t="s">
        <v>33</v>
      </c>
      <c r="G1658">
        <v>63483</v>
      </c>
      <c r="H1658">
        <v>1991</v>
      </c>
      <c r="I1658" s="3">
        <v>3200.04</v>
      </c>
      <c r="K1658" t="s">
        <v>15</v>
      </c>
    </row>
    <row r="1659" spans="1:11" x14ac:dyDescent="0.2">
      <c r="A1659" t="s">
        <v>3422</v>
      </c>
      <c r="B1659" t="s">
        <v>3423</v>
      </c>
      <c r="C1659" s="2">
        <v>45266</v>
      </c>
      <c r="D1659" s="2">
        <v>45274</v>
      </c>
      <c r="E1659">
        <f t="shared" si="25"/>
        <v>8</v>
      </c>
      <c r="F1659" t="s">
        <v>19</v>
      </c>
      <c r="G1659">
        <v>19297</v>
      </c>
      <c r="H1659">
        <v>610</v>
      </c>
      <c r="I1659">
        <v>1089.1199999999999</v>
      </c>
      <c r="K1659" t="b">
        <v>0</v>
      </c>
    </row>
    <row r="1660" spans="1:11" x14ac:dyDescent="0.2">
      <c r="A1660" t="s">
        <v>3424</v>
      </c>
      <c r="B1660" t="s">
        <v>3425</v>
      </c>
      <c r="C1660" s="2">
        <v>45170</v>
      </c>
      <c r="D1660" s="2">
        <v>45198</v>
      </c>
      <c r="E1660">
        <f t="shared" si="25"/>
        <v>28</v>
      </c>
      <c r="F1660" t="s">
        <v>23</v>
      </c>
      <c r="G1660">
        <v>31448</v>
      </c>
      <c r="H1660">
        <v>854</v>
      </c>
      <c r="I1660">
        <v>1629.49</v>
      </c>
      <c r="J1660">
        <v>47</v>
      </c>
      <c r="K1660" t="s">
        <v>30</v>
      </c>
    </row>
    <row r="1661" spans="1:11" x14ac:dyDescent="0.2">
      <c r="A1661" t="s">
        <v>3426</v>
      </c>
      <c r="B1661" t="s">
        <v>3427</v>
      </c>
      <c r="C1661" s="2">
        <v>45066</v>
      </c>
      <c r="D1661" s="2">
        <v>45086</v>
      </c>
      <c r="E1661">
        <f t="shared" si="25"/>
        <v>20</v>
      </c>
      <c r="F1661" t="s">
        <v>138</v>
      </c>
      <c r="G1661">
        <v>27172</v>
      </c>
      <c r="H1661">
        <v>607</v>
      </c>
      <c r="I1661">
        <v>751.8</v>
      </c>
      <c r="J1661">
        <v>103</v>
      </c>
      <c r="K1661" t="s">
        <v>24</v>
      </c>
    </row>
    <row r="1662" spans="1:11" x14ac:dyDescent="0.2">
      <c r="A1662" t="s">
        <v>3428</v>
      </c>
      <c r="B1662" t="s">
        <v>3429</v>
      </c>
      <c r="C1662" s="2">
        <v>45284</v>
      </c>
      <c r="D1662" s="2">
        <v>45311</v>
      </c>
      <c r="E1662">
        <f t="shared" si="25"/>
        <v>27</v>
      </c>
      <c r="F1662" t="s">
        <v>14</v>
      </c>
      <c r="G1662">
        <v>43874</v>
      </c>
      <c r="H1662">
        <v>1285</v>
      </c>
      <c r="I1662">
        <v>1993.42</v>
      </c>
      <c r="J1662">
        <v>135</v>
      </c>
      <c r="K1662" t="b">
        <v>1</v>
      </c>
    </row>
    <row r="1663" spans="1:11" x14ac:dyDescent="0.2">
      <c r="A1663" t="s">
        <v>3430</v>
      </c>
      <c r="B1663" t="s">
        <v>3431</v>
      </c>
      <c r="C1663" s="2">
        <v>45160</v>
      </c>
      <c r="D1663" s="2">
        <v>45172</v>
      </c>
      <c r="E1663">
        <f t="shared" si="25"/>
        <v>12</v>
      </c>
      <c r="F1663" t="s">
        <v>33</v>
      </c>
      <c r="G1663">
        <v>8657</v>
      </c>
      <c r="H1663">
        <v>127</v>
      </c>
      <c r="I1663">
        <v>226.48</v>
      </c>
      <c r="J1663">
        <v>22</v>
      </c>
      <c r="K1663" t="b">
        <v>1</v>
      </c>
    </row>
    <row r="1664" spans="1:11" x14ac:dyDescent="0.2">
      <c r="A1664" t="s">
        <v>3432</v>
      </c>
      <c r="B1664" t="s">
        <v>3433</v>
      </c>
      <c r="C1664" s="2">
        <v>45215</v>
      </c>
      <c r="D1664" s="2">
        <v>45234</v>
      </c>
      <c r="E1664">
        <f t="shared" si="25"/>
        <v>19</v>
      </c>
      <c r="F1664" t="s">
        <v>19</v>
      </c>
      <c r="G1664">
        <v>85386</v>
      </c>
      <c r="H1664">
        <v>4137</v>
      </c>
      <c r="I1664">
        <v>4664.21</v>
      </c>
      <c r="J1664">
        <v>704</v>
      </c>
      <c r="K1664">
        <v>1</v>
      </c>
    </row>
    <row r="1665" spans="1:11" x14ac:dyDescent="0.2">
      <c r="A1665" t="s">
        <v>3434</v>
      </c>
      <c r="B1665" t="s">
        <v>3435</v>
      </c>
      <c r="C1665" s="2">
        <v>45200</v>
      </c>
      <c r="D1665" s="2">
        <v>45226</v>
      </c>
      <c r="E1665">
        <f t="shared" si="25"/>
        <v>26</v>
      </c>
      <c r="F1665" t="s">
        <v>14</v>
      </c>
      <c r="G1665">
        <v>26425</v>
      </c>
      <c r="H1665">
        <v>1019</v>
      </c>
      <c r="I1665">
        <v>982.44</v>
      </c>
      <c r="J1665">
        <v>104</v>
      </c>
      <c r="K1665" t="b">
        <v>1</v>
      </c>
    </row>
    <row r="1666" spans="1:11" x14ac:dyDescent="0.2">
      <c r="A1666" t="s">
        <v>3436</v>
      </c>
      <c r="B1666" t="s">
        <v>3437</v>
      </c>
      <c r="C1666" s="2">
        <v>45035</v>
      </c>
      <c r="D1666" s="2">
        <v>45203</v>
      </c>
      <c r="E1666">
        <f t="shared" ref="E1666:E1729" si="26">D1666-C1666</f>
        <v>168</v>
      </c>
      <c r="F1666" t="s">
        <v>19</v>
      </c>
      <c r="G1666">
        <v>27685</v>
      </c>
      <c r="H1666">
        <v>1331</v>
      </c>
      <c r="I1666">
        <v>2535.67</v>
      </c>
      <c r="J1666">
        <v>205</v>
      </c>
      <c r="K1666" t="b">
        <v>0</v>
      </c>
    </row>
    <row r="1667" spans="1:11" x14ac:dyDescent="0.2">
      <c r="A1667" t="s">
        <v>3438</v>
      </c>
      <c r="B1667" t="s">
        <v>3439</v>
      </c>
      <c r="C1667" s="2">
        <v>45084</v>
      </c>
      <c r="D1667" s="2">
        <v>45099</v>
      </c>
      <c r="E1667">
        <f t="shared" si="26"/>
        <v>15</v>
      </c>
      <c r="F1667" t="s">
        <v>23</v>
      </c>
      <c r="G1667">
        <v>25578</v>
      </c>
      <c r="H1667">
        <v>487</v>
      </c>
      <c r="I1667">
        <v>620.20000000000005</v>
      </c>
      <c r="J1667">
        <v>36</v>
      </c>
      <c r="K1667">
        <v>1</v>
      </c>
    </row>
    <row r="1668" spans="1:11" x14ac:dyDescent="0.2">
      <c r="A1668" t="s">
        <v>3440</v>
      </c>
      <c r="B1668" t="s">
        <v>3441</v>
      </c>
      <c r="C1668" s="2">
        <v>45047</v>
      </c>
      <c r="D1668" s="2">
        <v>45052</v>
      </c>
      <c r="E1668">
        <f t="shared" si="26"/>
        <v>5</v>
      </c>
      <c r="F1668" t="s">
        <v>23</v>
      </c>
      <c r="G1668">
        <v>29831</v>
      </c>
      <c r="H1668">
        <v>1347</v>
      </c>
      <c r="I1668">
        <v>1678.2</v>
      </c>
      <c r="J1668">
        <v>248</v>
      </c>
      <c r="K1668" t="b">
        <v>1</v>
      </c>
    </row>
    <row r="1669" spans="1:11" x14ac:dyDescent="0.2">
      <c r="A1669" t="s">
        <v>3442</v>
      </c>
      <c r="B1669" t="s">
        <v>3443</v>
      </c>
      <c r="C1669" s="2">
        <v>45194</v>
      </c>
      <c r="D1669" s="2">
        <v>45209</v>
      </c>
      <c r="E1669">
        <f t="shared" si="26"/>
        <v>15</v>
      </c>
      <c r="F1669" t="s">
        <v>33</v>
      </c>
      <c r="G1669">
        <v>8906</v>
      </c>
      <c r="H1669">
        <v>377</v>
      </c>
      <c r="I1669" s="3">
        <v>289.39</v>
      </c>
      <c r="J1669">
        <v>41</v>
      </c>
      <c r="K1669" t="s">
        <v>24</v>
      </c>
    </row>
    <row r="1670" spans="1:11" x14ac:dyDescent="0.2">
      <c r="A1670" t="s">
        <v>3444</v>
      </c>
      <c r="B1670" t="s">
        <v>3445</v>
      </c>
      <c r="C1670" s="2">
        <v>45103</v>
      </c>
      <c r="D1670" s="2">
        <v>45109</v>
      </c>
      <c r="E1670">
        <f t="shared" si="26"/>
        <v>6</v>
      </c>
      <c r="F1670" t="s">
        <v>14</v>
      </c>
      <c r="G1670">
        <v>62413</v>
      </c>
      <c r="H1670">
        <v>2314</v>
      </c>
      <c r="I1670">
        <v>1532.41</v>
      </c>
      <c r="J1670">
        <v>273</v>
      </c>
      <c r="K1670" t="s">
        <v>30</v>
      </c>
    </row>
    <row r="1671" spans="1:11" x14ac:dyDescent="0.2">
      <c r="A1671" t="s">
        <v>3446</v>
      </c>
      <c r="B1671" t="s">
        <v>3447</v>
      </c>
      <c r="C1671" s="2">
        <v>45279</v>
      </c>
      <c r="D1671" s="2">
        <v>45302</v>
      </c>
      <c r="E1671">
        <f t="shared" si="26"/>
        <v>23</v>
      </c>
      <c r="F1671" t="s">
        <v>19</v>
      </c>
      <c r="G1671">
        <v>55028</v>
      </c>
      <c r="H1671">
        <v>1926</v>
      </c>
      <c r="I1671">
        <v>3395.85</v>
      </c>
      <c r="J1671">
        <v>300</v>
      </c>
      <c r="K1671" t="s">
        <v>24</v>
      </c>
    </row>
    <row r="1672" spans="1:11" x14ac:dyDescent="0.2">
      <c r="A1672" t="s">
        <v>3448</v>
      </c>
      <c r="B1672" t="s">
        <v>3449</v>
      </c>
      <c r="C1672" s="2">
        <v>45171</v>
      </c>
      <c r="D1672" s="2">
        <v>45175</v>
      </c>
      <c r="E1672">
        <f t="shared" si="26"/>
        <v>4</v>
      </c>
      <c r="F1672" t="s">
        <v>14</v>
      </c>
      <c r="G1672">
        <v>8287</v>
      </c>
      <c r="H1672">
        <v>187</v>
      </c>
      <c r="I1672">
        <v>265.76</v>
      </c>
      <c r="J1672">
        <v>32</v>
      </c>
      <c r="K1672">
        <v>0</v>
      </c>
    </row>
    <row r="1673" spans="1:11" x14ac:dyDescent="0.2">
      <c r="A1673" t="s">
        <v>3450</v>
      </c>
      <c r="B1673" t="s">
        <v>3451</v>
      </c>
      <c r="C1673" s="2">
        <v>45076</v>
      </c>
      <c r="D1673" s="2">
        <v>45099</v>
      </c>
      <c r="E1673">
        <f t="shared" si="26"/>
        <v>23</v>
      </c>
      <c r="F1673" t="s">
        <v>23</v>
      </c>
      <c r="G1673">
        <v>34660</v>
      </c>
      <c r="H1673">
        <v>1478</v>
      </c>
      <c r="I1673" s="3">
        <v>1461.35</v>
      </c>
      <c r="J1673">
        <v>126</v>
      </c>
      <c r="K1673" t="b">
        <v>0</v>
      </c>
    </row>
    <row r="1674" spans="1:11" x14ac:dyDescent="0.2">
      <c r="A1674" t="s">
        <v>3452</v>
      </c>
      <c r="B1674" t="s">
        <v>3453</v>
      </c>
      <c r="C1674" s="2">
        <v>45207</v>
      </c>
      <c r="D1674" s="2">
        <v>45215</v>
      </c>
      <c r="E1674">
        <f t="shared" si="26"/>
        <v>8</v>
      </c>
      <c r="F1674" t="s">
        <v>14</v>
      </c>
      <c r="G1674">
        <v>76758</v>
      </c>
      <c r="H1674">
        <v>2307</v>
      </c>
      <c r="I1674">
        <v>1817</v>
      </c>
      <c r="J1674">
        <v>344</v>
      </c>
      <c r="K1674" t="s">
        <v>30</v>
      </c>
    </row>
    <row r="1675" spans="1:11" x14ac:dyDescent="0.2">
      <c r="A1675" t="s">
        <v>3454</v>
      </c>
      <c r="B1675" t="s">
        <v>3455</v>
      </c>
      <c r="C1675" s="2">
        <v>45214</v>
      </c>
      <c r="D1675" s="2">
        <v>45220</v>
      </c>
      <c r="E1675">
        <f t="shared" si="26"/>
        <v>6</v>
      </c>
      <c r="F1675" t="s">
        <v>19</v>
      </c>
      <c r="G1675">
        <v>61504</v>
      </c>
      <c r="H1675">
        <v>789</v>
      </c>
      <c r="I1675">
        <v>1051.93</v>
      </c>
      <c r="J1675">
        <v>85</v>
      </c>
      <c r="K1675" t="s">
        <v>30</v>
      </c>
    </row>
    <row r="1676" spans="1:11" x14ac:dyDescent="0.2">
      <c r="A1676" t="s">
        <v>3456</v>
      </c>
      <c r="B1676" t="s">
        <v>3457</v>
      </c>
      <c r="C1676" s="2">
        <v>45257</v>
      </c>
      <c r="D1676" s="2">
        <v>45278</v>
      </c>
      <c r="E1676">
        <f t="shared" si="26"/>
        <v>21</v>
      </c>
      <c r="F1676" t="s">
        <v>14</v>
      </c>
      <c r="G1676">
        <v>60720</v>
      </c>
      <c r="H1676">
        <v>1367</v>
      </c>
      <c r="I1676">
        <v>1880.83</v>
      </c>
      <c r="J1676">
        <v>143</v>
      </c>
      <c r="K1676">
        <v>1</v>
      </c>
    </row>
    <row r="1677" spans="1:11" x14ac:dyDescent="0.2">
      <c r="A1677" t="s">
        <v>3458</v>
      </c>
      <c r="B1677" t="s">
        <v>3459</v>
      </c>
      <c r="C1677" s="2">
        <v>45061</v>
      </c>
      <c r="D1677" s="2">
        <v>45081</v>
      </c>
      <c r="E1677">
        <f t="shared" si="26"/>
        <v>20</v>
      </c>
      <c r="F1677" t="s">
        <v>14</v>
      </c>
      <c r="G1677">
        <v>35701</v>
      </c>
      <c r="H1677">
        <v>1692</v>
      </c>
      <c r="I1677">
        <v>1371.35</v>
      </c>
      <c r="J1677">
        <v>259</v>
      </c>
      <c r="K1677" t="s">
        <v>15</v>
      </c>
    </row>
    <row r="1678" spans="1:11" x14ac:dyDescent="0.2">
      <c r="A1678" t="s">
        <v>3461</v>
      </c>
      <c r="B1678" t="s">
        <v>3462</v>
      </c>
      <c r="C1678" s="2">
        <v>45247</v>
      </c>
      <c r="D1678" s="2">
        <v>45272</v>
      </c>
      <c r="E1678">
        <f t="shared" si="26"/>
        <v>25</v>
      </c>
      <c r="F1678" t="s">
        <v>19</v>
      </c>
      <c r="G1678">
        <v>84300</v>
      </c>
      <c r="H1678">
        <v>3711</v>
      </c>
      <c r="I1678">
        <v>6594.85</v>
      </c>
      <c r="J1678">
        <v>401</v>
      </c>
      <c r="K1678">
        <v>1</v>
      </c>
    </row>
    <row r="1679" spans="1:11" x14ac:dyDescent="0.2">
      <c r="A1679" t="s">
        <v>3463</v>
      </c>
      <c r="B1679" t="s">
        <v>3464</v>
      </c>
      <c r="C1679" s="2">
        <v>45240</v>
      </c>
      <c r="D1679" s="2">
        <v>45242</v>
      </c>
      <c r="E1679">
        <f t="shared" si="26"/>
        <v>2</v>
      </c>
      <c r="F1679" t="s">
        <v>19</v>
      </c>
      <c r="G1679">
        <v>18674</v>
      </c>
      <c r="H1679">
        <v>920</v>
      </c>
      <c r="I1679">
        <v>576.28</v>
      </c>
      <c r="J1679">
        <v>93</v>
      </c>
      <c r="K1679" t="b">
        <v>0</v>
      </c>
    </row>
    <row r="1680" spans="1:11" x14ac:dyDescent="0.2">
      <c r="A1680" t="s">
        <v>3465</v>
      </c>
      <c r="B1680" t="s">
        <v>3466</v>
      </c>
      <c r="C1680" s="2">
        <v>45072</v>
      </c>
      <c r="D1680" s="2">
        <v>45075</v>
      </c>
      <c r="E1680">
        <f t="shared" si="26"/>
        <v>3</v>
      </c>
      <c r="F1680" t="s">
        <v>23</v>
      </c>
      <c r="G1680">
        <v>84560</v>
      </c>
      <c r="H1680">
        <v>2969</v>
      </c>
      <c r="I1680">
        <v>3070.36</v>
      </c>
      <c r="J1680">
        <v>520</v>
      </c>
      <c r="K1680" t="b">
        <v>0</v>
      </c>
    </row>
    <row r="1681" spans="1:11" x14ac:dyDescent="0.2">
      <c r="A1681" t="s">
        <v>3467</v>
      </c>
      <c r="B1681" t="s">
        <v>3468</v>
      </c>
      <c r="C1681" s="2">
        <v>45064</v>
      </c>
      <c r="D1681" s="2">
        <v>45077</v>
      </c>
      <c r="E1681">
        <f t="shared" si="26"/>
        <v>13</v>
      </c>
      <c r="F1681" t="s">
        <v>23</v>
      </c>
      <c r="G1681">
        <v>24874</v>
      </c>
      <c r="H1681">
        <v>495</v>
      </c>
      <c r="I1681">
        <v>752.69</v>
      </c>
      <c r="J1681">
        <v>32</v>
      </c>
      <c r="K1681">
        <v>1</v>
      </c>
    </row>
    <row r="1682" spans="1:11" x14ac:dyDescent="0.2">
      <c r="A1682" t="s">
        <v>3469</v>
      </c>
      <c r="B1682" t="s">
        <v>3470</v>
      </c>
      <c r="C1682" s="2">
        <v>45020</v>
      </c>
      <c r="D1682" s="2">
        <v>45025</v>
      </c>
      <c r="E1682">
        <f t="shared" si="26"/>
        <v>5</v>
      </c>
      <c r="F1682" t="s">
        <v>23</v>
      </c>
      <c r="G1682">
        <v>44642</v>
      </c>
      <c r="H1682">
        <v>737</v>
      </c>
      <c r="I1682">
        <v>671.54</v>
      </c>
      <c r="J1682">
        <v>111</v>
      </c>
      <c r="K1682" t="s">
        <v>15</v>
      </c>
    </row>
    <row r="1683" spans="1:11" x14ac:dyDescent="0.2">
      <c r="A1683" t="s">
        <v>3471</v>
      </c>
      <c r="B1683" t="s">
        <v>3472</v>
      </c>
      <c r="C1683" s="2">
        <v>45160</v>
      </c>
      <c r="D1683" s="2">
        <v>45161</v>
      </c>
      <c r="E1683">
        <f t="shared" si="26"/>
        <v>1</v>
      </c>
      <c r="F1683" t="s">
        <v>19</v>
      </c>
      <c r="G1683">
        <v>98820</v>
      </c>
      <c r="H1683">
        <v>1727</v>
      </c>
      <c r="I1683">
        <v>3007.59</v>
      </c>
      <c r="J1683">
        <v>150</v>
      </c>
      <c r="K1683" t="s">
        <v>24</v>
      </c>
    </row>
    <row r="1684" spans="1:11" x14ac:dyDescent="0.2">
      <c r="A1684" t="s">
        <v>3473</v>
      </c>
      <c r="B1684" t="s">
        <v>3474</v>
      </c>
      <c r="C1684" s="2">
        <v>45245</v>
      </c>
      <c r="D1684" s="2">
        <v>45255</v>
      </c>
      <c r="E1684">
        <f t="shared" si="26"/>
        <v>10</v>
      </c>
      <c r="F1684" t="s">
        <v>33</v>
      </c>
      <c r="G1684">
        <v>66160</v>
      </c>
      <c r="H1684">
        <v>713</v>
      </c>
      <c r="I1684">
        <v>1147.79</v>
      </c>
      <c r="J1684">
        <v>37</v>
      </c>
      <c r="K1684">
        <v>1</v>
      </c>
    </row>
    <row r="1685" spans="1:11" x14ac:dyDescent="0.2">
      <c r="A1685" t="s">
        <v>3475</v>
      </c>
      <c r="B1685" t="s">
        <v>3476</v>
      </c>
      <c r="C1685" s="2">
        <v>45004</v>
      </c>
      <c r="D1685" s="2">
        <v>45019</v>
      </c>
      <c r="E1685">
        <f t="shared" si="26"/>
        <v>15</v>
      </c>
      <c r="F1685" t="s">
        <v>14</v>
      </c>
      <c r="G1685">
        <v>18602</v>
      </c>
      <c r="H1685">
        <v>476</v>
      </c>
      <c r="I1685">
        <v>801.36</v>
      </c>
      <c r="J1685">
        <v>35</v>
      </c>
      <c r="K1685" t="b">
        <v>0</v>
      </c>
    </row>
    <row r="1686" spans="1:11" x14ac:dyDescent="0.2">
      <c r="A1686" t="s">
        <v>3477</v>
      </c>
      <c r="B1686" t="s">
        <v>3478</v>
      </c>
      <c r="C1686" s="2">
        <v>44936</v>
      </c>
      <c r="D1686" s="2">
        <v>45217</v>
      </c>
      <c r="E1686">
        <f t="shared" si="26"/>
        <v>281</v>
      </c>
      <c r="F1686" t="s">
        <v>33</v>
      </c>
      <c r="G1686">
        <v>89801</v>
      </c>
      <c r="H1686">
        <v>1585</v>
      </c>
      <c r="I1686">
        <v>1075.68</v>
      </c>
      <c r="J1686">
        <v>223</v>
      </c>
      <c r="K1686" t="s">
        <v>15</v>
      </c>
    </row>
    <row r="1687" spans="1:11" x14ac:dyDescent="0.2">
      <c r="A1687" t="s">
        <v>3479</v>
      </c>
      <c r="B1687" t="s">
        <v>3480</v>
      </c>
      <c r="C1687" s="2">
        <v>44979</v>
      </c>
      <c r="D1687" s="2">
        <v>45005</v>
      </c>
      <c r="E1687">
        <f t="shared" si="26"/>
        <v>26</v>
      </c>
      <c r="F1687" t="s">
        <v>19</v>
      </c>
      <c r="G1687">
        <v>26931</v>
      </c>
      <c r="H1687">
        <v>712</v>
      </c>
      <c r="I1687">
        <v>506.1</v>
      </c>
      <c r="K1687" t="b">
        <v>0</v>
      </c>
    </row>
    <row r="1688" spans="1:11" x14ac:dyDescent="0.2">
      <c r="A1688" t="s">
        <v>3481</v>
      </c>
      <c r="B1688" t="s">
        <v>3482</v>
      </c>
      <c r="C1688" s="2">
        <v>45151</v>
      </c>
      <c r="D1688" s="2">
        <v>45167</v>
      </c>
      <c r="E1688">
        <f t="shared" si="26"/>
        <v>16</v>
      </c>
      <c r="F1688" t="s">
        <v>23</v>
      </c>
      <c r="G1688">
        <v>95377</v>
      </c>
      <c r="H1688">
        <v>4520</v>
      </c>
      <c r="I1688">
        <v>4202.29</v>
      </c>
      <c r="J1688">
        <v>240</v>
      </c>
      <c r="K1688" t="s">
        <v>15</v>
      </c>
    </row>
    <row r="1689" spans="1:11" x14ac:dyDescent="0.2">
      <c r="A1689" t="s">
        <v>3483</v>
      </c>
      <c r="B1689" t="s">
        <v>3484</v>
      </c>
      <c r="C1689" s="2">
        <v>45004</v>
      </c>
      <c r="D1689" s="2">
        <v>45026</v>
      </c>
      <c r="E1689">
        <f t="shared" si="26"/>
        <v>22</v>
      </c>
      <c r="F1689" t="s">
        <v>19</v>
      </c>
      <c r="G1689">
        <v>30192</v>
      </c>
      <c r="H1689">
        <v>821</v>
      </c>
      <c r="I1689" s="3">
        <v>1048.51</v>
      </c>
      <c r="J1689">
        <v>45</v>
      </c>
      <c r="K1689" t="s">
        <v>15</v>
      </c>
    </row>
    <row r="1690" spans="1:11" x14ac:dyDescent="0.2">
      <c r="A1690" t="s">
        <v>3485</v>
      </c>
      <c r="B1690" t="s">
        <v>3486</v>
      </c>
      <c r="C1690" s="2">
        <v>45038</v>
      </c>
      <c r="D1690" s="2">
        <v>45063</v>
      </c>
      <c r="E1690">
        <f t="shared" si="26"/>
        <v>25</v>
      </c>
      <c r="F1690" t="s">
        <v>23</v>
      </c>
      <c r="G1690">
        <v>47542</v>
      </c>
      <c r="H1690">
        <v>2145</v>
      </c>
      <c r="I1690">
        <v>3479.24</v>
      </c>
      <c r="J1690">
        <v>397</v>
      </c>
      <c r="K1690">
        <v>1</v>
      </c>
    </row>
    <row r="1691" spans="1:11" x14ac:dyDescent="0.2">
      <c r="A1691" t="s">
        <v>3487</v>
      </c>
      <c r="B1691" t="s">
        <v>3488</v>
      </c>
      <c r="C1691" s="2">
        <v>45182</v>
      </c>
      <c r="D1691" s="2">
        <v>45195</v>
      </c>
      <c r="E1691">
        <f t="shared" si="26"/>
        <v>13</v>
      </c>
      <c r="F1691" t="s">
        <v>23</v>
      </c>
      <c r="G1691">
        <v>43520</v>
      </c>
      <c r="H1691">
        <v>1489</v>
      </c>
      <c r="I1691">
        <v>2612.89</v>
      </c>
      <c r="J1691">
        <v>90</v>
      </c>
      <c r="K1691">
        <v>1</v>
      </c>
    </row>
    <row r="1692" spans="1:11" x14ac:dyDescent="0.2">
      <c r="A1692" t="s">
        <v>3489</v>
      </c>
      <c r="B1692" t="s">
        <v>3490</v>
      </c>
      <c r="C1692" s="2">
        <v>44943</v>
      </c>
      <c r="D1692" s="2">
        <v>44961</v>
      </c>
      <c r="E1692">
        <f t="shared" si="26"/>
        <v>18</v>
      </c>
      <c r="F1692" t="s">
        <v>23</v>
      </c>
      <c r="G1692">
        <v>65772</v>
      </c>
      <c r="H1692">
        <v>1307</v>
      </c>
      <c r="I1692">
        <v>2034.35</v>
      </c>
      <c r="J1692">
        <v>240</v>
      </c>
      <c r="K1692">
        <v>1</v>
      </c>
    </row>
    <row r="1693" spans="1:11" x14ac:dyDescent="0.2">
      <c r="A1693" t="s">
        <v>3491</v>
      </c>
      <c r="B1693" t="s">
        <v>3492</v>
      </c>
      <c r="C1693" s="2">
        <v>45001</v>
      </c>
      <c r="D1693" s="2">
        <v>45019</v>
      </c>
      <c r="E1693">
        <f t="shared" si="26"/>
        <v>18</v>
      </c>
      <c r="F1693" t="s">
        <v>23</v>
      </c>
      <c r="G1693">
        <v>59762</v>
      </c>
      <c r="H1693">
        <v>1448</v>
      </c>
      <c r="I1693">
        <v>2740.91</v>
      </c>
      <c r="K1693" t="s">
        <v>15</v>
      </c>
    </row>
    <row r="1694" spans="1:11" x14ac:dyDescent="0.2">
      <c r="A1694" t="s">
        <v>3493</v>
      </c>
      <c r="B1694" t="s">
        <v>3494</v>
      </c>
      <c r="C1694" s="2">
        <v>45127</v>
      </c>
      <c r="D1694" s="2">
        <v>45151</v>
      </c>
      <c r="E1694">
        <f t="shared" si="26"/>
        <v>24</v>
      </c>
      <c r="F1694" t="s">
        <v>19</v>
      </c>
      <c r="G1694">
        <v>51106</v>
      </c>
      <c r="H1694">
        <v>682</v>
      </c>
      <c r="I1694">
        <v>1096.73</v>
      </c>
      <c r="J1694">
        <v>109</v>
      </c>
      <c r="K1694" t="s">
        <v>15</v>
      </c>
    </row>
    <row r="1695" spans="1:11" x14ac:dyDescent="0.2">
      <c r="A1695" t="s">
        <v>3496</v>
      </c>
      <c r="B1695" t="s">
        <v>3497</v>
      </c>
      <c r="C1695" s="2">
        <v>45167</v>
      </c>
      <c r="D1695" s="2">
        <v>45180</v>
      </c>
      <c r="E1695">
        <f t="shared" si="26"/>
        <v>13</v>
      </c>
      <c r="F1695" t="s">
        <v>33</v>
      </c>
      <c r="G1695">
        <v>82121</v>
      </c>
      <c r="H1695">
        <v>1916</v>
      </c>
      <c r="I1695">
        <v>1838.21</v>
      </c>
      <c r="J1695">
        <v>184</v>
      </c>
      <c r="K1695" t="b">
        <v>0</v>
      </c>
    </row>
    <row r="1696" spans="1:11" x14ac:dyDescent="0.2">
      <c r="A1696" t="s">
        <v>3498</v>
      </c>
      <c r="B1696" t="s">
        <v>3499</v>
      </c>
      <c r="C1696" s="2">
        <v>45055</v>
      </c>
      <c r="D1696" s="2">
        <v>45084</v>
      </c>
      <c r="E1696">
        <f t="shared" si="26"/>
        <v>29</v>
      </c>
      <c r="F1696" t="s">
        <v>19</v>
      </c>
      <c r="G1696">
        <v>26559</v>
      </c>
      <c r="H1696">
        <v>985</v>
      </c>
      <c r="I1696">
        <v>884.16</v>
      </c>
      <c r="J1696">
        <v>176</v>
      </c>
      <c r="K1696" t="s">
        <v>30</v>
      </c>
    </row>
    <row r="1697" spans="1:11" x14ac:dyDescent="0.2">
      <c r="A1697" t="s">
        <v>3500</v>
      </c>
      <c r="B1697" t="s">
        <v>3501</v>
      </c>
      <c r="C1697" s="2">
        <v>44989</v>
      </c>
      <c r="D1697" s="2">
        <v>45006</v>
      </c>
      <c r="E1697">
        <f t="shared" si="26"/>
        <v>17</v>
      </c>
      <c r="F1697" t="s">
        <v>23</v>
      </c>
      <c r="G1697">
        <v>34742</v>
      </c>
      <c r="H1697">
        <v>447</v>
      </c>
      <c r="I1697" s="3">
        <v>690.3</v>
      </c>
      <c r="J1697">
        <v>69</v>
      </c>
      <c r="K1697">
        <v>1</v>
      </c>
    </row>
    <row r="1698" spans="1:11" x14ac:dyDescent="0.2">
      <c r="A1698" t="s">
        <v>3502</v>
      </c>
      <c r="B1698" t="s">
        <v>3503</v>
      </c>
      <c r="C1698" s="2">
        <v>45124</v>
      </c>
      <c r="D1698" s="2">
        <v>45139</v>
      </c>
      <c r="E1698">
        <f t="shared" si="26"/>
        <v>15</v>
      </c>
      <c r="F1698" t="s">
        <v>19</v>
      </c>
      <c r="G1698">
        <v>70669</v>
      </c>
      <c r="H1698">
        <v>1287</v>
      </c>
      <c r="I1698">
        <v>1015.84</v>
      </c>
      <c r="J1698">
        <v>141</v>
      </c>
      <c r="K1698">
        <v>0</v>
      </c>
    </row>
    <row r="1699" spans="1:11" x14ac:dyDescent="0.2">
      <c r="A1699" t="s">
        <v>3504</v>
      </c>
      <c r="B1699" t="s">
        <v>3505</v>
      </c>
      <c r="C1699" s="2">
        <v>44944</v>
      </c>
      <c r="D1699" s="2">
        <v>44965</v>
      </c>
      <c r="E1699">
        <f t="shared" si="26"/>
        <v>21</v>
      </c>
      <c r="F1699" t="s">
        <v>41</v>
      </c>
      <c r="G1699">
        <v>81199</v>
      </c>
      <c r="H1699">
        <v>2050</v>
      </c>
      <c r="I1699">
        <v>1310.0999999999999</v>
      </c>
      <c r="J1699">
        <v>125</v>
      </c>
      <c r="K1699" t="b">
        <v>0</v>
      </c>
    </row>
    <row r="1700" spans="1:11" x14ac:dyDescent="0.2">
      <c r="A1700" t="s">
        <v>3506</v>
      </c>
      <c r="B1700" t="s">
        <v>3507</v>
      </c>
      <c r="C1700" s="2">
        <v>44975</v>
      </c>
      <c r="D1700" s="2">
        <v>44992</v>
      </c>
      <c r="E1700">
        <f t="shared" si="26"/>
        <v>17</v>
      </c>
      <c r="F1700" t="s">
        <v>33</v>
      </c>
      <c r="G1700">
        <v>22754</v>
      </c>
      <c r="H1700">
        <v>1121</v>
      </c>
      <c r="I1700" s="3">
        <v>1455.43</v>
      </c>
      <c r="J1700">
        <v>179</v>
      </c>
      <c r="K1700" t="b">
        <v>0</v>
      </c>
    </row>
    <row r="1701" spans="1:11" x14ac:dyDescent="0.2">
      <c r="A1701" t="s">
        <v>3508</v>
      </c>
      <c r="B1701" t="s">
        <v>3509</v>
      </c>
      <c r="C1701" s="2">
        <v>45169</v>
      </c>
      <c r="D1701" s="2">
        <v>45181</v>
      </c>
      <c r="E1701">
        <f t="shared" si="26"/>
        <v>12</v>
      </c>
      <c r="F1701" t="s">
        <v>33</v>
      </c>
      <c r="G1701">
        <v>4972</v>
      </c>
      <c r="H1701">
        <v>205</v>
      </c>
      <c r="I1701">
        <v>355.15</v>
      </c>
      <c r="J1701">
        <v>29</v>
      </c>
      <c r="K1701" t="b">
        <v>1</v>
      </c>
    </row>
    <row r="1702" spans="1:11" x14ac:dyDescent="0.2">
      <c r="A1702" t="s">
        <v>3510</v>
      </c>
      <c r="B1702" t="s">
        <v>3511</v>
      </c>
      <c r="C1702" s="2">
        <v>45092</v>
      </c>
      <c r="D1702" s="2">
        <v>45118</v>
      </c>
      <c r="E1702">
        <f t="shared" si="26"/>
        <v>26</v>
      </c>
      <c r="F1702" t="s">
        <v>41</v>
      </c>
      <c r="G1702">
        <v>71831</v>
      </c>
      <c r="H1702">
        <v>2825</v>
      </c>
      <c r="I1702" s="3">
        <v>1842.1</v>
      </c>
      <c r="J1702">
        <v>142</v>
      </c>
      <c r="K1702">
        <v>1</v>
      </c>
    </row>
    <row r="1703" spans="1:11" x14ac:dyDescent="0.2">
      <c r="A1703" t="s">
        <v>3512</v>
      </c>
      <c r="B1703" t="s">
        <v>3513</v>
      </c>
      <c r="C1703" s="2">
        <v>45208</v>
      </c>
      <c r="D1703" s="2">
        <v>45228</v>
      </c>
      <c r="E1703">
        <f t="shared" si="26"/>
        <v>20</v>
      </c>
      <c r="F1703" t="s">
        <v>19</v>
      </c>
      <c r="G1703">
        <v>42873</v>
      </c>
      <c r="H1703">
        <v>627</v>
      </c>
      <c r="I1703">
        <v>-1058.27</v>
      </c>
      <c r="J1703">
        <v>32</v>
      </c>
      <c r="K1703" t="s">
        <v>24</v>
      </c>
    </row>
    <row r="1704" spans="1:11" x14ac:dyDescent="0.2">
      <c r="A1704" t="s">
        <v>3514</v>
      </c>
      <c r="B1704" t="s">
        <v>3515</v>
      </c>
      <c r="C1704" s="2">
        <v>45253</v>
      </c>
      <c r="D1704" s="2">
        <v>45272</v>
      </c>
      <c r="E1704">
        <f t="shared" si="26"/>
        <v>19</v>
      </c>
      <c r="F1704" t="s">
        <v>19</v>
      </c>
      <c r="G1704">
        <v>95661</v>
      </c>
      <c r="H1704">
        <v>3945</v>
      </c>
      <c r="I1704">
        <v>6774.98</v>
      </c>
      <c r="J1704">
        <v>675</v>
      </c>
      <c r="K1704" t="b">
        <v>0</v>
      </c>
    </row>
    <row r="1705" spans="1:11" x14ac:dyDescent="0.2">
      <c r="A1705" t="s">
        <v>3516</v>
      </c>
      <c r="B1705" t="s">
        <v>3517</v>
      </c>
      <c r="C1705" s="2">
        <v>44953</v>
      </c>
      <c r="D1705" s="2">
        <v>44976</v>
      </c>
      <c r="E1705">
        <f t="shared" si="26"/>
        <v>23</v>
      </c>
      <c r="F1705" t="s">
        <v>41</v>
      </c>
      <c r="G1705">
        <v>10903</v>
      </c>
      <c r="H1705">
        <v>451</v>
      </c>
      <c r="I1705">
        <v>551.76</v>
      </c>
      <c r="J1705">
        <v>40</v>
      </c>
      <c r="K1705" t="b">
        <v>1</v>
      </c>
    </row>
    <row r="1706" spans="1:11" x14ac:dyDescent="0.2">
      <c r="A1706" t="s">
        <v>3518</v>
      </c>
      <c r="B1706" t="s">
        <v>3519</v>
      </c>
      <c r="C1706" s="2">
        <v>44984</v>
      </c>
      <c r="D1706" s="2">
        <v>45011</v>
      </c>
      <c r="E1706">
        <f t="shared" si="26"/>
        <v>27</v>
      </c>
      <c r="F1706" t="s">
        <v>33</v>
      </c>
      <c r="G1706">
        <v>4020</v>
      </c>
      <c r="H1706">
        <v>136</v>
      </c>
      <c r="I1706">
        <v>79.69</v>
      </c>
      <c r="J1706">
        <v>19</v>
      </c>
      <c r="K1706">
        <v>0</v>
      </c>
    </row>
    <row r="1707" spans="1:11" x14ac:dyDescent="0.2">
      <c r="A1707" t="s">
        <v>3520</v>
      </c>
      <c r="B1707" t="s">
        <v>3521</v>
      </c>
      <c r="C1707" s="2">
        <v>44934</v>
      </c>
      <c r="D1707" s="2">
        <v>44958</v>
      </c>
      <c r="E1707">
        <f t="shared" si="26"/>
        <v>24</v>
      </c>
      <c r="F1707" t="s">
        <v>19</v>
      </c>
      <c r="G1707">
        <v>42755</v>
      </c>
      <c r="H1707">
        <v>2121</v>
      </c>
      <c r="I1707">
        <v>1615.96</v>
      </c>
      <c r="J1707">
        <v>250</v>
      </c>
      <c r="K1707">
        <v>0</v>
      </c>
    </row>
    <row r="1708" spans="1:11" x14ac:dyDescent="0.2">
      <c r="A1708" t="s">
        <v>3522</v>
      </c>
      <c r="B1708" t="s">
        <v>3523</v>
      </c>
      <c r="C1708" s="2">
        <v>44988</v>
      </c>
      <c r="D1708" s="2">
        <v>45001</v>
      </c>
      <c r="E1708">
        <f t="shared" si="26"/>
        <v>13</v>
      </c>
      <c r="F1708" t="s">
        <v>19</v>
      </c>
      <c r="G1708">
        <v>86956</v>
      </c>
      <c r="H1708">
        <v>2000</v>
      </c>
      <c r="I1708">
        <v>3122.28</v>
      </c>
      <c r="J1708">
        <v>359</v>
      </c>
      <c r="K1708" t="s">
        <v>24</v>
      </c>
    </row>
    <row r="1709" spans="1:11" x14ac:dyDescent="0.2">
      <c r="A1709" t="s">
        <v>3524</v>
      </c>
      <c r="B1709" t="s">
        <v>3525</v>
      </c>
      <c r="C1709" s="2">
        <v>44948</v>
      </c>
      <c r="D1709" s="2">
        <v>44973</v>
      </c>
      <c r="E1709">
        <f t="shared" si="26"/>
        <v>25</v>
      </c>
      <c r="F1709" t="s">
        <v>23</v>
      </c>
      <c r="G1709">
        <v>87988</v>
      </c>
      <c r="H1709">
        <v>4192</v>
      </c>
      <c r="I1709">
        <v>6571.66</v>
      </c>
      <c r="J1709">
        <v>786</v>
      </c>
      <c r="K1709">
        <v>1</v>
      </c>
    </row>
    <row r="1710" spans="1:11" x14ac:dyDescent="0.2">
      <c r="A1710" t="s">
        <v>3526</v>
      </c>
      <c r="B1710" t="s">
        <v>3527</v>
      </c>
      <c r="C1710" s="2">
        <v>45279</v>
      </c>
      <c r="D1710" s="2">
        <v>45288</v>
      </c>
      <c r="E1710">
        <f t="shared" si="26"/>
        <v>9</v>
      </c>
      <c r="F1710" t="s">
        <v>41</v>
      </c>
      <c r="G1710">
        <v>46648</v>
      </c>
      <c r="H1710">
        <v>2173</v>
      </c>
      <c r="I1710">
        <v>4014.69</v>
      </c>
      <c r="J1710">
        <v>433</v>
      </c>
      <c r="K1710" t="s">
        <v>15</v>
      </c>
    </row>
    <row r="1711" spans="1:11" x14ac:dyDescent="0.2">
      <c r="A1711" t="s">
        <v>3528</v>
      </c>
      <c r="B1711" t="s">
        <v>3529</v>
      </c>
      <c r="C1711" s="2">
        <v>44972</v>
      </c>
      <c r="D1711" s="2">
        <v>44989</v>
      </c>
      <c r="E1711">
        <f t="shared" si="26"/>
        <v>17</v>
      </c>
      <c r="F1711" t="s">
        <v>14</v>
      </c>
      <c r="G1711">
        <v>10516</v>
      </c>
      <c r="H1711">
        <v>109</v>
      </c>
      <c r="I1711">
        <v>149.77000000000001</v>
      </c>
      <c r="J1711">
        <v>7</v>
      </c>
      <c r="K1711" t="b">
        <v>1</v>
      </c>
    </row>
    <row r="1712" spans="1:11" x14ac:dyDescent="0.2">
      <c r="A1712" t="s">
        <v>3530</v>
      </c>
      <c r="B1712" t="s">
        <v>3531</v>
      </c>
      <c r="C1712" s="2">
        <v>45278</v>
      </c>
      <c r="D1712" s="2">
        <v>45308</v>
      </c>
      <c r="E1712">
        <f t="shared" si="26"/>
        <v>30</v>
      </c>
      <c r="F1712" t="s">
        <v>14</v>
      </c>
      <c r="G1712">
        <v>3396</v>
      </c>
      <c r="H1712">
        <v>95</v>
      </c>
      <c r="I1712">
        <v>-65.19</v>
      </c>
      <c r="J1712">
        <v>17</v>
      </c>
      <c r="K1712" t="s">
        <v>15</v>
      </c>
    </row>
    <row r="1713" spans="1:11" x14ac:dyDescent="0.2">
      <c r="A1713" t="s">
        <v>3532</v>
      </c>
      <c r="B1713" t="s">
        <v>3533</v>
      </c>
      <c r="C1713" s="2">
        <v>45247</v>
      </c>
      <c r="D1713" s="2">
        <v>45261</v>
      </c>
      <c r="E1713">
        <f t="shared" si="26"/>
        <v>14</v>
      </c>
      <c r="F1713" t="s">
        <v>23</v>
      </c>
      <c r="G1713">
        <v>85082</v>
      </c>
      <c r="H1713">
        <v>4176</v>
      </c>
      <c r="I1713">
        <v>2848.54</v>
      </c>
      <c r="K1713">
        <v>0</v>
      </c>
    </row>
    <row r="1714" spans="1:11" x14ac:dyDescent="0.2">
      <c r="A1714" t="s">
        <v>3534</v>
      </c>
      <c r="B1714" t="s">
        <v>3535</v>
      </c>
      <c r="C1714" s="2">
        <v>45109</v>
      </c>
      <c r="D1714" s="2">
        <v>45115</v>
      </c>
      <c r="E1714">
        <f t="shared" si="26"/>
        <v>6</v>
      </c>
      <c r="F1714" t="s">
        <v>41</v>
      </c>
      <c r="G1714">
        <v>20129</v>
      </c>
      <c r="H1714">
        <v>284</v>
      </c>
      <c r="I1714">
        <v>449.2</v>
      </c>
      <c r="J1714">
        <v>39</v>
      </c>
      <c r="K1714">
        <v>0</v>
      </c>
    </row>
    <row r="1715" spans="1:11" x14ac:dyDescent="0.2">
      <c r="A1715" t="s">
        <v>3536</v>
      </c>
      <c r="B1715" t="s">
        <v>3537</v>
      </c>
      <c r="C1715" s="2">
        <v>44981</v>
      </c>
      <c r="D1715" s="2">
        <v>44998</v>
      </c>
      <c r="E1715">
        <f t="shared" si="26"/>
        <v>17</v>
      </c>
      <c r="F1715" t="s">
        <v>23</v>
      </c>
      <c r="G1715">
        <v>2591</v>
      </c>
      <c r="H1715">
        <v>82</v>
      </c>
      <c r="I1715">
        <v>63.61</v>
      </c>
      <c r="J1715">
        <v>10</v>
      </c>
      <c r="K1715" t="s">
        <v>30</v>
      </c>
    </row>
    <row r="1716" spans="1:11" x14ac:dyDescent="0.2">
      <c r="A1716" t="s">
        <v>3538</v>
      </c>
      <c r="B1716" t="s">
        <v>3539</v>
      </c>
      <c r="C1716" s="2">
        <v>45212</v>
      </c>
      <c r="D1716" s="2">
        <v>45240</v>
      </c>
      <c r="E1716">
        <f t="shared" si="26"/>
        <v>28</v>
      </c>
      <c r="F1716" t="s">
        <v>19</v>
      </c>
      <c r="G1716">
        <v>12303</v>
      </c>
      <c r="H1716">
        <v>604</v>
      </c>
      <c r="I1716">
        <v>599.52</v>
      </c>
      <c r="J1716">
        <v>31</v>
      </c>
      <c r="K1716" t="s">
        <v>30</v>
      </c>
    </row>
    <row r="1717" spans="1:11" x14ac:dyDescent="0.2">
      <c r="A1717" t="s">
        <v>3540</v>
      </c>
      <c r="B1717" t="s">
        <v>3541</v>
      </c>
      <c r="C1717" s="2">
        <v>45151</v>
      </c>
      <c r="D1717" s="2">
        <v>45167</v>
      </c>
      <c r="E1717">
        <f t="shared" si="26"/>
        <v>16</v>
      </c>
      <c r="F1717" t="s">
        <v>19</v>
      </c>
      <c r="G1717">
        <v>31561</v>
      </c>
      <c r="H1717">
        <v>1016</v>
      </c>
      <c r="I1717">
        <v>1250.51</v>
      </c>
      <c r="K1717" t="s">
        <v>24</v>
      </c>
    </row>
    <row r="1718" spans="1:11" x14ac:dyDescent="0.2">
      <c r="A1718" t="s">
        <v>3542</v>
      </c>
      <c r="B1718" t="s">
        <v>3543</v>
      </c>
      <c r="C1718" s="2">
        <v>45120</v>
      </c>
      <c r="D1718" s="2">
        <v>45125</v>
      </c>
      <c r="E1718">
        <f t="shared" si="26"/>
        <v>5</v>
      </c>
      <c r="F1718" t="s">
        <v>33</v>
      </c>
      <c r="G1718">
        <v>72719</v>
      </c>
      <c r="H1718">
        <v>1279</v>
      </c>
      <c r="I1718">
        <v>687.01</v>
      </c>
      <c r="J1718">
        <v>78</v>
      </c>
      <c r="K1718" t="s">
        <v>30</v>
      </c>
    </row>
    <row r="1719" spans="1:11" x14ac:dyDescent="0.2">
      <c r="A1719" t="s">
        <v>3544</v>
      </c>
      <c r="B1719" t="s">
        <v>3545</v>
      </c>
      <c r="C1719" s="2">
        <v>44947</v>
      </c>
      <c r="D1719" s="2">
        <v>44973</v>
      </c>
      <c r="E1719">
        <f t="shared" si="26"/>
        <v>26</v>
      </c>
      <c r="F1719" t="s">
        <v>33</v>
      </c>
      <c r="G1719">
        <v>93108</v>
      </c>
      <c r="H1719">
        <v>3099</v>
      </c>
      <c r="I1719">
        <v>2706.14</v>
      </c>
      <c r="J1719">
        <v>474</v>
      </c>
      <c r="K1719" t="s">
        <v>30</v>
      </c>
    </row>
    <row r="1720" spans="1:11" x14ac:dyDescent="0.2">
      <c r="A1720" t="s">
        <v>3546</v>
      </c>
      <c r="B1720" t="s">
        <v>3547</v>
      </c>
      <c r="C1720" s="2">
        <v>45077</v>
      </c>
      <c r="D1720" s="2">
        <v>45079</v>
      </c>
      <c r="E1720">
        <f t="shared" si="26"/>
        <v>2</v>
      </c>
      <c r="F1720" t="s">
        <v>23</v>
      </c>
      <c r="G1720">
        <v>87231</v>
      </c>
      <c r="H1720">
        <v>1585</v>
      </c>
      <c r="I1720">
        <v>500000</v>
      </c>
      <c r="J1720">
        <v>265</v>
      </c>
      <c r="K1720" t="s">
        <v>24</v>
      </c>
    </row>
    <row r="1721" spans="1:11" x14ac:dyDescent="0.2">
      <c r="A1721" t="s">
        <v>3548</v>
      </c>
      <c r="B1721" t="s">
        <v>3549</v>
      </c>
      <c r="C1721" s="2">
        <v>45217</v>
      </c>
      <c r="D1721" s="2">
        <v>45224</v>
      </c>
      <c r="E1721">
        <f t="shared" si="26"/>
        <v>7</v>
      </c>
      <c r="F1721" t="s">
        <v>23</v>
      </c>
      <c r="G1721">
        <v>8314</v>
      </c>
      <c r="H1721">
        <v>255</v>
      </c>
      <c r="I1721">
        <v>234.46</v>
      </c>
      <c r="J1721">
        <v>43</v>
      </c>
      <c r="K1721" t="b">
        <v>0</v>
      </c>
    </row>
    <row r="1722" spans="1:11" x14ac:dyDescent="0.2">
      <c r="A1722" t="s">
        <v>3550</v>
      </c>
      <c r="B1722" t="s">
        <v>3551</v>
      </c>
      <c r="C1722" s="2">
        <v>45166</v>
      </c>
      <c r="D1722" s="2">
        <v>45169</v>
      </c>
      <c r="E1722">
        <f t="shared" si="26"/>
        <v>3</v>
      </c>
      <c r="F1722" t="s">
        <v>33</v>
      </c>
      <c r="G1722">
        <v>20623</v>
      </c>
      <c r="H1722">
        <v>267</v>
      </c>
      <c r="I1722">
        <v>188.12</v>
      </c>
      <c r="J1722">
        <v>18</v>
      </c>
      <c r="K1722" t="s">
        <v>30</v>
      </c>
    </row>
    <row r="1723" spans="1:11" x14ac:dyDescent="0.2">
      <c r="A1723" t="s">
        <v>3552</v>
      </c>
      <c r="B1723" t="s">
        <v>3553</v>
      </c>
      <c r="C1723" s="2">
        <v>45210</v>
      </c>
      <c r="D1723" s="2">
        <v>45230</v>
      </c>
      <c r="E1723">
        <f t="shared" si="26"/>
        <v>20</v>
      </c>
      <c r="F1723" t="s">
        <v>14</v>
      </c>
      <c r="G1723">
        <v>68675</v>
      </c>
      <c r="H1723">
        <v>2350</v>
      </c>
      <c r="I1723" s="3">
        <v>3741.24</v>
      </c>
      <c r="J1723">
        <v>275</v>
      </c>
      <c r="K1723" t="b">
        <v>0</v>
      </c>
    </row>
    <row r="1724" spans="1:11" x14ac:dyDescent="0.2">
      <c r="A1724" t="s">
        <v>3554</v>
      </c>
      <c r="B1724" t="s">
        <v>3555</v>
      </c>
      <c r="C1724" s="2">
        <v>45157</v>
      </c>
      <c r="D1724" s="2">
        <v>45169</v>
      </c>
      <c r="E1724">
        <f t="shared" si="26"/>
        <v>12</v>
      </c>
      <c r="F1724" t="s">
        <v>41</v>
      </c>
      <c r="G1724">
        <v>97826</v>
      </c>
      <c r="H1724">
        <v>3000</v>
      </c>
      <c r="I1724">
        <v>5159.16</v>
      </c>
      <c r="J1724">
        <v>523</v>
      </c>
      <c r="K1724" t="b">
        <v>0</v>
      </c>
    </row>
    <row r="1725" spans="1:11" x14ac:dyDescent="0.2">
      <c r="A1725" t="s">
        <v>3556</v>
      </c>
      <c r="B1725" t="s">
        <v>3557</v>
      </c>
      <c r="C1725" s="2">
        <v>45114</v>
      </c>
      <c r="D1725" s="2">
        <v>45141</v>
      </c>
      <c r="E1725">
        <f t="shared" si="26"/>
        <v>27</v>
      </c>
      <c r="F1725" t="s">
        <v>33</v>
      </c>
      <c r="G1725">
        <v>66082</v>
      </c>
      <c r="H1725">
        <v>2617</v>
      </c>
      <c r="I1725">
        <v>2319.23</v>
      </c>
      <c r="J1725">
        <v>249</v>
      </c>
      <c r="K1725">
        <v>1</v>
      </c>
    </row>
    <row r="1726" spans="1:11" x14ac:dyDescent="0.2">
      <c r="A1726" t="s">
        <v>3558</v>
      </c>
      <c r="B1726" t="s">
        <v>3559</v>
      </c>
      <c r="C1726" s="2">
        <v>45186</v>
      </c>
      <c r="D1726" s="2">
        <v>45196</v>
      </c>
      <c r="E1726">
        <f t="shared" si="26"/>
        <v>10</v>
      </c>
      <c r="F1726" t="s">
        <v>19</v>
      </c>
      <c r="G1726">
        <v>84624</v>
      </c>
      <c r="H1726">
        <v>2981</v>
      </c>
      <c r="I1726">
        <v>4953.32</v>
      </c>
      <c r="J1726">
        <v>358</v>
      </c>
      <c r="K1726" t="b">
        <v>0</v>
      </c>
    </row>
    <row r="1727" spans="1:11" x14ac:dyDescent="0.2">
      <c r="A1727" t="s">
        <v>3560</v>
      </c>
      <c r="B1727" t="s">
        <v>3561</v>
      </c>
      <c r="C1727" s="2">
        <v>44936</v>
      </c>
      <c r="D1727" s="2">
        <v>44940</v>
      </c>
      <c r="E1727">
        <f t="shared" si="26"/>
        <v>4</v>
      </c>
      <c r="F1727" t="s">
        <v>14</v>
      </c>
      <c r="G1727">
        <v>34130</v>
      </c>
      <c r="H1727">
        <v>1091</v>
      </c>
      <c r="I1727" s="3">
        <v>1176.46</v>
      </c>
      <c r="J1727">
        <v>99</v>
      </c>
      <c r="K1727" t="b">
        <v>0</v>
      </c>
    </row>
    <row r="1728" spans="1:11" x14ac:dyDescent="0.2">
      <c r="A1728" t="s">
        <v>3562</v>
      </c>
      <c r="B1728" t="s">
        <v>3563</v>
      </c>
      <c r="C1728" s="2">
        <v>45244</v>
      </c>
      <c r="D1728" s="2">
        <v>45264</v>
      </c>
      <c r="E1728">
        <f t="shared" si="26"/>
        <v>20</v>
      </c>
      <c r="F1728" t="s">
        <v>33</v>
      </c>
      <c r="G1728">
        <v>52756</v>
      </c>
      <c r="H1728">
        <v>1983</v>
      </c>
      <c r="I1728">
        <v>2498.64</v>
      </c>
      <c r="J1728">
        <v>237</v>
      </c>
      <c r="K1728" t="s">
        <v>30</v>
      </c>
    </row>
    <row r="1729" spans="1:11" x14ac:dyDescent="0.2">
      <c r="A1729" t="s">
        <v>3564</v>
      </c>
      <c r="B1729" t="s">
        <v>3565</v>
      </c>
      <c r="C1729" s="2">
        <v>45264</v>
      </c>
      <c r="D1729" s="2">
        <v>45293</v>
      </c>
      <c r="E1729">
        <f t="shared" si="26"/>
        <v>29</v>
      </c>
      <c r="F1729" t="s">
        <v>19</v>
      </c>
      <c r="G1729">
        <v>98624</v>
      </c>
      <c r="H1729">
        <v>1554</v>
      </c>
      <c r="I1729">
        <v>2772.34</v>
      </c>
      <c r="J1729">
        <v>284</v>
      </c>
      <c r="K1729" t="b">
        <v>0</v>
      </c>
    </row>
    <row r="1730" spans="1:11" x14ac:dyDescent="0.2">
      <c r="A1730" t="s">
        <v>3566</v>
      </c>
      <c r="B1730" t="s">
        <v>3567</v>
      </c>
      <c r="C1730" s="2">
        <v>45024</v>
      </c>
      <c r="D1730" s="2">
        <v>45038</v>
      </c>
      <c r="E1730">
        <f t="shared" ref="E1730:E1793" si="27">D1730-C1730</f>
        <v>14</v>
      </c>
      <c r="F1730" t="s">
        <v>41</v>
      </c>
      <c r="G1730">
        <v>27292</v>
      </c>
      <c r="H1730">
        <v>922</v>
      </c>
      <c r="I1730">
        <v>1498.19</v>
      </c>
      <c r="J1730">
        <v>109</v>
      </c>
      <c r="K1730" t="s">
        <v>15</v>
      </c>
    </row>
    <row r="1731" spans="1:11" x14ac:dyDescent="0.2">
      <c r="A1731" t="s">
        <v>3568</v>
      </c>
      <c r="B1731" t="s">
        <v>3569</v>
      </c>
      <c r="C1731" s="2">
        <v>45209</v>
      </c>
      <c r="D1731" s="2">
        <v>45222</v>
      </c>
      <c r="E1731">
        <f t="shared" si="27"/>
        <v>13</v>
      </c>
      <c r="F1731" t="s">
        <v>33</v>
      </c>
      <c r="G1731">
        <v>87206</v>
      </c>
      <c r="H1731">
        <v>1472</v>
      </c>
      <c r="I1731">
        <v>2513.6999999999998</v>
      </c>
      <c r="J1731">
        <v>196</v>
      </c>
      <c r="K1731" t="s">
        <v>24</v>
      </c>
    </row>
    <row r="1732" spans="1:11" x14ac:dyDescent="0.2">
      <c r="A1732" t="s">
        <v>3570</v>
      </c>
      <c r="B1732" t="s">
        <v>3571</v>
      </c>
      <c r="C1732" s="2">
        <v>45136</v>
      </c>
      <c r="D1732" s="2">
        <v>45149</v>
      </c>
      <c r="E1732">
        <f t="shared" si="27"/>
        <v>13</v>
      </c>
      <c r="F1732" t="s">
        <v>23</v>
      </c>
      <c r="G1732">
        <v>70274</v>
      </c>
      <c r="H1732">
        <v>3304</v>
      </c>
      <c r="I1732">
        <v>2330.1999999999998</v>
      </c>
      <c r="J1732">
        <v>365</v>
      </c>
      <c r="K1732" t="s">
        <v>30</v>
      </c>
    </row>
    <row r="1733" spans="1:11" x14ac:dyDescent="0.2">
      <c r="A1733" t="s">
        <v>3572</v>
      </c>
      <c r="B1733" t="s">
        <v>3573</v>
      </c>
      <c r="C1733" s="2">
        <v>45194</v>
      </c>
      <c r="D1733" s="2">
        <v>45204</v>
      </c>
      <c r="E1733">
        <f t="shared" si="27"/>
        <v>10</v>
      </c>
      <c r="F1733" t="s">
        <v>23</v>
      </c>
      <c r="G1733">
        <v>3469</v>
      </c>
      <c r="H1733">
        <v>44</v>
      </c>
      <c r="I1733">
        <v>26.6</v>
      </c>
      <c r="J1733">
        <v>5</v>
      </c>
      <c r="K1733" t="s">
        <v>24</v>
      </c>
    </row>
    <row r="1734" spans="1:11" x14ac:dyDescent="0.2">
      <c r="A1734" t="s">
        <v>3574</v>
      </c>
      <c r="B1734" t="s">
        <v>3575</v>
      </c>
      <c r="C1734" s="2">
        <v>44993</v>
      </c>
      <c r="D1734" s="2">
        <v>45153</v>
      </c>
      <c r="E1734">
        <f t="shared" si="27"/>
        <v>160</v>
      </c>
      <c r="F1734" t="s">
        <v>14</v>
      </c>
      <c r="G1734">
        <v>54947</v>
      </c>
      <c r="H1734">
        <v>1495</v>
      </c>
      <c r="I1734">
        <v>2750.96</v>
      </c>
      <c r="J1734">
        <v>78</v>
      </c>
      <c r="K1734" t="b">
        <v>1</v>
      </c>
    </row>
    <row r="1735" spans="1:11" x14ac:dyDescent="0.2">
      <c r="A1735" t="s">
        <v>3576</v>
      </c>
      <c r="B1735" t="s">
        <v>3577</v>
      </c>
      <c r="C1735" s="2">
        <v>44981</v>
      </c>
      <c r="D1735" s="2">
        <v>44982</v>
      </c>
      <c r="E1735">
        <f t="shared" si="27"/>
        <v>1</v>
      </c>
      <c r="F1735" t="s">
        <v>41</v>
      </c>
      <c r="G1735">
        <v>23534</v>
      </c>
      <c r="H1735">
        <v>890</v>
      </c>
      <c r="I1735">
        <v>962.76</v>
      </c>
      <c r="J1735">
        <v>82</v>
      </c>
      <c r="K1735" t="s">
        <v>30</v>
      </c>
    </row>
    <row r="1736" spans="1:11" x14ac:dyDescent="0.2">
      <c r="A1736" t="s">
        <v>3578</v>
      </c>
      <c r="B1736" t="s">
        <v>3579</v>
      </c>
      <c r="C1736" s="2">
        <v>45219</v>
      </c>
      <c r="D1736" s="2">
        <v>45230</v>
      </c>
      <c r="E1736">
        <f t="shared" si="27"/>
        <v>11</v>
      </c>
      <c r="F1736" t="s">
        <v>14</v>
      </c>
      <c r="G1736">
        <v>64620</v>
      </c>
      <c r="H1736">
        <v>1830</v>
      </c>
      <c r="I1736">
        <v>1705.23</v>
      </c>
      <c r="J1736">
        <v>211</v>
      </c>
      <c r="K1736" t="b">
        <v>0</v>
      </c>
    </row>
    <row r="1737" spans="1:11" x14ac:dyDescent="0.2">
      <c r="A1737" t="s">
        <v>3580</v>
      </c>
      <c r="B1737" t="s">
        <v>3581</v>
      </c>
      <c r="C1737" s="2">
        <v>45177</v>
      </c>
      <c r="D1737" s="2">
        <v>45193</v>
      </c>
      <c r="E1737">
        <f t="shared" si="27"/>
        <v>16</v>
      </c>
      <c r="F1737" t="s">
        <v>23</v>
      </c>
      <c r="G1737">
        <v>49874</v>
      </c>
      <c r="H1737">
        <v>682</v>
      </c>
      <c r="I1737">
        <v>1082.3599999999999</v>
      </c>
      <c r="J1737">
        <v>98</v>
      </c>
      <c r="K1737" t="s">
        <v>15</v>
      </c>
    </row>
    <row r="1738" spans="1:11" x14ac:dyDescent="0.2">
      <c r="A1738" t="s">
        <v>3582</v>
      </c>
      <c r="B1738" t="s">
        <v>3583</v>
      </c>
      <c r="C1738" s="2">
        <v>45065</v>
      </c>
      <c r="D1738" s="2">
        <v>45265</v>
      </c>
      <c r="E1738">
        <f t="shared" si="27"/>
        <v>200</v>
      </c>
      <c r="F1738" t="s">
        <v>41</v>
      </c>
      <c r="G1738">
        <v>50708</v>
      </c>
      <c r="H1738">
        <v>1629</v>
      </c>
      <c r="I1738">
        <v>2858.28</v>
      </c>
      <c r="J1738">
        <v>191</v>
      </c>
      <c r="K1738" t="s">
        <v>24</v>
      </c>
    </row>
    <row r="1739" spans="1:11" x14ac:dyDescent="0.2">
      <c r="A1739" t="s">
        <v>3584</v>
      </c>
      <c r="B1739" t="s">
        <v>3585</v>
      </c>
      <c r="C1739" s="2">
        <v>45040</v>
      </c>
      <c r="D1739" s="2">
        <v>45065</v>
      </c>
      <c r="E1739">
        <f t="shared" si="27"/>
        <v>25</v>
      </c>
      <c r="F1739" t="s">
        <v>19</v>
      </c>
      <c r="G1739">
        <v>75553</v>
      </c>
      <c r="H1739">
        <v>2694</v>
      </c>
      <c r="I1739">
        <v>4832.32</v>
      </c>
      <c r="J1739">
        <v>271</v>
      </c>
      <c r="K1739" t="s">
        <v>30</v>
      </c>
    </row>
    <row r="1740" spans="1:11" x14ac:dyDescent="0.2">
      <c r="A1740" t="s">
        <v>3586</v>
      </c>
      <c r="B1740" t="s">
        <v>3587</v>
      </c>
      <c r="C1740" s="2">
        <v>45033</v>
      </c>
      <c r="D1740" s="2">
        <v>45034</v>
      </c>
      <c r="E1740">
        <f t="shared" si="27"/>
        <v>1</v>
      </c>
      <c r="F1740" t="s">
        <v>14</v>
      </c>
      <c r="G1740">
        <v>69344</v>
      </c>
      <c r="H1740">
        <v>2645</v>
      </c>
      <c r="I1740" s="3">
        <v>2576.2199999999998</v>
      </c>
      <c r="J1740">
        <v>286</v>
      </c>
      <c r="K1740" t="s">
        <v>15</v>
      </c>
    </row>
    <row r="1741" spans="1:11" x14ac:dyDescent="0.2">
      <c r="A1741" t="s">
        <v>3588</v>
      </c>
      <c r="B1741" t="s">
        <v>3589</v>
      </c>
      <c r="C1741" s="2">
        <v>44967</v>
      </c>
      <c r="D1741" s="2">
        <v>44974</v>
      </c>
      <c r="E1741">
        <f t="shared" si="27"/>
        <v>7</v>
      </c>
      <c r="F1741" t="s">
        <v>19</v>
      </c>
      <c r="G1741">
        <v>50138</v>
      </c>
      <c r="H1741">
        <v>1249</v>
      </c>
      <c r="I1741">
        <v>2221.12</v>
      </c>
      <c r="J1741">
        <v>107</v>
      </c>
      <c r="K1741" t="s">
        <v>24</v>
      </c>
    </row>
    <row r="1742" spans="1:11" x14ac:dyDescent="0.2">
      <c r="A1742" t="s">
        <v>3590</v>
      </c>
      <c r="B1742" t="s">
        <v>3591</v>
      </c>
      <c r="C1742" s="2">
        <v>45111</v>
      </c>
      <c r="D1742" s="2">
        <v>45125</v>
      </c>
      <c r="E1742">
        <f t="shared" si="27"/>
        <v>14</v>
      </c>
      <c r="F1742" t="s">
        <v>138</v>
      </c>
      <c r="G1742">
        <v>55302</v>
      </c>
      <c r="H1742">
        <v>1799</v>
      </c>
      <c r="I1742">
        <v>1009.96</v>
      </c>
      <c r="J1742">
        <v>339</v>
      </c>
      <c r="K1742" t="b">
        <v>1</v>
      </c>
    </row>
    <row r="1743" spans="1:11" x14ac:dyDescent="0.2">
      <c r="A1743" t="s">
        <v>3592</v>
      </c>
      <c r="B1743" t="s">
        <v>3593</v>
      </c>
      <c r="C1743" s="2">
        <v>45139</v>
      </c>
      <c r="D1743" s="2">
        <v>45164</v>
      </c>
      <c r="E1743">
        <f t="shared" si="27"/>
        <v>25</v>
      </c>
      <c r="F1743" t="s">
        <v>33</v>
      </c>
      <c r="G1743">
        <v>48638</v>
      </c>
      <c r="H1743">
        <v>1363</v>
      </c>
      <c r="I1743">
        <v>783.03</v>
      </c>
      <c r="K1743">
        <v>0</v>
      </c>
    </row>
    <row r="1744" spans="1:11" x14ac:dyDescent="0.2">
      <c r="A1744" t="s">
        <v>3594</v>
      </c>
      <c r="B1744" t="s">
        <v>3595</v>
      </c>
      <c r="C1744" s="2">
        <v>44956</v>
      </c>
      <c r="D1744" s="2">
        <v>44977</v>
      </c>
      <c r="E1744">
        <f t="shared" si="27"/>
        <v>21</v>
      </c>
      <c r="F1744" t="s">
        <v>33</v>
      </c>
      <c r="G1744">
        <v>79249</v>
      </c>
      <c r="H1744">
        <v>2922</v>
      </c>
      <c r="I1744" s="3">
        <v>4193.88</v>
      </c>
      <c r="J1744">
        <v>151</v>
      </c>
      <c r="K1744" t="b">
        <v>1</v>
      </c>
    </row>
    <row r="1745" spans="1:11" x14ac:dyDescent="0.2">
      <c r="A1745" t="s">
        <v>3596</v>
      </c>
      <c r="B1745" t="s">
        <v>3597</v>
      </c>
      <c r="C1745" s="2">
        <v>44947</v>
      </c>
      <c r="D1745" s="2">
        <v>44972</v>
      </c>
      <c r="E1745">
        <f t="shared" si="27"/>
        <v>25</v>
      </c>
      <c r="F1745" t="s">
        <v>19</v>
      </c>
      <c r="G1745">
        <v>3719</v>
      </c>
      <c r="H1745">
        <v>123</v>
      </c>
      <c r="I1745">
        <v>73.14</v>
      </c>
      <c r="J1745">
        <v>6</v>
      </c>
      <c r="K1745">
        <v>0</v>
      </c>
    </row>
    <row r="1746" spans="1:11" x14ac:dyDescent="0.2">
      <c r="A1746" t="s">
        <v>3598</v>
      </c>
      <c r="B1746" t="s">
        <v>3599</v>
      </c>
      <c r="C1746" s="2">
        <v>44966</v>
      </c>
      <c r="D1746" s="2">
        <v>44971</v>
      </c>
      <c r="E1746">
        <f t="shared" si="27"/>
        <v>5</v>
      </c>
      <c r="F1746" t="s">
        <v>138</v>
      </c>
      <c r="G1746">
        <v>23890</v>
      </c>
      <c r="H1746">
        <v>741</v>
      </c>
      <c r="I1746">
        <v>731.3</v>
      </c>
      <c r="J1746">
        <v>145</v>
      </c>
      <c r="K1746">
        <v>1</v>
      </c>
    </row>
    <row r="1747" spans="1:11" x14ac:dyDescent="0.2">
      <c r="A1747" t="s">
        <v>3600</v>
      </c>
      <c r="B1747" t="s">
        <v>3601</v>
      </c>
      <c r="C1747" s="2">
        <v>44976</v>
      </c>
      <c r="D1747" s="2">
        <v>44991</v>
      </c>
      <c r="E1747">
        <f t="shared" si="27"/>
        <v>15</v>
      </c>
      <c r="F1747" t="s">
        <v>19</v>
      </c>
      <c r="G1747">
        <v>78236</v>
      </c>
      <c r="H1747">
        <v>1563</v>
      </c>
      <c r="I1747">
        <v>2358.7800000000002</v>
      </c>
      <c r="J1747">
        <v>130</v>
      </c>
      <c r="K1747">
        <v>0</v>
      </c>
    </row>
    <row r="1748" spans="1:11" x14ac:dyDescent="0.2">
      <c r="A1748" t="s">
        <v>3602</v>
      </c>
      <c r="B1748" t="s">
        <v>3603</v>
      </c>
      <c r="C1748" s="2">
        <v>45124</v>
      </c>
      <c r="D1748" s="2">
        <v>45152</v>
      </c>
      <c r="E1748">
        <f t="shared" si="27"/>
        <v>28</v>
      </c>
      <c r="F1748" t="s">
        <v>19</v>
      </c>
      <c r="G1748">
        <v>37509</v>
      </c>
      <c r="H1748">
        <v>378</v>
      </c>
      <c r="I1748">
        <v>380.23</v>
      </c>
      <c r="J1748">
        <v>64</v>
      </c>
      <c r="K1748">
        <v>1</v>
      </c>
    </row>
    <row r="1749" spans="1:11" x14ac:dyDescent="0.2">
      <c r="A1749" t="s">
        <v>3604</v>
      </c>
      <c r="B1749" t="s">
        <v>3605</v>
      </c>
      <c r="C1749" s="2">
        <v>45054</v>
      </c>
      <c r="D1749" s="2">
        <v>45073</v>
      </c>
      <c r="E1749">
        <f t="shared" si="27"/>
        <v>19</v>
      </c>
      <c r="F1749" t="s">
        <v>41</v>
      </c>
      <c r="G1749">
        <v>43534</v>
      </c>
      <c r="H1749">
        <v>738</v>
      </c>
      <c r="I1749">
        <v>567.82000000000005</v>
      </c>
      <c r="J1749">
        <v>43</v>
      </c>
      <c r="K1749" t="s">
        <v>30</v>
      </c>
    </row>
    <row r="1750" spans="1:11" x14ac:dyDescent="0.2">
      <c r="A1750" t="s">
        <v>3606</v>
      </c>
      <c r="B1750" t="s">
        <v>3607</v>
      </c>
      <c r="C1750" s="2">
        <v>45212</v>
      </c>
      <c r="D1750" s="2">
        <v>45238</v>
      </c>
      <c r="E1750">
        <f t="shared" si="27"/>
        <v>26</v>
      </c>
      <c r="F1750" t="s">
        <v>14</v>
      </c>
      <c r="G1750">
        <v>93241</v>
      </c>
      <c r="H1750">
        <v>1369</v>
      </c>
      <c r="I1750">
        <v>1262.25</v>
      </c>
      <c r="J1750">
        <v>257</v>
      </c>
      <c r="K1750">
        <v>1</v>
      </c>
    </row>
    <row r="1751" spans="1:11" x14ac:dyDescent="0.2">
      <c r="A1751" t="s">
        <v>3608</v>
      </c>
      <c r="B1751" t="s">
        <v>3609</v>
      </c>
      <c r="C1751" s="2">
        <v>44981</v>
      </c>
      <c r="D1751" s="2">
        <v>45006</v>
      </c>
      <c r="E1751">
        <f t="shared" si="27"/>
        <v>25</v>
      </c>
      <c r="F1751" t="s">
        <v>41</v>
      </c>
      <c r="G1751">
        <v>19787</v>
      </c>
      <c r="H1751">
        <v>553</v>
      </c>
      <c r="I1751">
        <v>656.06</v>
      </c>
      <c r="J1751">
        <v>100</v>
      </c>
      <c r="K1751" t="s">
        <v>15</v>
      </c>
    </row>
    <row r="1752" spans="1:11" x14ac:dyDescent="0.2">
      <c r="A1752" t="s">
        <v>3610</v>
      </c>
      <c r="B1752" t="s">
        <v>3611</v>
      </c>
      <c r="C1752" s="2">
        <v>45272</v>
      </c>
      <c r="D1752" s="2">
        <v>45296</v>
      </c>
      <c r="E1752">
        <f t="shared" si="27"/>
        <v>24</v>
      </c>
      <c r="F1752" t="s">
        <v>41</v>
      </c>
      <c r="G1752">
        <v>49845</v>
      </c>
      <c r="H1752">
        <v>1719</v>
      </c>
      <c r="I1752">
        <v>2085.2800000000002</v>
      </c>
      <c r="K1752">
        <v>1</v>
      </c>
    </row>
    <row r="1753" spans="1:11" x14ac:dyDescent="0.2">
      <c r="A1753" t="s">
        <v>3612</v>
      </c>
      <c r="B1753" t="s">
        <v>3613</v>
      </c>
      <c r="C1753" s="2">
        <v>44980</v>
      </c>
      <c r="D1753" s="2">
        <v>44985</v>
      </c>
      <c r="E1753">
        <f t="shared" si="27"/>
        <v>5</v>
      </c>
      <c r="F1753" t="s">
        <v>23</v>
      </c>
      <c r="G1753">
        <v>58932</v>
      </c>
      <c r="H1753">
        <v>1091</v>
      </c>
      <c r="I1753">
        <v>1826.88</v>
      </c>
      <c r="J1753">
        <v>56</v>
      </c>
      <c r="K1753" t="s">
        <v>15</v>
      </c>
    </row>
    <row r="1754" spans="1:11" x14ac:dyDescent="0.2">
      <c r="A1754" t="s">
        <v>3614</v>
      </c>
      <c r="B1754" t="s">
        <v>3615</v>
      </c>
      <c r="C1754" s="2">
        <v>45132</v>
      </c>
      <c r="D1754" s="2">
        <v>45153</v>
      </c>
      <c r="E1754">
        <f t="shared" si="27"/>
        <v>21</v>
      </c>
      <c r="F1754" t="s">
        <v>19</v>
      </c>
      <c r="G1754">
        <v>93124</v>
      </c>
      <c r="H1754">
        <v>4429</v>
      </c>
      <c r="I1754">
        <v>7198.14</v>
      </c>
      <c r="K1754" t="s">
        <v>24</v>
      </c>
    </row>
    <row r="1755" spans="1:11" x14ac:dyDescent="0.2">
      <c r="A1755" t="s">
        <v>3616</v>
      </c>
      <c r="B1755" t="s">
        <v>3617</v>
      </c>
      <c r="C1755" s="2">
        <v>45200</v>
      </c>
      <c r="D1755" s="2">
        <v>45226</v>
      </c>
      <c r="E1755">
        <f t="shared" si="27"/>
        <v>26</v>
      </c>
      <c r="F1755" t="s">
        <v>14</v>
      </c>
      <c r="G1755">
        <v>92659</v>
      </c>
      <c r="H1755">
        <v>951</v>
      </c>
      <c r="I1755">
        <v>1127.1500000000001</v>
      </c>
      <c r="J1755">
        <v>105</v>
      </c>
      <c r="K1755" t="s">
        <v>24</v>
      </c>
    </row>
    <row r="1756" spans="1:11" x14ac:dyDescent="0.2">
      <c r="A1756" t="s">
        <v>3618</v>
      </c>
      <c r="B1756" t="s">
        <v>3619</v>
      </c>
      <c r="C1756" s="2">
        <v>45107</v>
      </c>
      <c r="D1756" s="2">
        <v>45117</v>
      </c>
      <c r="E1756">
        <f t="shared" si="27"/>
        <v>10</v>
      </c>
      <c r="F1756" t="s">
        <v>23</v>
      </c>
      <c r="G1756">
        <v>34062</v>
      </c>
      <c r="H1756">
        <v>1392</v>
      </c>
      <c r="I1756">
        <v>500000</v>
      </c>
      <c r="J1756">
        <v>165</v>
      </c>
      <c r="K1756">
        <v>0</v>
      </c>
    </row>
    <row r="1757" spans="1:11" x14ac:dyDescent="0.2">
      <c r="A1757" t="s">
        <v>3620</v>
      </c>
      <c r="B1757" t="s">
        <v>3621</v>
      </c>
      <c r="C1757" s="2">
        <v>45093</v>
      </c>
      <c r="D1757" s="2">
        <v>45106</v>
      </c>
      <c r="E1757">
        <f t="shared" si="27"/>
        <v>13</v>
      </c>
      <c r="F1757" t="s">
        <v>14</v>
      </c>
      <c r="G1757">
        <v>76713</v>
      </c>
      <c r="H1757">
        <v>2685</v>
      </c>
      <c r="I1757">
        <v>1802.59</v>
      </c>
      <c r="J1757">
        <v>254</v>
      </c>
      <c r="K1757">
        <v>0</v>
      </c>
    </row>
    <row r="1758" spans="1:11" x14ac:dyDescent="0.2">
      <c r="A1758" t="s">
        <v>3622</v>
      </c>
      <c r="B1758" t="s">
        <v>3623</v>
      </c>
      <c r="C1758" s="2">
        <v>45251</v>
      </c>
      <c r="D1758" s="2">
        <v>45259</v>
      </c>
      <c r="E1758">
        <f t="shared" si="27"/>
        <v>8</v>
      </c>
      <c r="F1758" t="s">
        <v>33</v>
      </c>
      <c r="G1758">
        <v>88263</v>
      </c>
      <c r="H1758">
        <v>2201</v>
      </c>
      <c r="I1758">
        <v>1943.55</v>
      </c>
      <c r="K1758">
        <v>0</v>
      </c>
    </row>
    <row r="1759" spans="1:11" x14ac:dyDescent="0.2">
      <c r="A1759" t="s">
        <v>3624</v>
      </c>
      <c r="B1759" t="s">
        <v>3625</v>
      </c>
      <c r="C1759" s="2">
        <v>45238</v>
      </c>
      <c r="D1759" s="2">
        <v>45243</v>
      </c>
      <c r="E1759">
        <f t="shared" si="27"/>
        <v>5</v>
      </c>
      <c r="F1759" t="s">
        <v>23</v>
      </c>
      <c r="G1759">
        <v>96756</v>
      </c>
      <c r="H1759">
        <v>1162</v>
      </c>
      <c r="I1759">
        <v>2024.16</v>
      </c>
      <c r="J1759">
        <v>160</v>
      </c>
      <c r="K1759">
        <v>1</v>
      </c>
    </row>
    <row r="1760" spans="1:11" x14ac:dyDescent="0.2">
      <c r="A1760" t="s">
        <v>3626</v>
      </c>
      <c r="B1760" t="s">
        <v>3627</v>
      </c>
      <c r="C1760" s="2">
        <v>45119</v>
      </c>
      <c r="D1760" s="2">
        <v>45120</v>
      </c>
      <c r="E1760">
        <f t="shared" si="27"/>
        <v>1</v>
      </c>
      <c r="F1760" t="s">
        <v>33</v>
      </c>
      <c r="G1760">
        <v>61461</v>
      </c>
      <c r="H1760">
        <v>2157</v>
      </c>
      <c r="I1760" s="3">
        <v>2301.5</v>
      </c>
      <c r="K1760">
        <v>0</v>
      </c>
    </row>
    <row r="1761" spans="1:11" x14ac:dyDescent="0.2">
      <c r="A1761" t="s">
        <v>3628</v>
      </c>
      <c r="B1761" t="s">
        <v>3629</v>
      </c>
      <c r="C1761" s="2">
        <v>45052</v>
      </c>
      <c r="D1761" s="2">
        <v>45057</v>
      </c>
      <c r="E1761">
        <f t="shared" si="27"/>
        <v>5</v>
      </c>
      <c r="F1761" t="s">
        <v>23</v>
      </c>
      <c r="G1761">
        <v>76418</v>
      </c>
      <c r="H1761">
        <v>1942</v>
      </c>
      <c r="I1761">
        <v>3829.18</v>
      </c>
      <c r="J1761">
        <v>179</v>
      </c>
      <c r="K1761">
        <v>1</v>
      </c>
    </row>
    <row r="1762" spans="1:11" x14ac:dyDescent="0.2">
      <c r="A1762" t="s">
        <v>3630</v>
      </c>
      <c r="B1762" t="s">
        <v>3631</v>
      </c>
      <c r="C1762" s="2">
        <v>45130</v>
      </c>
      <c r="D1762" s="2">
        <v>45138</v>
      </c>
      <c r="E1762">
        <f t="shared" si="27"/>
        <v>8</v>
      </c>
      <c r="F1762" t="s">
        <v>19</v>
      </c>
      <c r="G1762">
        <v>67672</v>
      </c>
      <c r="H1762">
        <v>3211</v>
      </c>
      <c r="I1762">
        <v>3851.21</v>
      </c>
      <c r="J1762">
        <v>178</v>
      </c>
      <c r="K1762">
        <v>1</v>
      </c>
    </row>
    <row r="1763" spans="1:11" x14ac:dyDescent="0.2">
      <c r="A1763" t="s">
        <v>3632</v>
      </c>
      <c r="B1763" t="s">
        <v>3633</v>
      </c>
      <c r="C1763" s="2">
        <v>44944</v>
      </c>
      <c r="D1763" s="2">
        <v>44973</v>
      </c>
      <c r="E1763">
        <f t="shared" si="27"/>
        <v>29</v>
      </c>
      <c r="F1763" t="s">
        <v>41</v>
      </c>
      <c r="G1763">
        <v>35832</v>
      </c>
      <c r="H1763">
        <v>1135</v>
      </c>
      <c r="I1763">
        <v>1915.77</v>
      </c>
      <c r="J1763">
        <v>226</v>
      </c>
      <c r="K1763" t="b">
        <v>0</v>
      </c>
    </row>
    <row r="1764" spans="1:11" x14ac:dyDescent="0.2">
      <c r="A1764" t="s">
        <v>3634</v>
      </c>
      <c r="B1764" t="s">
        <v>3635</v>
      </c>
      <c r="C1764" s="2">
        <v>45192</v>
      </c>
      <c r="D1764" s="2">
        <v>45207</v>
      </c>
      <c r="E1764">
        <f t="shared" si="27"/>
        <v>15</v>
      </c>
      <c r="F1764" t="s">
        <v>33</v>
      </c>
      <c r="G1764">
        <v>32966</v>
      </c>
      <c r="H1764">
        <v>1568</v>
      </c>
      <c r="I1764" s="3">
        <v>1730.23</v>
      </c>
      <c r="J1764">
        <v>191</v>
      </c>
      <c r="K1764" t="b">
        <v>0</v>
      </c>
    </row>
    <row r="1765" spans="1:11" x14ac:dyDescent="0.2">
      <c r="A1765" t="s">
        <v>3636</v>
      </c>
      <c r="B1765" t="s">
        <v>3637</v>
      </c>
      <c r="C1765" s="2">
        <v>44930</v>
      </c>
      <c r="D1765" s="2">
        <v>44939</v>
      </c>
      <c r="E1765">
        <f t="shared" si="27"/>
        <v>9</v>
      </c>
      <c r="F1765" t="s">
        <v>14</v>
      </c>
      <c r="G1765">
        <v>73545</v>
      </c>
      <c r="H1765">
        <v>1384</v>
      </c>
      <c r="I1765">
        <v>1574.2</v>
      </c>
      <c r="J1765">
        <v>226</v>
      </c>
      <c r="K1765">
        <v>1</v>
      </c>
    </row>
    <row r="1766" spans="1:11" x14ac:dyDescent="0.2">
      <c r="A1766" t="s">
        <v>3638</v>
      </c>
      <c r="B1766" t="s">
        <v>3639</v>
      </c>
      <c r="C1766" s="2">
        <v>45104</v>
      </c>
      <c r="D1766" s="2">
        <v>45236</v>
      </c>
      <c r="E1766">
        <f t="shared" si="27"/>
        <v>132</v>
      </c>
      <c r="F1766" t="s">
        <v>33</v>
      </c>
      <c r="G1766">
        <v>13987</v>
      </c>
      <c r="H1766">
        <v>545</v>
      </c>
      <c r="I1766">
        <v>585.51</v>
      </c>
      <c r="J1766">
        <v>64</v>
      </c>
      <c r="K1766" t="s">
        <v>24</v>
      </c>
    </row>
    <row r="1767" spans="1:11" x14ac:dyDescent="0.2">
      <c r="A1767" t="s">
        <v>3640</v>
      </c>
      <c r="B1767" t="s">
        <v>3641</v>
      </c>
      <c r="C1767" s="2">
        <v>45280</v>
      </c>
      <c r="D1767" s="2">
        <v>45293</v>
      </c>
      <c r="E1767">
        <f t="shared" si="27"/>
        <v>13</v>
      </c>
      <c r="F1767" t="s">
        <v>41</v>
      </c>
      <c r="G1767">
        <v>38311</v>
      </c>
      <c r="H1767">
        <v>1329</v>
      </c>
      <c r="I1767" s="3">
        <v>2097.98</v>
      </c>
      <c r="J1767">
        <v>75</v>
      </c>
      <c r="K1767" t="s">
        <v>15</v>
      </c>
    </row>
    <row r="1768" spans="1:11" x14ac:dyDescent="0.2">
      <c r="A1768" t="s">
        <v>3642</v>
      </c>
      <c r="B1768" t="s">
        <v>3643</v>
      </c>
      <c r="C1768" s="2">
        <v>45188</v>
      </c>
      <c r="D1768" s="2">
        <v>45203</v>
      </c>
      <c r="E1768">
        <f t="shared" si="27"/>
        <v>15</v>
      </c>
      <c r="F1768" t="s">
        <v>23</v>
      </c>
      <c r="G1768">
        <v>32575</v>
      </c>
      <c r="H1768">
        <v>1289</v>
      </c>
      <c r="I1768">
        <v>1703.13</v>
      </c>
      <c r="J1768">
        <v>124</v>
      </c>
      <c r="K1768" t="s">
        <v>30</v>
      </c>
    </row>
    <row r="1769" spans="1:11" x14ac:dyDescent="0.2">
      <c r="A1769" t="s">
        <v>3644</v>
      </c>
      <c r="B1769" t="s">
        <v>3645</v>
      </c>
      <c r="C1769" s="2">
        <v>45001</v>
      </c>
      <c r="D1769" s="2">
        <v>45006</v>
      </c>
      <c r="E1769">
        <f t="shared" si="27"/>
        <v>5</v>
      </c>
      <c r="F1769" t="s">
        <v>14</v>
      </c>
      <c r="G1769">
        <v>64852</v>
      </c>
      <c r="H1769">
        <v>1205</v>
      </c>
      <c r="I1769" s="3">
        <v>2308.38</v>
      </c>
      <c r="J1769">
        <v>118</v>
      </c>
      <c r="K1769" t="b">
        <v>1</v>
      </c>
    </row>
    <row r="1770" spans="1:11" x14ac:dyDescent="0.2">
      <c r="A1770" t="s">
        <v>3646</v>
      </c>
      <c r="B1770" t="s">
        <v>3647</v>
      </c>
      <c r="C1770" s="2">
        <v>45162</v>
      </c>
      <c r="D1770" s="2">
        <v>45177</v>
      </c>
      <c r="E1770">
        <f t="shared" si="27"/>
        <v>15</v>
      </c>
      <c r="F1770" t="s">
        <v>33</v>
      </c>
      <c r="G1770">
        <v>2007</v>
      </c>
      <c r="H1770">
        <v>73</v>
      </c>
      <c r="I1770">
        <v>63.97</v>
      </c>
      <c r="J1770">
        <v>12</v>
      </c>
      <c r="K1770" t="b">
        <v>0</v>
      </c>
    </row>
    <row r="1771" spans="1:11" x14ac:dyDescent="0.2">
      <c r="A1771" t="s">
        <v>3648</v>
      </c>
      <c r="B1771" t="s">
        <v>3649</v>
      </c>
      <c r="C1771" s="2">
        <v>45114</v>
      </c>
      <c r="D1771" s="2">
        <v>45126</v>
      </c>
      <c r="E1771">
        <f t="shared" si="27"/>
        <v>12</v>
      </c>
      <c r="F1771" t="s">
        <v>19</v>
      </c>
      <c r="G1771">
        <v>71981</v>
      </c>
      <c r="H1771">
        <v>2153</v>
      </c>
      <c r="I1771">
        <v>1401.27</v>
      </c>
      <c r="J1771">
        <v>318</v>
      </c>
      <c r="K1771">
        <v>1</v>
      </c>
    </row>
    <row r="1772" spans="1:11" x14ac:dyDescent="0.2">
      <c r="A1772" t="s">
        <v>3650</v>
      </c>
      <c r="B1772" t="s">
        <v>3651</v>
      </c>
      <c r="C1772" s="2">
        <v>45058</v>
      </c>
      <c r="D1772" s="2">
        <v>45294</v>
      </c>
      <c r="E1772">
        <f t="shared" si="27"/>
        <v>236</v>
      </c>
      <c r="F1772" t="s">
        <v>14</v>
      </c>
      <c r="G1772">
        <v>77242</v>
      </c>
      <c r="H1772">
        <v>3067</v>
      </c>
      <c r="I1772">
        <v>3342.7</v>
      </c>
      <c r="J1772">
        <v>280</v>
      </c>
      <c r="K1772" t="b">
        <v>1</v>
      </c>
    </row>
    <row r="1773" spans="1:11" x14ac:dyDescent="0.2">
      <c r="A1773" t="s">
        <v>3652</v>
      </c>
      <c r="B1773" t="s">
        <v>3653</v>
      </c>
      <c r="C1773" s="2">
        <v>45131</v>
      </c>
      <c r="D1773" s="2">
        <v>45138</v>
      </c>
      <c r="E1773">
        <f t="shared" si="27"/>
        <v>7</v>
      </c>
      <c r="F1773" t="s">
        <v>19</v>
      </c>
      <c r="G1773">
        <v>48517</v>
      </c>
      <c r="H1773">
        <v>1119</v>
      </c>
      <c r="I1773">
        <v>1594.65</v>
      </c>
      <c r="K1773" t="b">
        <v>0</v>
      </c>
    </row>
    <row r="1774" spans="1:11" x14ac:dyDescent="0.2">
      <c r="A1774" t="s">
        <v>3654</v>
      </c>
      <c r="B1774" t="s">
        <v>3655</v>
      </c>
      <c r="C1774" s="2">
        <v>44966</v>
      </c>
      <c r="D1774" s="2">
        <v>44981</v>
      </c>
      <c r="E1774">
        <f t="shared" si="27"/>
        <v>15</v>
      </c>
      <c r="F1774" t="s">
        <v>19</v>
      </c>
      <c r="G1774">
        <v>30257</v>
      </c>
      <c r="H1774">
        <v>1379</v>
      </c>
      <c r="I1774">
        <v>2470.06</v>
      </c>
      <c r="K1774" t="s">
        <v>30</v>
      </c>
    </row>
    <row r="1775" spans="1:11" x14ac:dyDescent="0.2">
      <c r="A1775" t="s">
        <v>3656</v>
      </c>
      <c r="B1775" t="s">
        <v>3657</v>
      </c>
      <c r="C1775" s="2">
        <v>45015</v>
      </c>
      <c r="D1775" s="2">
        <v>45020</v>
      </c>
      <c r="E1775">
        <f t="shared" si="27"/>
        <v>5</v>
      </c>
      <c r="F1775" t="s">
        <v>19</v>
      </c>
      <c r="G1775">
        <v>88272</v>
      </c>
      <c r="H1775">
        <v>1180</v>
      </c>
      <c r="I1775">
        <v>1202.77</v>
      </c>
      <c r="J1775">
        <v>235</v>
      </c>
      <c r="K1775" t="s">
        <v>15</v>
      </c>
    </row>
    <row r="1776" spans="1:11" x14ac:dyDescent="0.2">
      <c r="A1776" t="s">
        <v>3658</v>
      </c>
      <c r="B1776" t="s">
        <v>3659</v>
      </c>
      <c r="C1776" s="2">
        <v>45286</v>
      </c>
      <c r="D1776" s="2">
        <v>45300</v>
      </c>
      <c r="E1776">
        <f t="shared" si="27"/>
        <v>14</v>
      </c>
      <c r="F1776" t="s">
        <v>19</v>
      </c>
      <c r="G1776">
        <v>43207</v>
      </c>
      <c r="H1776">
        <v>1827</v>
      </c>
      <c r="I1776">
        <v>2705.2</v>
      </c>
      <c r="J1776">
        <v>364</v>
      </c>
      <c r="K1776">
        <v>1</v>
      </c>
    </row>
    <row r="1777" spans="1:11" x14ac:dyDescent="0.2">
      <c r="A1777" t="s">
        <v>3660</v>
      </c>
      <c r="B1777" t="s">
        <v>3661</v>
      </c>
      <c r="C1777" s="2">
        <v>44939</v>
      </c>
      <c r="D1777" s="2">
        <v>45231</v>
      </c>
      <c r="E1777">
        <f t="shared" si="27"/>
        <v>292</v>
      </c>
      <c r="F1777" t="s">
        <v>41</v>
      </c>
      <c r="G1777">
        <v>14281</v>
      </c>
      <c r="H1777">
        <v>634</v>
      </c>
      <c r="I1777">
        <v>650.04</v>
      </c>
      <c r="J1777">
        <v>49</v>
      </c>
      <c r="K1777" t="s">
        <v>30</v>
      </c>
    </row>
    <row r="1778" spans="1:11" x14ac:dyDescent="0.2">
      <c r="A1778" t="s">
        <v>3662</v>
      </c>
      <c r="B1778" t="s">
        <v>3663</v>
      </c>
      <c r="C1778" s="2">
        <v>45222</v>
      </c>
      <c r="D1778" s="2">
        <v>45230</v>
      </c>
      <c r="E1778">
        <f t="shared" si="27"/>
        <v>8</v>
      </c>
      <c r="F1778" t="s">
        <v>14</v>
      </c>
      <c r="G1778">
        <v>62246</v>
      </c>
      <c r="H1778">
        <v>2657</v>
      </c>
      <c r="I1778">
        <v>3788.43</v>
      </c>
      <c r="J1778">
        <v>257</v>
      </c>
      <c r="K1778" t="s">
        <v>24</v>
      </c>
    </row>
    <row r="1779" spans="1:11" x14ac:dyDescent="0.2">
      <c r="A1779" t="s">
        <v>3664</v>
      </c>
      <c r="B1779" t="s">
        <v>3665</v>
      </c>
      <c r="C1779" s="2">
        <v>45098</v>
      </c>
      <c r="D1779" s="2">
        <v>45103</v>
      </c>
      <c r="E1779">
        <f t="shared" si="27"/>
        <v>5</v>
      </c>
      <c r="F1779" t="s">
        <v>19</v>
      </c>
      <c r="G1779">
        <v>2435</v>
      </c>
      <c r="H1779">
        <v>74</v>
      </c>
      <c r="I1779">
        <v>135.21</v>
      </c>
      <c r="J1779">
        <v>9</v>
      </c>
      <c r="K1779" t="b">
        <v>0</v>
      </c>
    </row>
    <row r="1780" spans="1:11" x14ac:dyDescent="0.2">
      <c r="A1780" t="s">
        <v>3666</v>
      </c>
      <c r="B1780" t="s">
        <v>3667</v>
      </c>
      <c r="C1780" s="2">
        <v>45140</v>
      </c>
      <c r="D1780" s="2">
        <v>45169</v>
      </c>
      <c r="E1780">
        <f t="shared" si="27"/>
        <v>29</v>
      </c>
      <c r="F1780" t="s">
        <v>14</v>
      </c>
      <c r="G1780">
        <v>99875</v>
      </c>
      <c r="H1780">
        <v>2750</v>
      </c>
      <c r="I1780" s="3">
        <v>2329.35</v>
      </c>
      <c r="K1780">
        <v>1</v>
      </c>
    </row>
    <row r="1781" spans="1:11" x14ac:dyDescent="0.2">
      <c r="A1781" t="s">
        <v>3668</v>
      </c>
      <c r="B1781" t="s">
        <v>3669</v>
      </c>
      <c r="C1781" s="2">
        <v>45043</v>
      </c>
      <c r="D1781" s="2">
        <v>45064</v>
      </c>
      <c r="E1781">
        <f t="shared" si="27"/>
        <v>21</v>
      </c>
      <c r="F1781" t="s">
        <v>138</v>
      </c>
      <c r="G1781">
        <v>92357</v>
      </c>
      <c r="H1781">
        <v>4604</v>
      </c>
      <c r="I1781">
        <v>5093.6899999999996</v>
      </c>
      <c r="J1781">
        <v>594</v>
      </c>
      <c r="K1781" t="b">
        <v>1</v>
      </c>
    </row>
    <row r="1782" spans="1:11" x14ac:dyDescent="0.2">
      <c r="A1782" t="s">
        <v>3670</v>
      </c>
      <c r="B1782" t="s">
        <v>3671</v>
      </c>
      <c r="C1782" s="2">
        <v>44932</v>
      </c>
      <c r="D1782" s="2">
        <v>44962</v>
      </c>
      <c r="E1782">
        <f t="shared" si="27"/>
        <v>30</v>
      </c>
      <c r="F1782" t="s">
        <v>23</v>
      </c>
      <c r="G1782">
        <v>27660</v>
      </c>
      <c r="H1782">
        <v>530</v>
      </c>
      <c r="I1782">
        <v>1054.6500000000001</v>
      </c>
      <c r="J1782">
        <v>103</v>
      </c>
      <c r="K1782" t="s">
        <v>24</v>
      </c>
    </row>
    <row r="1783" spans="1:11" x14ac:dyDescent="0.2">
      <c r="A1783" t="s">
        <v>3672</v>
      </c>
      <c r="B1783" t="s">
        <v>3673</v>
      </c>
      <c r="C1783" s="2">
        <v>44954</v>
      </c>
      <c r="D1783" s="2">
        <v>44958</v>
      </c>
      <c r="E1783">
        <f t="shared" si="27"/>
        <v>4</v>
      </c>
      <c r="F1783" t="s">
        <v>23</v>
      </c>
      <c r="G1783">
        <v>6084</v>
      </c>
      <c r="H1783">
        <v>193</v>
      </c>
      <c r="I1783">
        <v>500000</v>
      </c>
      <c r="K1783" t="s">
        <v>24</v>
      </c>
    </row>
    <row r="1784" spans="1:11" x14ac:dyDescent="0.2">
      <c r="A1784" t="s">
        <v>3674</v>
      </c>
      <c r="B1784" t="s">
        <v>3675</v>
      </c>
      <c r="C1784" s="2">
        <v>45203</v>
      </c>
      <c r="D1784" s="2">
        <v>45213</v>
      </c>
      <c r="E1784">
        <f t="shared" si="27"/>
        <v>10</v>
      </c>
      <c r="F1784" t="s">
        <v>234</v>
      </c>
      <c r="G1784">
        <v>83197</v>
      </c>
      <c r="H1784">
        <v>3063</v>
      </c>
      <c r="I1784" s="3">
        <v>4125.74</v>
      </c>
      <c r="J1784">
        <v>250</v>
      </c>
      <c r="K1784">
        <v>0</v>
      </c>
    </row>
    <row r="1785" spans="1:11" x14ac:dyDescent="0.2">
      <c r="A1785" t="s">
        <v>3676</v>
      </c>
      <c r="B1785" t="s">
        <v>3677</v>
      </c>
      <c r="C1785" s="2">
        <v>45284</v>
      </c>
      <c r="D1785" s="2">
        <v>45296</v>
      </c>
      <c r="E1785">
        <f t="shared" si="27"/>
        <v>12</v>
      </c>
      <c r="F1785" t="s">
        <v>33</v>
      </c>
      <c r="G1785">
        <v>14507</v>
      </c>
      <c r="H1785">
        <v>551</v>
      </c>
      <c r="I1785">
        <v>702.49</v>
      </c>
      <c r="J1785">
        <v>36</v>
      </c>
      <c r="K1785" t="s">
        <v>15</v>
      </c>
    </row>
    <row r="1786" spans="1:11" x14ac:dyDescent="0.2">
      <c r="A1786" t="s">
        <v>3678</v>
      </c>
      <c r="B1786" t="s">
        <v>3679</v>
      </c>
      <c r="C1786" s="2">
        <v>45128</v>
      </c>
      <c r="D1786" s="2">
        <v>45130</v>
      </c>
      <c r="E1786">
        <f t="shared" si="27"/>
        <v>2</v>
      </c>
      <c r="F1786" t="s">
        <v>19</v>
      </c>
      <c r="G1786">
        <v>73595</v>
      </c>
      <c r="H1786">
        <v>1336</v>
      </c>
      <c r="I1786">
        <v>1238.3399999999999</v>
      </c>
      <c r="J1786">
        <v>204</v>
      </c>
      <c r="K1786" t="s">
        <v>24</v>
      </c>
    </row>
    <row r="1787" spans="1:11" x14ac:dyDescent="0.2">
      <c r="A1787" t="s">
        <v>3680</v>
      </c>
      <c r="B1787" t="s">
        <v>3681</v>
      </c>
      <c r="C1787" s="2">
        <v>45221</v>
      </c>
      <c r="D1787" s="2">
        <v>45233</v>
      </c>
      <c r="E1787">
        <f t="shared" si="27"/>
        <v>12</v>
      </c>
      <c r="F1787" t="s">
        <v>23</v>
      </c>
      <c r="G1787">
        <v>84807</v>
      </c>
      <c r="H1787">
        <v>3066</v>
      </c>
      <c r="I1787">
        <v>3911.65</v>
      </c>
      <c r="J1787">
        <v>226</v>
      </c>
      <c r="K1787" t="b">
        <v>0</v>
      </c>
    </row>
    <row r="1788" spans="1:11" x14ac:dyDescent="0.2">
      <c r="A1788" t="s">
        <v>3682</v>
      </c>
      <c r="B1788" t="s">
        <v>3683</v>
      </c>
      <c r="C1788" s="2">
        <v>45075</v>
      </c>
      <c r="D1788" s="2">
        <v>45090</v>
      </c>
      <c r="E1788">
        <f t="shared" si="27"/>
        <v>15</v>
      </c>
      <c r="F1788" t="s">
        <v>33</v>
      </c>
      <c r="G1788">
        <v>46539</v>
      </c>
      <c r="H1788">
        <v>1988</v>
      </c>
      <c r="I1788">
        <v>3523.28</v>
      </c>
      <c r="J1788">
        <v>334</v>
      </c>
      <c r="K1788" t="s">
        <v>15</v>
      </c>
    </row>
    <row r="1789" spans="1:11" x14ac:dyDescent="0.2">
      <c r="A1789" t="s">
        <v>3684</v>
      </c>
      <c r="B1789" t="s">
        <v>3685</v>
      </c>
      <c r="C1789" s="2">
        <v>45099</v>
      </c>
      <c r="D1789" s="2">
        <v>45129</v>
      </c>
      <c r="E1789">
        <f t="shared" si="27"/>
        <v>30</v>
      </c>
      <c r="F1789" t="s">
        <v>23</v>
      </c>
      <c r="G1789">
        <v>8491</v>
      </c>
      <c r="H1789">
        <v>101</v>
      </c>
      <c r="I1789" s="3">
        <v>154.30000000000001</v>
      </c>
      <c r="J1789">
        <v>9</v>
      </c>
      <c r="K1789">
        <v>1</v>
      </c>
    </row>
    <row r="1790" spans="1:11" x14ac:dyDescent="0.2">
      <c r="A1790" t="s">
        <v>3686</v>
      </c>
      <c r="B1790" t="s">
        <v>3687</v>
      </c>
      <c r="C1790" s="2">
        <v>45219</v>
      </c>
      <c r="D1790" s="2">
        <v>45232</v>
      </c>
      <c r="E1790">
        <f t="shared" si="27"/>
        <v>13</v>
      </c>
      <c r="F1790" t="s">
        <v>19</v>
      </c>
      <c r="G1790">
        <v>51192</v>
      </c>
      <c r="H1790">
        <v>2378</v>
      </c>
      <c r="I1790" s="3">
        <v>2223.59</v>
      </c>
      <c r="J1790">
        <v>235</v>
      </c>
      <c r="K1790">
        <v>0</v>
      </c>
    </row>
    <row r="1791" spans="1:11" x14ac:dyDescent="0.2">
      <c r="A1791" t="s">
        <v>3688</v>
      </c>
      <c r="B1791" t="s">
        <v>3689</v>
      </c>
      <c r="C1791" s="2">
        <v>45061</v>
      </c>
      <c r="D1791" s="2">
        <v>45090</v>
      </c>
      <c r="E1791">
        <f t="shared" si="27"/>
        <v>29</v>
      </c>
      <c r="F1791" t="s">
        <v>33</v>
      </c>
      <c r="G1791">
        <v>81395</v>
      </c>
      <c r="H1791">
        <v>910</v>
      </c>
      <c r="I1791" s="3">
        <v>730</v>
      </c>
      <c r="J1791">
        <v>46</v>
      </c>
      <c r="K1791" t="s">
        <v>30</v>
      </c>
    </row>
    <row r="1792" spans="1:11" x14ac:dyDescent="0.2">
      <c r="A1792" t="s">
        <v>3690</v>
      </c>
      <c r="B1792" t="s">
        <v>3691</v>
      </c>
      <c r="C1792" s="2">
        <v>45183</v>
      </c>
      <c r="D1792" s="2">
        <v>45204</v>
      </c>
      <c r="E1792">
        <f t="shared" si="27"/>
        <v>21</v>
      </c>
      <c r="F1792" t="s">
        <v>23</v>
      </c>
      <c r="G1792">
        <v>64888</v>
      </c>
      <c r="H1792">
        <v>1572</v>
      </c>
      <c r="I1792">
        <v>1411.36</v>
      </c>
      <c r="J1792">
        <v>243</v>
      </c>
      <c r="K1792" t="s">
        <v>15</v>
      </c>
    </row>
    <row r="1793" spans="1:11" x14ac:dyDescent="0.2">
      <c r="A1793" t="s">
        <v>3692</v>
      </c>
      <c r="B1793" t="s">
        <v>3693</v>
      </c>
      <c r="C1793" s="2">
        <v>44996</v>
      </c>
      <c r="D1793" s="2">
        <v>45024</v>
      </c>
      <c r="E1793">
        <f t="shared" si="27"/>
        <v>28</v>
      </c>
      <c r="F1793" t="s">
        <v>33</v>
      </c>
      <c r="G1793">
        <v>74609</v>
      </c>
      <c r="H1793">
        <v>793</v>
      </c>
      <c r="I1793">
        <v>598.42999999999995</v>
      </c>
      <c r="J1793">
        <v>53</v>
      </c>
      <c r="K1793" t="b">
        <v>1</v>
      </c>
    </row>
    <row r="1794" spans="1:11" x14ac:dyDescent="0.2">
      <c r="A1794" t="s">
        <v>3694</v>
      </c>
      <c r="B1794" t="s">
        <v>3695</v>
      </c>
      <c r="C1794" s="2">
        <v>45129</v>
      </c>
      <c r="D1794" s="2">
        <v>45143</v>
      </c>
      <c r="E1794">
        <f t="shared" ref="E1794:E1857" si="28">D1794-C1794</f>
        <v>14</v>
      </c>
      <c r="F1794" t="s">
        <v>138</v>
      </c>
      <c r="G1794">
        <v>10077</v>
      </c>
      <c r="H1794">
        <v>131</v>
      </c>
      <c r="I1794">
        <v>84.29</v>
      </c>
      <c r="J1794">
        <v>21</v>
      </c>
      <c r="K1794" t="b">
        <v>0</v>
      </c>
    </row>
    <row r="1795" spans="1:11" x14ac:dyDescent="0.2">
      <c r="A1795" t="s">
        <v>3696</v>
      </c>
      <c r="B1795" t="s">
        <v>3697</v>
      </c>
      <c r="C1795" s="2">
        <v>45242</v>
      </c>
      <c r="D1795" s="2">
        <v>45245</v>
      </c>
      <c r="E1795">
        <f t="shared" si="28"/>
        <v>3</v>
      </c>
      <c r="F1795" t="s">
        <v>19</v>
      </c>
      <c r="G1795">
        <v>21953</v>
      </c>
      <c r="H1795">
        <v>1019</v>
      </c>
      <c r="I1795">
        <v>1150.1500000000001</v>
      </c>
      <c r="J1795">
        <v>126</v>
      </c>
      <c r="K1795" t="b">
        <v>1</v>
      </c>
    </row>
    <row r="1796" spans="1:11" x14ac:dyDescent="0.2">
      <c r="A1796" t="s">
        <v>3698</v>
      </c>
      <c r="B1796" t="s">
        <v>3699</v>
      </c>
      <c r="C1796" s="2">
        <v>45051</v>
      </c>
      <c r="D1796" s="2">
        <v>45071</v>
      </c>
      <c r="E1796">
        <f t="shared" si="28"/>
        <v>20</v>
      </c>
      <c r="F1796" t="s">
        <v>14</v>
      </c>
      <c r="G1796">
        <v>77919</v>
      </c>
      <c r="H1796">
        <v>1885</v>
      </c>
      <c r="I1796">
        <v>1262.8499999999999</v>
      </c>
      <c r="J1796">
        <v>316</v>
      </c>
      <c r="K1796" t="s">
        <v>15</v>
      </c>
    </row>
    <row r="1797" spans="1:11" x14ac:dyDescent="0.2">
      <c r="A1797" t="s">
        <v>3700</v>
      </c>
      <c r="B1797" t="s">
        <v>3701</v>
      </c>
      <c r="C1797" s="2">
        <v>45147</v>
      </c>
      <c r="D1797" s="2">
        <v>45157</v>
      </c>
      <c r="E1797">
        <f t="shared" si="28"/>
        <v>10</v>
      </c>
      <c r="F1797" t="s">
        <v>19</v>
      </c>
      <c r="G1797">
        <v>68889</v>
      </c>
      <c r="H1797">
        <v>1859</v>
      </c>
      <c r="I1797">
        <v>1408.88</v>
      </c>
      <c r="J1797">
        <v>255</v>
      </c>
      <c r="K1797">
        <v>0</v>
      </c>
    </row>
    <row r="1798" spans="1:11" x14ac:dyDescent="0.2">
      <c r="A1798" t="s">
        <v>3702</v>
      </c>
      <c r="B1798" t="s">
        <v>3703</v>
      </c>
      <c r="C1798" s="2">
        <v>44972</v>
      </c>
      <c r="D1798" s="2">
        <v>44984</v>
      </c>
      <c r="E1798">
        <f t="shared" si="28"/>
        <v>12</v>
      </c>
      <c r="F1798" t="s">
        <v>33</v>
      </c>
      <c r="G1798">
        <v>24821</v>
      </c>
      <c r="H1798">
        <v>462</v>
      </c>
      <c r="I1798">
        <v>610.29999999999995</v>
      </c>
      <c r="K1798" t="s">
        <v>30</v>
      </c>
    </row>
    <row r="1799" spans="1:11" x14ac:dyDescent="0.2">
      <c r="A1799" t="s">
        <v>3704</v>
      </c>
      <c r="B1799" t="s">
        <v>3705</v>
      </c>
      <c r="C1799" s="2">
        <v>45114</v>
      </c>
      <c r="D1799" s="2">
        <v>45141</v>
      </c>
      <c r="E1799">
        <f t="shared" si="28"/>
        <v>27</v>
      </c>
      <c r="F1799" t="s">
        <v>19</v>
      </c>
      <c r="G1799">
        <v>38567</v>
      </c>
      <c r="H1799">
        <v>1306</v>
      </c>
      <c r="I1799">
        <v>975.45</v>
      </c>
      <c r="J1799">
        <v>215</v>
      </c>
      <c r="K1799" t="s">
        <v>30</v>
      </c>
    </row>
    <row r="1800" spans="1:11" x14ac:dyDescent="0.2">
      <c r="A1800" t="s">
        <v>3706</v>
      </c>
      <c r="B1800" t="s">
        <v>3707</v>
      </c>
      <c r="C1800" s="2">
        <v>45231</v>
      </c>
      <c r="D1800" s="2">
        <v>45248</v>
      </c>
      <c r="E1800">
        <f t="shared" si="28"/>
        <v>17</v>
      </c>
      <c r="F1800" t="s">
        <v>14</v>
      </c>
      <c r="G1800">
        <v>25860</v>
      </c>
      <c r="H1800">
        <v>873</v>
      </c>
      <c r="I1800">
        <v>520.15</v>
      </c>
      <c r="J1800">
        <v>52</v>
      </c>
      <c r="K1800" t="b">
        <v>1</v>
      </c>
    </row>
    <row r="1801" spans="1:11" x14ac:dyDescent="0.2">
      <c r="A1801" t="s">
        <v>3708</v>
      </c>
      <c r="B1801" t="s">
        <v>3709</v>
      </c>
      <c r="C1801" s="2">
        <v>45013</v>
      </c>
      <c r="D1801" s="2">
        <v>45031</v>
      </c>
      <c r="E1801">
        <f t="shared" si="28"/>
        <v>18</v>
      </c>
      <c r="F1801" t="s">
        <v>415</v>
      </c>
      <c r="G1801">
        <v>22195</v>
      </c>
      <c r="H1801">
        <v>552</v>
      </c>
      <c r="I1801">
        <v>538.79999999999995</v>
      </c>
      <c r="K1801">
        <v>1</v>
      </c>
    </row>
    <row r="1802" spans="1:11" x14ac:dyDescent="0.2">
      <c r="A1802" t="s">
        <v>3710</v>
      </c>
      <c r="B1802" t="s">
        <v>3711</v>
      </c>
      <c r="C1802" s="2">
        <v>45153</v>
      </c>
      <c r="D1802" s="2">
        <v>45169</v>
      </c>
      <c r="E1802">
        <f t="shared" si="28"/>
        <v>16</v>
      </c>
      <c r="F1802" t="s">
        <v>23</v>
      </c>
      <c r="G1802">
        <v>78475</v>
      </c>
      <c r="H1802">
        <v>1830</v>
      </c>
      <c r="I1802">
        <v>1519.78</v>
      </c>
      <c r="J1802">
        <v>138</v>
      </c>
      <c r="K1802">
        <v>1</v>
      </c>
    </row>
    <row r="1803" spans="1:11" x14ac:dyDescent="0.2">
      <c r="A1803" t="s">
        <v>3712</v>
      </c>
      <c r="B1803" t="s">
        <v>3713</v>
      </c>
      <c r="C1803" s="2">
        <v>45041</v>
      </c>
      <c r="D1803" s="2">
        <v>45046</v>
      </c>
      <c r="E1803">
        <f t="shared" si="28"/>
        <v>5</v>
      </c>
      <c r="F1803" t="s">
        <v>41</v>
      </c>
      <c r="G1803">
        <v>91874</v>
      </c>
      <c r="H1803">
        <v>4170</v>
      </c>
      <c r="I1803">
        <v>5308.23</v>
      </c>
      <c r="J1803">
        <v>679</v>
      </c>
      <c r="K1803">
        <v>0</v>
      </c>
    </row>
    <row r="1804" spans="1:11" x14ac:dyDescent="0.2">
      <c r="A1804" t="s">
        <v>3714</v>
      </c>
      <c r="B1804" t="s">
        <v>3715</v>
      </c>
      <c r="C1804" s="2">
        <v>44970</v>
      </c>
      <c r="D1804" s="2">
        <v>45000</v>
      </c>
      <c r="E1804">
        <f t="shared" si="28"/>
        <v>30</v>
      </c>
      <c r="F1804" t="s">
        <v>23</v>
      </c>
      <c r="G1804">
        <v>88266</v>
      </c>
      <c r="H1804">
        <v>2235</v>
      </c>
      <c r="I1804">
        <v>1460.69</v>
      </c>
      <c r="J1804">
        <v>417</v>
      </c>
      <c r="K1804" t="s">
        <v>30</v>
      </c>
    </row>
    <row r="1805" spans="1:11" x14ac:dyDescent="0.2">
      <c r="A1805" t="s">
        <v>3716</v>
      </c>
      <c r="B1805" t="s">
        <v>3717</v>
      </c>
      <c r="C1805" s="2">
        <v>45244</v>
      </c>
      <c r="D1805" s="2">
        <v>45272</v>
      </c>
      <c r="E1805">
        <f t="shared" si="28"/>
        <v>28</v>
      </c>
      <c r="F1805" t="s">
        <v>19</v>
      </c>
      <c r="G1805">
        <v>22427</v>
      </c>
      <c r="H1805">
        <v>666</v>
      </c>
      <c r="I1805" s="3">
        <v>1084.02</v>
      </c>
      <c r="J1805">
        <v>88</v>
      </c>
      <c r="K1805" t="b">
        <v>1</v>
      </c>
    </row>
    <row r="1806" spans="1:11" x14ac:dyDescent="0.2">
      <c r="A1806" t="s">
        <v>3718</v>
      </c>
      <c r="B1806" t="s">
        <v>3719</v>
      </c>
      <c r="C1806" s="2">
        <v>45074</v>
      </c>
      <c r="D1806" s="2">
        <v>45102</v>
      </c>
      <c r="E1806">
        <f t="shared" si="28"/>
        <v>28</v>
      </c>
      <c r="F1806" t="s">
        <v>23</v>
      </c>
      <c r="G1806">
        <v>28083</v>
      </c>
      <c r="H1806">
        <v>599</v>
      </c>
      <c r="I1806">
        <v>1113.75</v>
      </c>
      <c r="J1806">
        <v>77</v>
      </c>
      <c r="K1806" t="b">
        <v>1</v>
      </c>
    </row>
    <row r="1807" spans="1:11" x14ac:dyDescent="0.2">
      <c r="A1807" t="s">
        <v>3721</v>
      </c>
      <c r="B1807" t="s">
        <v>3722</v>
      </c>
      <c r="C1807" s="2">
        <v>45282</v>
      </c>
      <c r="D1807" s="2">
        <v>45298</v>
      </c>
      <c r="E1807">
        <f t="shared" si="28"/>
        <v>16</v>
      </c>
      <c r="F1807" t="s">
        <v>19</v>
      </c>
      <c r="G1807">
        <v>88046</v>
      </c>
      <c r="H1807">
        <v>3651</v>
      </c>
      <c r="I1807">
        <v>5896.92</v>
      </c>
      <c r="K1807" t="b">
        <v>1</v>
      </c>
    </row>
    <row r="1808" spans="1:11" x14ac:dyDescent="0.2">
      <c r="A1808" t="s">
        <v>3723</v>
      </c>
      <c r="B1808" t="s">
        <v>3724</v>
      </c>
      <c r="C1808" s="2">
        <v>45168</v>
      </c>
      <c r="D1808" s="2">
        <v>45171</v>
      </c>
      <c r="E1808">
        <f t="shared" si="28"/>
        <v>3</v>
      </c>
      <c r="F1808" t="s">
        <v>138</v>
      </c>
      <c r="G1808">
        <v>58372</v>
      </c>
      <c r="H1808">
        <v>1511</v>
      </c>
      <c r="I1808">
        <v>1963.15</v>
      </c>
      <c r="J1808">
        <v>76</v>
      </c>
      <c r="K1808" t="s">
        <v>15</v>
      </c>
    </row>
    <row r="1809" spans="1:11" x14ac:dyDescent="0.2">
      <c r="A1809" t="s">
        <v>3726</v>
      </c>
      <c r="B1809" t="s">
        <v>3727</v>
      </c>
      <c r="C1809" s="2">
        <v>45034</v>
      </c>
      <c r="D1809" s="2">
        <v>45046</v>
      </c>
      <c r="E1809">
        <f t="shared" si="28"/>
        <v>12</v>
      </c>
      <c r="F1809" t="s">
        <v>41</v>
      </c>
      <c r="G1809">
        <v>45064</v>
      </c>
      <c r="H1809">
        <v>1376</v>
      </c>
      <c r="I1809">
        <v>2464.42</v>
      </c>
      <c r="J1809">
        <v>258</v>
      </c>
      <c r="K1809">
        <v>0</v>
      </c>
    </row>
    <row r="1810" spans="1:11" x14ac:dyDescent="0.2">
      <c r="A1810" t="s">
        <v>3728</v>
      </c>
      <c r="B1810" t="s">
        <v>3729</v>
      </c>
      <c r="C1810" s="2">
        <v>45206</v>
      </c>
      <c r="D1810" s="2">
        <v>45217</v>
      </c>
      <c r="E1810">
        <f t="shared" si="28"/>
        <v>11</v>
      </c>
      <c r="F1810" t="s">
        <v>19</v>
      </c>
      <c r="G1810">
        <v>8813</v>
      </c>
      <c r="H1810">
        <v>177</v>
      </c>
      <c r="I1810">
        <v>273</v>
      </c>
      <c r="J1810">
        <v>14</v>
      </c>
      <c r="K1810">
        <v>1</v>
      </c>
    </row>
    <row r="1811" spans="1:11" x14ac:dyDescent="0.2">
      <c r="A1811" t="s">
        <v>3730</v>
      </c>
      <c r="B1811" t="s">
        <v>3731</v>
      </c>
      <c r="C1811" s="2">
        <v>45174</v>
      </c>
      <c r="D1811" s="2">
        <v>45181</v>
      </c>
      <c r="E1811">
        <f t="shared" si="28"/>
        <v>7</v>
      </c>
      <c r="F1811" t="s">
        <v>33</v>
      </c>
      <c r="G1811">
        <v>32598</v>
      </c>
      <c r="H1811">
        <v>1613</v>
      </c>
      <c r="I1811">
        <v>832.03</v>
      </c>
      <c r="J1811">
        <v>318</v>
      </c>
      <c r="K1811">
        <v>1</v>
      </c>
    </row>
    <row r="1812" spans="1:11" x14ac:dyDescent="0.2">
      <c r="A1812" t="s">
        <v>3732</v>
      </c>
      <c r="B1812" t="s">
        <v>3733</v>
      </c>
      <c r="C1812" s="2">
        <v>45282</v>
      </c>
      <c r="D1812" s="2">
        <v>45292</v>
      </c>
      <c r="E1812">
        <f t="shared" si="28"/>
        <v>10</v>
      </c>
      <c r="F1812" t="s">
        <v>19</v>
      </c>
      <c r="G1812">
        <v>94106</v>
      </c>
      <c r="H1812">
        <v>2038</v>
      </c>
      <c r="I1812">
        <v>2223.73</v>
      </c>
      <c r="J1812">
        <v>326</v>
      </c>
      <c r="K1812" t="s">
        <v>15</v>
      </c>
    </row>
    <row r="1813" spans="1:11" x14ac:dyDescent="0.2">
      <c r="A1813" t="s">
        <v>3734</v>
      </c>
      <c r="B1813" t="s">
        <v>3735</v>
      </c>
      <c r="C1813" s="2">
        <v>45225</v>
      </c>
      <c r="D1813" s="2">
        <v>45255</v>
      </c>
      <c r="E1813">
        <f t="shared" si="28"/>
        <v>30</v>
      </c>
      <c r="F1813" t="s">
        <v>14</v>
      </c>
      <c r="G1813">
        <v>28082</v>
      </c>
      <c r="H1813">
        <v>1146</v>
      </c>
      <c r="I1813">
        <v>2035.79</v>
      </c>
      <c r="J1813">
        <v>190</v>
      </c>
      <c r="K1813" t="b">
        <v>0</v>
      </c>
    </row>
    <row r="1814" spans="1:11" x14ac:dyDescent="0.2">
      <c r="A1814" t="s">
        <v>3736</v>
      </c>
      <c r="B1814" t="s">
        <v>3737</v>
      </c>
      <c r="C1814" s="2">
        <v>45057</v>
      </c>
      <c r="D1814" s="2">
        <v>45074</v>
      </c>
      <c r="E1814">
        <f t="shared" si="28"/>
        <v>17</v>
      </c>
      <c r="F1814" t="s">
        <v>23</v>
      </c>
      <c r="G1814">
        <v>30241</v>
      </c>
      <c r="H1814">
        <v>819</v>
      </c>
      <c r="I1814">
        <v>834.39</v>
      </c>
      <c r="J1814">
        <v>121</v>
      </c>
      <c r="K1814" t="s">
        <v>15</v>
      </c>
    </row>
    <row r="1815" spans="1:11" x14ac:dyDescent="0.2">
      <c r="A1815" t="s">
        <v>3738</v>
      </c>
      <c r="B1815" t="s">
        <v>3739</v>
      </c>
      <c r="C1815" s="2">
        <v>45283</v>
      </c>
      <c r="D1815" s="2">
        <v>45289</v>
      </c>
      <c r="E1815">
        <f t="shared" si="28"/>
        <v>6</v>
      </c>
      <c r="F1815" t="s">
        <v>33</v>
      </c>
      <c r="G1815">
        <v>97214</v>
      </c>
      <c r="H1815">
        <v>1774</v>
      </c>
      <c r="I1815">
        <v>980.71</v>
      </c>
      <c r="J1815">
        <v>214</v>
      </c>
      <c r="K1815">
        <v>0</v>
      </c>
    </row>
    <row r="1816" spans="1:11" x14ac:dyDescent="0.2">
      <c r="A1816" t="s">
        <v>3740</v>
      </c>
      <c r="B1816" t="s">
        <v>3741</v>
      </c>
      <c r="C1816" s="2">
        <v>44970</v>
      </c>
      <c r="D1816" s="2">
        <v>45262</v>
      </c>
      <c r="E1816">
        <f t="shared" si="28"/>
        <v>292</v>
      </c>
      <c r="F1816" t="s">
        <v>234</v>
      </c>
      <c r="G1816">
        <v>45569</v>
      </c>
      <c r="H1816">
        <v>1913</v>
      </c>
      <c r="I1816">
        <v>3097.66</v>
      </c>
      <c r="J1816">
        <v>259</v>
      </c>
      <c r="K1816" t="b">
        <v>1</v>
      </c>
    </row>
    <row r="1817" spans="1:11" x14ac:dyDescent="0.2">
      <c r="A1817" t="s">
        <v>3742</v>
      </c>
      <c r="B1817" t="s">
        <v>3743</v>
      </c>
      <c r="C1817" s="2">
        <v>45265</v>
      </c>
      <c r="D1817" s="2">
        <v>45269</v>
      </c>
      <c r="E1817">
        <f t="shared" si="28"/>
        <v>4</v>
      </c>
      <c r="F1817" t="s">
        <v>41</v>
      </c>
      <c r="G1817">
        <v>12745</v>
      </c>
      <c r="H1817">
        <v>297</v>
      </c>
      <c r="I1817" s="3">
        <v>505.81</v>
      </c>
      <c r="J1817">
        <v>16</v>
      </c>
      <c r="K1817" t="s">
        <v>15</v>
      </c>
    </row>
    <row r="1818" spans="1:11" x14ac:dyDescent="0.2">
      <c r="A1818" t="s">
        <v>3744</v>
      </c>
      <c r="B1818" t="s">
        <v>3745</v>
      </c>
      <c r="C1818" s="2">
        <v>45264</v>
      </c>
      <c r="D1818" s="2">
        <v>45269</v>
      </c>
      <c r="E1818">
        <f t="shared" si="28"/>
        <v>5</v>
      </c>
      <c r="F1818" t="s">
        <v>14</v>
      </c>
      <c r="G1818">
        <v>27029</v>
      </c>
      <c r="H1818">
        <v>1205</v>
      </c>
      <c r="I1818">
        <v>892.77</v>
      </c>
      <c r="J1818">
        <v>173</v>
      </c>
      <c r="K1818" t="b">
        <v>1</v>
      </c>
    </row>
    <row r="1819" spans="1:11" x14ac:dyDescent="0.2">
      <c r="A1819" t="s">
        <v>3746</v>
      </c>
      <c r="B1819" t="s">
        <v>3747</v>
      </c>
      <c r="C1819" s="2">
        <v>45076</v>
      </c>
      <c r="D1819" s="2">
        <v>45100</v>
      </c>
      <c r="E1819">
        <f t="shared" si="28"/>
        <v>24</v>
      </c>
      <c r="F1819" t="s">
        <v>41</v>
      </c>
      <c r="G1819">
        <v>14025</v>
      </c>
      <c r="H1819">
        <v>653</v>
      </c>
      <c r="I1819">
        <v>852.83</v>
      </c>
      <c r="J1819">
        <v>93</v>
      </c>
      <c r="K1819">
        <v>0</v>
      </c>
    </row>
    <row r="1820" spans="1:11" x14ac:dyDescent="0.2">
      <c r="A1820" t="s">
        <v>3748</v>
      </c>
      <c r="B1820" t="s">
        <v>3749</v>
      </c>
      <c r="C1820" s="2">
        <v>45045</v>
      </c>
      <c r="D1820" s="2">
        <v>45068</v>
      </c>
      <c r="E1820">
        <f t="shared" si="28"/>
        <v>23</v>
      </c>
      <c r="F1820" t="s">
        <v>33</v>
      </c>
      <c r="G1820">
        <v>15288</v>
      </c>
      <c r="H1820">
        <v>678</v>
      </c>
      <c r="I1820">
        <v>534.22</v>
      </c>
      <c r="J1820">
        <v>124</v>
      </c>
      <c r="K1820" t="s">
        <v>24</v>
      </c>
    </row>
    <row r="1821" spans="1:11" x14ac:dyDescent="0.2">
      <c r="A1821" t="s">
        <v>3750</v>
      </c>
      <c r="B1821" t="s">
        <v>3751</v>
      </c>
      <c r="C1821" s="2">
        <v>45290</v>
      </c>
      <c r="D1821" s="2">
        <v>45308</v>
      </c>
      <c r="E1821">
        <f t="shared" si="28"/>
        <v>18</v>
      </c>
      <c r="F1821" t="s">
        <v>41</v>
      </c>
      <c r="G1821">
        <v>90186</v>
      </c>
      <c r="H1821">
        <v>1028</v>
      </c>
      <c r="I1821">
        <v>1623.06</v>
      </c>
      <c r="J1821">
        <v>129</v>
      </c>
      <c r="K1821">
        <v>0</v>
      </c>
    </row>
    <row r="1822" spans="1:11" x14ac:dyDescent="0.2">
      <c r="A1822" t="s">
        <v>3753</v>
      </c>
      <c r="B1822" t="s">
        <v>3754</v>
      </c>
      <c r="C1822" s="2">
        <v>45088</v>
      </c>
      <c r="D1822" s="2">
        <v>45097</v>
      </c>
      <c r="E1822">
        <f t="shared" si="28"/>
        <v>9</v>
      </c>
      <c r="F1822" t="s">
        <v>14</v>
      </c>
      <c r="G1822">
        <v>7540</v>
      </c>
      <c r="H1822">
        <v>312</v>
      </c>
      <c r="I1822">
        <v>283.08999999999997</v>
      </c>
      <c r="K1822" t="s">
        <v>30</v>
      </c>
    </row>
    <row r="1823" spans="1:11" x14ac:dyDescent="0.2">
      <c r="A1823" t="s">
        <v>3755</v>
      </c>
      <c r="B1823" t="s">
        <v>3756</v>
      </c>
      <c r="C1823" s="2">
        <v>44972</v>
      </c>
      <c r="D1823" s="2">
        <v>44974</v>
      </c>
      <c r="E1823">
        <f t="shared" si="28"/>
        <v>2</v>
      </c>
      <c r="F1823" t="s">
        <v>14</v>
      </c>
      <c r="G1823">
        <v>98768</v>
      </c>
      <c r="H1823">
        <v>2612</v>
      </c>
      <c r="I1823">
        <v>2544.9299999999998</v>
      </c>
      <c r="J1823">
        <v>250</v>
      </c>
      <c r="K1823" t="b">
        <v>1</v>
      </c>
    </row>
    <row r="1824" spans="1:11" x14ac:dyDescent="0.2">
      <c r="A1824" t="s">
        <v>3757</v>
      </c>
      <c r="B1824" t="s">
        <v>3758</v>
      </c>
      <c r="C1824" s="2">
        <v>45161</v>
      </c>
      <c r="D1824" s="2">
        <v>45162</v>
      </c>
      <c r="E1824">
        <f t="shared" si="28"/>
        <v>1</v>
      </c>
      <c r="F1824" t="s">
        <v>41</v>
      </c>
      <c r="G1824">
        <v>82958</v>
      </c>
      <c r="H1824">
        <v>3728</v>
      </c>
      <c r="I1824" s="3">
        <v>6589.08</v>
      </c>
      <c r="J1824">
        <v>553</v>
      </c>
      <c r="K1824">
        <v>1</v>
      </c>
    </row>
    <row r="1825" spans="1:11" x14ac:dyDescent="0.2">
      <c r="A1825" t="s">
        <v>3759</v>
      </c>
      <c r="B1825" t="s">
        <v>3760</v>
      </c>
      <c r="C1825" s="2">
        <v>44947</v>
      </c>
      <c r="D1825" s="2">
        <v>44964</v>
      </c>
      <c r="E1825">
        <f t="shared" si="28"/>
        <v>17</v>
      </c>
      <c r="F1825" t="s">
        <v>19</v>
      </c>
      <c r="G1825">
        <v>69878</v>
      </c>
      <c r="H1825">
        <v>2481</v>
      </c>
      <c r="I1825">
        <v>3013.13</v>
      </c>
      <c r="J1825">
        <v>213</v>
      </c>
      <c r="K1825" t="s">
        <v>15</v>
      </c>
    </row>
    <row r="1826" spans="1:11" x14ac:dyDescent="0.2">
      <c r="A1826" t="s">
        <v>3761</v>
      </c>
      <c r="B1826" t="s">
        <v>3762</v>
      </c>
      <c r="C1826" s="2">
        <v>45097</v>
      </c>
      <c r="D1826" s="2">
        <v>45104</v>
      </c>
      <c r="E1826">
        <f t="shared" si="28"/>
        <v>7</v>
      </c>
      <c r="F1826" t="s">
        <v>33</v>
      </c>
      <c r="G1826">
        <v>42846</v>
      </c>
      <c r="H1826">
        <v>1857</v>
      </c>
      <c r="I1826">
        <v>2794.1</v>
      </c>
      <c r="J1826">
        <v>170</v>
      </c>
      <c r="K1826" t="s">
        <v>24</v>
      </c>
    </row>
    <row r="1827" spans="1:11" x14ac:dyDescent="0.2">
      <c r="A1827" t="s">
        <v>3763</v>
      </c>
      <c r="B1827" t="s">
        <v>3764</v>
      </c>
      <c r="C1827" s="2">
        <v>44936</v>
      </c>
      <c r="D1827" s="2">
        <v>44957</v>
      </c>
      <c r="E1827">
        <f t="shared" si="28"/>
        <v>21</v>
      </c>
      <c r="F1827" t="s">
        <v>191</v>
      </c>
      <c r="G1827">
        <v>76932</v>
      </c>
      <c r="H1827">
        <v>2306</v>
      </c>
      <c r="I1827">
        <v>2544.81</v>
      </c>
      <c r="J1827">
        <v>399</v>
      </c>
      <c r="K1827">
        <v>0</v>
      </c>
    </row>
    <row r="1828" spans="1:11" x14ac:dyDescent="0.2">
      <c r="A1828" t="s">
        <v>3765</v>
      </c>
      <c r="B1828" t="s">
        <v>3766</v>
      </c>
      <c r="C1828" s="2">
        <v>45247</v>
      </c>
      <c r="D1828" s="2">
        <v>45264</v>
      </c>
      <c r="E1828">
        <f t="shared" si="28"/>
        <v>17</v>
      </c>
      <c r="F1828" t="s">
        <v>14</v>
      </c>
      <c r="G1828">
        <v>18482</v>
      </c>
      <c r="H1828">
        <v>580</v>
      </c>
      <c r="I1828" s="3">
        <v>549.27</v>
      </c>
      <c r="J1828">
        <v>79</v>
      </c>
      <c r="K1828" t="b">
        <v>1</v>
      </c>
    </row>
    <row r="1829" spans="1:11" x14ac:dyDescent="0.2">
      <c r="A1829" t="s">
        <v>3767</v>
      </c>
      <c r="B1829" t="s">
        <v>3768</v>
      </c>
      <c r="C1829" s="2">
        <v>45183</v>
      </c>
      <c r="D1829" s="2">
        <v>45195</v>
      </c>
      <c r="E1829">
        <f t="shared" si="28"/>
        <v>12</v>
      </c>
      <c r="F1829" t="s">
        <v>41</v>
      </c>
      <c r="G1829">
        <v>24411</v>
      </c>
      <c r="H1829">
        <v>385</v>
      </c>
      <c r="I1829">
        <v>553.71</v>
      </c>
      <c r="J1829">
        <v>48</v>
      </c>
      <c r="K1829" t="s">
        <v>24</v>
      </c>
    </row>
    <row r="1830" spans="1:11" x14ac:dyDescent="0.2">
      <c r="A1830" t="s">
        <v>3769</v>
      </c>
      <c r="B1830" t="s">
        <v>3770</v>
      </c>
      <c r="C1830" s="2">
        <v>45058</v>
      </c>
      <c r="D1830" s="2">
        <v>45059</v>
      </c>
      <c r="E1830">
        <f t="shared" si="28"/>
        <v>1</v>
      </c>
      <c r="F1830" t="s">
        <v>33</v>
      </c>
      <c r="G1830">
        <v>51975</v>
      </c>
      <c r="H1830">
        <v>2149</v>
      </c>
      <c r="I1830">
        <v>1573.68</v>
      </c>
      <c r="J1830">
        <v>210</v>
      </c>
      <c r="K1830" t="b">
        <v>0</v>
      </c>
    </row>
    <row r="1831" spans="1:11" x14ac:dyDescent="0.2">
      <c r="A1831" t="s">
        <v>3771</v>
      </c>
      <c r="B1831" t="s">
        <v>3772</v>
      </c>
      <c r="C1831" s="2">
        <v>44942</v>
      </c>
      <c r="D1831" s="2">
        <v>44957</v>
      </c>
      <c r="E1831">
        <f t="shared" si="28"/>
        <v>15</v>
      </c>
      <c r="F1831" t="s">
        <v>14</v>
      </c>
      <c r="G1831">
        <v>61545</v>
      </c>
      <c r="H1831">
        <v>1647</v>
      </c>
      <c r="I1831">
        <v>1745</v>
      </c>
      <c r="J1831">
        <v>262</v>
      </c>
      <c r="K1831" t="s">
        <v>30</v>
      </c>
    </row>
    <row r="1832" spans="1:11" x14ac:dyDescent="0.2">
      <c r="A1832" t="s">
        <v>3773</v>
      </c>
      <c r="B1832" t="s">
        <v>3774</v>
      </c>
      <c r="C1832" s="2">
        <v>45042</v>
      </c>
      <c r="D1832" s="2">
        <v>45055</v>
      </c>
      <c r="E1832">
        <f t="shared" si="28"/>
        <v>13</v>
      </c>
      <c r="F1832" t="s">
        <v>41</v>
      </c>
      <c r="G1832">
        <v>79797</v>
      </c>
      <c r="H1832">
        <v>2394</v>
      </c>
      <c r="I1832">
        <v>1947.65</v>
      </c>
      <c r="K1832" t="b">
        <v>0</v>
      </c>
    </row>
    <row r="1833" spans="1:11" x14ac:dyDescent="0.2">
      <c r="A1833" t="s">
        <v>3775</v>
      </c>
      <c r="B1833" t="s">
        <v>3776</v>
      </c>
      <c r="C1833" s="2">
        <v>45263</v>
      </c>
      <c r="D1833" s="2">
        <v>45274</v>
      </c>
      <c r="E1833">
        <f t="shared" si="28"/>
        <v>11</v>
      </c>
      <c r="F1833" t="s">
        <v>14</v>
      </c>
      <c r="G1833">
        <v>53307</v>
      </c>
      <c r="H1833">
        <v>2207</v>
      </c>
      <c r="I1833">
        <v>3406.93</v>
      </c>
      <c r="J1833">
        <v>354</v>
      </c>
      <c r="K1833">
        <v>0</v>
      </c>
    </row>
    <row r="1834" spans="1:11" x14ac:dyDescent="0.2">
      <c r="A1834" t="s">
        <v>3777</v>
      </c>
      <c r="B1834" t="s">
        <v>3778</v>
      </c>
      <c r="C1834" s="2">
        <v>45193</v>
      </c>
      <c r="D1834" s="2">
        <v>45219</v>
      </c>
      <c r="E1834">
        <f t="shared" si="28"/>
        <v>26</v>
      </c>
      <c r="F1834" t="s">
        <v>33</v>
      </c>
      <c r="G1834">
        <v>4093</v>
      </c>
      <c r="H1834">
        <v>138</v>
      </c>
      <c r="I1834">
        <v>264.45</v>
      </c>
      <c r="J1834">
        <v>8</v>
      </c>
      <c r="K1834" t="b">
        <v>0</v>
      </c>
    </row>
    <row r="1835" spans="1:11" x14ac:dyDescent="0.2">
      <c r="A1835" t="s">
        <v>3779</v>
      </c>
      <c r="B1835" t="s">
        <v>3780</v>
      </c>
      <c r="C1835" s="2">
        <v>45247</v>
      </c>
      <c r="D1835" s="2">
        <v>45267</v>
      </c>
      <c r="E1835">
        <f t="shared" si="28"/>
        <v>20</v>
      </c>
      <c r="F1835" t="s">
        <v>14</v>
      </c>
      <c r="G1835">
        <v>78258</v>
      </c>
      <c r="H1835">
        <v>1412</v>
      </c>
      <c r="I1835" s="3">
        <v>2814.49</v>
      </c>
      <c r="J1835">
        <v>253</v>
      </c>
      <c r="K1835" t="b">
        <v>0</v>
      </c>
    </row>
    <row r="1836" spans="1:11" x14ac:dyDescent="0.2">
      <c r="A1836" t="s">
        <v>3781</v>
      </c>
      <c r="B1836" t="s">
        <v>3782</v>
      </c>
      <c r="C1836" s="2">
        <v>45220</v>
      </c>
      <c r="D1836" s="2">
        <v>45235</v>
      </c>
      <c r="E1836">
        <f t="shared" si="28"/>
        <v>15</v>
      </c>
      <c r="F1836" t="s">
        <v>14</v>
      </c>
      <c r="G1836">
        <v>23042</v>
      </c>
      <c r="H1836">
        <v>774</v>
      </c>
      <c r="I1836">
        <v>909.77</v>
      </c>
      <c r="K1836" t="s">
        <v>30</v>
      </c>
    </row>
    <row r="1837" spans="1:11" x14ac:dyDescent="0.2">
      <c r="A1837" t="s">
        <v>3783</v>
      </c>
      <c r="B1837" t="s">
        <v>3784</v>
      </c>
      <c r="C1837" s="2">
        <v>45236</v>
      </c>
      <c r="D1837" s="2">
        <v>45248</v>
      </c>
      <c r="E1837">
        <f t="shared" si="28"/>
        <v>12</v>
      </c>
      <c r="F1837" t="s">
        <v>19</v>
      </c>
      <c r="G1837">
        <v>53930</v>
      </c>
      <c r="H1837">
        <v>1418</v>
      </c>
      <c r="I1837" s="3">
        <v>1246.1300000000001</v>
      </c>
      <c r="J1837">
        <v>164</v>
      </c>
      <c r="K1837" t="s">
        <v>30</v>
      </c>
    </row>
    <row r="1838" spans="1:11" x14ac:dyDescent="0.2">
      <c r="A1838" t="s">
        <v>3785</v>
      </c>
      <c r="B1838" t="s">
        <v>3786</v>
      </c>
      <c r="C1838" s="2">
        <v>45032</v>
      </c>
      <c r="D1838" s="2">
        <v>45052</v>
      </c>
      <c r="E1838">
        <f t="shared" si="28"/>
        <v>20</v>
      </c>
      <c r="F1838" t="s">
        <v>33</v>
      </c>
      <c r="G1838">
        <v>45413</v>
      </c>
      <c r="H1838">
        <v>1307</v>
      </c>
      <c r="I1838">
        <v>1521.67</v>
      </c>
      <c r="J1838">
        <v>185</v>
      </c>
      <c r="K1838" t="s">
        <v>30</v>
      </c>
    </row>
    <row r="1839" spans="1:11" x14ac:dyDescent="0.2">
      <c r="A1839" t="s">
        <v>3787</v>
      </c>
      <c r="B1839" t="s">
        <v>3788</v>
      </c>
      <c r="C1839" s="2">
        <v>45277</v>
      </c>
      <c r="D1839" s="2">
        <v>45288</v>
      </c>
      <c r="E1839">
        <f t="shared" si="28"/>
        <v>11</v>
      </c>
      <c r="F1839" t="s">
        <v>58</v>
      </c>
      <c r="G1839">
        <v>94623</v>
      </c>
      <c r="H1839">
        <v>1053</v>
      </c>
      <c r="I1839">
        <v>1864.76</v>
      </c>
      <c r="J1839">
        <v>151</v>
      </c>
      <c r="K1839" t="s">
        <v>24</v>
      </c>
    </row>
    <row r="1840" spans="1:11" x14ac:dyDescent="0.2">
      <c r="A1840" t="s">
        <v>3789</v>
      </c>
      <c r="B1840" t="s">
        <v>3790</v>
      </c>
      <c r="C1840" s="2">
        <v>45085</v>
      </c>
      <c r="D1840" s="2">
        <v>45095</v>
      </c>
      <c r="E1840">
        <f t="shared" si="28"/>
        <v>10</v>
      </c>
      <c r="F1840" t="s">
        <v>33</v>
      </c>
      <c r="G1840">
        <v>98883</v>
      </c>
      <c r="H1840">
        <v>1819</v>
      </c>
      <c r="I1840">
        <v>1471.59</v>
      </c>
      <c r="J1840">
        <v>126</v>
      </c>
      <c r="K1840" t="s">
        <v>30</v>
      </c>
    </row>
    <row r="1841" spans="1:11" x14ac:dyDescent="0.2">
      <c r="A1841" t="s">
        <v>3791</v>
      </c>
      <c r="B1841" t="s">
        <v>3792</v>
      </c>
      <c r="C1841" s="2">
        <v>44996</v>
      </c>
      <c r="D1841" s="2">
        <v>45008</v>
      </c>
      <c r="E1841">
        <f t="shared" si="28"/>
        <v>12</v>
      </c>
      <c r="F1841" t="s">
        <v>41</v>
      </c>
      <c r="G1841">
        <v>34756</v>
      </c>
      <c r="H1841">
        <v>738</v>
      </c>
      <c r="I1841">
        <v>1422.97</v>
      </c>
      <c r="J1841">
        <v>120</v>
      </c>
      <c r="K1841" t="b">
        <v>0</v>
      </c>
    </row>
    <row r="1842" spans="1:11" x14ac:dyDescent="0.2">
      <c r="A1842" t="s">
        <v>3793</v>
      </c>
      <c r="B1842" t="s">
        <v>3794</v>
      </c>
      <c r="C1842" s="2">
        <v>45001</v>
      </c>
      <c r="D1842" s="2">
        <v>45003</v>
      </c>
      <c r="E1842">
        <f t="shared" si="28"/>
        <v>2</v>
      </c>
      <c r="F1842" t="s">
        <v>138</v>
      </c>
      <c r="G1842">
        <v>54268</v>
      </c>
      <c r="H1842">
        <v>2090</v>
      </c>
      <c r="I1842">
        <v>2116.75</v>
      </c>
      <c r="J1842">
        <v>191</v>
      </c>
      <c r="K1842">
        <v>1</v>
      </c>
    </row>
    <row r="1843" spans="1:11" x14ac:dyDescent="0.2">
      <c r="A1843" t="s">
        <v>3795</v>
      </c>
      <c r="B1843" t="s">
        <v>3796</v>
      </c>
      <c r="C1843" s="2">
        <v>45007</v>
      </c>
      <c r="D1843" s="2">
        <v>45033</v>
      </c>
      <c r="E1843">
        <f t="shared" si="28"/>
        <v>26</v>
      </c>
      <c r="F1843" t="s">
        <v>14</v>
      </c>
      <c r="G1843">
        <v>40214</v>
      </c>
      <c r="H1843">
        <v>420</v>
      </c>
      <c r="I1843">
        <v>831.06</v>
      </c>
      <c r="J1843">
        <v>78</v>
      </c>
      <c r="K1843">
        <v>1</v>
      </c>
    </row>
    <row r="1844" spans="1:11" x14ac:dyDescent="0.2">
      <c r="A1844" t="s">
        <v>3797</v>
      </c>
      <c r="B1844" t="s">
        <v>3798</v>
      </c>
      <c r="C1844" s="2">
        <v>44987</v>
      </c>
      <c r="D1844" s="2">
        <v>45004</v>
      </c>
      <c r="E1844">
        <f t="shared" si="28"/>
        <v>17</v>
      </c>
      <c r="F1844" t="s">
        <v>41</v>
      </c>
      <c r="G1844">
        <v>82871</v>
      </c>
      <c r="H1844">
        <v>2183</v>
      </c>
      <c r="I1844">
        <v>3837.52</v>
      </c>
      <c r="J1844">
        <v>376</v>
      </c>
      <c r="K1844" t="s">
        <v>30</v>
      </c>
    </row>
    <row r="1845" spans="1:11" x14ac:dyDescent="0.2">
      <c r="A1845" t="s">
        <v>3799</v>
      </c>
      <c r="B1845" t="s">
        <v>3800</v>
      </c>
      <c r="C1845" s="2">
        <v>45001</v>
      </c>
      <c r="D1845" s="2">
        <v>45020</v>
      </c>
      <c r="E1845">
        <f t="shared" si="28"/>
        <v>19</v>
      </c>
      <c r="F1845" t="s">
        <v>14</v>
      </c>
      <c r="G1845">
        <v>29602</v>
      </c>
      <c r="H1845">
        <v>1390</v>
      </c>
      <c r="I1845">
        <v>2380.87</v>
      </c>
      <c r="J1845">
        <v>141</v>
      </c>
      <c r="K1845" t="s">
        <v>24</v>
      </c>
    </row>
    <row r="1846" spans="1:11" x14ac:dyDescent="0.2">
      <c r="A1846" t="s">
        <v>3801</v>
      </c>
      <c r="B1846" t="s">
        <v>3802</v>
      </c>
      <c r="C1846" s="2">
        <v>45138</v>
      </c>
      <c r="D1846" s="2">
        <v>45142</v>
      </c>
      <c r="E1846">
        <f t="shared" si="28"/>
        <v>4</v>
      </c>
      <c r="F1846" t="s">
        <v>33</v>
      </c>
      <c r="G1846">
        <v>54331</v>
      </c>
      <c r="H1846">
        <v>786</v>
      </c>
      <c r="I1846">
        <v>767.81</v>
      </c>
      <c r="J1846">
        <v>134</v>
      </c>
      <c r="K1846" t="s">
        <v>15</v>
      </c>
    </row>
    <row r="1847" spans="1:11" x14ac:dyDescent="0.2">
      <c r="A1847" t="s">
        <v>3803</v>
      </c>
      <c r="B1847" t="s">
        <v>3804</v>
      </c>
      <c r="C1847" s="2">
        <v>45253</v>
      </c>
      <c r="D1847" s="2">
        <v>45282</v>
      </c>
      <c r="E1847">
        <f t="shared" si="28"/>
        <v>29</v>
      </c>
      <c r="F1847" t="s">
        <v>33</v>
      </c>
      <c r="G1847">
        <v>49901</v>
      </c>
      <c r="H1847">
        <v>1529</v>
      </c>
      <c r="I1847">
        <v>784.63</v>
      </c>
      <c r="J1847">
        <v>158</v>
      </c>
      <c r="K1847" t="b">
        <v>1</v>
      </c>
    </row>
    <row r="1848" spans="1:11" x14ac:dyDescent="0.2">
      <c r="A1848" t="s">
        <v>3805</v>
      </c>
      <c r="B1848" t="s">
        <v>3806</v>
      </c>
      <c r="C1848" s="2">
        <v>45023</v>
      </c>
      <c r="D1848" s="2">
        <v>45038</v>
      </c>
      <c r="E1848">
        <f t="shared" si="28"/>
        <v>15</v>
      </c>
      <c r="F1848" t="s">
        <v>19</v>
      </c>
      <c r="G1848">
        <v>64416</v>
      </c>
      <c r="H1848">
        <v>2670</v>
      </c>
      <c r="I1848">
        <v>2865.44</v>
      </c>
      <c r="J1848">
        <v>173</v>
      </c>
      <c r="K1848">
        <v>0</v>
      </c>
    </row>
    <row r="1849" spans="1:11" x14ac:dyDescent="0.2">
      <c r="A1849" t="s">
        <v>3807</v>
      </c>
      <c r="B1849" t="s">
        <v>3808</v>
      </c>
      <c r="C1849" s="2">
        <v>45240</v>
      </c>
      <c r="D1849" s="2">
        <v>45265</v>
      </c>
      <c r="E1849">
        <f t="shared" si="28"/>
        <v>25</v>
      </c>
      <c r="F1849" t="s">
        <v>33</v>
      </c>
      <c r="G1849">
        <v>33196</v>
      </c>
      <c r="H1849">
        <v>1583</v>
      </c>
      <c r="I1849">
        <v>1508.15</v>
      </c>
      <c r="K1849" t="s">
        <v>24</v>
      </c>
    </row>
    <row r="1850" spans="1:11" x14ac:dyDescent="0.2">
      <c r="A1850" t="s">
        <v>3809</v>
      </c>
      <c r="B1850" t="s">
        <v>3810</v>
      </c>
      <c r="C1850" s="2">
        <v>45240</v>
      </c>
      <c r="D1850" s="2">
        <v>45256</v>
      </c>
      <c r="E1850">
        <f t="shared" si="28"/>
        <v>16</v>
      </c>
      <c r="F1850" t="s">
        <v>14</v>
      </c>
      <c r="G1850">
        <v>6626</v>
      </c>
      <c r="H1850">
        <v>264</v>
      </c>
      <c r="I1850">
        <v>146.81</v>
      </c>
      <c r="J1850">
        <v>39</v>
      </c>
      <c r="K1850" t="s">
        <v>15</v>
      </c>
    </row>
    <row r="1851" spans="1:11" x14ac:dyDescent="0.2">
      <c r="A1851" t="s">
        <v>3811</v>
      </c>
      <c r="B1851" t="s">
        <v>3812</v>
      </c>
      <c r="C1851" s="2">
        <v>45278</v>
      </c>
      <c r="D1851" s="2">
        <v>45292</v>
      </c>
      <c r="E1851">
        <f t="shared" si="28"/>
        <v>14</v>
      </c>
      <c r="F1851" t="s">
        <v>19</v>
      </c>
      <c r="G1851">
        <v>8424</v>
      </c>
      <c r="H1851">
        <v>327</v>
      </c>
      <c r="I1851">
        <v>411.38</v>
      </c>
      <c r="J1851">
        <v>38</v>
      </c>
      <c r="K1851">
        <v>0</v>
      </c>
    </row>
    <row r="1852" spans="1:11" x14ac:dyDescent="0.2">
      <c r="A1852" t="s">
        <v>3814</v>
      </c>
      <c r="B1852" t="s">
        <v>3815</v>
      </c>
      <c r="C1852" s="2">
        <v>44967</v>
      </c>
      <c r="D1852" s="2">
        <v>44992</v>
      </c>
      <c r="E1852">
        <f t="shared" si="28"/>
        <v>25</v>
      </c>
      <c r="F1852" t="s">
        <v>23</v>
      </c>
      <c r="G1852">
        <v>13857</v>
      </c>
      <c r="H1852">
        <v>596</v>
      </c>
      <c r="I1852">
        <v>658.31</v>
      </c>
      <c r="K1852" t="s">
        <v>15</v>
      </c>
    </row>
    <row r="1853" spans="1:11" x14ac:dyDescent="0.2">
      <c r="A1853" t="s">
        <v>3816</v>
      </c>
      <c r="B1853" t="s">
        <v>3817</v>
      </c>
      <c r="C1853" s="2">
        <v>45184</v>
      </c>
      <c r="D1853" s="2">
        <v>45201</v>
      </c>
      <c r="E1853">
        <f t="shared" si="28"/>
        <v>17</v>
      </c>
      <c r="F1853" t="s">
        <v>33</v>
      </c>
      <c r="G1853">
        <v>20982</v>
      </c>
      <c r="H1853">
        <v>584</v>
      </c>
      <c r="I1853">
        <v>847.87</v>
      </c>
      <c r="J1853">
        <v>57</v>
      </c>
      <c r="K1853" t="s">
        <v>15</v>
      </c>
    </row>
    <row r="1854" spans="1:11" x14ac:dyDescent="0.2">
      <c r="A1854" t="s">
        <v>3818</v>
      </c>
      <c r="B1854" t="s">
        <v>3819</v>
      </c>
      <c r="C1854" s="2">
        <v>45259</v>
      </c>
      <c r="D1854" s="2">
        <v>45261</v>
      </c>
      <c r="E1854">
        <f t="shared" si="28"/>
        <v>2</v>
      </c>
      <c r="F1854" t="s">
        <v>23</v>
      </c>
      <c r="G1854">
        <v>77961</v>
      </c>
      <c r="H1854">
        <v>3292</v>
      </c>
      <c r="I1854">
        <v>4713.42</v>
      </c>
      <c r="J1854">
        <v>649</v>
      </c>
      <c r="K1854">
        <v>1</v>
      </c>
    </row>
    <row r="1855" spans="1:11" x14ac:dyDescent="0.2">
      <c r="A1855" t="s">
        <v>3820</v>
      </c>
      <c r="B1855" t="s">
        <v>3821</v>
      </c>
      <c r="C1855" s="2">
        <v>45178</v>
      </c>
      <c r="D1855" s="2">
        <v>45200</v>
      </c>
      <c r="E1855">
        <f t="shared" si="28"/>
        <v>22</v>
      </c>
      <c r="F1855" t="s">
        <v>138</v>
      </c>
      <c r="G1855">
        <v>2980</v>
      </c>
      <c r="H1855">
        <v>30</v>
      </c>
      <c r="I1855" s="3">
        <v>20.43</v>
      </c>
      <c r="K1855" t="b">
        <v>1</v>
      </c>
    </row>
    <row r="1856" spans="1:11" x14ac:dyDescent="0.2">
      <c r="A1856" t="s">
        <v>3822</v>
      </c>
      <c r="B1856" t="s">
        <v>3823</v>
      </c>
      <c r="C1856" s="2">
        <v>45042</v>
      </c>
      <c r="D1856" s="2">
        <v>45067</v>
      </c>
      <c r="E1856">
        <f t="shared" si="28"/>
        <v>25</v>
      </c>
      <c r="F1856" t="s">
        <v>33</v>
      </c>
      <c r="G1856">
        <v>49290</v>
      </c>
      <c r="H1856">
        <v>2315</v>
      </c>
      <c r="I1856" s="3">
        <v>4550.01</v>
      </c>
      <c r="J1856">
        <v>225</v>
      </c>
      <c r="K1856" t="s">
        <v>15</v>
      </c>
    </row>
    <row r="1857" spans="1:11" x14ac:dyDescent="0.2">
      <c r="A1857" t="s">
        <v>3825</v>
      </c>
      <c r="B1857" t="s">
        <v>3826</v>
      </c>
      <c r="C1857" s="2">
        <v>44934</v>
      </c>
      <c r="D1857" s="2">
        <v>44952</v>
      </c>
      <c r="E1857">
        <f t="shared" si="28"/>
        <v>18</v>
      </c>
      <c r="F1857" t="s">
        <v>41</v>
      </c>
      <c r="G1857">
        <v>27431</v>
      </c>
      <c r="H1857">
        <v>760</v>
      </c>
      <c r="I1857">
        <v>593.1</v>
      </c>
      <c r="J1857">
        <v>93</v>
      </c>
      <c r="K1857" t="s">
        <v>30</v>
      </c>
    </row>
    <row r="1858" spans="1:11" x14ac:dyDescent="0.2">
      <c r="A1858" t="s">
        <v>3827</v>
      </c>
      <c r="B1858" t="s">
        <v>3828</v>
      </c>
      <c r="C1858" s="2">
        <v>45040</v>
      </c>
      <c r="D1858" s="2">
        <v>45064</v>
      </c>
      <c r="E1858">
        <f t="shared" ref="E1858:E1921" si="29">D1858-C1858</f>
        <v>24</v>
      </c>
      <c r="F1858" t="s">
        <v>33</v>
      </c>
      <c r="G1858">
        <v>85976</v>
      </c>
      <c r="H1858">
        <v>2762</v>
      </c>
      <c r="I1858" s="3">
        <v>3225.77</v>
      </c>
      <c r="J1858">
        <v>336</v>
      </c>
      <c r="K1858">
        <v>0</v>
      </c>
    </row>
    <row r="1859" spans="1:11" x14ac:dyDescent="0.2">
      <c r="A1859" t="s">
        <v>3829</v>
      </c>
      <c r="B1859" t="s">
        <v>3830</v>
      </c>
      <c r="C1859" s="2">
        <v>45031</v>
      </c>
      <c r="D1859" s="2">
        <v>45055</v>
      </c>
      <c r="E1859">
        <f t="shared" si="29"/>
        <v>24</v>
      </c>
      <c r="F1859" t="s">
        <v>23</v>
      </c>
      <c r="G1859">
        <v>83711</v>
      </c>
      <c r="H1859">
        <v>1690</v>
      </c>
      <c r="I1859">
        <v>2082.38</v>
      </c>
      <c r="J1859">
        <v>203</v>
      </c>
      <c r="K1859" t="s">
        <v>24</v>
      </c>
    </row>
    <row r="1860" spans="1:11" x14ac:dyDescent="0.2">
      <c r="A1860" t="s">
        <v>3832</v>
      </c>
      <c r="B1860" t="s">
        <v>3833</v>
      </c>
      <c r="C1860" s="2">
        <v>45151</v>
      </c>
      <c r="D1860" s="2">
        <v>45170</v>
      </c>
      <c r="E1860">
        <f t="shared" si="29"/>
        <v>19</v>
      </c>
      <c r="F1860" t="s">
        <v>19</v>
      </c>
      <c r="G1860">
        <v>27385</v>
      </c>
      <c r="H1860">
        <v>1087</v>
      </c>
      <c r="I1860">
        <v>1869.2</v>
      </c>
      <c r="J1860">
        <v>83</v>
      </c>
      <c r="K1860">
        <v>1</v>
      </c>
    </row>
    <row r="1861" spans="1:11" x14ac:dyDescent="0.2">
      <c r="A1861" t="s">
        <v>3834</v>
      </c>
      <c r="B1861" t="s">
        <v>3835</v>
      </c>
      <c r="C1861" s="2">
        <v>45093</v>
      </c>
      <c r="D1861" s="2">
        <v>45110</v>
      </c>
      <c r="E1861">
        <f t="shared" si="29"/>
        <v>17</v>
      </c>
      <c r="F1861" t="s">
        <v>23</v>
      </c>
      <c r="G1861">
        <v>39158</v>
      </c>
      <c r="H1861">
        <v>511</v>
      </c>
      <c r="I1861">
        <v>331.56</v>
      </c>
      <c r="J1861">
        <v>36</v>
      </c>
      <c r="K1861">
        <v>0</v>
      </c>
    </row>
    <row r="1862" spans="1:11" x14ac:dyDescent="0.2">
      <c r="A1862" t="s">
        <v>3836</v>
      </c>
      <c r="B1862" t="s">
        <v>3837</v>
      </c>
      <c r="C1862" s="2">
        <v>45118</v>
      </c>
      <c r="D1862" s="2">
        <v>45145</v>
      </c>
      <c r="E1862">
        <f t="shared" si="29"/>
        <v>27</v>
      </c>
      <c r="F1862" t="s">
        <v>33</v>
      </c>
      <c r="G1862">
        <v>24019</v>
      </c>
      <c r="H1862">
        <v>1078</v>
      </c>
      <c r="I1862">
        <v>1232.1199999999999</v>
      </c>
      <c r="J1862">
        <v>95</v>
      </c>
      <c r="K1862" t="s">
        <v>30</v>
      </c>
    </row>
    <row r="1863" spans="1:11" x14ac:dyDescent="0.2">
      <c r="A1863" t="s">
        <v>3838</v>
      </c>
      <c r="B1863" t="s">
        <v>3839</v>
      </c>
      <c r="C1863" s="2">
        <v>45121</v>
      </c>
      <c r="D1863" s="2">
        <v>45126</v>
      </c>
      <c r="E1863">
        <f t="shared" si="29"/>
        <v>5</v>
      </c>
      <c r="F1863" t="s">
        <v>14</v>
      </c>
      <c r="G1863">
        <v>19639</v>
      </c>
      <c r="H1863">
        <v>846</v>
      </c>
      <c r="I1863">
        <v>1220.57</v>
      </c>
      <c r="K1863" t="s">
        <v>30</v>
      </c>
    </row>
    <row r="1864" spans="1:11" x14ac:dyDescent="0.2">
      <c r="A1864" t="s">
        <v>3840</v>
      </c>
      <c r="B1864" t="s">
        <v>3841</v>
      </c>
      <c r="C1864" s="2">
        <v>45219</v>
      </c>
      <c r="D1864" s="2">
        <v>45249</v>
      </c>
      <c r="E1864">
        <f t="shared" si="29"/>
        <v>30</v>
      </c>
      <c r="F1864" t="s">
        <v>23</v>
      </c>
      <c r="G1864">
        <v>86530</v>
      </c>
      <c r="H1864">
        <v>1613</v>
      </c>
      <c r="I1864">
        <v>1327.07</v>
      </c>
      <c r="K1864" t="s">
        <v>15</v>
      </c>
    </row>
    <row r="1865" spans="1:11" x14ac:dyDescent="0.2">
      <c r="A1865" t="s">
        <v>3842</v>
      </c>
      <c r="B1865" t="s">
        <v>3843</v>
      </c>
      <c r="C1865" s="2">
        <v>45287</v>
      </c>
      <c r="D1865" s="2">
        <v>45314</v>
      </c>
      <c r="E1865">
        <f t="shared" si="29"/>
        <v>27</v>
      </c>
      <c r="F1865" t="s">
        <v>19</v>
      </c>
      <c r="G1865">
        <v>22563</v>
      </c>
      <c r="H1865">
        <v>956</v>
      </c>
      <c r="I1865">
        <v>1377.79</v>
      </c>
      <c r="J1865">
        <v>156</v>
      </c>
      <c r="K1865" t="s">
        <v>30</v>
      </c>
    </row>
    <row r="1866" spans="1:11" x14ac:dyDescent="0.2">
      <c r="A1866" t="s">
        <v>3844</v>
      </c>
      <c r="B1866" t="s">
        <v>3845</v>
      </c>
      <c r="C1866" s="2">
        <v>45158</v>
      </c>
      <c r="D1866" s="2">
        <v>45171</v>
      </c>
      <c r="E1866">
        <f t="shared" si="29"/>
        <v>13</v>
      </c>
      <c r="F1866" t="s">
        <v>41</v>
      </c>
      <c r="G1866">
        <v>40341</v>
      </c>
      <c r="H1866">
        <v>1672</v>
      </c>
      <c r="I1866">
        <v>3152.55</v>
      </c>
      <c r="J1866">
        <v>273</v>
      </c>
      <c r="K1866" t="b">
        <v>1</v>
      </c>
    </row>
    <row r="1867" spans="1:11" x14ac:dyDescent="0.2">
      <c r="A1867" t="s">
        <v>3846</v>
      </c>
      <c r="B1867" t="s">
        <v>3847</v>
      </c>
      <c r="C1867" s="2">
        <v>45052</v>
      </c>
      <c r="D1867" s="2">
        <v>45063</v>
      </c>
      <c r="E1867">
        <f t="shared" si="29"/>
        <v>11</v>
      </c>
      <c r="F1867" t="s">
        <v>138</v>
      </c>
      <c r="G1867">
        <v>6776</v>
      </c>
      <c r="H1867">
        <v>239</v>
      </c>
      <c r="I1867">
        <v>477.11</v>
      </c>
      <c r="K1867" t="s">
        <v>30</v>
      </c>
    </row>
    <row r="1868" spans="1:11" x14ac:dyDescent="0.2">
      <c r="A1868" t="s">
        <v>3848</v>
      </c>
      <c r="B1868" t="s">
        <v>3849</v>
      </c>
      <c r="C1868" s="2">
        <v>44947</v>
      </c>
      <c r="D1868" s="2">
        <v>44969</v>
      </c>
      <c r="E1868">
        <f t="shared" si="29"/>
        <v>22</v>
      </c>
      <c r="F1868" t="s">
        <v>33</v>
      </c>
      <c r="G1868">
        <v>37444</v>
      </c>
      <c r="H1868">
        <v>933</v>
      </c>
      <c r="I1868">
        <v>511.92</v>
      </c>
      <c r="J1868">
        <v>170</v>
      </c>
      <c r="K1868" t="s">
        <v>15</v>
      </c>
    </row>
    <row r="1869" spans="1:11" x14ac:dyDescent="0.2">
      <c r="A1869" t="s">
        <v>3850</v>
      </c>
      <c r="B1869" t="s">
        <v>3851</v>
      </c>
      <c r="C1869" s="2">
        <v>45249</v>
      </c>
      <c r="D1869" s="2">
        <v>45272</v>
      </c>
      <c r="E1869">
        <f t="shared" si="29"/>
        <v>23</v>
      </c>
      <c r="F1869" t="s">
        <v>19</v>
      </c>
      <c r="G1869">
        <v>69916</v>
      </c>
      <c r="H1869">
        <v>1458</v>
      </c>
      <c r="I1869">
        <v>1244.23</v>
      </c>
      <c r="J1869">
        <v>130</v>
      </c>
      <c r="K1869">
        <v>0</v>
      </c>
    </row>
    <row r="1870" spans="1:11" x14ac:dyDescent="0.2">
      <c r="A1870" t="s">
        <v>3852</v>
      </c>
      <c r="B1870" t="s">
        <v>3853</v>
      </c>
      <c r="C1870" s="2">
        <v>45152</v>
      </c>
      <c r="D1870" s="2">
        <v>45167</v>
      </c>
      <c r="E1870">
        <f t="shared" si="29"/>
        <v>15</v>
      </c>
      <c r="F1870" t="s">
        <v>19</v>
      </c>
      <c r="G1870">
        <v>9711</v>
      </c>
      <c r="H1870">
        <v>187</v>
      </c>
      <c r="I1870">
        <v>180.54</v>
      </c>
      <c r="J1870">
        <v>15</v>
      </c>
      <c r="K1870" t="s">
        <v>30</v>
      </c>
    </row>
    <row r="1871" spans="1:11" x14ac:dyDescent="0.2">
      <c r="A1871" t="s">
        <v>3854</v>
      </c>
      <c r="B1871" t="s">
        <v>3855</v>
      </c>
      <c r="C1871" s="2">
        <v>45073</v>
      </c>
      <c r="D1871" s="2">
        <v>45097</v>
      </c>
      <c r="E1871">
        <f t="shared" si="29"/>
        <v>24</v>
      </c>
      <c r="F1871" t="s">
        <v>41</v>
      </c>
      <c r="G1871">
        <v>75318</v>
      </c>
      <c r="H1871">
        <v>1713</v>
      </c>
      <c r="I1871" s="3">
        <v>1882.05</v>
      </c>
      <c r="K1871">
        <v>1</v>
      </c>
    </row>
    <row r="1872" spans="1:11" x14ac:dyDescent="0.2">
      <c r="A1872" t="s">
        <v>3856</v>
      </c>
      <c r="B1872" t="s">
        <v>3857</v>
      </c>
      <c r="C1872" s="2">
        <v>45240</v>
      </c>
      <c r="D1872" s="2">
        <v>45264</v>
      </c>
      <c r="E1872">
        <f t="shared" si="29"/>
        <v>24</v>
      </c>
      <c r="F1872" t="s">
        <v>14</v>
      </c>
      <c r="G1872">
        <v>83970</v>
      </c>
      <c r="H1872">
        <v>3874</v>
      </c>
      <c r="I1872">
        <v>3344.76</v>
      </c>
      <c r="J1872">
        <v>347</v>
      </c>
      <c r="K1872" t="s">
        <v>24</v>
      </c>
    </row>
    <row r="1873" spans="1:11" x14ac:dyDescent="0.2">
      <c r="A1873" t="s">
        <v>3858</v>
      </c>
      <c r="B1873" t="s">
        <v>3859</v>
      </c>
      <c r="C1873" s="2">
        <v>44999</v>
      </c>
      <c r="D1873" s="2">
        <v>45020</v>
      </c>
      <c r="E1873">
        <f t="shared" si="29"/>
        <v>21</v>
      </c>
      <c r="F1873" t="s">
        <v>23</v>
      </c>
      <c r="G1873">
        <v>86553</v>
      </c>
      <c r="H1873">
        <v>1134</v>
      </c>
      <c r="I1873">
        <v>913.13</v>
      </c>
      <c r="K1873">
        <v>1</v>
      </c>
    </row>
    <row r="1874" spans="1:11" x14ac:dyDescent="0.2">
      <c r="A1874" t="s">
        <v>3860</v>
      </c>
      <c r="B1874" t="s">
        <v>3861</v>
      </c>
      <c r="C1874" s="2">
        <v>44973</v>
      </c>
      <c r="D1874" s="2">
        <v>44982</v>
      </c>
      <c r="E1874">
        <f t="shared" si="29"/>
        <v>9</v>
      </c>
      <c r="F1874" t="s">
        <v>33</v>
      </c>
      <c r="G1874">
        <v>31707</v>
      </c>
      <c r="H1874">
        <v>1368</v>
      </c>
      <c r="I1874">
        <v>2642.74</v>
      </c>
      <c r="J1874">
        <v>198</v>
      </c>
      <c r="K1874">
        <v>1</v>
      </c>
    </row>
    <row r="1875" spans="1:11" x14ac:dyDescent="0.2">
      <c r="A1875" t="s">
        <v>3862</v>
      </c>
      <c r="B1875" t="s">
        <v>3863</v>
      </c>
      <c r="C1875" s="2">
        <v>45226</v>
      </c>
      <c r="D1875" s="2">
        <v>45231</v>
      </c>
      <c r="E1875">
        <f t="shared" si="29"/>
        <v>5</v>
      </c>
      <c r="F1875" t="s">
        <v>14</v>
      </c>
      <c r="G1875">
        <v>40110</v>
      </c>
      <c r="H1875">
        <v>960</v>
      </c>
      <c r="I1875">
        <v>1802.67</v>
      </c>
      <c r="J1875">
        <v>173</v>
      </c>
      <c r="K1875">
        <v>0</v>
      </c>
    </row>
    <row r="1876" spans="1:11" x14ac:dyDescent="0.2">
      <c r="A1876" t="s">
        <v>3864</v>
      </c>
      <c r="B1876" t="s">
        <v>3865</v>
      </c>
      <c r="C1876" s="2">
        <v>44996</v>
      </c>
      <c r="D1876" s="2">
        <v>45001</v>
      </c>
      <c r="E1876">
        <f t="shared" si="29"/>
        <v>5</v>
      </c>
      <c r="F1876" t="s">
        <v>41</v>
      </c>
      <c r="G1876">
        <v>62788</v>
      </c>
      <c r="H1876">
        <v>1937</v>
      </c>
      <c r="I1876" s="3">
        <v>1105.04</v>
      </c>
      <c r="K1876" t="b">
        <v>0</v>
      </c>
    </row>
    <row r="1877" spans="1:11" x14ac:dyDescent="0.2">
      <c r="A1877" t="s">
        <v>3866</v>
      </c>
      <c r="B1877" t="s">
        <v>3867</v>
      </c>
      <c r="C1877" s="2">
        <v>44939</v>
      </c>
      <c r="D1877" s="2">
        <v>44964</v>
      </c>
      <c r="E1877">
        <f t="shared" si="29"/>
        <v>25</v>
      </c>
      <c r="F1877" t="s">
        <v>19</v>
      </c>
      <c r="G1877">
        <v>83879</v>
      </c>
      <c r="H1877">
        <v>3504</v>
      </c>
      <c r="I1877">
        <v>3532.8</v>
      </c>
      <c r="J1877">
        <v>656</v>
      </c>
      <c r="K1877" t="s">
        <v>24</v>
      </c>
    </row>
    <row r="1878" spans="1:11" x14ac:dyDescent="0.2">
      <c r="A1878" t="s">
        <v>3868</v>
      </c>
      <c r="B1878" t="s">
        <v>3869</v>
      </c>
      <c r="C1878" s="2">
        <v>45291</v>
      </c>
      <c r="D1878" s="2">
        <v>45321</v>
      </c>
      <c r="E1878">
        <f t="shared" si="29"/>
        <v>30</v>
      </c>
      <c r="F1878" t="s">
        <v>33</v>
      </c>
      <c r="G1878">
        <v>39827</v>
      </c>
      <c r="H1878">
        <v>1807</v>
      </c>
      <c r="I1878">
        <v>2001.66</v>
      </c>
      <c r="K1878">
        <v>1</v>
      </c>
    </row>
    <row r="1879" spans="1:11" x14ac:dyDescent="0.2">
      <c r="A1879" t="s">
        <v>3870</v>
      </c>
      <c r="B1879" t="s">
        <v>3871</v>
      </c>
      <c r="C1879" s="2">
        <v>44973</v>
      </c>
      <c r="D1879" s="2">
        <v>44980</v>
      </c>
      <c r="E1879">
        <f t="shared" si="29"/>
        <v>7</v>
      </c>
      <c r="F1879" t="s">
        <v>41</v>
      </c>
      <c r="G1879">
        <v>6655</v>
      </c>
      <c r="H1879">
        <v>158</v>
      </c>
      <c r="I1879">
        <v>135.65</v>
      </c>
      <c r="J1879">
        <v>19</v>
      </c>
      <c r="K1879">
        <v>1</v>
      </c>
    </row>
    <row r="1880" spans="1:11" x14ac:dyDescent="0.2">
      <c r="A1880" t="s">
        <v>3872</v>
      </c>
      <c r="B1880" t="s">
        <v>3873</v>
      </c>
      <c r="C1880" s="2">
        <v>45291</v>
      </c>
      <c r="D1880" s="2">
        <v>45294</v>
      </c>
      <c r="E1880">
        <f t="shared" si="29"/>
        <v>3</v>
      </c>
      <c r="F1880" t="s">
        <v>23</v>
      </c>
      <c r="G1880">
        <v>45859</v>
      </c>
      <c r="H1880">
        <v>1305</v>
      </c>
      <c r="I1880">
        <v>1883.52</v>
      </c>
      <c r="J1880">
        <v>151</v>
      </c>
      <c r="K1880" t="b">
        <v>0</v>
      </c>
    </row>
    <row r="1881" spans="1:11" x14ac:dyDescent="0.2">
      <c r="A1881" t="s">
        <v>3874</v>
      </c>
      <c r="B1881" t="s">
        <v>3875</v>
      </c>
      <c r="C1881" s="2">
        <v>45010</v>
      </c>
      <c r="D1881" s="2">
        <v>45049</v>
      </c>
      <c r="E1881">
        <f t="shared" si="29"/>
        <v>39</v>
      </c>
      <c r="F1881" t="s">
        <v>41</v>
      </c>
      <c r="G1881">
        <v>54625</v>
      </c>
      <c r="H1881">
        <v>1451</v>
      </c>
      <c r="I1881">
        <v>2119.29</v>
      </c>
      <c r="J1881">
        <v>238</v>
      </c>
      <c r="K1881">
        <v>0</v>
      </c>
    </row>
    <row r="1882" spans="1:11" x14ac:dyDescent="0.2">
      <c r="A1882" t="s">
        <v>3876</v>
      </c>
      <c r="B1882" t="s">
        <v>3877</v>
      </c>
      <c r="C1882" s="2">
        <v>45288</v>
      </c>
      <c r="D1882" s="2">
        <v>45301</v>
      </c>
      <c r="E1882">
        <f t="shared" si="29"/>
        <v>13</v>
      </c>
      <c r="F1882" t="s">
        <v>41</v>
      </c>
      <c r="G1882">
        <v>53098</v>
      </c>
      <c r="H1882">
        <v>559</v>
      </c>
      <c r="I1882">
        <v>992.65</v>
      </c>
      <c r="J1882">
        <v>63</v>
      </c>
      <c r="K1882" t="s">
        <v>24</v>
      </c>
    </row>
    <row r="1883" spans="1:11" x14ac:dyDescent="0.2">
      <c r="A1883" t="s">
        <v>3878</v>
      </c>
      <c r="B1883" t="s">
        <v>3879</v>
      </c>
      <c r="C1883" s="2">
        <v>45195</v>
      </c>
      <c r="D1883" s="2">
        <v>45204</v>
      </c>
      <c r="E1883">
        <f t="shared" si="29"/>
        <v>9</v>
      </c>
      <c r="F1883" t="s">
        <v>14</v>
      </c>
      <c r="G1883">
        <v>16251</v>
      </c>
      <c r="H1883">
        <v>354</v>
      </c>
      <c r="I1883" s="3">
        <v>570.4</v>
      </c>
      <c r="J1883">
        <v>67</v>
      </c>
      <c r="K1883">
        <v>1</v>
      </c>
    </row>
    <row r="1884" spans="1:11" x14ac:dyDescent="0.2">
      <c r="A1884" t="s">
        <v>3880</v>
      </c>
      <c r="B1884" t="s">
        <v>3881</v>
      </c>
      <c r="C1884" s="2">
        <v>45188</v>
      </c>
      <c r="D1884" s="2">
        <v>45201</v>
      </c>
      <c r="E1884">
        <f t="shared" si="29"/>
        <v>13</v>
      </c>
      <c r="F1884" t="s">
        <v>19</v>
      </c>
      <c r="G1884">
        <v>1526</v>
      </c>
      <c r="H1884">
        <v>43</v>
      </c>
      <c r="I1884">
        <v>56.5</v>
      </c>
      <c r="J1884">
        <v>7</v>
      </c>
      <c r="K1884" t="s">
        <v>15</v>
      </c>
    </row>
    <row r="1885" spans="1:11" x14ac:dyDescent="0.2">
      <c r="A1885" t="s">
        <v>3882</v>
      </c>
      <c r="B1885" t="s">
        <v>3883</v>
      </c>
      <c r="C1885" s="2">
        <v>45208</v>
      </c>
      <c r="D1885" s="2">
        <v>45216</v>
      </c>
      <c r="E1885">
        <f t="shared" si="29"/>
        <v>8</v>
      </c>
      <c r="F1885" t="s">
        <v>23</v>
      </c>
      <c r="G1885">
        <v>69760</v>
      </c>
      <c r="H1885">
        <v>1844</v>
      </c>
      <c r="I1885">
        <v>2729.82</v>
      </c>
      <c r="K1885">
        <v>0</v>
      </c>
    </row>
    <row r="1886" spans="1:11" x14ac:dyDescent="0.2">
      <c r="A1886" t="s">
        <v>3884</v>
      </c>
      <c r="B1886" t="s">
        <v>3885</v>
      </c>
      <c r="C1886" s="2">
        <v>45098</v>
      </c>
      <c r="D1886" s="2">
        <v>45100</v>
      </c>
      <c r="E1886">
        <f t="shared" si="29"/>
        <v>2</v>
      </c>
      <c r="F1886" t="s">
        <v>23</v>
      </c>
      <c r="G1886">
        <v>48837</v>
      </c>
      <c r="H1886">
        <v>1898</v>
      </c>
      <c r="I1886">
        <v>1729.05</v>
      </c>
      <c r="J1886">
        <v>115</v>
      </c>
      <c r="K1886" t="s">
        <v>24</v>
      </c>
    </row>
    <row r="1887" spans="1:11" x14ac:dyDescent="0.2">
      <c r="A1887" t="s">
        <v>3886</v>
      </c>
      <c r="B1887" t="s">
        <v>3887</v>
      </c>
      <c r="C1887" s="2">
        <v>45003</v>
      </c>
      <c r="D1887" s="2">
        <v>45005</v>
      </c>
      <c r="E1887">
        <f t="shared" si="29"/>
        <v>2</v>
      </c>
      <c r="F1887" t="s">
        <v>33</v>
      </c>
      <c r="G1887">
        <v>12536</v>
      </c>
      <c r="H1887">
        <v>318</v>
      </c>
      <c r="I1887">
        <v>441.89</v>
      </c>
      <c r="J1887">
        <v>56</v>
      </c>
      <c r="K1887">
        <v>1</v>
      </c>
    </row>
    <row r="1888" spans="1:11" x14ac:dyDescent="0.2">
      <c r="A1888" t="s">
        <v>3888</v>
      </c>
      <c r="B1888" t="s">
        <v>3889</v>
      </c>
      <c r="C1888" s="2">
        <v>45291</v>
      </c>
      <c r="D1888" s="2">
        <v>45301</v>
      </c>
      <c r="E1888">
        <f t="shared" si="29"/>
        <v>10</v>
      </c>
      <c r="F1888" t="s">
        <v>14</v>
      </c>
      <c r="G1888">
        <v>29541</v>
      </c>
      <c r="H1888">
        <v>873</v>
      </c>
      <c r="I1888">
        <v>1077.1400000000001</v>
      </c>
      <c r="J1888">
        <v>146</v>
      </c>
      <c r="K1888">
        <v>1</v>
      </c>
    </row>
    <row r="1889" spans="1:11" x14ac:dyDescent="0.2">
      <c r="A1889" t="s">
        <v>3891</v>
      </c>
      <c r="B1889" t="s">
        <v>3892</v>
      </c>
      <c r="C1889" s="2">
        <v>45084</v>
      </c>
      <c r="D1889" s="2">
        <v>45085</v>
      </c>
      <c r="E1889">
        <f t="shared" si="29"/>
        <v>1</v>
      </c>
      <c r="F1889" t="s">
        <v>19</v>
      </c>
      <c r="G1889">
        <v>80083</v>
      </c>
      <c r="H1889">
        <v>2177</v>
      </c>
      <c r="I1889">
        <v>1523.94</v>
      </c>
      <c r="J1889">
        <v>142</v>
      </c>
      <c r="K1889" t="b">
        <v>0</v>
      </c>
    </row>
    <row r="1890" spans="1:11" x14ac:dyDescent="0.2">
      <c r="A1890" t="s">
        <v>3893</v>
      </c>
      <c r="B1890" t="s">
        <v>3894</v>
      </c>
      <c r="C1890" s="2">
        <v>45155</v>
      </c>
      <c r="D1890" s="2">
        <v>45160</v>
      </c>
      <c r="E1890">
        <f t="shared" si="29"/>
        <v>5</v>
      </c>
      <c r="F1890" t="s">
        <v>23</v>
      </c>
      <c r="G1890">
        <v>52027</v>
      </c>
      <c r="H1890">
        <v>2061</v>
      </c>
      <c r="I1890">
        <v>1780.33</v>
      </c>
      <c r="J1890">
        <v>136</v>
      </c>
      <c r="K1890" t="s">
        <v>24</v>
      </c>
    </row>
    <row r="1891" spans="1:11" x14ac:dyDescent="0.2">
      <c r="A1891" t="s">
        <v>3895</v>
      </c>
      <c r="B1891" t="s">
        <v>3896</v>
      </c>
      <c r="C1891" s="2">
        <v>44994</v>
      </c>
      <c r="D1891" s="2">
        <v>45179</v>
      </c>
      <c r="E1891">
        <f t="shared" si="29"/>
        <v>185</v>
      </c>
      <c r="F1891" t="s">
        <v>14</v>
      </c>
      <c r="G1891">
        <v>35531</v>
      </c>
      <c r="H1891">
        <v>1581</v>
      </c>
      <c r="I1891">
        <v>1482.25</v>
      </c>
      <c r="K1891" t="s">
        <v>15</v>
      </c>
    </row>
    <row r="1892" spans="1:11" x14ac:dyDescent="0.2">
      <c r="A1892" t="s">
        <v>3897</v>
      </c>
      <c r="B1892" t="s">
        <v>3898</v>
      </c>
      <c r="C1892" s="2">
        <v>45070</v>
      </c>
      <c r="D1892" s="2">
        <v>45204</v>
      </c>
      <c r="E1892">
        <f t="shared" si="29"/>
        <v>134</v>
      </c>
      <c r="F1892" t="s">
        <v>33</v>
      </c>
      <c r="G1892">
        <v>9712</v>
      </c>
      <c r="H1892">
        <v>303</v>
      </c>
      <c r="I1892" s="3">
        <v>571.6</v>
      </c>
      <c r="J1892">
        <v>15</v>
      </c>
      <c r="K1892">
        <v>0</v>
      </c>
    </row>
    <row r="1893" spans="1:11" x14ac:dyDescent="0.2">
      <c r="A1893" t="s">
        <v>3899</v>
      </c>
      <c r="B1893" t="s">
        <v>3900</v>
      </c>
      <c r="C1893" s="2">
        <v>45181</v>
      </c>
      <c r="D1893" s="2">
        <v>45200</v>
      </c>
      <c r="E1893">
        <f t="shared" si="29"/>
        <v>19</v>
      </c>
      <c r="F1893" t="s">
        <v>415</v>
      </c>
      <c r="G1893">
        <v>66455</v>
      </c>
      <c r="H1893">
        <v>2763</v>
      </c>
      <c r="I1893">
        <v>2336.34</v>
      </c>
      <c r="J1893">
        <v>365</v>
      </c>
      <c r="K1893" t="s">
        <v>30</v>
      </c>
    </row>
    <row r="1894" spans="1:11" x14ac:dyDescent="0.2">
      <c r="A1894" t="s">
        <v>3901</v>
      </c>
      <c r="B1894" t="s">
        <v>3902</v>
      </c>
      <c r="C1894" s="2">
        <v>44929</v>
      </c>
      <c r="D1894" s="2">
        <v>44936</v>
      </c>
      <c r="E1894">
        <f t="shared" si="29"/>
        <v>7</v>
      </c>
      <c r="F1894" t="s">
        <v>33</v>
      </c>
      <c r="G1894">
        <v>75744</v>
      </c>
      <c r="H1894">
        <v>1656</v>
      </c>
      <c r="I1894">
        <v>1546.48</v>
      </c>
      <c r="J1894">
        <v>324</v>
      </c>
      <c r="K1894" t="b">
        <v>1</v>
      </c>
    </row>
    <row r="1895" spans="1:11" x14ac:dyDescent="0.2">
      <c r="A1895" t="s">
        <v>3903</v>
      </c>
      <c r="B1895" t="s">
        <v>3904</v>
      </c>
      <c r="C1895" s="2">
        <v>45038</v>
      </c>
      <c r="D1895" s="2">
        <v>45052</v>
      </c>
      <c r="E1895">
        <f t="shared" si="29"/>
        <v>14</v>
      </c>
      <c r="F1895" t="s">
        <v>41</v>
      </c>
      <c r="G1895">
        <v>6109</v>
      </c>
      <c r="H1895">
        <v>193</v>
      </c>
      <c r="I1895">
        <v>203.43</v>
      </c>
      <c r="J1895">
        <v>22</v>
      </c>
      <c r="K1895" t="s">
        <v>15</v>
      </c>
    </row>
    <row r="1896" spans="1:11" x14ac:dyDescent="0.2">
      <c r="A1896" t="s">
        <v>3905</v>
      </c>
      <c r="B1896" t="s">
        <v>3906</v>
      </c>
      <c r="C1896" s="2">
        <v>45136</v>
      </c>
      <c r="D1896" s="2">
        <v>45162</v>
      </c>
      <c r="E1896">
        <f t="shared" si="29"/>
        <v>26</v>
      </c>
      <c r="F1896" t="s">
        <v>23</v>
      </c>
      <c r="G1896">
        <v>50268</v>
      </c>
      <c r="H1896">
        <v>1196</v>
      </c>
      <c r="I1896">
        <v>1788.75</v>
      </c>
      <c r="J1896">
        <v>156</v>
      </c>
      <c r="K1896" t="s">
        <v>30</v>
      </c>
    </row>
    <row r="1897" spans="1:11" x14ac:dyDescent="0.2">
      <c r="A1897" t="s">
        <v>3907</v>
      </c>
      <c r="B1897" t="s">
        <v>3908</v>
      </c>
      <c r="C1897" s="2">
        <v>44930</v>
      </c>
      <c r="D1897" s="2">
        <v>44957</v>
      </c>
      <c r="E1897">
        <f t="shared" si="29"/>
        <v>27</v>
      </c>
      <c r="F1897" t="s">
        <v>41</v>
      </c>
      <c r="G1897">
        <v>55615</v>
      </c>
      <c r="H1897">
        <v>1477</v>
      </c>
      <c r="I1897">
        <v>1000.46</v>
      </c>
      <c r="J1897">
        <v>288</v>
      </c>
      <c r="K1897" t="s">
        <v>15</v>
      </c>
    </row>
    <row r="1898" spans="1:11" x14ac:dyDescent="0.2">
      <c r="A1898" t="s">
        <v>3909</v>
      </c>
      <c r="B1898" t="s">
        <v>3910</v>
      </c>
      <c r="C1898" s="2">
        <v>45244</v>
      </c>
      <c r="D1898" s="2">
        <v>45273</v>
      </c>
      <c r="E1898">
        <f t="shared" si="29"/>
        <v>29</v>
      </c>
      <c r="F1898" t="s">
        <v>19</v>
      </c>
      <c r="G1898">
        <v>83503</v>
      </c>
      <c r="H1898">
        <v>3281</v>
      </c>
      <c r="I1898">
        <v>6335.34</v>
      </c>
      <c r="J1898">
        <v>289</v>
      </c>
      <c r="K1898" t="s">
        <v>24</v>
      </c>
    </row>
    <row r="1899" spans="1:11" x14ac:dyDescent="0.2">
      <c r="A1899" t="s">
        <v>3911</v>
      </c>
      <c r="B1899" t="s">
        <v>3912</v>
      </c>
      <c r="C1899" s="2">
        <v>45033</v>
      </c>
      <c r="D1899" s="2">
        <v>45038</v>
      </c>
      <c r="E1899">
        <f t="shared" si="29"/>
        <v>5</v>
      </c>
      <c r="F1899" t="s">
        <v>138</v>
      </c>
      <c r="G1899">
        <v>30759</v>
      </c>
      <c r="H1899">
        <v>1392</v>
      </c>
      <c r="I1899">
        <v>-2503.31</v>
      </c>
      <c r="K1899" t="s">
        <v>30</v>
      </c>
    </row>
    <row r="1900" spans="1:11" x14ac:dyDescent="0.2">
      <c r="A1900" t="s">
        <v>3914</v>
      </c>
      <c r="B1900" t="s">
        <v>3915</v>
      </c>
      <c r="C1900" s="2">
        <v>45002</v>
      </c>
      <c r="D1900" s="2">
        <v>45016</v>
      </c>
      <c r="E1900">
        <f t="shared" si="29"/>
        <v>14</v>
      </c>
      <c r="F1900" t="s">
        <v>23</v>
      </c>
      <c r="G1900">
        <v>86708</v>
      </c>
      <c r="H1900">
        <v>1288</v>
      </c>
      <c r="I1900">
        <v>1759.18</v>
      </c>
      <c r="K1900" t="s">
        <v>24</v>
      </c>
    </row>
    <row r="1901" spans="1:11" x14ac:dyDescent="0.2">
      <c r="A1901" t="s">
        <v>3916</v>
      </c>
      <c r="B1901" t="s">
        <v>3917</v>
      </c>
      <c r="C1901" s="2">
        <v>45105</v>
      </c>
      <c r="D1901" s="2">
        <v>45123</v>
      </c>
      <c r="E1901">
        <f t="shared" si="29"/>
        <v>18</v>
      </c>
      <c r="F1901" t="s">
        <v>23</v>
      </c>
      <c r="G1901">
        <v>61112</v>
      </c>
      <c r="H1901">
        <v>2162</v>
      </c>
      <c r="I1901">
        <v>3266.9</v>
      </c>
      <c r="J1901">
        <v>292</v>
      </c>
      <c r="K1901" t="s">
        <v>30</v>
      </c>
    </row>
    <row r="1902" spans="1:11" x14ac:dyDescent="0.2">
      <c r="A1902" t="s">
        <v>3919</v>
      </c>
      <c r="B1902" t="s">
        <v>3920</v>
      </c>
      <c r="C1902" s="2">
        <v>44943</v>
      </c>
      <c r="D1902" s="2">
        <v>44962</v>
      </c>
      <c r="E1902">
        <f t="shared" si="29"/>
        <v>19</v>
      </c>
      <c r="F1902" t="s">
        <v>33</v>
      </c>
      <c r="G1902">
        <v>27589</v>
      </c>
      <c r="H1902">
        <v>918</v>
      </c>
      <c r="I1902">
        <v>481.94</v>
      </c>
      <c r="J1902">
        <v>93</v>
      </c>
      <c r="K1902" t="s">
        <v>15</v>
      </c>
    </row>
    <row r="1903" spans="1:11" x14ac:dyDescent="0.2">
      <c r="A1903" t="s">
        <v>3921</v>
      </c>
      <c r="B1903" t="s">
        <v>3922</v>
      </c>
      <c r="C1903" s="2">
        <v>44972</v>
      </c>
      <c r="D1903" s="2">
        <v>45079</v>
      </c>
      <c r="E1903">
        <f t="shared" si="29"/>
        <v>107</v>
      </c>
      <c r="F1903" t="s">
        <v>33</v>
      </c>
      <c r="G1903">
        <v>31015</v>
      </c>
      <c r="H1903">
        <v>457</v>
      </c>
      <c r="I1903">
        <v>460.85</v>
      </c>
      <c r="J1903">
        <v>61</v>
      </c>
      <c r="K1903" t="b">
        <v>0</v>
      </c>
    </row>
    <row r="1904" spans="1:11" x14ac:dyDescent="0.2">
      <c r="A1904" t="s">
        <v>3923</v>
      </c>
      <c r="B1904" t="s">
        <v>3924</v>
      </c>
      <c r="C1904" s="2">
        <v>44982</v>
      </c>
      <c r="D1904" s="2">
        <v>45012</v>
      </c>
      <c r="E1904">
        <f t="shared" si="29"/>
        <v>30</v>
      </c>
      <c r="F1904" t="s">
        <v>23</v>
      </c>
      <c r="G1904">
        <v>30009</v>
      </c>
      <c r="H1904">
        <v>554</v>
      </c>
      <c r="I1904" s="3">
        <v>938.19</v>
      </c>
      <c r="J1904">
        <v>33</v>
      </c>
      <c r="K1904" t="s">
        <v>15</v>
      </c>
    </row>
    <row r="1905" spans="1:11" x14ac:dyDescent="0.2">
      <c r="A1905" t="s">
        <v>3925</v>
      </c>
      <c r="B1905" t="s">
        <v>3926</v>
      </c>
      <c r="C1905" s="2">
        <v>45271</v>
      </c>
      <c r="D1905" s="2">
        <v>45278</v>
      </c>
      <c r="E1905">
        <f t="shared" si="29"/>
        <v>7</v>
      </c>
      <c r="F1905" t="s">
        <v>33</v>
      </c>
      <c r="G1905">
        <v>84309</v>
      </c>
      <c r="H1905">
        <v>1891</v>
      </c>
      <c r="I1905">
        <v>1165.28</v>
      </c>
      <c r="J1905">
        <v>311</v>
      </c>
      <c r="K1905" t="s">
        <v>24</v>
      </c>
    </row>
    <row r="1906" spans="1:11" x14ac:dyDescent="0.2">
      <c r="A1906" t="s">
        <v>3927</v>
      </c>
      <c r="B1906" t="s">
        <v>3928</v>
      </c>
      <c r="C1906" s="2">
        <v>45285</v>
      </c>
      <c r="D1906" s="2">
        <v>45286</v>
      </c>
      <c r="E1906">
        <f t="shared" si="29"/>
        <v>1</v>
      </c>
      <c r="F1906" t="s">
        <v>14</v>
      </c>
      <c r="G1906">
        <v>63046</v>
      </c>
      <c r="H1906">
        <v>1051</v>
      </c>
      <c r="I1906">
        <v>970.57</v>
      </c>
      <c r="K1906" t="s">
        <v>15</v>
      </c>
    </row>
    <row r="1907" spans="1:11" x14ac:dyDescent="0.2">
      <c r="A1907" t="s">
        <v>3929</v>
      </c>
      <c r="B1907" t="s">
        <v>3930</v>
      </c>
      <c r="C1907" s="2">
        <v>45017</v>
      </c>
      <c r="D1907" s="2">
        <v>45020</v>
      </c>
      <c r="E1907">
        <f t="shared" si="29"/>
        <v>3</v>
      </c>
      <c r="F1907" t="s">
        <v>23</v>
      </c>
      <c r="G1907">
        <v>27143</v>
      </c>
      <c r="H1907">
        <v>536</v>
      </c>
      <c r="I1907">
        <v>738.58</v>
      </c>
      <c r="J1907">
        <v>98</v>
      </c>
      <c r="K1907" t="s">
        <v>30</v>
      </c>
    </row>
    <row r="1908" spans="1:11" x14ac:dyDescent="0.2">
      <c r="A1908" t="s">
        <v>3931</v>
      </c>
      <c r="B1908" t="s">
        <v>3932</v>
      </c>
      <c r="C1908" s="2">
        <v>45029</v>
      </c>
      <c r="D1908" s="2">
        <v>45111</v>
      </c>
      <c r="E1908">
        <f t="shared" si="29"/>
        <v>82</v>
      </c>
      <c r="F1908" t="s">
        <v>19</v>
      </c>
      <c r="G1908">
        <v>7154</v>
      </c>
      <c r="H1908">
        <v>148</v>
      </c>
      <c r="I1908">
        <v>130.91999999999999</v>
      </c>
      <c r="J1908">
        <v>15</v>
      </c>
      <c r="K1908" t="b">
        <v>1</v>
      </c>
    </row>
    <row r="1909" spans="1:11" x14ac:dyDescent="0.2">
      <c r="A1909" t="s">
        <v>3933</v>
      </c>
      <c r="B1909" t="s">
        <v>3934</v>
      </c>
      <c r="C1909" s="2">
        <v>45080</v>
      </c>
      <c r="D1909" s="2">
        <v>45108</v>
      </c>
      <c r="E1909">
        <f t="shared" si="29"/>
        <v>28</v>
      </c>
      <c r="F1909" t="s">
        <v>138</v>
      </c>
      <c r="G1909">
        <v>22804</v>
      </c>
      <c r="H1909">
        <v>534</v>
      </c>
      <c r="I1909" s="3">
        <v>1015.12</v>
      </c>
      <c r="J1909">
        <v>38</v>
      </c>
      <c r="K1909" t="s">
        <v>30</v>
      </c>
    </row>
    <row r="1910" spans="1:11" x14ac:dyDescent="0.2">
      <c r="A1910" t="s">
        <v>3935</v>
      </c>
      <c r="B1910" t="s">
        <v>3936</v>
      </c>
      <c r="C1910" s="2">
        <v>44961</v>
      </c>
      <c r="D1910" s="2">
        <v>44963</v>
      </c>
      <c r="E1910">
        <f t="shared" si="29"/>
        <v>2</v>
      </c>
      <c r="F1910" t="s">
        <v>14</v>
      </c>
      <c r="G1910">
        <v>42688</v>
      </c>
      <c r="H1910">
        <v>1706</v>
      </c>
      <c r="I1910">
        <v>1188.3800000000001</v>
      </c>
      <c r="J1910">
        <v>263</v>
      </c>
      <c r="K1910">
        <v>1</v>
      </c>
    </row>
    <row r="1911" spans="1:11" x14ac:dyDescent="0.2">
      <c r="A1911" t="s">
        <v>3937</v>
      </c>
      <c r="B1911" t="s">
        <v>3938</v>
      </c>
      <c r="C1911" s="2">
        <v>44960</v>
      </c>
      <c r="D1911" s="2">
        <v>44969</v>
      </c>
      <c r="E1911">
        <f t="shared" si="29"/>
        <v>9</v>
      </c>
      <c r="F1911" t="s">
        <v>41</v>
      </c>
      <c r="G1911">
        <v>65288</v>
      </c>
      <c r="H1911">
        <v>2146</v>
      </c>
      <c r="I1911">
        <v>3639.81</v>
      </c>
      <c r="J1911">
        <v>160</v>
      </c>
      <c r="K1911" t="s">
        <v>15</v>
      </c>
    </row>
    <row r="1912" spans="1:11" x14ac:dyDescent="0.2">
      <c r="A1912" t="s">
        <v>3939</v>
      </c>
      <c r="B1912" t="s">
        <v>3940</v>
      </c>
      <c r="C1912" s="2">
        <v>45282</v>
      </c>
      <c r="D1912" s="2">
        <v>45306</v>
      </c>
      <c r="E1912">
        <f t="shared" si="29"/>
        <v>24</v>
      </c>
      <c r="F1912" t="s">
        <v>19</v>
      </c>
      <c r="G1912">
        <v>52195</v>
      </c>
      <c r="H1912">
        <v>2581</v>
      </c>
      <c r="I1912">
        <v>3257.02</v>
      </c>
      <c r="J1912">
        <v>420</v>
      </c>
      <c r="K1912">
        <v>0</v>
      </c>
    </row>
    <row r="1913" spans="1:11" x14ac:dyDescent="0.2">
      <c r="A1913" t="s">
        <v>3941</v>
      </c>
      <c r="B1913" t="s">
        <v>3942</v>
      </c>
      <c r="C1913" s="2">
        <v>45138</v>
      </c>
      <c r="D1913" s="2">
        <v>45154</v>
      </c>
      <c r="E1913">
        <f t="shared" si="29"/>
        <v>16</v>
      </c>
      <c r="F1913" t="s">
        <v>33</v>
      </c>
      <c r="G1913">
        <v>21581</v>
      </c>
      <c r="H1913">
        <v>573</v>
      </c>
      <c r="I1913">
        <v>931.41</v>
      </c>
      <c r="K1913" t="s">
        <v>15</v>
      </c>
    </row>
    <row r="1914" spans="1:11" x14ac:dyDescent="0.2">
      <c r="A1914" t="s">
        <v>3943</v>
      </c>
      <c r="B1914" t="s">
        <v>3944</v>
      </c>
      <c r="C1914" s="2">
        <v>45210</v>
      </c>
      <c r="D1914" s="2">
        <v>45266</v>
      </c>
      <c r="E1914">
        <f t="shared" si="29"/>
        <v>56</v>
      </c>
      <c r="F1914" t="s">
        <v>19</v>
      </c>
      <c r="G1914">
        <v>53648</v>
      </c>
      <c r="H1914">
        <v>2154</v>
      </c>
      <c r="I1914">
        <v>2080.92</v>
      </c>
      <c r="J1914">
        <v>359</v>
      </c>
      <c r="K1914" t="b">
        <v>0</v>
      </c>
    </row>
    <row r="1915" spans="1:11" x14ac:dyDescent="0.2">
      <c r="A1915" t="s">
        <v>3945</v>
      </c>
      <c r="B1915" t="s">
        <v>3946</v>
      </c>
      <c r="C1915" s="2">
        <v>45219</v>
      </c>
      <c r="D1915" s="2">
        <v>45222</v>
      </c>
      <c r="E1915">
        <f t="shared" si="29"/>
        <v>3</v>
      </c>
      <c r="F1915" t="s">
        <v>23</v>
      </c>
      <c r="G1915">
        <v>31087</v>
      </c>
      <c r="H1915">
        <v>1394</v>
      </c>
      <c r="I1915">
        <v>1772.8</v>
      </c>
      <c r="J1915">
        <v>74</v>
      </c>
      <c r="K1915" t="s">
        <v>24</v>
      </c>
    </row>
    <row r="1916" spans="1:11" x14ac:dyDescent="0.2">
      <c r="A1916" t="s">
        <v>3947</v>
      </c>
      <c r="B1916" t="s">
        <v>3948</v>
      </c>
      <c r="C1916" s="2">
        <v>44971</v>
      </c>
      <c r="D1916" s="2">
        <v>44979</v>
      </c>
      <c r="E1916">
        <f t="shared" si="29"/>
        <v>8</v>
      </c>
      <c r="F1916" t="s">
        <v>138</v>
      </c>
      <c r="G1916">
        <v>50930</v>
      </c>
      <c r="H1916">
        <v>1892</v>
      </c>
      <c r="I1916" s="3">
        <v>3377.7</v>
      </c>
      <c r="J1916">
        <v>264</v>
      </c>
      <c r="K1916">
        <v>0</v>
      </c>
    </row>
    <row r="1917" spans="1:11" x14ac:dyDescent="0.2">
      <c r="A1917" t="s">
        <v>3949</v>
      </c>
      <c r="B1917" t="s">
        <v>3950</v>
      </c>
      <c r="C1917" s="2">
        <v>45288</v>
      </c>
      <c r="D1917" s="2">
        <v>45303</v>
      </c>
      <c r="E1917">
        <f t="shared" si="29"/>
        <v>15</v>
      </c>
      <c r="F1917" t="s">
        <v>33</v>
      </c>
      <c r="G1917">
        <v>33981</v>
      </c>
      <c r="H1917">
        <v>899</v>
      </c>
      <c r="I1917">
        <v>1079.0899999999999</v>
      </c>
      <c r="J1917">
        <v>138</v>
      </c>
      <c r="K1917" t="s">
        <v>30</v>
      </c>
    </row>
    <row r="1918" spans="1:11" x14ac:dyDescent="0.2">
      <c r="A1918" t="s">
        <v>3951</v>
      </c>
      <c r="B1918" t="s">
        <v>3952</v>
      </c>
      <c r="C1918" s="2">
        <v>45089</v>
      </c>
      <c r="D1918" s="2">
        <v>45119</v>
      </c>
      <c r="E1918">
        <f t="shared" si="29"/>
        <v>30</v>
      </c>
      <c r="F1918" t="s">
        <v>41</v>
      </c>
      <c r="G1918">
        <v>70298</v>
      </c>
      <c r="H1918">
        <v>2822</v>
      </c>
      <c r="I1918">
        <v>2933.69</v>
      </c>
      <c r="J1918">
        <v>490</v>
      </c>
      <c r="K1918" t="b">
        <v>0</v>
      </c>
    </row>
    <row r="1919" spans="1:11" x14ac:dyDescent="0.2">
      <c r="A1919" t="s">
        <v>3953</v>
      </c>
      <c r="B1919" t="s">
        <v>3954</v>
      </c>
      <c r="C1919" s="2">
        <v>45246</v>
      </c>
      <c r="D1919" s="2">
        <v>45252</v>
      </c>
      <c r="E1919">
        <f t="shared" si="29"/>
        <v>6</v>
      </c>
      <c r="F1919" t="s">
        <v>33</v>
      </c>
      <c r="G1919">
        <v>47167</v>
      </c>
      <c r="H1919">
        <v>855</v>
      </c>
      <c r="I1919" s="3">
        <v>1115.1199999999999</v>
      </c>
      <c r="J1919">
        <v>49</v>
      </c>
      <c r="K1919" t="s">
        <v>15</v>
      </c>
    </row>
    <row r="1920" spans="1:11" x14ac:dyDescent="0.2">
      <c r="A1920" t="s">
        <v>3955</v>
      </c>
      <c r="B1920" t="s">
        <v>3956</v>
      </c>
      <c r="C1920" s="2">
        <v>45215</v>
      </c>
      <c r="D1920" s="2">
        <v>45245</v>
      </c>
      <c r="E1920">
        <f t="shared" si="29"/>
        <v>30</v>
      </c>
      <c r="F1920" t="s">
        <v>23</v>
      </c>
      <c r="G1920">
        <v>76304</v>
      </c>
      <c r="H1920">
        <v>1762</v>
      </c>
      <c r="I1920">
        <v>2776.99</v>
      </c>
      <c r="J1920">
        <v>214</v>
      </c>
      <c r="K1920" t="s">
        <v>30</v>
      </c>
    </row>
    <row r="1921" spans="1:11" x14ac:dyDescent="0.2">
      <c r="A1921" t="s">
        <v>3957</v>
      </c>
      <c r="B1921" t="s">
        <v>3958</v>
      </c>
      <c r="C1921" s="2">
        <v>45181</v>
      </c>
      <c r="D1921" s="2">
        <v>45203</v>
      </c>
      <c r="E1921">
        <f t="shared" si="29"/>
        <v>22</v>
      </c>
      <c r="F1921" t="s">
        <v>19</v>
      </c>
      <c r="G1921">
        <v>44408</v>
      </c>
      <c r="H1921">
        <v>1415</v>
      </c>
      <c r="I1921">
        <v>1648.96</v>
      </c>
      <c r="J1921">
        <v>184</v>
      </c>
      <c r="K1921" t="s">
        <v>30</v>
      </c>
    </row>
    <row r="1922" spans="1:11" x14ac:dyDescent="0.2">
      <c r="A1922" t="s">
        <v>3959</v>
      </c>
      <c r="B1922" t="s">
        <v>3960</v>
      </c>
      <c r="C1922" s="2">
        <v>45239</v>
      </c>
      <c r="D1922" s="2">
        <v>45255</v>
      </c>
      <c r="E1922">
        <f t="shared" ref="E1922:E1985" si="30">D1922-C1922</f>
        <v>16</v>
      </c>
      <c r="F1922" t="s">
        <v>41</v>
      </c>
      <c r="G1922">
        <v>40499</v>
      </c>
      <c r="H1922">
        <v>1337</v>
      </c>
      <c r="I1922">
        <v>2551.42</v>
      </c>
      <c r="J1922">
        <v>100</v>
      </c>
      <c r="K1922">
        <v>1</v>
      </c>
    </row>
    <row r="1923" spans="1:11" x14ac:dyDescent="0.2">
      <c r="A1923" t="s">
        <v>3961</v>
      </c>
      <c r="B1923" t="s">
        <v>3962</v>
      </c>
      <c r="C1923" s="2">
        <v>45030</v>
      </c>
      <c r="D1923" s="2">
        <v>45203</v>
      </c>
      <c r="E1923">
        <f t="shared" si="30"/>
        <v>173</v>
      </c>
      <c r="F1923" t="s">
        <v>41</v>
      </c>
      <c r="G1923">
        <v>53269</v>
      </c>
      <c r="H1923">
        <v>579</v>
      </c>
      <c r="I1923">
        <v>545.66</v>
      </c>
      <c r="J1923">
        <v>56</v>
      </c>
      <c r="K1923">
        <v>1</v>
      </c>
    </row>
    <row r="1924" spans="1:11" x14ac:dyDescent="0.2">
      <c r="A1924" t="s">
        <v>3963</v>
      </c>
      <c r="B1924" t="s">
        <v>3964</v>
      </c>
      <c r="C1924" s="2">
        <v>44939</v>
      </c>
      <c r="D1924" s="2">
        <v>44942</v>
      </c>
      <c r="E1924">
        <f t="shared" si="30"/>
        <v>3</v>
      </c>
      <c r="F1924" t="s">
        <v>19</v>
      </c>
      <c r="G1924">
        <v>39559</v>
      </c>
      <c r="H1924">
        <v>1891</v>
      </c>
      <c r="I1924">
        <v>2294.15</v>
      </c>
      <c r="J1924">
        <v>219</v>
      </c>
      <c r="K1924" t="b">
        <v>1</v>
      </c>
    </row>
    <row r="1925" spans="1:11" x14ac:dyDescent="0.2">
      <c r="A1925" t="s">
        <v>3965</v>
      </c>
      <c r="B1925" t="s">
        <v>3966</v>
      </c>
      <c r="C1925" s="2">
        <v>45033</v>
      </c>
      <c r="D1925" s="2">
        <v>45055</v>
      </c>
      <c r="E1925">
        <f t="shared" si="30"/>
        <v>22</v>
      </c>
      <c r="F1925" t="s">
        <v>33</v>
      </c>
      <c r="G1925">
        <v>75319</v>
      </c>
      <c r="H1925">
        <v>2851</v>
      </c>
      <c r="I1925">
        <v>4662.5</v>
      </c>
      <c r="J1925">
        <v>498</v>
      </c>
      <c r="K1925">
        <v>1</v>
      </c>
    </row>
    <row r="1926" spans="1:11" x14ac:dyDescent="0.2">
      <c r="A1926" t="s">
        <v>3967</v>
      </c>
      <c r="B1926" t="s">
        <v>3968</v>
      </c>
      <c r="C1926" s="2">
        <v>45138</v>
      </c>
      <c r="D1926" s="2">
        <v>45153</v>
      </c>
      <c r="E1926">
        <f t="shared" si="30"/>
        <v>15</v>
      </c>
      <c r="F1926" t="s">
        <v>33</v>
      </c>
      <c r="G1926">
        <v>96317</v>
      </c>
      <c r="H1926">
        <v>2872</v>
      </c>
      <c r="I1926">
        <v>4404.7299999999996</v>
      </c>
      <c r="J1926">
        <v>543</v>
      </c>
      <c r="K1926" t="s">
        <v>24</v>
      </c>
    </row>
    <row r="1927" spans="1:11" x14ac:dyDescent="0.2">
      <c r="A1927" t="s">
        <v>3969</v>
      </c>
      <c r="B1927" t="s">
        <v>3970</v>
      </c>
      <c r="C1927" s="2">
        <v>45106</v>
      </c>
      <c r="D1927" s="2">
        <v>45132</v>
      </c>
      <c r="E1927">
        <f t="shared" si="30"/>
        <v>26</v>
      </c>
      <c r="F1927" t="s">
        <v>19</v>
      </c>
      <c r="G1927">
        <v>97347</v>
      </c>
      <c r="H1927">
        <v>4606</v>
      </c>
      <c r="I1927">
        <v>8269.9</v>
      </c>
      <c r="J1927">
        <v>664</v>
      </c>
      <c r="K1927">
        <v>0</v>
      </c>
    </row>
    <row r="1928" spans="1:11" x14ac:dyDescent="0.2">
      <c r="A1928" t="s">
        <v>3971</v>
      </c>
      <c r="B1928" t="s">
        <v>3972</v>
      </c>
      <c r="C1928" s="2">
        <v>44932</v>
      </c>
      <c r="D1928" s="2">
        <v>44961</v>
      </c>
      <c r="E1928">
        <f t="shared" si="30"/>
        <v>29</v>
      </c>
      <c r="F1928" t="s">
        <v>23</v>
      </c>
      <c r="G1928">
        <v>49787</v>
      </c>
      <c r="H1928">
        <v>1372</v>
      </c>
      <c r="I1928" s="3">
        <v>2737.43</v>
      </c>
      <c r="J1928">
        <v>149</v>
      </c>
      <c r="K1928" t="s">
        <v>30</v>
      </c>
    </row>
    <row r="1929" spans="1:11" x14ac:dyDescent="0.2">
      <c r="A1929" t="s">
        <v>3973</v>
      </c>
      <c r="B1929" t="s">
        <v>3974</v>
      </c>
      <c r="C1929" s="2">
        <v>45057</v>
      </c>
      <c r="D1929" s="2">
        <v>45068</v>
      </c>
      <c r="E1929">
        <f t="shared" si="30"/>
        <v>11</v>
      </c>
      <c r="F1929" t="s">
        <v>41</v>
      </c>
      <c r="G1929">
        <v>36488</v>
      </c>
      <c r="H1929">
        <v>1795</v>
      </c>
      <c r="I1929">
        <v>2046.82</v>
      </c>
      <c r="J1929">
        <v>158</v>
      </c>
      <c r="K1929">
        <v>1</v>
      </c>
    </row>
    <row r="1930" spans="1:11" x14ac:dyDescent="0.2">
      <c r="A1930" t="s">
        <v>3975</v>
      </c>
      <c r="B1930" t="s">
        <v>3976</v>
      </c>
      <c r="C1930" s="2">
        <v>45186</v>
      </c>
      <c r="D1930" s="2">
        <v>45206</v>
      </c>
      <c r="E1930">
        <f t="shared" si="30"/>
        <v>20</v>
      </c>
      <c r="F1930" t="s">
        <v>23</v>
      </c>
      <c r="G1930">
        <v>75441</v>
      </c>
      <c r="H1930">
        <v>2300</v>
      </c>
      <c r="I1930">
        <v>1533.47</v>
      </c>
      <c r="J1930">
        <v>453</v>
      </c>
      <c r="K1930" t="b">
        <v>1</v>
      </c>
    </row>
    <row r="1931" spans="1:11" x14ac:dyDescent="0.2">
      <c r="A1931" t="s">
        <v>3977</v>
      </c>
      <c r="B1931" t="s">
        <v>3978</v>
      </c>
      <c r="C1931" s="2">
        <v>44985</v>
      </c>
      <c r="D1931" s="2">
        <v>45009</v>
      </c>
      <c r="E1931">
        <f t="shared" si="30"/>
        <v>24</v>
      </c>
      <c r="F1931" t="s">
        <v>33</v>
      </c>
      <c r="G1931">
        <v>75663</v>
      </c>
      <c r="H1931">
        <v>1102</v>
      </c>
      <c r="I1931">
        <v>601.28</v>
      </c>
      <c r="J1931">
        <v>217</v>
      </c>
      <c r="K1931" t="s">
        <v>15</v>
      </c>
    </row>
    <row r="1932" spans="1:11" x14ac:dyDescent="0.2">
      <c r="A1932" t="s">
        <v>3979</v>
      </c>
      <c r="B1932" t="s">
        <v>3980</v>
      </c>
      <c r="C1932" s="2">
        <v>45218</v>
      </c>
      <c r="D1932" s="2">
        <v>45230</v>
      </c>
      <c r="E1932">
        <f t="shared" si="30"/>
        <v>12</v>
      </c>
      <c r="F1932" t="s">
        <v>138</v>
      </c>
      <c r="G1932">
        <v>23431</v>
      </c>
      <c r="H1932">
        <v>951</v>
      </c>
      <c r="I1932">
        <v>1512.39</v>
      </c>
      <c r="J1932">
        <v>179</v>
      </c>
      <c r="K1932">
        <v>0</v>
      </c>
    </row>
    <row r="1933" spans="1:11" x14ac:dyDescent="0.2">
      <c r="A1933" t="s">
        <v>3981</v>
      </c>
      <c r="B1933" t="s">
        <v>3982</v>
      </c>
      <c r="C1933" s="2">
        <v>45016</v>
      </c>
      <c r="D1933" s="2">
        <v>45044</v>
      </c>
      <c r="E1933">
        <f t="shared" si="30"/>
        <v>28</v>
      </c>
      <c r="F1933" t="s">
        <v>19</v>
      </c>
      <c r="G1933">
        <v>62681</v>
      </c>
      <c r="H1933">
        <v>2328</v>
      </c>
      <c r="I1933">
        <v>4216.0600000000004</v>
      </c>
      <c r="J1933">
        <v>390</v>
      </c>
      <c r="K1933">
        <v>1</v>
      </c>
    </row>
    <row r="1934" spans="1:11" x14ac:dyDescent="0.2">
      <c r="A1934" t="s">
        <v>3983</v>
      </c>
      <c r="B1934" t="s">
        <v>3984</v>
      </c>
      <c r="C1934" s="2">
        <v>45271</v>
      </c>
      <c r="D1934" s="2">
        <v>45287</v>
      </c>
      <c r="E1934">
        <f t="shared" si="30"/>
        <v>16</v>
      </c>
      <c r="F1934" t="s">
        <v>19</v>
      </c>
      <c r="G1934">
        <v>64483</v>
      </c>
      <c r="H1934">
        <v>2638</v>
      </c>
      <c r="I1934" s="3">
        <v>2192.36</v>
      </c>
      <c r="J1934">
        <v>260</v>
      </c>
      <c r="K1934" t="s">
        <v>30</v>
      </c>
    </row>
    <row r="1935" spans="1:11" x14ac:dyDescent="0.2">
      <c r="A1935" t="s">
        <v>3985</v>
      </c>
      <c r="B1935" t="s">
        <v>3986</v>
      </c>
      <c r="C1935" s="2">
        <v>44945</v>
      </c>
      <c r="D1935" s="2">
        <v>44954</v>
      </c>
      <c r="E1935">
        <f t="shared" si="30"/>
        <v>9</v>
      </c>
      <c r="F1935" t="s">
        <v>33</v>
      </c>
      <c r="G1935">
        <v>50153</v>
      </c>
      <c r="H1935">
        <v>2410</v>
      </c>
      <c r="I1935">
        <v>1777.79</v>
      </c>
      <c r="J1935">
        <v>415</v>
      </c>
      <c r="K1935" t="s">
        <v>15</v>
      </c>
    </row>
    <row r="1936" spans="1:11" x14ac:dyDescent="0.2">
      <c r="A1936" t="s">
        <v>3987</v>
      </c>
      <c r="B1936" t="s">
        <v>3988</v>
      </c>
      <c r="C1936" s="2">
        <v>45248</v>
      </c>
      <c r="D1936" s="2">
        <v>45267</v>
      </c>
      <c r="E1936">
        <f t="shared" si="30"/>
        <v>19</v>
      </c>
      <c r="F1936" t="s">
        <v>41</v>
      </c>
      <c r="G1936">
        <v>7368</v>
      </c>
      <c r="H1936">
        <v>302</v>
      </c>
      <c r="I1936" s="3">
        <v>179.18</v>
      </c>
      <c r="J1936">
        <v>33</v>
      </c>
      <c r="K1936" t="s">
        <v>24</v>
      </c>
    </row>
    <row r="1937" spans="1:11" x14ac:dyDescent="0.2">
      <c r="A1937" t="s">
        <v>3989</v>
      </c>
      <c r="B1937" t="s">
        <v>3990</v>
      </c>
      <c r="C1937" s="2">
        <v>45098</v>
      </c>
      <c r="D1937" s="2">
        <v>45116</v>
      </c>
      <c r="E1937">
        <f t="shared" si="30"/>
        <v>18</v>
      </c>
      <c r="F1937" t="s">
        <v>19</v>
      </c>
      <c r="G1937">
        <v>28424</v>
      </c>
      <c r="H1937">
        <v>979</v>
      </c>
      <c r="I1937">
        <v>-1697.64</v>
      </c>
      <c r="J1937">
        <v>96</v>
      </c>
      <c r="K1937" t="s">
        <v>30</v>
      </c>
    </row>
    <row r="1938" spans="1:11" x14ac:dyDescent="0.2">
      <c r="A1938" t="s">
        <v>3991</v>
      </c>
      <c r="B1938" t="s">
        <v>3992</v>
      </c>
      <c r="C1938" s="2">
        <v>44955</v>
      </c>
      <c r="D1938" s="2">
        <v>44973</v>
      </c>
      <c r="E1938">
        <f t="shared" si="30"/>
        <v>18</v>
      </c>
      <c r="F1938" t="s">
        <v>23</v>
      </c>
      <c r="G1938">
        <v>46004</v>
      </c>
      <c r="H1938">
        <v>2037</v>
      </c>
      <c r="I1938" s="3">
        <v>1969.93</v>
      </c>
      <c r="J1938">
        <v>329</v>
      </c>
      <c r="K1938" t="s">
        <v>15</v>
      </c>
    </row>
    <row r="1939" spans="1:11" x14ac:dyDescent="0.2">
      <c r="A1939" t="s">
        <v>3993</v>
      </c>
      <c r="B1939" t="s">
        <v>3994</v>
      </c>
      <c r="C1939" s="2">
        <v>45274</v>
      </c>
      <c r="D1939" s="2">
        <v>45303</v>
      </c>
      <c r="E1939">
        <f t="shared" si="30"/>
        <v>29</v>
      </c>
      <c r="F1939" t="s">
        <v>14</v>
      </c>
      <c r="G1939">
        <v>84869</v>
      </c>
      <c r="H1939">
        <v>3134</v>
      </c>
      <c r="I1939">
        <v>3455.38</v>
      </c>
      <c r="J1939">
        <v>194</v>
      </c>
      <c r="K1939" t="s">
        <v>24</v>
      </c>
    </row>
    <row r="1940" spans="1:11" x14ac:dyDescent="0.2">
      <c r="A1940" t="s">
        <v>3995</v>
      </c>
      <c r="B1940" t="s">
        <v>3996</v>
      </c>
      <c r="C1940" s="2">
        <v>45033</v>
      </c>
      <c r="D1940" s="2">
        <v>45062</v>
      </c>
      <c r="E1940">
        <f t="shared" si="30"/>
        <v>29</v>
      </c>
      <c r="F1940" t="s">
        <v>41</v>
      </c>
      <c r="G1940">
        <v>89652</v>
      </c>
      <c r="H1940">
        <v>2360</v>
      </c>
      <c r="I1940">
        <v>2959.74</v>
      </c>
      <c r="J1940">
        <v>135</v>
      </c>
      <c r="K1940" t="s">
        <v>24</v>
      </c>
    </row>
    <row r="1941" spans="1:11" x14ac:dyDescent="0.2">
      <c r="A1941" t="s">
        <v>3997</v>
      </c>
      <c r="B1941" t="s">
        <v>3998</v>
      </c>
      <c r="C1941" s="2">
        <v>44933</v>
      </c>
      <c r="D1941" s="2">
        <v>45135</v>
      </c>
      <c r="E1941">
        <f t="shared" si="30"/>
        <v>202</v>
      </c>
      <c r="F1941" t="s">
        <v>23</v>
      </c>
      <c r="G1941">
        <v>57985</v>
      </c>
      <c r="H1941">
        <v>2633</v>
      </c>
      <c r="I1941">
        <v>4631.92</v>
      </c>
      <c r="J1941">
        <v>308</v>
      </c>
      <c r="K1941">
        <v>0</v>
      </c>
    </row>
    <row r="1942" spans="1:11" x14ac:dyDescent="0.2">
      <c r="A1942" t="s">
        <v>3999</v>
      </c>
      <c r="B1942" t="s">
        <v>4000</v>
      </c>
      <c r="C1942" s="2">
        <v>45003</v>
      </c>
      <c r="D1942" s="2">
        <v>45027</v>
      </c>
      <c r="E1942">
        <f t="shared" si="30"/>
        <v>24</v>
      </c>
      <c r="F1942" t="s">
        <v>14</v>
      </c>
      <c r="G1942">
        <v>51069</v>
      </c>
      <c r="H1942">
        <v>963</v>
      </c>
      <c r="I1942" s="3">
        <v>1421.63</v>
      </c>
      <c r="J1942">
        <v>112</v>
      </c>
      <c r="K1942" t="s">
        <v>30</v>
      </c>
    </row>
    <row r="1943" spans="1:11" x14ac:dyDescent="0.2">
      <c r="A1943" t="s">
        <v>4001</v>
      </c>
      <c r="B1943" t="s">
        <v>4002</v>
      </c>
      <c r="C1943" s="2">
        <v>45114</v>
      </c>
      <c r="D1943" s="2">
        <v>45119</v>
      </c>
      <c r="E1943">
        <f t="shared" si="30"/>
        <v>5</v>
      </c>
      <c r="F1943" t="s">
        <v>41</v>
      </c>
      <c r="G1943">
        <v>53326</v>
      </c>
      <c r="H1943">
        <v>2057</v>
      </c>
      <c r="I1943">
        <v>2926.28</v>
      </c>
      <c r="J1943">
        <v>379</v>
      </c>
      <c r="K1943">
        <v>1</v>
      </c>
    </row>
    <row r="1944" spans="1:11" x14ac:dyDescent="0.2">
      <c r="A1944" t="s">
        <v>4003</v>
      </c>
      <c r="B1944" t="s">
        <v>4004</v>
      </c>
      <c r="C1944" s="2">
        <v>45219</v>
      </c>
      <c r="D1944" s="2">
        <v>45240</v>
      </c>
      <c r="E1944">
        <f t="shared" si="30"/>
        <v>21</v>
      </c>
      <c r="F1944" t="s">
        <v>14</v>
      </c>
      <c r="G1944">
        <v>82061</v>
      </c>
      <c r="H1944">
        <v>3714</v>
      </c>
      <c r="I1944">
        <v>2835.67</v>
      </c>
      <c r="J1944">
        <v>255</v>
      </c>
      <c r="K1944">
        <v>1</v>
      </c>
    </row>
    <row r="1945" spans="1:11" x14ac:dyDescent="0.2">
      <c r="A1945" t="s">
        <v>4005</v>
      </c>
      <c r="B1945" t="s">
        <v>4006</v>
      </c>
      <c r="C1945" s="2">
        <v>44986</v>
      </c>
      <c r="D1945" s="2">
        <v>45008</v>
      </c>
      <c r="E1945">
        <f t="shared" si="30"/>
        <v>22</v>
      </c>
      <c r="F1945" t="s">
        <v>33</v>
      </c>
      <c r="G1945">
        <v>24398</v>
      </c>
      <c r="H1945">
        <v>957</v>
      </c>
      <c r="I1945">
        <v>1215.18</v>
      </c>
      <c r="J1945">
        <v>65</v>
      </c>
      <c r="K1945" t="b">
        <v>1</v>
      </c>
    </row>
    <row r="1946" spans="1:11" x14ac:dyDescent="0.2">
      <c r="A1946" t="s">
        <v>4007</v>
      </c>
      <c r="B1946" t="s">
        <v>4008</v>
      </c>
      <c r="C1946" s="2">
        <v>45288</v>
      </c>
      <c r="D1946" s="2">
        <v>45299</v>
      </c>
      <c r="E1946">
        <f t="shared" si="30"/>
        <v>11</v>
      </c>
      <c r="F1946" t="s">
        <v>14</v>
      </c>
      <c r="G1946">
        <v>99393</v>
      </c>
      <c r="H1946">
        <v>3766</v>
      </c>
      <c r="I1946">
        <v>5924.19</v>
      </c>
      <c r="J1946">
        <v>271</v>
      </c>
      <c r="K1946" t="s">
        <v>15</v>
      </c>
    </row>
    <row r="1947" spans="1:11" x14ac:dyDescent="0.2">
      <c r="A1947" t="s">
        <v>4009</v>
      </c>
      <c r="B1947" t="s">
        <v>4010</v>
      </c>
      <c r="C1947" s="2">
        <v>45066</v>
      </c>
      <c r="D1947" s="2">
        <v>45083</v>
      </c>
      <c r="E1947">
        <f t="shared" si="30"/>
        <v>17</v>
      </c>
      <c r="F1947" t="s">
        <v>14</v>
      </c>
      <c r="G1947">
        <v>51861</v>
      </c>
      <c r="H1947">
        <v>2079</v>
      </c>
      <c r="I1947">
        <v>4074.61</v>
      </c>
      <c r="J1947">
        <v>113</v>
      </c>
      <c r="K1947" t="b">
        <v>1</v>
      </c>
    </row>
    <row r="1948" spans="1:11" x14ac:dyDescent="0.2">
      <c r="A1948" t="s">
        <v>4011</v>
      </c>
      <c r="B1948" t="s">
        <v>4012</v>
      </c>
      <c r="C1948" s="2">
        <v>45048</v>
      </c>
      <c r="D1948" s="2">
        <v>45053</v>
      </c>
      <c r="E1948">
        <f t="shared" si="30"/>
        <v>5</v>
      </c>
      <c r="F1948" t="s">
        <v>33</v>
      </c>
      <c r="G1948">
        <v>76897</v>
      </c>
      <c r="H1948">
        <v>2199</v>
      </c>
      <c r="I1948">
        <v>1763.84</v>
      </c>
      <c r="J1948">
        <v>133</v>
      </c>
      <c r="K1948" t="b">
        <v>0</v>
      </c>
    </row>
    <row r="1949" spans="1:11" x14ac:dyDescent="0.2">
      <c r="A1949" t="s">
        <v>4013</v>
      </c>
      <c r="B1949" t="s">
        <v>4014</v>
      </c>
      <c r="C1949" s="2">
        <v>45081</v>
      </c>
      <c r="D1949" s="2">
        <v>45103</v>
      </c>
      <c r="E1949">
        <f t="shared" si="30"/>
        <v>22</v>
      </c>
      <c r="F1949" t="s">
        <v>33</v>
      </c>
      <c r="G1949">
        <v>82905</v>
      </c>
      <c r="H1949">
        <v>3727</v>
      </c>
      <c r="I1949">
        <v>1916.85</v>
      </c>
      <c r="J1949">
        <v>555</v>
      </c>
      <c r="K1949">
        <v>1</v>
      </c>
    </row>
    <row r="1950" spans="1:11" x14ac:dyDescent="0.2">
      <c r="A1950" t="s">
        <v>4015</v>
      </c>
      <c r="B1950" t="s">
        <v>4016</v>
      </c>
      <c r="C1950" s="2">
        <v>44984</v>
      </c>
      <c r="D1950" s="2">
        <v>45006</v>
      </c>
      <c r="E1950">
        <f t="shared" si="30"/>
        <v>22</v>
      </c>
      <c r="F1950" t="s">
        <v>14</v>
      </c>
      <c r="G1950">
        <v>69577</v>
      </c>
      <c r="H1950">
        <v>1261</v>
      </c>
      <c r="I1950" s="3">
        <v>772.93</v>
      </c>
      <c r="J1950">
        <v>144</v>
      </c>
      <c r="K1950" t="s">
        <v>15</v>
      </c>
    </row>
    <row r="1951" spans="1:11" x14ac:dyDescent="0.2">
      <c r="A1951" t="s">
        <v>4017</v>
      </c>
      <c r="B1951" t="s">
        <v>4018</v>
      </c>
      <c r="C1951" s="2">
        <v>45030</v>
      </c>
      <c r="D1951" s="2">
        <v>45057</v>
      </c>
      <c r="E1951">
        <f t="shared" si="30"/>
        <v>27</v>
      </c>
      <c r="F1951" t="s">
        <v>33</v>
      </c>
      <c r="G1951">
        <v>66641</v>
      </c>
      <c r="H1951">
        <v>1005</v>
      </c>
      <c r="I1951">
        <v>1069.0999999999999</v>
      </c>
      <c r="J1951">
        <v>165</v>
      </c>
      <c r="K1951">
        <v>0</v>
      </c>
    </row>
    <row r="1952" spans="1:11" x14ac:dyDescent="0.2">
      <c r="A1952" t="s">
        <v>4019</v>
      </c>
      <c r="B1952" t="s">
        <v>4020</v>
      </c>
      <c r="C1952" s="2">
        <v>44939</v>
      </c>
      <c r="D1952" s="2">
        <v>44962</v>
      </c>
      <c r="E1952">
        <f t="shared" si="30"/>
        <v>23</v>
      </c>
      <c r="F1952" t="s">
        <v>19</v>
      </c>
      <c r="G1952">
        <v>10078</v>
      </c>
      <c r="H1952">
        <v>215</v>
      </c>
      <c r="I1952">
        <v>372.13</v>
      </c>
      <c r="J1952">
        <v>42</v>
      </c>
      <c r="K1952" t="b">
        <v>1</v>
      </c>
    </row>
    <row r="1953" spans="1:11" x14ac:dyDescent="0.2">
      <c r="A1953" t="s">
        <v>4021</v>
      </c>
      <c r="B1953" t="s">
        <v>4022</v>
      </c>
      <c r="C1953" s="2">
        <v>45005</v>
      </c>
      <c r="D1953" s="2">
        <v>45024</v>
      </c>
      <c r="E1953">
        <f t="shared" si="30"/>
        <v>19</v>
      </c>
      <c r="F1953" t="s">
        <v>138</v>
      </c>
      <c r="G1953">
        <v>26003</v>
      </c>
      <c r="H1953">
        <v>812</v>
      </c>
      <c r="I1953" s="3">
        <v>414.7</v>
      </c>
      <c r="J1953">
        <v>120</v>
      </c>
      <c r="K1953">
        <v>0</v>
      </c>
    </row>
    <row r="1954" spans="1:11" x14ac:dyDescent="0.2">
      <c r="A1954" t="s">
        <v>4023</v>
      </c>
      <c r="B1954" t="s">
        <v>4024</v>
      </c>
      <c r="C1954" s="2">
        <v>45190</v>
      </c>
      <c r="D1954" s="2">
        <v>45195</v>
      </c>
      <c r="E1954">
        <f t="shared" si="30"/>
        <v>5</v>
      </c>
      <c r="F1954" t="s">
        <v>23</v>
      </c>
      <c r="G1954">
        <v>63768</v>
      </c>
      <c r="H1954">
        <v>1939</v>
      </c>
      <c r="I1954">
        <v>2297.9</v>
      </c>
      <c r="J1954">
        <v>111</v>
      </c>
      <c r="K1954">
        <v>0</v>
      </c>
    </row>
    <row r="1955" spans="1:11" x14ac:dyDescent="0.2">
      <c r="A1955" t="s">
        <v>4025</v>
      </c>
      <c r="B1955" t="s">
        <v>4026</v>
      </c>
      <c r="C1955" s="2">
        <v>44977</v>
      </c>
      <c r="D1955" s="2">
        <v>44999</v>
      </c>
      <c r="E1955">
        <f t="shared" si="30"/>
        <v>22</v>
      </c>
      <c r="F1955" t="s">
        <v>33</v>
      </c>
      <c r="G1955">
        <v>52047</v>
      </c>
      <c r="H1955">
        <v>2228</v>
      </c>
      <c r="I1955">
        <v>2214.29</v>
      </c>
      <c r="K1955">
        <v>0</v>
      </c>
    </row>
    <row r="1956" spans="1:11" x14ac:dyDescent="0.2">
      <c r="A1956" t="s">
        <v>4027</v>
      </c>
      <c r="B1956" t="s">
        <v>4028</v>
      </c>
      <c r="C1956" s="2">
        <v>45273</v>
      </c>
      <c r="D1956" s="2">
        <v>45282</v>
      </c>
      <c r="E1956">
        <f t="shared" si="30"/>
        <v>9</v>
      </c>
      <c r="F1956" t="s">
        <v>33</v>
      </c>
      <c r="G1956">
        <v>72626</v>
      </c>
      <c r="H1956">
        <v>1901</v>
      </c>
      <c r="I1956">
        <v>1100.1500000000001</v>
      </c>
      <c r="J1956">
        <v>346</v>
      </c>
      <c r="K1956" t="b">
        <v>1</v>
      </c>
    </row>
    <row r="1957" spans="1:11" x14ac:dyDescent="0.2">
      <c r="A1957" t="s">
        <v>4029</v>
      </c>
      <c r="B1957" t="s">
        <v>4030</v>
      </c>
      <c r="C1957" s="2">
        <v>44945</v>
      </c>
      <c r="D1957" s="2">
        <v>44971</v>
      </c>
      <c r="E1957">
        <f t="shared" si="30"/>
        <v>26</v>
      </c>
      <c r="F1957" t="s">
        <v>14</v>
      </c>
      <c r="G1957">
        <v>58660</v>
      </c>
      <c r="H1957">
        <v>1723</v>
      </c>
      <c r="I1957">
        <v>2025.14</v>
      </c>
      <c r="J1957">
        <v>222</v>
      </c>
      <c r="K1957" t="b">
        <v>0</v>
      </c>
    </row>
    <row r="1958" spans="1:11" x14ac:dyDescent="0.2">
      <c r="A1958" t="s">
        <v>4031</v>
      </c>
      <c r="B1958" t="s">
        <v>4032</v>
      </c>
      <c r="C1958" s="2">
        <v>45194</v>
      </c>
      <c r="D1958" s="2">
        <v>45214</v>
      </c>
      <c r="E1958">
        <f t="shared" si="30"/>
        <v>20</v>
      </c>
      <c r="F1958" t="s">
        <v>23</v>
      </c>
      <c r="G1958">
        <v>50786</v>
      </c>
      <c r="H1958">
        <v>535</v>
      </c>
      <c r="I1958">
        <v>471.94</v>
      </c>
      <c r="J1958">
        <v>92</v>
      </c>
      <c r="K1958" t="s">
        <v>24</v>
      </c>
    </row>
    <row r="1959" spans="1:11" x14ac:dyDescent="0.2">
      <c r="A1959" t="s">
        <v>4033</v>
      </c>
      <c r="B1959" t="s">
        <v>4034</v>
      </c>
      <c r="C1959" s="2">
        <v>44949</v>
      </c>
      <c r="D1959" s="2">
        <v>44974</v>
      </c>
      <c r="E1959">
        <f t="shared" si="30"/>
        <v>25</v>
      </c>
      <c r="F1959" t="s">
        <v>19</v>
      </c>
      <c r="G1959">
        <v>2925</v>
      </c>
      <c r="H1959">
        <v>77</v>
      </c>
      <c r="I1959">
        <v>79.14</v>
      </c>
      <c r="J1959">
        <v>13</v>
      </c>
      <c r="K1959" t="s">
        <v>24</v>
      </c>
    </row>
    <row r="1960" spans="1:11" x14ac:dyDescent="0.2">
      <c r="A1960" t="s">
        <v>4035</v>
      </c>
      <c r="B1960" t="s">
        <v>4036</v>
      </c>
      <c r="C1960" s="2">
        <v>44971</v>
      </c>
      <c r="D1960" s="2">
        <v>45000</v>
      </c>
      <c r="E1960">
        <f t="shared" si="30"/>
        <v>29</v>
      </c>
      <c r="F1960" t="s">
        <v>14</v>
      </c>
      <c r="G1960">
        <v>84976</v>
      </c>
      <c r="H1960">
        <v>3051</v>
      </c>
      <c r="I1960">
        <v>4754.75</v>
      </c>
      <c r="J1960">
        <v>577</v>
      </c>
      <c r="K1960" t="b">
        <v>1</v>
      </c>
    </row>
    <row r="1961" spans="1:11" x14ac:dyDescent="0.2">
      <c r="A1961" t="s">
        <v>4037</v>
      </c>
      <c r="B1961" t="s">
        <v>4038</v>
      </c>
      <c r="C1961" s="2">
        <v>44979</v>
      </c>
      <c r="D1961" s="2">
        <v>44987</v>
      </c>
      <c r="E1961">
        <f t="shared" si="30"/>
        <v>8</v>
      </c>
      <c r="F1961" t="s">
        <v>19</v>
      </c>
      <c r="G1961">
        <v>27015</v>
      </c>
      <c r="H1961">
        <v>286</v>
      </c>
      <c r="I1961">
        <v>366.75</v>
      </c>
      <c r="J1961">
        <v>55</v>
      </c>
      <c r="K1961" t="s">
        <v>24</v>
      </c>
    </row>
    <row r="1962" spans="1:11" x14ac:dyDescent="0.2">
      <c r="A1962" t="s">
        <v>4039</v>
      </c>
      <c r="B1962" t="s">
        <v>4040</v>
      </c>
      <c r="C1962" s="2">
        <v>45094</v>
      </c>
      <c r="D1962" s="2">
        <v>45175</v>
      </c>
      <c r="E1962">
        <f t="shared" si="30"/>
        <v>81</v>
      </c>
      <c r="F1962" t="s">
        <v>19</v>
      </c>
      <c r="G1962">
        <v>34320</v>
      </c>
      <c r="H1962">
        <v>728</v>
      </c>
      <c r="I1962">
        <v>500.11</v>
      </c>
      <c r="J1962">
        <v>96</v>
      </c>
      <c r="K1962" t="s">
        <v>30</v>
      </c>
    </row>
    <row r="1963" spans="1:11" x14ac:dyDescent="0.2">
      <c r="A1963" t="s">
        <v>4041</v>
      </c>
      <c r="B1963" t="s">
        <v>4042</v>
      </c>
      <c r="C1963" s="2">
        <v>45086</v>
      </c>
      <c r="D1963" s="2">
        <v>45113</v>
      </c>
      <c r="E1963">
        <f t="shared" si="30"/>
        <v>27</v>
      </c>
      <c r="F1963" t="s">
        <v>19</v>
      </c>
      <c r="G1963">
        <v>65881</v>
      </c>
      <c r="H1963">
        <v>1206</v>
      </c>
      <c r="I1963">
        <v>2342.1999999999998</v>
      </c>
      <c r="J1963">
        <v>121</v>
      </c>
      <c r="K1963" t="s">
        <v>24</v>
      </c>
    </row>
    <row r="1964" spans="1:11" x14ac:dyDescent="0.2">
      <c r="A1964" t="s">
        <v>4043</v>
      </c>
      <c r="B1964" t="s">
        <v>4044</v>
      </c>
      <c r="C1964" s="2">
        <v>45029</v>
      </c>
      <c r="D1964" s="2">
        <v>45030</v>
      </c>
      <c r="E1964">
        <f t="shared" si="30"/>
        <v>1</v>
      </c>
      <c r="F1964" t="s">
        <v>138</v>
      </c>
      <c r="G1964">
        <v>91827</v>
      </c>
      <c r="H1964">
        <v>1072</v>
      </c>
      <c r="I1964">
        <v>1558.54</v>
      </c>
      <c r="J1964">
        <v>208</v>
      </c>
      <c r="K1964">
        <v>1</v>
      </c>
    </row>
    <row r="1965" spans="1:11" x14ac:dyDescent="0.2">
      <c r="A1965" t="s">
        <v>4045</v>
      </c>
      <c r="B1965" t="s">
        <v>4046</v>
      </c>
      <c r="C1965" s="2">
        <v>45090</v>
      </c>
      <c r="D1965" s="2">
        <v>45104</v>
      </c>
      <c r="E1965">
        <f t="shared" si="30"/>
        <v>14</v>
      </c>
      <c r="F1965" t="s">
        <v>19</v>
      </c>
      <c r="G1965">
        <v>27289</v>
      </c>
      <c r="H1965">
        <v>796</v>
      </c>
      <c r="I1965">
        <v>1312.45</v>
      </c>
      <c r="J1965">
        <v>105</v>
      </c>
      <c r="K1965" t="b">
        <v>1</v>
      </c>
    </row>
    <row r="1966" spans="1:11" x14ac:dyDescent="0.2">
      <c r="A1966" t="s">
        <v>4047</v>
      </c>
      <c r="B1966" t="s">
        <v>4048</v>
      </c>
      <c r="C1966" s="2">
        <v>45066</v>
      </c>
      <c r="D1966" s="2">
        <v>45082</v>
      </c>
      <c r="E1966">
        <f t="shared" si="30"/>
        <v>16</v>
      </c>
      <c r="F1966" t="s">
        <v>19</v>
      </c>
      <c r="G1966">
        <v>4389</v>
      </c>
      <c r="H1966">
        <v>75</v>
      </c>
      <c r="I1966" s="3">
        <v>46.41</v>
      </c>
      <c r="J1966">
        <v>4</v>
      </c>
      <c r="K1966" t="s">
        <v>24</v>
      </c>
    </row>
    <row r="1967" spans="1:11" x14ac:dyDescent="0.2">
      <c r="A1967" t="s">
        <v>4049</v>
      </c>
      <c r="B1967" t="s">
        <v>4050</v>
      </c>
      <c r="C1967" s="2">
        <v>44934</v>
      </c>
      <c r="D1967" s="2">
        <v>44943</v>
      </c>
      <c r="E1967">
        <f t="shared" si="30"/>
        <v>9</v>
      </c>
      <c r="F1967" t="s">
        <v>41</v>
      </c>
      <c r="G1967">
        <v>26683</v>
      </c>
      <c r="H1967">
        <v>1059</v>
      </c>
      <c r="I1967">
        <v>604.25</v>
      </c>
      <c r="J1967">
        <v>155</v>
      </c>
      <c r="K1967" t="b">
        <v>1</v>
      </c>
    </row>
    <row r="1968" spans="1:11" x14ac:dyDescent="0.2">
      <c r="A1968" t="s">
        <v>4051</v>
      </c>
      <c r="B1968" t="s">
        <v>4052</v>
      </c>
      <c r="C1968" s="2">
        <v>44979</v>
      </c>
      <c r="D1968" s="2">
        <v>44990</v>
      </c>
      <c r="E1968">
        <f t="shared" si="30"/>
        <v>11</v>
      </c>
      <c r="F1968" t="s">
        <v>19</v>
      </c>
      <c r="G1968">
        <v>14629</v>
      </c>
      <c r="H1968">
        <v>642</v>
      </c>
      <c r="I1968">
        <v>339.73</v>
      </c>
      <c r="J1968">
        <v>88</v>
      </c>
      <c r="K1968" t="b">
        <v>0</v>
      </c>
    </row>
    <row r="1969" spans="1:11" x14ac:dyDescent="0.2">
      <c r="A1969" t="s">
        <v>4053</v>
      </c>
      <c r="B1969" t="s">
        <v>4054</v>
      </c>
      <c r="C1969" s="2">
        <v>45090</v>
      </c>
      <c r="D1969" s="2">
        <v>45107</v>
      </c>
      <c r="E1969">
        <f t="shared" si="30"/>
        <v>17</v>
      </c>
      <c r="F1969" t="s">
        <v>14</v>
      </c>
      <c r="G1969">
        <v>62550</v>
      </c>
      <c r="H1969">
        <v>1990</v>
      </c>
      <c r="I1969">
        <v>1558.55</v>
      </c>
      <c r="J1969">
        <v>366</v>
      </c>
      <c r="K1969" t="s">
        <v>30</v>
      </c>
    </row>
    <row r="1970" spans="1:11" x14ac:dyDescent="0.2">
      <c r="A1970" t="s">
        <v>4055</v>
      </c>
      <c r="B1970" t="s">
        <v>4056</v>
      </c>
      <c r="C1970" s="2">
        <v>45072</v>
      </c>
      <c r="D1970" s="2">
        <v>45082</v>
      </c>
      <c r="E1970">
        <f t="shared" si="30"/>
        <v>10</v>
      </c>
      <c r="F1970" t="s">
        <v>14</v>
      </c>
      <c r="G1970">
        <v>25826</v>
      </c>
      <c r="H1970">
        <v>1272</v>
      </c>
      <c r="I1970">
        <v>1426.69</v>
      </c>
      <c r="J1970">
        <v>188</v>
      </c>
      <c r="K1970" t="b">
        <v>1</v>
      </c>
    </row>
    <row r="1971" spans="1:11" x14ac:dyDescent="0.2">
      <c r="A1971" t="s">
        <v>4057</v>
      </c>
      <c r="B1971" t="s">
        <v>4058</v>
      </c>
      <c r="C1971" s="2">
        <v>45086</v>
      </c>
      <c r="D1971" s="2">
        <v>45102</v>
      </c>
      <c r="E1971">
        <f t="shared" si="30"/>
        <v>16</v>
      </c>
      <c r="F1971" t="s">
        <v>41</v>
      </c>
      <c r="G1971">
        <v>27630</v>
      </c>
      <c r="H1971">
        <v>774</v>
      </c>
      <c r="I1971">
        <v>1473.49</v>
      </c>
      <c r="J1971">
        <v>79</v>
      </c>
      <c r="K1971">
        <v>1</v>
      </c>
    </row>
    <row r="1972" spans="1:11" x14ac:dyDescent="0.2">
      <c r="A1972" t="s">
        <v>4059</v>
      </c>
      <c r="B1972" t="s">
        <v>4060</v>
      </c>
      <c r="C1972" s="2">
        <v>45154</v>
      </c>
      <c r="D1972" s="2">
        <v>45178</v>
      </c>
      <c r="E1972">
        <f t="shared" si="30"/>
        <v>24</v>
      </c>
      <c r="F1972" t="s">
        <v>33</v>
      </c>
      <c r="G1972">
        <v>99762</v>
      </c>
      <c r="H1972">
        <v>3046</v>
      </c>
      <c r="I1972">
        <v>3611.31</v>
      </c>
      <c r="J1972">
        <v>593</v>
      </c>
      <c r="K1972" t="s">
        <v>24</v>
      </c>
    </row>
    <row r="1973" spans="1:11" x14ac:dyDescent="0.2">
      <c r="A1973" t="s">
        <v>4062</v>
      </c>
      <c r="B1973" t="s">
        <v>4063</v>
      </c>
      <c r="C1973" s="2">
        <v>44941</v>
      </c>
      <c r="D1973" s="2">
        <v>44954</v>
      </c>
      <c r="E1973">
        <f t="shared" si="30"/>
        <v>13</v>
      </c>
      <c r="F1973" t="s">
        <v>23</v>
      </c>
      <c r="G1973">
        <v>47163</v>
      </c>
      <c r="H1973">
        <v>2337</v>
      </c>
      <c r="I1973">
        <v>2185.9899999999998</v>
      </c>
      <c r="K1973">
        <v>1</v>
      </c>
    </row>
    <row r="1974" spans="1:11" x14ac:dyDescent="0.2">
      <c r="A1974" t="s">
        <v>4064</v>
      </c>
      <c r="B1974" t="s">
        <v>4065</v>
      </c>
      <c r="C1974" s="2">
        <v>44981</v>
      </c>
      <c r="D1974" s="2">
        <v>44983</v>
      </c>
      <c r="E1974">
        <f t="shared" si="30"/>
        <v>2</v>
      </c>
      <c r="F1974" t="s">
        <v>23</v>
      </c>
      <c r="G1974">
        <v>99511</v>
      </c>
      <c r="H1974">
        <v>1916</v>
      </c>
      <c r="I1974">
        <v>2573</v>
      </c>
      <c r="J1974">
        <v>276</v>
      </c>
      <c r="K1974" t="s">
        <v>24</v>
      </c>
    </row>
    <row r="1975" spans="1:11" x14ac:dyDescent="0.2">
      <c r="A1975" t="s">
        <v>4066</v>
      </c>
      <c r="B1975" t="s">
        <v>4067</v>
      </c>
      <c r="C1975" s="2">
        <v>45127</v>
      </c>
      <c r="D1975" s="2">
        <v>45146</v>
      </c>
      <c r="E1975">
        <f t="shared" si="30"/>
        <v>19</v>
      </c>
      <c r="F1975" t="s">
        <v>138</v>
      </c>
      <c r="G1975">
        <v>67435</v>
      </c>
      <c r="H1975">
        <v>3216</v>
      </c>
      <c r="I1975">
        <v>2147.9699999999998</v>
      </c>
      <c r="J1975">
        <v>302</v>
      </c>
      <c r="K1975" t="b">
        <v>1</v>
      </c>
    </row>
    <row r="1976" spans="1:11" x14ac:dyDescent="0.2">
      <c r="A1976" t="s">
        <v>4068</v>
      </c>
      <c r="B1976" t="s">
        <v>4069</v>
      </c>
      <c r="C1976" s="2">
        <v>45230</v>
      </c>
      <c r="D1976" s="2">
        <v>45240</v>
      </c>
      <c r="E1976">
        <f t="shared" si="30"/>
        <v>10</v>
      </c>
      <c r="F1976" t="s">
        <v>41</v>
      </c>
      <c r="G1976">
        <v>12653</v>
      </c>
      <c r="H1976">
        <v>148</v>
      </c>
      <c r="I1976">
        <v>209.31</v>
      </c>
      <c r="J1976">
        <v>15</v>
      </c>
      <c r="K1976">
        <v>0</v>
      </c>
    </row>
    <row r="1977" spans="1:11" x14ac:dyDescent="0.2">
      <c r="A1977" t="s">
        <v>4070</v>
      </c>
      <c r="B1977" t="s">
        <v>4071</v>
      </c>
      <c r="C1977" s="2">
        <v>45155</v>
      </c>
      <c r="D1977" s="2">
        <v>45181</v>
      </c>
      <c r="E1977">
        <f t="shared" si="30"/>
        <v>26</v>
      </c>
      <c r="F1977" t="s">
        <v>14</v>
      </c>
      <c r="G1977">
        <v>28961</v>
      </c>
      <c r="H1977">
        <v>806</v>
      </c>
      <c r="I1977">
        <v>1090.23</v>
      </c>
      <c r="J1977">
        <v>121</v>
      </c>
      <c r="K1977" t="s">
        <v>24</v>
      </c>
    </row>
    <row r="1978" spans="1:11" x14ac:dyDescent="0.2">
      <c r="A1978" t="s">
        <v>4072</v>
      </c>
      <c r="B1978" t="s">
        <v>4073</v>
      </c>
      <c r="C1978" s="2">
        <v>45028</v>
      </c>
      <c r="D1978" s="2">
        <v>45056</v>
      </c>
      <c r="E1978">
        <f t="shared" si="30"/>
        <v>28</v>
      </c>
      <c r="F1978" t="s">
        <v>415</v>
      </c>
      <c r="G1978">
        <v>82941</v>
      </c>
      <c r="H1978">
        <v>1061</v>
      </c>
      <c r="I1978">
        <v>1790.96</v>
      </c>
      <c r="J1978">
        <v>64</v>
      </c>
      <c r="K1978">
        <v>0</v>
      </c>
    </row>
    <row r="1979" spans="1:11" x14ac:dyDescent="0.2">
      <c r="A1979" t="s">
        <v>4074</v>
      </c>
      <c r="B1979" t="s">
        <v>4075</v>
      </c>
      <c r="C1979" s="2">
        <v>44936</v>
      </c>
      <c r="D1979" s="2">
        <v>45209</v>
      </c>
      <c r="E1979">
        <f t="shared" si="30"/>
        <v>273</v>
      </c>
      <c r="F1979" t="s">
        <v>14</v>
      </c>
      <c r="G1979">
        <v>75137</v>
      </c>
      <c r="H1979">
        <v>2943</v>
      </c>
      <c r="I1979">
        <v>5827.23</v>
      </c>
      <c r="J1979">
        <v>260</v>
      </c>
      <c r="K1979" t="s">
        <v>30</v>
      </c>
    </row>
    <row r="1980" spans="1:11" x14ac:dyDescent="0.2">
      <c r="A1980" t="s">
        <v>4076</v>
      </c>
      <c r="B1980" t="s">
        <v>4077</v>
      </c>
      <c r="C1980" s="2">
        <v>45165</v>
      </c>
      <c r="D1980" s="2">
        <v>45169</v>
      </c>
      <c r="E1980">
        <f t="shared" si="30"/>
        <v>4</v>
      </c>
      <c r="F1980" t="s">
        <v>41</v>
      </c>
      <c r="G1980">
        <v>34662</v>
      </c>
      <c r="H1980">
        <v>1190</v>
      </c>
      <c r="I1980">
        <v>1042.81</v>
      </c>
      <c r="J1980">
        <v>186</v>
      </c>
      <c r="K1980">
        <v>1</v>
      </c>
    </row>
    <row r="1981" spans="1:11" x14ac:dyDescent="0.2">
      <c r="A1981" t="s">
        <v>4078</v>
      </c>
      <c r="B1981" t="s">
        <v>4079</v>
      </c>
      <c r="C1981" s="2">
        <v>45284</v>
      </c>
      <c r="D1981" s="2">
        <v>45311</v>
      </c>
      <c r="E1981">
        <f t="shared" si="30"/>
        <v>27</v>
      </c>
      <c r="F1981" t="s">
        <v>33</v>
      </c>
      <c r="G1981">
        <v>99818</v>
      </c>
      <c r="H1981">
        <v>3819</v>
      </c>
      <c r="I1981">
        <v>4829.07</v>
      </c>
      <c r="J1981">
        <v>465</v>
      </c>
      <c r="K1981">
        <v>0</v>
      </c>
    </row>
    <row r="1982" spans="1:11" x14ac:dyDescent="0.2">
      <c r="A1982" t="s">
        <v>4080</v>
      </c>
      <c r="B1982" t="s">
        <v>4081</v>
      </c>
      <c r="C1982" s="2">
        <v>45277</v>
      </c>
      <c r="D1982" s="2">
        <v>45282</v>
      </c>
      <c r="E1982">
        <f t="shared" si="30"/>
        <v>5</v>
      </c>
      <c r="F1982" t="s">
        <v>14</v>
      </c>
      <c r="G1982">
        <v>57446</v>
      </c>
      <c r="H1982">
        <v>1434</v>
      </c>
      <c r="I1982">
        <v>2671.97</v>
      </c>
      <c r="J1982">
        <v>158</v>
      </c>
      <c r="K1982">
        <v>1</v>
      </c>
    </row>
    <row r="1983" spans="1:11" x14ac:dyDescent="0.2">
      <c r="A1983" t="s">
        <v>4082</v>
      </c>
      <c r="B1983" t="s">
        <v>4083</v>
      </c>
      <c r="C1983" s="2">
        <v>45167</v>
      </c>
      <c r="D1983" s="2">
        <v>45185</v>
      </c>
      <c r="E1983">
        <f t="shared" si="30"/>
        <v>18</v>
      </c>
      <c r="F1983" t="s">
        <v>19</v>
      </c>
      <c r="G1983">
        <v>22288</v>
      </c>
      <c r="H1983">
        <v>552</v>
      </c>
      <c r="I1983">
        <v>926.14</v>
      </c>
      <c r="K1983" t="s">
        <v>24</v>
      </c>
    </row>
    <row r="1984" spans="1:11" x14ac:dyDescent="0.2">
      <c r="A1984" t="s">
        <v>4084</v>
      </c>
      <c r="B1984" t="s">
        <v>4085</v>
      </c>
      <c r="C1984" s="2">
        <v>45242</v>
      </c>
      <c r="D1984" s="2">
        <v>45250</v>
      </c>
      <c r="E1984">
        <f t="shared" si="30"/>
        <v>8</v>
      </c>
      <c r="F1984" t="s">
        <v>19</v>
      </c>
      <c r="G1984">
        <v>96081</v>
      </c>
      <c r="H1984">
        <v>1134</v>
      </c>
      <c r="I1984">
        <v>1396.08</v>
      </c>
      <c r="J1984">
        <v>131</v>
      </c>
      <c r="K1984" t="s">
        <v>24</v>
      </c>
    </row>
    <row r="1985" spans="1:11" x14ac:dyDescent="0.2">
      <c r="A1985" t="s">
        <v>4086</v>
      </c>
      <c r="B1985" t="s">
        <v>4087</v>
      </c>
      <c r="C1985" s="2">
        <v>45020</v>
      </c>
      <c r="D1985" s="2">
        <v>45048</v>
      </c>
      <c r="E1985">
        <f t="shared" si="30"/>
        <v>28</v>
      </c>
      <c r="F1985" t="s">
        <v>41</v>
      </c>
      <c r="G1985">
        <v>37877</v>
      </c>
      <c r="H1985">
        <v>908</v>
      </c>
      <c r="I1985">
        <v>1741.6</v>
      </c>
      <c r="J1985">
        <v>150</v>
      </c>
      <c r="K1985" t="s">
        <v>30</v>
      </c>
    </row>
    <row r="1986" spans="1:11" x14ac:dyDescent="0.2">
      <c r="A1986" t="s">
        <v>4088</v>
      </c>
      <c r="B1986" t="s">
        <v>4089</v>
      </c>
      <c r="C1986" s="2">
        <v>45093</v>
      </c>
      <c r="D1986" s="2">
        <v>45119</v>
      </c>
      <c r="E1986">
        <f t="shared" ref="E1986:E2001" si="31">D1986-C1986</f>
        <v>26</v>
      </c>
      <c r="F1986" t="s">
        <v>138</v>
      </c>
      <c r="G1986">
        <v>16313</v>
      </c>
      <c r="H1986">
        <v>769</v>
      </c>
      <c r="I1986">
        <v>450.52</v>
      </c>
      <c r="J1986">
        <v>68</v>
      </c>
      <c r="K1986" t="s">
        <v>24</v>
      </c>
    </row>
    <row r="1987" spans="1:11" x14ac:dyDescent="0.2">
      <c r="A1987" t="s">
        <v>4090</v>
      </c>
      <c r="B1987" t="s">
        <v>4091</v>
      </c>
      <c r="C1987" s="2">
        <v>45170</v>
      </c>
      <c r="D1987" s="2">
        <v>45178</v>
      </c>
      <c r="E1987">
        <f t="shared" si="31"/>
        <v>8</v>
      </c>
      <c r="F1987" t="s">
        <v>41</v>
      </c>
      <c r="G1987">
        <v>81885</v>
      </c>
      <c r="H1987">
        <v>2060</v>
      </c>
      <c r="I1987">
        <v>3906.79</v>
      </c>
      <c r="J1987">
        <v>104</v>
      </c>
      <c r="K1987" t="s">
        <v>30</v>
      </c>
    </row>
    <row r="1988" spans="1:11" x14ac:dyDescent="0.2">
      <c r="A1988" t="s">
        <v>4092</v>
      </c>
      <c r="B1988" t="s">
        <v>4093</v>
      </c>
      <c r="C1988" s="2">
        <v>45014</v>
      </c>
      <c r="D1988" s="2">
        <v>45043</v>
      </c>
      <c r="E1988">
        <f t="shared" si="31"/>
        <v>29</v>
      </c>
      <c r="F1988" t="s">
        <v>19</v>
      </c>
      <c r="G1988">
        <v>73715</v>
      </c>
      <c r="H1988">
        <v>3188</v>
      </c>
      <c r="I1988">
        <v>1835.53</v>
      </c>
      <c r="J1988">
        <v>479</v>
      </c>
      <c r="K1988">
        <v>0</v>
      </c>
    </row>
    <row r="1989" spans="1:11" x14ac:dyDescent="0.2">
      <c r="A1989" t="s">
        <v>4094</v>
      </c>
      <c r="B1989" t="s">
        <v>4095</v>
      </c>
      <c r="C1989" s="2">
        <v>45221</v>
      </c>
      <c r="D1989" s="2">
        <v>45229</v>
      </c>
      <c r="E1989">
        <f t="shared" si="31"/>
        <v>8</v>
      </c>
      <c r="F1989" t="s">
        <v>23</v>
      </c>
      <c r="G1989">
        <v>11326</v>
      </c>
      <c r="H1989">
        <v>494</v>
      </c>
      <c r="I1989">
        <v>652.54999999999995</v>
      </c>
      <c r="J1989">
        <v>96</v>
      </c>
      <c r="K1989" t="s">
        <v>24</v>
      </c>
    </row>
    <row r="1990" spans="1:11" x14ac:dyDescent="0.2">
      <c r="A1990" t="s">
        <v>4096</v>
      </c>
      <c r="B1990" t="s">
        <v>4097</v>
      </c>
      <c r="C1990" s="2">
        <v>45292</v>
      </c>
      <c r="D1990" s="2">
        <v>45307</v>
      </c>
      <c r="E1990">
        <f t="shared" si="31"/>
        <v>15</v>
      </c>
      <c r="F1990" t="s">
        <v>14</v>
      </c>
      <c r="G1990">
        <v>2560</v>
      </c>
      <c r="H1990">
        <v>63</v>
      </c>
      <c r="I1990">
        <v>115.65</v>
      </c>
      <c r="J1990">
        <v>8</v>
      </c>
      <c r="K1990" t="b">
        <v>1</v>
      </c>
    </row>
    <row r="1991" spans="1:11" x14ac:dyDescent="0.2">
      <c r="A1991" t="s">
        <v>4098</v>
      </c>
      <c r="B1991" t="s">
        <v>4099</v>
      </c>
      <c r="C1991" s="2">
        <v>45259</v>
      </c>
      <c r="D1991" s="2">
        <v>45288</v>
      </c>
      <c r="E1991">
        <f t="shared" si="31"/>
        <v>29</v>
      </c>
      <c r="F1991" t="s">
        <v>23</v>
      </c>
      <c r="G1991">
        <v>80148</v>
      </c>
      <c r="H1991">
        <v>2827</v>
      </c>
      <c r="I1991" s="3">
        <v>2527.5700000000002</v>
      </c>
      <c r="J1991">
        <v>192</v>
      </c>
      <c r="K1991" t="s">
        <v>15</v>
      </c>
    </row>
    <row r="1992" spans="1:11" x14ac:dyDescent="0.2">
      <c r="A1992" t="s">
        <v>4100</v>
      </c>
      <c r="B1992" t="s">
        <v>4101</v>
      </c>
      <c r="C1992" s="2">
        <v>45081</v>
      </c>
      <c r="D1992" s="2">
        <v>45086</v>
      </c>
      <c r="E1992">
        <f t="shared" si="31"/>
        <v>5</v>
      </c>
      <c r="F1992" t="s">
        <v>14</v>
      </c>
      <c r="G1992">
        <v>84186</v>
      </c>
      <c r="H1992">
        <v>1163</v>
      </c>
      <c r="I1992">
        <v>1405.34</v>
      </c>
      <c r="J1992">
        <v>114</v>
      </c>
      <c r="K1992" t="b">
        <v>0</v>
      </c>
    </row>
    <row r="1993" spans="1:11" x14ac:dyDescent="0.2">
      <c r="A1993" t="s">
        <v>4102</v>
      </c>
      <c r="B1993" t="s">
        <v>4103</v>
      </c>
      <c r="C1993" s="2">
        <v>45138</v>
      </c>
      <c r="D1993" s="2">
        <v>45168</v>
      </c>
      <c r="E1993">
        <f t="shared" si="31"/>
        <v>30</v>
      </c>
      <c r="F1993" t="s">
        <v>41</v>
      </c>
      <c r="G1993">
        <v>27745</v>
      </c>
      <c r="H1993">
        <v>392</v>
      </c>
      <c r="I1993">
        <v>386.71</v>
      </c>
      <c r="J1993">
        <v>70</v>
      </c>
      <c r="K1993" t="s">
        <v>15</v>
      </c>
    </row>
    <row r="1994" spans="1:11" x14ac:dyDescent="0.2">
      <c r="A1994" t="s">
        <v>4104</v>
      </c>
      <c r="B1994" t="s">
        <v>4105</v>
      </c>
      <c r="C1994" s="2">
        <v>45008</v>
      </c>
      <c r="D1994" s="2">
        <v>45012</v>
      </c>
      <c r="E1994">
        <f t="shared" si="31"/>
        <v>4</v>
      </c>
      <c r="F1994" t="s">
        <v>41</v>
      </c>
      <c r="G1994">
        <v>32890</v>
      </c>
      <c r="H1994">
        <v>392</v>
      </c>
      <c r="I1994" s="3">
        <v>755.86</v>
      </c>
      <c r="J1994">
        <v>33</v>
      </c>
      <c r="K1994" t="s">
        <v>15</v>
      </c>
    </row>
    <row r="1995" spans="1:11" x14ac:dyDescent="0.2">
      <c r="A1995" t="s">
        <v>4106</v>
      </c>
      <c r="B1995" t="s">
        <v>4107</v>
      </c>
      <c r="C1995" s="2">
        <v>45101</v>
      </c>
      <c r="D1995" s="2">
        <v>45124</v>
      </c>
      <c r="E1995">
        <f t="shared" si="31"/>
        <v>23</v>
      </c>
      <c r="F1995" t="s">
        <v>19</v>
      </c>
      <c r="G1995">
        <v>21022</v>
      </c>
      <c r="H1995">
        <v>698</v>
      </c>
      <c r="I1995">
        <v>1211.3599999999999</v>
      </c>
      <c r="J1995">
        <v>98</v>
      </c>
      <c r="K1995">
        <v>1</v>
      </c>
    </row>
    <row r="1996" spans="1:11" x14ac:dyDescent="0.2">
      <c r="A1996" t="s">
        <v>4108</v>
      </c>
      <c r="B1996" t="s">
        <v>4109</v>
      </c>
      <c r="C1996" s="2">
        <v>45147</v>
      </c>
      <c r="D1996" s="2">
        <v>45165</v>
      </c>
      <c r="E1996">
        <f t="shared" si="31"/>
        <v>18</v>
      </c>
      <c r="F1996" t="s">
        <v>14</v>
      </c>
      <c r="G1996">
        <v>53579</v>
      </c>
      <c r="H1996">
        <v>1448</v>
      </c>
      <c r="I1996">
        <v>2263.9499999999998</v>
      </c>
      <c r="J1996">
        <v>159</v>
      </c>
      <c r="K1996" t="s">
        <v>30</v>
      </c>
    </row>
    <row r="1997" spans="1:11" x14ac:dyDescent="0.2">
      <c r="A1997" t="s">
        <v>4110</v>
      </c>
      <c r="B1997" t="s">
        <v>4111</v>
      </c>
      <c r="C1997" s="2">
        <v>45102</v>
      </c>
      <c r="D1997" s="2">
        <v>45119</v>
      </c>
      <c r="E1997">
        <f t="shared" si="31"/>
        <v>17</v>
      </c>
      <c r="F1997" t="s">
        <v>41</v>
      </c>
      <c r="G1997">
        <v>71316</v>
      </c>
      <c r="H1997">
        <v>2276</v>
      </c>
      <c r="I1997">
        <v>3144.16</v>
      </c>
      <c r="J1997">
        <v>184</v>
      </c>
      <c r="K1997">
        <v>1</v>
      </c>
    </row>
    <row r="1998" spans="1:11" x14ac:dyDescent="0.2">
      <c r="A1998" t="s">
        <v>4112</v>
      </c>
      <c r="B1998" t="s">
        <v>4113</v>
      </c>
      <c r="C1998" s="2">
        <v>45266</v>
      </c>
      <c r="D1998" s="2">
        <v>45278</v>
      </c>
      <c r="E1998">
        <f t="shared" si="31"/>
        <v>12</v>
      </c>
      <c r="F1998" t="s">
        <v>19</v>
      </c>
      <c r="G1998">
        <v>84847</v>
      </c>
      <c r="H1998">
        <v>2616</v>
      </c>
      <c r="I1998">
        <v>4528</v>
      </c>
      <c r="J1998">
        <v>449</v>
      </c>
      <c r="K1998">
        <v>0</v>
      </c>
    </row>
    <row r="1999" spans="1:11" x14ac:dyDescent="0.2">
      <c r="A1999" t="s">
        <v>4114</v>
      </c>
      <c r="B1999" t="s">
        <v>4115</v>
      </c>
      <c r="C1999" s="2">
        <v>45291</v>
      </c>
      <c r="D1999" s="2">
        <v>45305</v>
      </c>
      <c r="E1999">
        <f t="shared" si="31"/>
        <v>14</v>
      </c>
      <c r="F1999" t="s">
        <v>33</v>
      </c>
      <c r="G1999">
        <v>29380</v>
      </c>
      <c r="H1999">
        <v>705</v>
      </c>
      <c r="I1999">
        <v>767.32</v>
      </c>
      <c r="K1999" t="b">
        <v>0</v>
      </c>
    </row>
    <row r="2000" spans="1:11" x14ac:dyDescent="0.2">
      <c r="A2000" t="s">
        <v>4116</v>
      </c>
      <c r="B2000" t="s">
        <v>4117</v>
      </c>
      <c r="C2000" s="2">
        <v>45230</v>
      </c>
      <c r="D2000" s="2">
        <v>45254</v>
      </c>
      <c r="E2000">
        <f t="shared" si="31"/>
        <v>24</v>
      </c>
      <c r="F2000" t="s">
        <v>33</v>
      </c>
      <c r="G2000">
        <v>3356</v>
      </c>
      <c r="H2000">
        <v>124</v>
      </c>
      <c r="I2000">
        <v>145.24</v>
      </c>
      <c r="J2000">
        <v>18</v>
      </c>
      <c r="K2000">
        <v>0</v>
      </c>
    </row>
    <row r="2001" spans="1:11" x14ac:dyDescent="0.2">
      <c r="A2001" t="s">
        <v>4118</v>
      </c>
      <c r="B2001" t="s">
        <v>4119</v>
      </c>
      <c r="C2001" s="2">
        <v>44976</v>
      </c>
      <c r="D2001" s="2">
        <v>44989</v>
      </c>
      <c r="E2001">
        <f t="shared" si="31"/>
        <v>13</v>
      </c>
      <c r="F2001" t="s">
        <v>14</v>
      </c>
      <c r="G2001">
        <v>71326</v>
      </c>
      <c r="H2001">
        <v>2877</v>
      </c>
      <c r="I2001">
        <v>4588.82</v>
      </c>
      <c r="J2001">
        <v>245</v>
      </c>
      <c r="K2001" t="b">
        <v>1</v>
      </c>
    </row>
  </sheetData>
  <autoFilter ref="A1:K2001" xr:uid="{9CCC702C-AD27-4934-B545-22AD51B83F2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79827-DF77-4D2C-9FB6-25ED0AF68DBB}">
  <dimension ref="A1:AB2001"/>
  <sheetViews>
    <sheetView topLeftCell="F1" zoomScale="150" zoomScaleNormal="150" workbookViewId="0">
      <selection activeCell="Q2" sqref="Q2"/>
    </sheetView>
  </sheetViews>
  <sheetFormatPr defaultRowHeight="14.25" x14ac:dyDescent="0.2"/>
  <cols>
    <col min="1" max="1" width="16.5" bestFit="1" customWidth="1"/>
    <col min="2" max="2" width="24.625" bestFit="1" customWidth="1"/>
    <col min="3" max="4" width="14.5" customWidth="1"/>
    <col min="5" max="5" width="22.625" customWidth="1"/>
    <col min="6" max="6" width="11.125" bestFit="1" customWidth="1"/>
    <col min="7" max="7" width="14.5" bestFit="1" customWidth="1"/>
    <col min="8" max="8" width="9.5" bestFit="1" customWidth="1"/>
    <col min="9" max="9" width="14.75" bestFit="1" customWidth="1"/>
    <col min="10" max="10" width="8.875" bestFit="1" customWidth="1"/>
    <col min="11" max="11" width="15.875" customWidth="1"/>
    <col min="12" max="12" width="14.125" customWidth="1"/>
    <col min="13" max="13" width="17" customWidth="1"/>
    <col min="16" max="16" width="17.25" customWidth="1"/>
    <col min="17" max="17" width="11.5" customWidth="1"/>
    <col min="18" max="18" width="16.5" customWidth="1"/>
    <col min="24" max="24" width="52.5" customWidth="1"/>
  </cols>
  <sheetData>
    <row r="1" spans="1:28" ht="15.75" x14ac:dyDescent="0.25">
      <c r="A1" s="4" t="s">
        <v>0</v>
      </c>
      <c r="B1" s="4" t="s">
        <v>1</v>
      </c>
      <c r="C1" s="5" t="s">
        <v>4126</v>
      </c>
      <c r="D1" s="5" t="s">
        <v>4134</v>
      </c>
      <c r="E1" s="4" t="s">
        <v>4127</v>
      </c>
      <c r="F1" s="4" t="s">
        <v>4</v>
      </c>
      <c r="G1" s="4" t="s">
        <v>5</v>
      </c>
      <c r="H1" s="4" t="s">
        <v>6</v>
      </c>
      <c r="I1" s="4" t="s">
        <v>8</v>
      </c>
      <c r="J1" s="4" t="s">
        <v>9</v>
      </c>
      <c r="K1" s="4" t="s">
        <v>4128</v>
      </c>
      <c r="L1" s="4" t="s">
        <v>4129</v>
      </c>
      <c r="M1" s="4" t="s">
        <v>4130</v>
      </c>
      <c r="N1" s="4" t="s">
        <v>4131</v>
      </c>
      <c r="O1" s="4" t="s">
        <v>4132</v>
      </c>
      <c r="P1" s="4" t="s">
        <v>4133</v>
      </c>
      <c r="Q1" s="4" t="s">
        <v>4135</v>
      </c>
      <c r="R1" s="4" t="s">
        <v>4140</v>
      </c>
      <c r="S1" s="4" t="s">
        <v>4154</v>
      </c>
      <c r="T1" s="4" t="s">
        <v>4155</v>
      </c>
      <c r="U1" s="4" t="s">
        <v>4123</v>
      </c>
      <c r="V1" s="4"/>
    </row>
    <row r="2" spans="1:28" x14ac:dyDescent="0.2">
      <c r="A2" t="s">
        <v>12</v>
      </c>
      <c r="B2" t="s">
        <v>13</v>
      </c>
      <c r="C2" s="2">
        <v>45254</v>
      </c>
      <c r="D2" t="str">
        <f>TEXT(C2,"mmm")</f>
        <v>Nov</v>
      </c>
      <c r="E2" s="2">
        <v>45273</v>
      </c>
      <c r="F2" t="s">
        <v>14</v>
      </c>
      <c r="G2">
        <v>16795</v>
      </c>
      <c r="H2">
        <v>197</v>
      </c>
      <c r="I2">
        <v>20</v>
      </c>
      <c r="J2" t="b">
        <v>1</v>
      </c>
      <c r="K2" s="10">
        <v>329.13249999999999</v>
      </c>
      <c r="L2" s="6">
        <f>H2/G2</f>
        <v>1.1729681452813338E-2</v>
      </c>
      <c r="M2">
        <f>K2/H2</f>
        <v>1.670723350253807</v>
      </c>
      <c r="N2">
        <f>IFERROR(K2/I2,0)</f>
        <v>16.456624999999999</v>
      </c>
      <c r="O2">
        <f>(50*I2)-K2</f>
        <v>670.86750000000006</v>
      </c>
      <c r="P2">
        <f>I2/H2</f>
        <v>0.10152284263959391</v>
      </c>
      <c r="Q2" t="s">
        <v>4136</v>
      </c>
      <c r="R2" t="s">
        <v>4139</v>
      </c>
      <c r="S2">
        <f>YEAR(marketing_data[[#This Row],[Start_date]])</f>
        <v>2023</v>
      </c>
      <c r="T2" t="str">
        <f>TEXT(marketing_data[[#This Row],[Start_date]],"ddd")</f>
        <v>Fri</v>
      </c>
      <c r="U2">
        <f>marketing_data[[#This Row],[Cleaned End_date]]-marketing_data[[#This Row],[Start_date]]</f>
        <v>19</v>
      </c>
      <c r="X2" t="s">
        <v>4143</v>
      </c>
      <c r="Y2" t="s">
        <v>4136</v>
      </c>
      <c r="Z2">
        <f>COUNTIF($Q$1:$Q$2001,Y2)</f>
        <v>524</v>
      </c>
      <c r="AA2">
        <f>SUMIF($Q$2:$Q$2001,Y2,$K$2:$K$2001)</f>
        <v>859965.01750000007</v>
      </c>
      <c r="AB2">
        <v>499</v>
      </c>
    </row>
    <row r="3" spans="1:28" x14ac:dyDescent="0.2">
      <c r="A3" t="s">
        <v>17</v>
      </c>
      <c r="B3" t="s">
        <v>18</v>
      </c>
      <c r="C3" s="2">
        <v>45052</v>
      </c>
      <c r="D3" t="str">
        <f t="shared" ref="D3:D66" si="0">TEXT(C3,"mmm")</f>
        <v>May</v>
      </c>
      <c r="E3" s="2">
        <v>45058</v>
      </c>
      <c r="F3" t="s">
        <v>19</v>
      </c>
      <c r="G3">
        <v>1860</v>
      </c>
      <c r="H3">
        <v>30</v>
      </c>
      <c r="I3">
        <v>1</v>
      </c>
      <c r="J3" t="b">
        <v>0</v>
      </c>
      <c r="K3" s="10">
        <v>329.13249999999999</v>
      </c>
      <c r="L3" s="6">
        <f t="shared" ref="L3:L66" si="1">H3/G3</f>
        <v>1.6129032258064516E-2</v>
      </c>
      <c r="M3">
        <f t="shared" ref="M3:M66" si="2">K3/H3</f>
        <v>10.971083333333333</v>
      </c>
      <c r="N3">
        <f t="shared" ref="N3:N66" si="3">IFERROR(K3/I3,0)</f>
        <v>329.13249999999999</v>
      </c>
      <c r="O3">
        <f t="shared" ref="O3:O66" si="4">(50*I3)-K3</f>
        <v>-279.13249999999999</v>
      </c>
      <c r="P3">
        <f t="shared" ref="P3:P66" si="5">I3/H3</f>
        <v>3.3333333333333333E-2</v>
      </c>
      <c r="Q3" t="s">
        <v>4137</v>
      </c>
      <c r="R3" t="s">
        <v>4141</v>
      </c>
      <c r="S3">
        <f>YEAR(marketing_data[[#This Row],[Start_date]])</f>
        <v>2023</v>
      </c>
      <c r="T3" t="str">
        <f>TEXT(marketing_data[[#This Row],[Start_date]],"ddd")</f>
        <v>Sat</v>
      </c>
      <c r="U3">
        <f>marketing_data[[#This Row],[Cleaned End_date]]-marketing_data[[#This Row],[Start_date]]</f>
        <v>6</v>
      </c>
      <c r="Y3" t="s">
        <v>4137</v>
      </c>
      <c r="Z3">
        <f t="shared" ref="Z3:Z5" si="6">COUNTIF($Q$1:$Q$2001,Y3)</f>
        <v>469</v>
      </c>
      <c r="AA3">
        <f t="shared" ref="AA3:AA5" si="7">SUMIF($Q$2:$Q$2001,Y3,$K$2:$K$2001)</f>
        <v>833488.07750000083</v>
      </c>
      <c r="AB3">
        <v>508</v>
      </c>
    </row>
    <row r="4" spans="1:28" x14ac:dyDescent="0.2">
      <c r="A4" t="s">
        <v>21</v>
      </c>
      <c r="B4" t="s">
        <v>22</v>
      </c>
      <c r="C4" s="2">
        <v>45273</v>
      </c>
      <c r="D4" t="str">
        <f t="shared" si="0"/>
        <v>Dec</v>
      </c>
      <c r="E4" s="2">
        <v>45280</v>
      </c>
      <c r="F4" t="s">
        <v>23</v>
      </c>
      <c r="G4">
        <v>77820</v>
      </c>
      <c r="H4">
        <v>843</v>
      </c>
      <c r="I4">
        <v>51</v>
      </c>
      <c r="J4" t="b">
        <v>0</v>
      </c>
      <c r="K4" s="10">
        <v>1323.39</v>
      </c>
      <c r="L4" s="6">
        <f t="shared" si="1"/>
        <v>1.0832690824980725E-2</v>
      </c>
      <c r="M4">
        <f t="shared" si="2"/>
        <v>1.5698576512455518</v>
      </c>
      <c r="N4">
        <f t="shared" si="3"/>
        <v>25.948823529411765</v>
      </c>
      <c r="O4">
        <f t="shared" si="4"/>
        <v>1226.6099999999999</v>
      </c>
      <c r="P4">
        <f t="shared" si="5"/>
        <v>6.0498220640569395E-2</v>
      </c>
      <c r="Q4" t="s">
        <v>4138</v>
      </c>
      <c r="R4" t="s">
        <v>4138</v>
      </c>
      <c r="S4">
        <f>YEAR(marketing_data[[#This Row],[Start_date]])</f>
        <v>2023</v>
      </c>
      <c r="T4" t="str">
        <f>TEXT(marketing_data[[#This Row],[Start_date]],"ddd")</f>
        <v>Wed</v>
      </c>
      <c r="U4">
        <f>marketing_data[[#This Row],[Cleaned End_date]]-marketing_data[[#This Row],[Start_date]]</f>
        <v>7</v>
      </c>
      <c r="Y4" t="s">
        <v>4138</v>
      </c>
      <c r="Z4">
        <f t="shared" si="6"/>
        <v>499</v>
      </c>
      <c r="AA4">
        <f t="shared" si="7"/>
        <v>856462.09750000085</v>
      </c>
      <c r="AB4">
        <v>524</v>
      </c>
    </row>
    <row r="5" spans="1:28" x14ac:dyDescent="0.2">
      <c r="A5" t="s">
        <v>26</v>
      </c>
      <c r="B5" t="s">
        <v>27</v>
      </c>
      <c r="C5" s="2">
        <v>45229</v>
      </c>
      <c r="D5" t="str">
        <f t="shared" si="0"/>
        <v>Oct</v>
      </c>
      <c r="E5" s="2">
        <v>45233</v>
      </c>
      <c r="F5" t="s">
        <v>14</v>
      </c>
      <c r="G5">
        <v>55886</v>
      </c>
      <c r="H5">
        <v>2019</v>
      </c>
      <c r="I5">
        <v>135</v>
      </c>
      <c r="J5" t="b">
        <v>1</v>
      </c>
      <c r="K5" s="10">
        <v>2180.38</v>
      </c>
      <c r="L5" s="6">
        <f t="shared" si="1"/>
        <v>3.6127115914540313E-2</v>
      </c>
      <c r="M5">
        <f t="shared" si="2"/>
        <v>1.0799306587419515</v>
      </c>
      <c r="N5">
        <f t="shared" si="3"/>
        <v>16.150962962962964</v>
      </c>
      <c r="O5">
        <f t="shared" si="4"/>
        <v>4569.62</v>
      </c>
      <c r="P5">
        <f t="shared" si="5"/>
        <v>6.6864784546805348E-2</v>
      </c>
      <c r="Q5" t="s">
        <v>4136</v>
      </c>
      <c r="R5" t="s">
        <v>4142</v>
      </c>
      <c r="S5">
        <f>YEAR(marketing_data[[#This Row],[Start_date]])</f>
        <v>2023</v>
      </c>
      <c r="T5" t="str">
        <f>TEXT(marketing_data[[#This Row],[Start_date]],"ddd")</f>
        <v>Mon</v>
      </c>
      <c r="U5">
        <f>marketing_data[[#This Row],[Cleaned End_date]]-marketing_data[[#This Row],[Start_date]]</f>
        <v>4</v>
      </c>
      <c r="Y5" t="s">
        <v>4144</v>
      </c>
      <c r="Z5">
        <f t="shared" si="6"/>
        <v>508</v>
      </c>
      <c r="AA5">
        <f t="shared" si="7"/>
        <v>872148.77249999845</v>
      </c>
      <c r="AB5">
        <v>469</v>
      </c>
    </row>
    <row r="6" spans="1:28" x14ac:dyDescent="0.2">
      <c r="A6" t="s">
        <v>28</v>
      </c>
      <c r="B6" t="s">
        <v>29</v>
      </c>
      <c r="C6" s="2">
        <v>45038</v>
      </c>
      <c r="D6" t="str">
        <f t="shared" si="0"/>
        <v>Apr</v>
      </c>
      <c r="E6" s="2">
        <v>45039</v>
      </c>
      <c r="F6" t="s">
        <v>19</v>
      </c>
      <c r="G6">
        <v>7265</v>
      </c>
      <c r="H6">
        <v>169</v>
      </c>
      <c r="I6">
        <v>30</v>
      </c>
      <c r="J6" t="b">
        <v>1</v>
      </c>
      <c r="K6" s="10">
        <v>329.13249999999999</v>
      </c>
      <c r="L6" s="6">
        <f t="shared" si="1"/>
        <v>2.3262216104611148E-2</v>
      </c>
      <c r="M6">
        <f t="shared" si="2"/>
        <v>1.9475295857988166</v>
      </c>
      <c r="N6">
        <f t="shared" si="3"/>
        <v>10.971083333333333</v>
      </c>
      <c r="O6">
        <f t="shared" si="4"/>
        <v>1170.8675000000001</v>
      </c>
      <c r="P6">
        <f t="shared" si="5"/>
        <v>0.17751479289940827</v>
      </c>
      <c r="Q6" t="s">
        <v>4137</v>
      </c>
      <c r="R6" t="s">
        <v>4138</v>
      </c>
      <c r="S6">
        <f>YEAR(marketing_data[[#This Row],[Start_date]])</f>
        <v>2023</v>
      </c>
      <c r="T6" t="str">
        <f>TEXT(marketing_data[[#This Row],[Start_date]],"ddd")</f>
        <v>Sat</v>
      </c>
      <c r="U6">
        <f>marketing_data[[#This Row],[Cleaned End_date]]-marketing_data[[#This Row],[Start_date]]</f>
        <v>1</v>
      </c>
    </row>
    <row r="7" spans="1:28" x14ac:dyDescent="0.2">
      <c r="A7" t="s">
        <v>31</v>
      </c>
      <c r="B7" t="s">
        <v>32</v>
      </c>
      <c r="C7" s="2">
        <v>45214</v>
      </c>
      <c r="D7" t="str">
        <f t="shared" si="0"/>
        <v>Oct</v>
      </c>
      <c r="E7" s="2">
        <v>45227</v>
      </c>
      <c r="F7" t="s">
        <v>33</v>
      </c>
      <c r="G7">
        <v>83386</v>
      </c>
      <c r="H7">
        <v>2643</v>
      </c>
      <c r="J7" t="b">
        <v>1</v>
      </c>
      <c r="K7" s="10">
        <v>2697.03</v>
      </c>
      <c r="L7" s="6">
        <f t="shared" si="1"/>
        <v>3.1695968148130381E-2</v>
      </c>
      <c r="M7">
        <f t="shared" si="2"/>
        <v>1.0204426787741203</v>
      </c>
      <c r="N7">
        <f t="shared" si="3"/>
        <v>0</v>
      </c>
      <c r="O7">
        <f t="shared" si="4"/>
        <v>-2697.03</v>
      </c>
      <c r="P7">
        <f t="shared" si="5"/>
        <v>0</v>
      </c>
      <c r="Q7" t="s">
        <v>4136</v>
      </c>
      <c r="R7" t="s">
        <v>4142</v>
      </c>
      <c r="S7">
        <f>YEAR(marketing_data[[#This Row],[Start_date]])</f>
        <v>2023</v>
      </c>
      <c r="T7" t="str">
        <f>TEXT(marketing_data[[#This Row],[Start_date]],"ddd")</f>
        <v>Sun</v>
      </c>
      <c r="U7">
        <f>marketing_data[[#This Row],[Cleaned End_date]]-marketing_data[[#This Row],[Start_date]]</f>
        <v>13</v>
      </c>
    </row>
    <row r="8" spans="1:28" x14ac:dyDescent="0.2">
      <c r="A8" t="s">
        <v>35</v>
      </c>
      <c r="B8" t="s">
        <v>36</v>
      </c>
      <c r="C8" s="2">
        <v>45206</v>
      </c>
      <c r="D8" t="str">
        <f t="shared" si="0"/>
        <v>Oct</v>
      </c>
      <c r="E8" s="2">
        <v>45222</v>
      </c>
      <c r="F8" t="s">
        <v>19</v>
      </c>
      <c r="G8">
        <v>38194</v>
      </c>
      <c r="H8">
        <v>1135</v>
      </c>
      <c r="I8">
        <v>178</v>
      </c>
      <c r="J8" t="b">
        <v>1</v>
      </c>
      <c r="K8" s="10">
        <v>1232.76</v>
      </c>
      <c r="L8" s="6">
        <f t="shared" si="1"/>
        <v>2.9716709430800649E-2</v>
      </c>
      <c r="M8">
        <f t="shared" si="2"/>
        <v>1.0861321585903083</v>
      </c>
      <c r="N8">
        <f t="shared" si="3"/>
        <v>6.9256179775280895</v>
      </c>
      <c r="O8">
        <f t="shared" si="4"/>
        <v>7667.24</v>
      </c>
      <c r="P8">
        <f t="shared" si="5"/>
        <v>0.15682819383259911</v>
      </c>
      <c r="Q8" t="s">
        <v>4136</v>
      </c>
      <c r="R8" t="s">
        <v>4141</v>
      </c>
      <c r="S8">
        <f>YEAR(marketing_data[[#This Row],[Start_date]])</f>
        <v>2023</v>
      </c>
      <c r="T8" t="str">
        <f>TEXT(marketing_data[[#This Row],[Start_date]],"ddd")</f>
        <v>Sat</v>
      </c>
      <c r="U8">
        <f>marketing_data[[#This Row],[Cleaned End_date]]-marketing_data[[#This Row],[Start_date]]</f>
        <v>16</v>
      </c>
    </row>
    <row r="9" spans="1:28" x14ac:dyDescent="0.2">
      <c r="A9" t="s">
        <v>37</v>
      </c>
      <c r="B9" t="s">
        <v>38</v>
      </c>
      <c r="C9" s="2">
        <v>45069</v>
      </c>
      <c r="D9" t="str">
        <f t="shared" si="0"/>
        <v>May</v>
      </c>
      <c r="E9" s="2">
        <v>45074</v>
      </c>
      <c r="F9" t="s">
        <v>33</v>
      </c>
      <c r="G9">
        <v>88498</v>
      </c>
      <c r="H9">
        <v>1173</v>
      </c>
      <c r="I9">
        <v>127</v>
      </c>
      <c r="J9" t="b">
        <v>1</v>
      </c>
      <c r="K9" s="10">
        <v>865.7</v>
      </c>
      <c r="L9" s="6">
        <f t="shared" si="1"/>
        <v>1.3254536825690976E-2</v>
      </c>
      <c r="M9">
        <f t="shared" si="2"/>
        <v>0.73802216538789434</v>
      </c>
      <c r="N9">
        <f t="shared" si="3"/>
        <v>6.8165354330708663</v>
      </c>
      <c r="O9">
        <f t="shared" si="4"/>
        <v>5484.3</v>
      </c>
      <c r="P9">
        <f t="shared" si="5"/>
        <v>0.1082693947144075</v>
      </c>
      <c r="Q9" t="s">
        <v>4137</v>
      </c>
      <c r="R9" t="s">
        <v>4141</v>
      </c>
      <c r="S9">
        <f>YEAR(marketing_data[[#This Row],[Start_date]])</f>
        <v>2023</v>
      </c>
      <c r="T9" t="str">
        <f>TEXT(marketing_data[[#This Row],[Start_date]],"ddd")</f>
        <v>Tue</v>
      </c>
      <c r="U9">
        <f>marketing_data[[#This Row],[Cleaned End_date]]-marketing_data[[#This Row],[Start_date]]</f>
        <v>5</v>
      </c>
    </row>
    <row r="10" spans="1:28" x14ac:dyDescent="0.2">
      <c r="A10" t="s">
        <v>39</v>
      </c>
      <c r="B10" t="s">
        <v>40</v>
      </c>
      <c r="C10" s="2">
        <v>45008</v>
      </c>
      <c r="D10" t="str">
        <f t="shared" si="0"/>
        <v>Mar</v>
      </c>
      <c r="E10" s="2">
        <v>45017</v>
      </c>
      <c r="F10" t="s">
        <v>41</v>
      </c>
      <c r="G10">
        <v>45131</v>
      </c>
      <c r="H10">
        <v>1179</v>
      </c>
      <c r="I10">
        <v>104</v>
      </c>
      <c r="J10" t="b">
        <v>1</v>
      </c>
      <c r="K10" s="10">
        <v>1046.18</v>
      </c>
      <c r="L10" s="6">
        <f t="shared" si="1"/>
        <v>2.6123950278079369E-2</v>
      </c>
      <c r="M10">
        <f t="shared" si="2"/>
        <v>0.88734520780322312</v>
      </c>
      <c r="N10">
        <f t="shared" si="3"/>
        <v>10.059423076923078</v>
      </c>
      <c r="O10">
        <f t="shared" si="4"/>
        <v>4153.82</v>
      </c>
      <c r="P10">
        <f t="shared" si="5"/>
        <v>8.8210347752332482E-2</v>
      </c>
      <c r="Q10" t="s">
        <v>4137</v>
      </c>
      <c r="R10" t="s">
        <v>4142</v>
      </c>
      <c r="S10">
        <f>YEAR(marketing_data[[#This Row],[Start_date]])</f>
        <v>2023</v>
      </c>
      <c r="T10" t="str">
        <f>TEXT(marketing_data[[#This Row],[Start_date]],"ddd")</f>
        <v>Thu</v>
      </c>
      <c r="U10">
        <f>marketing_data[[#This Row],[Cleaned End_date]]-marketing_data[[#This Row],[Start_date]]</f>
        <v>9</v>
      </c>
    </row>
    <row r="11" spans="1:28" x14ac:dyDescent="0.2">
      <c r="A11" t="s">
        <v>43</v>
      </c>
      <c r="B11" t="s">
        <v>44</v>
      </c>
      <c r="C11" s="2">
        <v>45006</v>
      </c>
      <c r="D11" t="str">
        <f t="shared" si="0"/>
        <v>Mar</v>
      </c>
      <c r="E11" s="2">
        <v>45017</v>
      </c>
      <c r="F11" t="s">
        <v>23</v>
      </c>
      <c r="G11">
        <v>61263</v>
      </c>
      <c r="H11">
        <v>1153</v>
      </c>
      <c r="J11" t="b">
        <v>0</v>
      </c>
      <c r="K11" s="10">
        <v>1623.56</v>
      </c>
      <c r="L11" s="6">
        <f t="shared" si="1"/>
        <v>1.8820495241826225E-2</v>
      </c>
      <c r="M11">
        <f t="shared" si="2"/>
        <v>1.4081179531656547</v>
      </c>
      <c r="N11">
        <f t="shared" si="3"/>
        <v>0</v>
      </c>
      <c r="O11">
        <f t="shared" si="4"/>
        <v>-1623.56</v>
      </c>
      <c r="P11">
        <f t="shared" si="5"/>
        <v>0</v>
      </c>
      <c r="Q11" t="s">
        <v>4137</v>
      </c>
      <c r="R11" t="s">
        <v>4138</v>
      </c>
      <c r="S11">
        <f>YEAR(marketing_data[[#This Row],[Start_date]])</f>
        <v>2023</v>
      </c>
      <c r="T11" t="str">
        <f>TEXT(marketing_data[[#This Row],[Start_date]],"ddd")</f>
        <v>Tue</v>
      </c>
      <c r="U11">
        <f>marketing_data[[#This Row],[Cleaned End_date]]-marketing_data[[#This Row],[Start_date]]</f>
        <v>11</v>
      </c>
    </row>
    <row r="12" spans="1:28" x14ac:dyDescent="0.2">
      <c r="A12" t="s">
        <v>45</v>
      </c>
      <c r="B12" t="s">
        <v>46</v>
      </c>
      <c r="C12" s="2">
        <v>44979</v>
      </c>
      <c r="D12" t="str">
        <f t="shared" si="0"/>
        <v>Feb</v>
      </c>
      <c r="E12" s="2">
        <v>44986</v>
      </c>
      <c r="F12" t="s">
        <v>33</v>
      </c>
      <c r="G12">
        <v>17023</v>
      </c>
      <c r="H12">
        <v>455</v>
      </c>
      <c r="I12">
        <v>76</v>
      </c>
      <c r="J12" t="b">
        <v>1</v>
      </c>
      <c r="K12" s="10">
        <v>523.13</v>
      </c>
      <c r="L12" s="6">
        <f t="shared" si="1"/>
        <v>2.6728543734946836E-2</v>
      </c>
      <c r="M12">
        <f t="shared" si="2"/>
        <v>1.1497362637362638</v>
      </c>
      <c r="N12">
        <f t="shared" si="3"/>
        <v>6.8832894736842105</v>
      </c>
      <c r="O12">
        <f t="shared" si="4"/>
        <v>3276.87</v>
      </c>
      <c r="P12">
        <f t="shared" si="5"/>
        <v>0.16703296703296702</v>
      </c>
      <c r="Q12" t="s">
        <v>4138</v>
      </c>
      <c r="R12" t="s">
        <v>4141</v>
      </c>
      <c r="S12">
        <f>YEAR(marketing_data[[#This Row],[Start_date]])</f>
        <v>2023</v>
      </c>
      <c r="T12" t="str">
        <f>TEXT(marketing_data[[#This Row],[Start_date]],"ddd")</f>
        <v>Wed</v>
      </c>
      <c r="U12">
        <f>marketing_data[[#This Row],[Cleaned End_date]]-marketing_data[[#This Row],[Start_date]]</f>
        <v>7</v>
      </c>
      <c r="X12" t="s">
        <v>4145</v>
      </c>
    </row>
    <row r="13" spans="1:28" x14ac:dyDescent="0.2">
      <c r="A13" t="s">
        <v>48</v>
      </c>
      <c r="B13" t="s">
        <v>49</v>
      </c>
      <c r="C13" s="2">
        <v>44976</v>
      </c>
      <c r="D13" t="str">
        <f t="shared" si="0"/>
        <v>Feb</v>
      </c>
      <c r="E13" s="2">
        <v>44977</v>
      </c>
      <c r="F13" t="s">
        <v>41</v>
      </c>
      <c r="G13">
        <v>42090</v>
      </c>
      <c r="H13">
        <v>763</v>
      </c>
      <c r="I13">
        <v>109</v>
      </c>
      <c r="J13" t="b">
        <v>0</v>
      </c>
      <c r="K13" s="10">
        <v>1267.69</v>
      </c>
      <c r="L13" s="6">
        <f t="shared" si="1"/>
        <v>1.8127821335234023E-2</v>
      </c>
      <c r="M13">
        <f t="shared" si="2"/>
        <v>1.6614547837483618</v>
      </c>
      <c r="N13">
        <f t="shared" si="3"/>
        <v>11.630183486238533</v>
      </c>
      <c r="O13">
        <f t="shared" si="4"/>
        <v>4182.3099999999995</v>
      </c>
      <c r="P13">
        <f t="shared" si="5"/>
        <v>0.14285714285714285</v>
      </c>
      <c r="Q13" t="s">
        <v>4138</v>
      </c>
      <c r="R13" t="s">
        <v>4141</v>
      </c>
      <c r="S13">
        <f>YEAR(marketing_data[[#This Row],[Start_date]])</f>
        <v>2023</v>
      </c>
      <c r="T13" t="str">
        <f>TEXT(marketing_data[[#This Row],[Start_date]],"ddd")</f>
        <v>Sun</v>
      </c>
      <c r="U13">
        <f>marketing_data[[#This Row],[Cleaned End_date]]-marketing_data[[#This Row],[Start_date]]</f>
        <v>1</v>
      </c>
      <c r="X13" t="s">
        <v>4146</v>
      </c>
    </row>
    <row r="14" spans="1:28" x14ac:dyDescent="0.2">
      <c r="A14" t="s">
        <v>50</v>
      </c>
      <c r="B14" t="s">
        <v>51</v>
      </c>
      <c r="C14" s="2">
        <v>45062</v>
      </c>
      <c r="D14" t="str">
        <f t="shared" si="0"/>
        <v>May</v>
      </c>
      <c r="E14" s="2">
        <v>45078</v>
      </c>
      <c r="F14" t="s">
        <v>41</v>
      </c>
      <c r="G14">
        <v>68221</v>
      </c>
      <c r="H14">
        <v>2975</v>
      </c>
      <c r="I14">
        <v>567</v>
      </c>
      <c r="J14" t="b">
        <v>0</v>
      </c>
      <c r="K14" s="10">
        <v>3631.7599999999998</v>
      </c>
      <c r="L14" s="6">
        <f t="shared" si="1"/>
        <v>4.360827311238475E-2</v>
      </c>
      <c r="M14">
        <f t="shared" si="2"/>
        <v>1.2207596638655462</v>
      </c>
      <c r="N14">
        <f t="shared" si="3"/>
        <v>6.4052204585537913</v>
      </c>
      <c r="O14">
        <f t="shared" si="4"/>
        <v>24718.240000000002</v>
      </c>
      <c r="P14">
        <f t="shared" si="5"/>
        <v>0.19058823529411764</v>
      </c>
      <c r="Q14" t="s">
        <v>4137</v>
      </c>
      <c r="R14" t="s">
        <v>4141</v>
      </c>
      <c r="S14">
        <f>YEAR(marketing_data[[#This Row],[Start_date]])</f>
        <v>2023</v>
      </c>
      <c r="T14" t="str">
        <f>TEXT(marketing_data[[#This Row],[Start_date]],"ddd")</f>
        <v>Tue</v>
      </c>
      <c r="U14">
        <f>marketing_data[[#This Row],[Cleaned End_date]]-marketing_data[[#This Row],[Start_date]]</f>
        <v>16</v>
      </c>
      <c r="X14" t="s">
        <v>4147</v>
      </c>
    </row>
    <row r="15" spans="1:28" x14ac:dyDescent="0.2">
      <c r="A15" t="s">
        <v>52</v>
      </c>
      <c r="B15" t="s">
        <v>53</v>
      </c>
      <c r="C15" s="2">
        <v>45201</v>
      </c>
      <c r="D15" t="str">
        <f t="shared" si="0"/>
        <v>Oct</v>
      </c>
      <c r="E15" s="2">
        <v>45214</v>
      </c>
      <c r="F15" t="s">
        <v>14</v>
      </c>
      <c r="G15">
        <v>65820</v>
      </c>
      <c r="H15">
        <v>1116</v>
      </c>
      <c r="I15">
        <v>169</v>
      </c>
      <c r="J15" t="b">
        <v>1</v>
      </c>
      <c r="K15" s="10">
        <v>1464.72</v>
      </c>
      <c r="L15" s="6">
        <f t="shared" si="1"/>
        <v>1.6955332725615314E-2</v>
      </c>
      <c r="M15">
        <f t="shared" si="2"/>
        <v>1.3124731182795699</v>
      </c>
      <c r="N15">
        <f t="shared" si="3"/>
        <v>8.6669822485207106</v>
      </c>
      <c r="O15">
        <f t="shared" si="4"/>
        <v>6985.28</v>
      </c>
      <c r="P15">
        <f t="shared" si="5"/>
        <v>0.15143369175627241</v>
      </c>
      <c r="Q15" t="s">
        <v>4136</v>
      </c>
      <c r="R15" t="s">
        <v>4141</v>
      </c>
      <c r="S15">
        <f>YEAR(marketing_data[[#This Row],[Start_date]])</f>
        <v>2023</v>
      </c>
      <c r="T15" t="str">
        <f>TEXT(marketing_data[[#This Row],[Start_date]],"ddd")</f>
        <v>Mon</v>
      </c>
      <c r="U15">
        <f>marketing_data[[#This Row],[Cleaned End_date]]-marketing_data[[#This Row],[Start_date]]</f>
        <v>13</v>
      </c>
      <c r="X15" t="s">
        <v>4148</v>
      </c>
    </row>
    <row r="16" spans="1:28" x14ac:dyDescent="0.2">
      <c r="A16" t="s">
        <v>54</v>
      </c>
      <c r="B16" t="s">
        <v>55</v>
      </c>
      <c r="C16" s="2">
        <v>44967</v>
      </c>
      <c r="D16" t="str">
        <f t="shared" si="0"/>
        <v>Feb</v>
      </c>
      <c r="E16" s="2">
        <v>44973</v>
      </c>
      <c r="F16" t="s">
        <v>41</v>
      </c>
      <c r="G16">
        <v>1769</v>
      </c>
      <c r="H16">
        <v>85</v>
      </c>
      <c r="I16">
        <v>11</v>
      </c>
      <c r="J16" t="b">
        <v>1</v>
      </c>
      <c r="K16" s="10">
        <v>329.13249999999999</v>
      </c>
      <c r="L16" s="6">
        <f t="shared" si="1"/>
        <v>4.8049745618993785E-2</v>
      </c>
      <c r="M16">
        <f t="shared" si="2"/>
        <v>3.8721470588235292</v>
      </c>
      <c r="N16">
        <f t="shared" si="3"/>
        <v>29.921136363636364</v>
      </c>
      <c r="O16">
        <f t="shared" si="4"/>
        <v>220.86750000000001</v>
      </c>
      <c r="P16">
        <f t="shared" si="5"/>
        <v>0.12941176470588237</v>
      </c>
      <c r="Q16" t="s">
        <v>4138</v>
      </c>
      <c r="R16" t="s">
        <v>4139</v>
      </c>
      <c r="S16">
        <f>YEAR(marketing_data[[#This Row],[Start_date]])</f>
        <v>2023</v>
      </c>
      <c r="T16" t="str">
        <f>TEXT(marketing_data[[#This Row],[Start_date]],"ddd")</f>
        <v>Fri</v>
      </c>
      <c r="U16">
        <f>marketing_data[[#This Row],[Cleaned End_date]]-marketing_data[[#This Row],[Start_date]]</f>
        <v>6</v>
      </c>
      <c r="X16" t="s">
        <v>4149</v>
      </c>
    </row>
    <row r="17" spans="1:24" x14ac:dyDescent="0.2">
      <c r="A17" t="s">
        <v>56</v>
      </c>
      <c r="B17" t="s">
        <v>57</v>
      </c>
      <c r="C17" s="2">
        <v>45243</v>
      </c>
      <c r="D17" t="str">
        <f t="shared" si="0"/>
        <v>Nov</v>
      </c>
      <c r="E17" s="2">
        <v>45253</v>
      </c>
      <c r="F17" t="s">
        <v>23</v>
      </c>
      <c r="G17">
        <v>60735</v>
      </c>
      <c r="H17">
        <v>1617</v>
      </c>
      <c r="I17">
        <v>228</v>
      </c>
      <c r="J17" t="b">
        <v>1</v>
      </c>
      <c r="K17" s="10">
        <v>1552.9</v>
      </c>
      <c r="L17" s="6">
        <f t="shared" si="1"/>
        <v>2.6623857742652506E-2</v>
      </c>
      <c r="M17">
        <f t="shared" si="2"/>
        <v>0.96035868893011755</v>
      </c>
      <c r="N17">
        <f t="shared" si="3"/>
        <v>6.8109649122807019</v>
      </c>
      <c r="O17">
        <f t="shared" si="4"/>
        <v>9847.1</v>
      </c>
      <c r="P17">
        <f t="shared" si="5"/>
        <v>0.14100185528756956</v>
      </c>
      <c r="Q17" t="s">
        <v>4136</v>
      </c>
      <c r="R17" t="s">
        <v>4142</v>
      </c>
      <c r="S17">
        <f>YEAR(marketing_data[[#This Row],[Start_date]])</f>
        <v>2023</v>
      </c>
      <c r="T17" t="str">
        <f>TEXT(marketing_data[[#This Row],[Start_date]],"ddd")</f>
        <v>Mon</v>
      </c>
      <c r="U17">
        <f>marketing_data[[#This Row],[Cleaned End_date]]-marketing_data[[#This Row],[Start_date]]</f>
        <v>10</v>
      </c>
      <c r="X17" t="s">
        <v>4150</v>
      </c>
    </row>
    <row r="18" spans="1:24" x14ac:dyDescent="0.2">
      <c r="A18" t="s">
        <v>60</v>
      </c>
      <c r="B18" t="s">
        <v>61</v>
      </c>
      <c r="C18" s="2">
        <v>45025</v>
      </c>
      <c r="D18" t="str">
        <f t="shared" si="0"/>
        <v>Apr</v>
      </c>
      <c r="E18" s="2">
        <v>45200</v>
      </c>
      <c r="F18" t="s">
        <v>23</v>
      </c>
      <c r="G18">
        <v>63955</v>
      </c>
      <c r="H18">
        <v>2804</v>
      </c>
      <c r="I18">
        <v>536</v>
      </c>
      <c r="J18" t="b">
        <v>0</v>
      </c>
      <c r="K18" s="10">
        <v>3147.37</v>
      </c>
      <c r="L18" s="6">
        <f t="shared" si="1"/>
        <v>4.3843327339535609E-2</v>
      </c>
      <c r="M18">
        <f t="shared" si="2"/>
        <v>1.1224572039942937</v>
      </c>
      <c r="N18">
        <f t="shared" si="3"/>
        <v>5.8719589552238807</v>
      </c>
      <c r="O18">
        <f t="shared" si="4"/>
        <v>23652.63</v>
      </c>
      <c r="P18">
        <f t="shared" si="5"/>
        <v>0.19115549215406563</v>
      </c>
      <c r="Q18" t="s">
        <v>4137</v>
      </c>
      <c r="R18" t="s">
        <v>4138</v>
      </c>
      <c r="S18">
        <f>YEAR(marketing_data[[#This Row],[Start_date]])</f>
        <v>2023</v>
      </c>
      <c r="T18" t="str">
        <f>TEXT(marketing_data[[#This Row],[Start_date]],"ddd")</f>
        <v>Sun</v>
      </c>
      <c r="U18">
        <f>marketing_data[[#This Row],[Cleaned End_date]]-marketing_data[[#This Row],[Start_date]]</f>
        <v>175</v>
      </c>
      <c r="X18" t="s">
        <v>4151</v>
      </c>
    </row>
    <row r="19" spans="1:24" x14ac:dyDescent="0.2">
      <c r="A19" t="s">
        <v>62</v>
      </c>
      <c r="B19" t="s">
        <v>63</v>
      </c>
      <c r="C19" s="2">
        <v>45043</v>
      </c>
      <c r="D19" t="str">
        <f t="shared" si="0"/>
        <v>Apr</v>
      </c>
      <c r="E19" s="2">
        <v>45071</v>
      </c>
      <c r="F19" t="s">
        <v>33</v>
      </c>
      <c r="G19">
        <v>65925</v>
      </c>
      <c r="H19">
        <v>2317</v>
      </c>
      <c r="I19">
        <v>389</v>
      </c>
      <c r="J19" t="b">
        <v>1</v>
      </c>
      <c r="K19" s="10">
        <v>3631.7599999999998</v>
      </c>
      <c r="L19" s="6">
        <f t="shared" si="1"/>
        <v>3.5145999241562378E-2</v>
      </c>
      <c r="M19">
        <f t="shared" si="2"/>
        <v>1.5674406560207164</v>
      </c>
      <c r="N19">
        <f t="shared" si="3"/>
        <v>9.3361439588688935</v>
      </c>
      <c r="O19">
        <f t="shared" si="4"/>
        <v>15818.24</v>
      </c>
      <c r="P19">
        <f t="shared" si="5"/>
        <v>0.16788951230038843</v>
      </c>
      <c r="Q19" t="s">
        <v>4137</v>
      </c>
      <c r="R19" t="s">
        <v>4142</v>
      </c>
      <c r="S19">
        <f>YEAR(marketing_data[[#This Row],[Start_date]])</f>
        <v>2023</v>
      </c>
      <c r="T19" t="str">
        <f>TEXT(marketing_data[[#This Row],[Start_date]],"ddd")</f>
        <v>Thu</v>
      </c>
      <c r="U19">
        <f>marketing_data[[#This Row],[Cleaned End_date]]-marketing_data[[#This Row],[Start_date]]</f>
        <v>28</v>
      </c>
      <c r="X19" t="s">
        <v>4152</v>
      </c>
    </row>
    <row r="20" spans="1:24" x14ac:dyDescent="0.2">
      <c r="A20" t="s">
        <v>64</v>
      </c>
      <c r="B20" t="s">
        <v>65</v>
      </c>
      <c r="C20" s="2">
        <v>45046</v>
      </c>
      <c r="D20" t="str">
        <f t="shared" si="0"/>
        <v>Apr</v>
      </c>
      <c r="E20" s="2">
        <v>45064</v>
      </c>
      <c r="F20" t="s">
        <v>19</v>
      </c>
      <c r="G20">
        <v>68969</v>
      </c>
      <c r="H20">
        <v>2718</v>
      </c>
      <c r="I20">
        <v>145</v>
      </c>
      <c r="J20" t="b">
        <v>0</v>
      </c>
      <c r="K20" s="10">
        <v>2933.59</v>
      </c>
      <c r="L20" s="6">
        <f t="shared" si="1"/>
        <v>3.9409009845002826E-2</v>
      </c>
      <c r="M20">
        <f t="shared" si="2"/>
        <v>1.079319352465048</v>
      </c>
      <c r="N20">
        <f t="shared" si="3"/>
        <v>20.231655172413795</v>
      </c>
      <c r="O20">
        <f t="shared" si="4"/>
        <v>4316.41</v>
      </c>
      <c r="P20">
        <f t="shared" si="5"/>
        <v>5.3348050036791758E-2</v>
      </c>
      <c r="Q20" t="s">
        <v>4137</v>
      </c>
      <c r="R20" t="s">
        <v>4138</v>
      </c>
      <c r="S20">
        <f>YEAR(marketing_data[[#This Row],[Start_date]])</f>
        <v>2023</v>
      </c>
      <c r="T20" t="str">
        <f>TEXT(marketing_data[[#This Row],[Start_date]],"ddd")</f>
        <v>Sun</v>
      </c>
      <c r="U20">
        <f>marketing_data[[#This Row],[Cleaned End_date]]-marketing_data[[#This Row],[Start_date]]</f>
        <v>18</v>
      </c>
      <c r="X20" t="s">
        <v>4153</v>
      </c>
    </row>
    <row r="21" spans="1:24" x14ac:dyDescent="0.2">
      <c r="A21" t="s">
        <v>66</v>
      </c>
      <c r="B21" t="s">
        <v>67</v>
      </c>
      <c r="C21" s="2">
        <v>45159</v>
      </c>
      <c r="D21" t="str">
        <f t="shared" si="0"/>
        <v>Aug</v>
      </c>
      <c r="E21" s="2">
        <v>45168</v>
      </c>
      <c r="F21" t="s">
        <v>23</v>
      </c>
      <c r="G21">
        <v>6311</v>
      </c>
      <c r="H21">
        <v>256</v>
      </c>
      <c r="J21" t="b">
        <v>1</v>
      </c>
      <c r="K21" s="10">
        <v>353.99</v>
      </c>
      <c r="L21" s="6">
        <f t="shared" si="1"/>
        <v>4.0564094438282364E-2</v>
      </c>
      <c r="M21">
        <f t="shared" si="2"/>
        <v>1.3827734375</v>
      </c>
      <c r="N21">
        <f t="shared" si="3"/>
        <v>0</v>
      </c>
      <c r="O21">
        <f t="shared" si="4"/>
        <v>-353.99</v>
      </c>
      <c r="P21">
        <f t="shared" si="5"/>
        <v>0</v>
      </c>
      <c r="Q21" t="s">
        <v>4139</v>
      </c>
      <c r="R21" t="s">
        <v>4139</v>
      </c>
      <c r="S21">
        <f>YEAR(marketing_data[[#This Row],[Start_date]])</f>
        <v>2023</v>
      </c>
      <c r="T21" t="str">
        <f>TEXT(marketing_data[[#This Row],[Start_date]],"ddd")</f>
        <v>Mon</v>
      </c>
      <c r="U21">
        <f>marketing_data[[#This Row],[Cleaned End_date]]-marketing_data[[#This Row],[Start_date]]</f>
        <v>9</v>
      </c>
    </row>
    <row r="22" spans="1:24" x14ac:dyDescent="0.2">
      <c r="A22" t="s">
        <v>69</v>
      </c>
      <c r="B22" t="s">
        <v>70</v>
      </c>
      <c r="C22" s="2">
        <v>45116</v>
      </c>
      <c r="D22" t="str">
        <f t="shared" si="0"/>
        <v>Jul</v>
      </c>
      <c r="E22" s="2">
        <v>45124</v>
      </c>
      <c r="F22" t="s">
        <v>19</v>
      </c>
      <c r="G22">
        <v>84104</v>
      </c>
      <c r="H22">
        <v>2539</v>
      </c>
      <c r="J22" t="b">
        <v>1</v>
      </c>
      <c r="K22" s="10">
        <v>1975.49</v>
      </c>
      <c r="L22" s="6">
        <f t="shared" si="1"/>
        <v>3.0188813849519644E-2</v>
      </c>
      <c r="M22">
        <f t="shared" si="2"/>
        <v>0.77805829066561638</v>
      </c>
      <c r="N22">
        <f t="shared" si="3"/>
        <v>0</v>
      </c>
      <c r="O22">
        <f t="shared" si="4"/>
        <v>-1975.49</v>
      </c>
      <c r="P22">
        <f t="shared" si="5"/>
        <v>0</v>
      </c>
      <c r="Q22" t="s">
        <v>4139</v>
      </c>
      <c r="R22" t="s">
        <v>4142</v>
      </c>
      <c r="S22">
        <f>YEAR(marketing_data[[#This Row],[Start_date]])</f>
        <v>2023</v>
      </c>
      <c r="T22" t="str">
        <f>TEXT(marketing_data[[#This Row],[Start_date]],"ddd")</f>
        <v>Sun</v>
      </c>
      <c r="U22">
        <f>marketing_data[[#This Row],[Cleaned End_date]]-marketing_data[[#This Row],[Start_date]]</f>
        <v>8</v>
      </c>
    </row>
    <row r="23" spans="1:24" x14ac:dyDescent="0.2">
      <c r="A23" t="s">
        <v>71</v>
      </c>
      <c r="B23" t="s">
        <v>72</v>
      </c>
      <c r="C23" s="2">
        <v>45286</v>
      </c>
      <c r="D23" t="str">
        <f t="shared" si="0"/>
        <v>Dec</v>
      </c>
      <c r="E23" s="2">
        <v>45293</v>
      </c>
      <c r="F23" t="s">
        <v>41</v>
      </c>
      <c r="G23">
        <v>54707</v>
      </c>
      <c r="H23">
        <v>1735</v>
      </c>
      <c r="J23" t="b">
        <v>1</v>
      </c>
      <c r="K23" s="10">
        <v>2428.4</v>
      </c>
      <c r="L23" s="6">
        <f t="shared" si="1"/>
        <v>3.1714405834719503E-2</v>
      </c>
      <c r="M23">
        <f t="shared" si="2"/>
        <v>1.3996541786743517</v>
      </c>
      <c r="N23">
        <f t="shared" si="3"/>
        <v>0</v>
      </c>
      <c r="O23">
        <f t="shared" si="4"/>
        <v>-2428.4</v>
      </c>
      <c r="P23">
        <f t="shared" si="5"/>
        <v>0</v>
      </c>
      <c r="Q23" t="s">
        <v>4138</v>
      </c>
      <c r="R23" t="s">
        <v>4142</v>
      </c>
      <c r="S23">
        <f>YEAR(marketing_data[[#This Row],[Start_date]])</f>
        <v>2023</v>
      </c>
      <c r="T23" t="str">
        <f>TEXT(marketing_data[[#This Row],[Start_date]],"ddd")</f>
        <v>Tue</v>
      </c>
      <c r="U23">
        <f>marketing_data[[#This Row],[Cleaned End_date]]-marketing_data[[#This Row],[Start_date]]</f>
        <v>7</v>
      </c>
    </row>
    <row r="24" spans="1:24" x14ac:dyDescent="0.2">
      <c r="A24" t="s">
        <v>73</v>
      </c>
      <c r="B24" t="s">
        <v>74</v>
      </c>
      <c r="C24" s="2">
        <v>45238</v>
      </c>
      <c r="D24" t="str">
        <f t="shared" si="0"/>
        <v>Nov</v>
      </c>
      <c r="E24" s="2">
        <v>45254</v>
      </c>
      <c r="F24" t="s">
        <v>41</v>
      </c>
      <c r="G24">
        <v>86305</v>
      </c>
      <c r="H24">
        <v>2637</v>
      </c>
      <c r="I24">
        <v>216</v>
      </c>
      <c r="J24" t="b">
        <v>0</v>
      </c>
      <c r="K24" s="10">
        <v>3631.7599999999998</v>
      </c>
      <c r="L24" s="6">
        <f t="shared" si="1"/>
        <v>3.0554429059730027E-2</v>
      </c>
      <c r="M24">
        <f t="shared" si="2"/>
        <v>1.3772317026924534</v>
      </c>
      <c r="N24">
        <f t="shared" si="3"/>
        <v>16.813703703703702</v>
      </c>
      <c r="O24">
        <f t="shared" si="4"/>
        <v>7168.24</v>
      </c>
      <c r="P24">
        <f t="shared" si="5"/>
        <v>8.191126279863481E-2</v>
      </c>
      <c r="Q24" t="s">
        <v>4136</v>
      </c>
      <c r="R24" t="s">
        <v>4138</v>
      </c>
      <c r="S24">
        <f>YEAR(marketing_data[[#This Row],[Start_date]])</f>
        <v>2023</v>
      </c>
      <c r="T24" t="str">
        <f>TEXT(marketing_data[[#This Row],[Start_date]],"ddd")</f>
        <v>Wed</v>
      </c>
      <c r="U24">
        <f>marketing_data[[#This Row],[Cleaned End_date]]-marketing_data[[#This Row],[Start_date]]</f>
        <v>16</v>
      </c>
    </row>
    <row r="25" spans="1:24" x14ac:dyDescent="0.2">
      <c r="A25" t="s">
        <v>75</v>
      </c>
      <c r="B25" t="s">
        <v>76</v>
      </c>
      <c r="C25" s="2">
        <v>45052</v>
      </c>
      <c r="D25" t="str">
        <f t="shared" si="0"/>
        <v>May</v>
      </c>
      <c r="E25" s="2">
        <v>45082</v>
      </c>
      <c r="F25" t="s">
        <v>33</v>
      </c>
      <c r="G25">
        <v>29693</v>
      </c>
      <c r="H25">
        <v>995</v>
      </c>
      <c r="I25">
        <v>179</v>
      </c>
      <c r="J25" t="b">
        <v>0</v>
      </c>
      <c r="K25" s="10">
        <v>1793.94</v>
      </c>
      <c r="L25" s="6">
        <f t="shared" si="1"/>
        <v>3.3509581382817497E-2</v>
      </c>
      <c r="M25">
        <f t="shared" si="2"/>
        <v>1.8029547738693468</v>
      </c>
      <c r="N25">
        <f t="shared" si="3"/>
        <v>10.022011173184358</v>
      </c>
      <c r="O25">
        <f t="shared" si="4"/>
        <v>7156.0599999999995</v>
      </c>
      <c r="P25">
        <f t="shared" si="5"/>
        <v>0.17989949748743719</v>
      </c>
      <c r="Q25" t="s">
        <v>4137</v>
      </c>
      <c r="R25" t="s">
        <v>4138</v>
      </c>
      <c r="S25">
        <f>YEAR(marketing_data[[#This Row],[Start_date]])</f>
        <v>2023</v>
      </c>
      <c r="T25" t="str">
        <f>TEXT(marketing_data[[#This Row],[Start_date]],"ddd")</f>
        <v>Sat</v>
      </c>
      <c r="U25">
        <f>marketing_data[[#This Row],[Cleaned End_date]]-marketing_data[[#This Row],[Start_date]]</f>
        <v>30</v>
      </c>
    </row>
    <row r="26" spans="1:24" x14ac:dyDescent="0.2">
      <c r="A26" t="s">
        <v>77</v>
      </c>
      <c r="B26" t="s">
        <v>78</v>
      </c>
      <c r="C26" s="2">
        <v>45254</v>
      </c>
      <c r="D26" t="str">
        <f t="shared" si="0"/>
        <v>Nov</v>
      </c>
      <c r="E26" s="2">
        <v>45278</v>
      </c>
      <c r="F26" t="s">
        <v>23</v>
      </c>
      <c r="G26">
        <v>72932</v>
      </c>
      <c r="H26">
        <v>815</v>
      </c>
      <c r="I26">
        <v>157</v>
      </c>
      <c r="J26" t="b">
        <v>0</v>
      </c>
      <c r="K26" s="10">
        <v>1293.01</v>
      </c>
      <c r="L26" s="6">
        <f t="shared" si="1"/>
        <v>1.1174792957823726E-2</v>
      </c>
      <c r="M26">
        <f t="shared" si="2"/>
        <v>1.586515337423313</v>
      </c>
      <c r="N26">
        <f t="shared" si="3"/>
        <v>8.2357324840764328</v>
      </c>
      <c r="O26">
        <f t="shared" si="4"/>
        <v>6556.99</v>
      </c>
      <c r="P26">
        <f t="shared" si="5"/>
        <v>0.19263803680981595</v>
      </c>
      <c r="Q26" t="s">
        <v>4136</v>
      </c>
      <c r="R26" t="s">
        <v>4138</v>
      </c>
      <c r="S26">
        <f>YEAR(marketing_data[[#This Row],[Start_date]])</f>
        <v>2023</v>
      </c>
      <c r="T26" t="str">
        <f>TEXT(marketing_data[[#This Row],[Start_date]],"ddd")</f>
        <v>Fri</v>
      </c>
      <c r="U26">
        <f>marketing_data[[#This Row],[Cleaned End_date]]-marketing_data[[#This Row],[Start_date]]</f>
        <v>24</v>
      </c>
    </row>
    <row r="27" spans="1:24" x14ac:dyDescent="0.2">
      <c r="A27" t="s">
        <v>79</v>
      </c>
      <c r="B27" t="s">
        <v>80</v>
      </c>
      <c r="C27" s="2">
        <v>45093</v>
      </c>
      <c r="D27" t="str">
        <f t="shared" si="0"/>
        <v>Jun</v>
      </c>
      <c r="E27" s="2">
        <v>45109</v>
      </c>
      <c r="F27" t="s">
        <v>41</v>
      </c>
      <c r="G27">
        <v>94016</v>
      </c>
      <c r="H27">
        <v>2427</v>
      </c>
      <c r="I27">
        <v>207</v>
      </c>
      <c r="J27" t="b">
        <v>0</v>
      </c>
      <c r="K27" s="10">
        <v>3631.7599999999998</v>
      </c>
      <c r="L27" s="6">
        <f t="shared" si="1"/>
        <v>2.5814754935330156E-2</v>
      </c>
      <c r="M27">
        <f t="shared" si="2"/>
        <v>1.4963988463123197</v>
      </c>
      <c r="N27">
        <f t="shared" si="3"/>
        <v>17.544734299516907</v>
      </c>
      <c r="O27">
        <f t="shared" si="4"/>
        <v>6718.24</v>
      </c>
      <c r="P27">
        <f t="shared" si="5"/>
        <v>8.5290482076637822E-2</v>
      </c>
      <c r="Q27" t="s">
        <v>4139</v>
      </c>
      <c r="R27" t="s">
        <v>4138</v>
      </c>
      <c r="S27">
        <f>YEAR(marketing_data[[#This Row],[Start_date]])</f>
        <v>2023</v>
      </c>
      <c r="T27" t="str">
        <f>TEXT(marketing_data[[#This Row],[Start_date]],"ddd")</f>
        <v>Fri</v>
      </c>
      <c r="U27">
        <f>marketing_data[[#This Row],[Cleaned End_date]]-marketing_data[[#This Row],[Start_date]]</f>
        <v>16</v>
      </c>
    </row>
    <row r="28" spans="1:24" x14ac:dyDescent="0.2">
      <c r="A28" t="s">
        <v>81</v>
      </c>
      <c r="B28" t="s">
        <v>82</v>
      </c>
      <c r="C28" s="2">
        <v>45044</v>
      </c>
      <c r="D28" t="str">
        <f t="shared" si="0"/>
        <v>Apr</v>
      </c>
      <c r="E28" s="2">
        <v>45058</v>
      </c>
      <c r="F28" t="s">
        <v>14</v>
      </c>
      <c r="G28">
        <v>26658</v>
      </c>
      <c r="H28">
        <v>912</v>
      </c>
      <c r="I28">
        <v>166</v>
      </c>
      <c r="J28" t="b">
        <v>1</v>
      </c>
      <c r="K28" s="10">
        <v>1219.24</v>
      </c>
      <c r="L28" s="6">
        <f t="shared" si="1"/>
        <v>3.4211118613549404E-2</v>
      </c>
      <c r="M28">
        <f t="shared" si="2"/>
        <v>1.3368859649122806</v>
      </c>
      <c r="N28">
        <f t="shared" si="3"/>
        <v>7.3448192771084342</v>
      </c>
      <c r="O28">
        <f t="shared" si="4"/>
        <v>7080.76</v>
      </c>
      <c r="P28">
        <f t="shared" si="5"/>
        <v>0.18201754385964913</v>
      </c>
      <c r="Q28" t="s">
        <v>4137</v>
      </c>
      <c r="R28" t="s">
        <v>4138</v>
      </c>
      <c r="S28">
        <f>YEAR(marketing_data[[#This Row],[Start_date]])</f>
        <v>2023</v>
      </c>
      <c r="T28" t="str">
        <f>TEXT(marketing_data[[#This Row],[Start_date]],"ddd")</f>
        <v>Fri</v>
      </c>
      <c r="U28">
        <f>marketing_data[[#This Row],[Cleaned End_date]]-marketing_data[[#This Row],[Start_date]]</f>
        <v>14</v>
      </c>
    </row>
    <row r="29" spans="1:24" x14ac:dyDescent="0.2">
      <c r="A29" t="s">
        <v>83</v>
      </c>
      <c r="B29" t="s">
        <v>84</v>
      </c>
      <c r="C29" s="2">
        <v>45132</v>
      </c>
      <c r="D29" t="str">
        <f t="shared" si="0"/>
        <v>Jul</v>
      </c>
      <c r="E29" s="2">
        <v>45146</v>
      </c>
      <c r="F29" t="s">
        <v>23</v>
      </c>
      <c r="G29">
        <v>85478</v>
      </c>
      <c r="H29">
        <v>2898</v>
      </c>
      <c r="I29">
        <v>187</v>
      </c>
      <c r="J29" t="b">
        <v>1</v>
      </c>
      <c r="K29" s="10">
        <v>3631.7599999999998</v>
      </c>
      <c r="L29" s="6">
        <f t="shared" si="1"/>
        <v>3.3903460539554037E-2</v>
      </c>
      <c r="M29">
        <f t="shared" si="2"/>
        <v>1.2531953071083506</v>
      </c>
      <c r="N29">
        <f t="shared" si="3"/>
        <v>19.421176470588232</v>
      </c>
      <c r="O29">
        <f t="shared" si="4"/>
        <v>5718.24</v>
      </c>
      <c r="P29">
        <f t="shared" si="5"/>
        <v>6.4527260179434096E-2</v>
      </c>
      <c r="Q29" t="s">
        <v>4139</v>
      </c>
      <c r="R29" t="s">
        <v>4139</v>
      </c>
      <c r="S29">
        <f>YEAR(marketing_data[[#This Row],[Start_date]])</f>
        <v>2023</v>
      </c>
      <c r="T29" t="str">
        <f>TEXT(marketing_data[[#This Row],[Start_date]],"ddd")</f>
        <v>Tue</v>
      </c>
      <c r="U29">
        <f>marketing_data[[#This Row],[Cleaned End_date]]-marketing_data[[#This Row],[Start_date]]</f>
        <v>14</v>
      </c>
    </row>
    <row r="30" spans="1:24" x14ac:dyDescent="0.2">
      <c r="A30" t="s">
        <v>85</v>
      </c>
      <c r="B30" t="s">
        <v>86</v>
      </c>
      <c r="C30" s="2">
        <v>45217</v>
      </c>
      <c r="D30" t="str">
        <f t="shared" si="0"/>
        <v>Oct</v>
      </c>
      <c r="E30" s="2">
        <v>45245</v>
      </c>
      <c r="F30" t="s">
        <v>33</v>
      </c>
      <c r="G30">
        <v>19431</v>
      </c>
      <c r="H30">
        <v>810</v>
      </c>
      <c r="I30">
        <v>47</v>
      </c>
      <c r="J30" t="b">
        <v>1</v>
      </c>
      <c r="K30" s="10">
        <v>567.39</v>
      </c>
      <c r="L30" s="6">
        <f t="shared" si="1"/>
        <v>4.1685965724872626E-2</v>
      </c>
      <c r="M30">
        <f t="shared" si="2"/>
        <v>0.70048148148148148</v>
      </c>
      <c r="N30">
        <f t="shared" si="3"/>
        <v>12.072127659574468</v>
      </c>
      <c r="O30">
        <f t="shared" si="4"/>
        <v>1782.6100000000001</v>
      </c>
      <c r="P30">
        <f t="shared" si="5"/>
        <v>5.802469135802469E-2</v>
      </c>
      <c r="Q30" t="s">
        <v>4136</v>
      </c>
      <c r="R30" t="s">
        <v>4142</v>
      </c>
      <c r="S30">
        <f>YEAR(marketing_data[[#This Row],[Start_date]])</f>
        <v>2023</v>
      </c>
      <c r="T30" t="str">
        <f>TEXT(marketing_data[[#This Row],[Start_date]],"ddd")</f>
        <v>Wed</v>
      </c>
      <c r="U30">
        <f>marketing_data[[#This Row],[Cleaned End_date]]-marketing_data[[#This Row],[Start_date]]</f>
        <v>28</v>
      </c>
    </row>
    <row r="31" spans="1:24" x14ac:dyDescent="0.2">
      <c r="A31" t="s">
        <v>87</v>
      </c>
      <c r="B31" t="s">
        <v>88</v>
      </c>
      <c r="C31" s="2">
        <v>45262</v>
      </c>
      <c r="D31" t="str">
        <f t="shared" si="0"/>
        <v>Dec</v>
      </c>
      <c r="E31" s="2">
        <v>45268</v>
      </c>
      <c r="F31" t="s">
        <v>33</v>
      </c>
      <c r="G31">
        <v>3747</v>
      </c>
      <c r="H31">
        <v>135</v>
      </c>
      <c r="I31">
        <v>9</v>
      </c>
      <c r="J31" t="b">
        <v>0</v>
      </c>
      <c r="K31" s="10">
        <v>329.13249999999999</v>
      </c>
      <c r="L31" s="6">
        <f t="shared" si="1"/>
        <v>3.6028823058446756E-2</v>
      </c>
      <c r="M31">
        <f t="shared" si="2"/>
        <v>2.4380185185185184</v>
      </c>
      <c r="N31">
        <f t="shared" si="3"/>
        <v>36.570277777777775</v>
      </c>
      <c r="O31">
        <f t="shared" si="4"/>
        <v>120.86750000000001</v>
      </c>
      <c r="P31">
        <f t="shared" si="5"/>
        <v>6.6666666666666666E-2</v>
      </c>
      <c r="Q31" t="s">
        <v>4138</v>
      </c>
      <c r="R31" t="s">
        <v>4139</v>
      </c>
      <c r="S31">
        <f>YEAR(marketing_data[[#This Row],[Start_date]])</f>
        <v>2023</v>
      </c>
      <c r="T31" t="str">
        <f>TEXT(marketing_data[[#This Row],[Start_date]],"ddd")</f>
        <v>Sat</v>
      </c>
      <c r="U31">
        <f>marketing_data[[#This Row],[Cleaned End_date]]-marketing_data[[#This Row],[Start_date]]</f>
        <v>6</v>
      </c>
    </row>
    <row r="32" spans="1:24" x14ac:dyDescent="0.2">
      <c r="A32" t="s">
        <v>89</v>
      </c>
      <c r="B32" t="s">
        <v>90</v>
      </c>
      <c r="C32" s="2">
        <v>45256</v>
      </c>
      <c r="D32" t="str">
        <f t="shared" si="0"/>
        <v>Nov</v>
      </c>
      <c r="E32" s="2">
        <v>45272</v>
      </c>
      <c r="F32" t="s">
        <v>41</v>
      </c>
      <c r="G32">
        <v>60150</v>
      </c>
      <c r="H32">
        <v>2988</v>
      </c>
      <c r="I32">
        <v>175</v>
      </c>
      <c r="J32" t="b">
        <v>1</v>
      </c>
      <c r="K32" s="10">
        <v>3514.38</v>
      </c>
      <c r="L32" s="6">
        <f t="shared" si="1"/>
        <v>4.967581047381546E-2</v>
      </c>
      <c r="M32">
        <f t="shared" si="2"/>
        <v>1.1761646586345382</v>
      </c>
      <c r="N32">
        <f t="shared" si="3"/>
        <v>20.082171428571428</v>
      </c>
      <c r="O32">
        <f t="shared" si="4"/>
        <v>5235.62</v>
      </c>
      <c r="P32">
        <f t="shared" si="5"/>
        <v>5.856760374832664E-2</v>
      </c>
      <c r="Q32" t="s">
        <v>4136</v>
      </c>
      <c r="R32" t="s">
        <v>4141</v>
      </c>
      <c r="S32">
        <f>YEAR(marketing_data[[#This Row],[Start_date]])</f>
        <v>2023</v>
      </c>
      <c r="T32" t="str">
        <f>TEXT(marketing_data[[#This Row],[Start_date]],"ddd")</f>
        <v>Sun</v>
      </c>
      <c r="U32">
        <f>marketing_data[[#This Row],[Cleaned End_date]]-marketing_data[[#This Row],[Start_date]]</f>
        <v>16</v>
      </c>
    </row>
    <row r="33" spans="1:21" x14ac:dyDescent="0.2">
      <c r="A33" t="s">
        <v>91</v>
      </c>
      <c r="B33" t="s">
        <v>92</v>
      </c>
      <c r="C33" s="2">
        <v>45053</v>
      </c>
      <c r="D33" t="str">
        <f t="shared" si="0"/>
        <v>May</v>
      </c>
      <c r="E33" s="2">
        <v>45075</v>
      </c>
      <c r="F33" t="s">
        <v>33</v>
      </c>
      <c r="G33">
        <v>66725</v>
      </c>
      <c r="H33">
        <v>1424</v>
      </c>
      <c r="I33">
        <v>251</v>
      </c>
      <c r="J33" t="b">
        <v>1</v>
      </c>
      <c r="K33" s="10">
        <v>2759.35</v>
      </c>
      <c r="L33" s="6">
        <f t="shared" si="1"/>
        <v>2.134132633945298E-2</v>
      </c>
      <c r="M33">
        <f t="shared" si="2"/>
        <v>1.9377457865168539</v>
      </c>
      <c r="N33">
        <f t="shared" si="3"/>
        <v>10.993426294820717</v>
      </c>
      <c r="O33">
        <f t="shared" si="4"/>
        <v>9790.65</v>
      </c>
      <c r="P33">
        <f t="shared" si="5"/>
        <v>0.17626404494382023</v>
      </c>
      <c r="Q33" t="s">
        <v>4137</v>
      </c>
      <c r="R33" t="s">
        <v>4139</v>
      </c>
      <c r="S33">
        <f>YEAR(marketing_data[[#This Row],[Start_date]])</f>
        <v>2023</v>
      </c>
      <c r="T33" t="str">
        <f>TEXT(marketing_data[[#This Row],[Start_date]],"ddd")</f>
        <v>Sun</v>
      </c>
      <c r="U33">
        <f>marketing_data[[#This Row],[Cleaned End_date]]-marketing_data[[#This Row],[Start_date]]</f>
        <v>22</v>
      </c>
    </row>
    <row r="34" spans="1:21" x14ac:dyDescent="0.2">
      <c r="A34" t="s">
        <v>93</v>
      </c>
      <c r="B34" t="s">
        <v>94</v>
      </c>
      <c r="C34" s="2">
        <v>45226</v>
      </c>
      <c r="D34" t="str">
        <f t="shared" si="0"/>
        <v>Oct</v>
      </c>
      <c r="E34" s="2">
        <v>45228</v>
      </c>
      <c r="F34" t="s">
        <v>33</v>
      </c>
      <c r="G34">
        <v>85654</v>
      </c>
      <c r="H34">
        <v>2087</v>
      </c>
      <c r="I34">
        <v>122</v>
      </c>
      <c r="J34" t="b">
        <v>0</v>
      </c>
      <c r="K34" s="10">
        <v>2393.02</v>
      </c>
      <c r="L34" s="6">
        <f t="shared" si="1"/>
        <v>2.436547038083452E-2</v>
      </c>
      <c r="M34">
        <f t="shared" si="2"/>
        <v>1.1466315285098228</v>
      </c>
      <c r="N34">
        <f t="shared" si="3"/>
        <v>19.614918032786886</v>
      </c>
      <c r="O34">
        <f t="shared" si="4"/>
        <v>3706.98</v>
      </c>
      <c r="P34">
        <f t="shared" si="5"/>
        <v>5.8457115476760899E-2</v>
      </c>
      <c r="Q34" t="s">
        <v>4136</v>
      </c>
      <c r="R34" t="s">
        <v>4142</v>
      </c>
      <c r="S34">
        <f>YEAR(marketing_data[[#This Row],[Start_date]])</f>
        <v>2023</v>
      </c>
      <c r="T34" t="str">
        <f>TEXT(marketing_data[[#This Row],[Start_date]],"ddd")</f>
        <v>Fri</v>
      </c>
      <c r="U34">
        <f>marketing_data[[#This Row],[Cleaned End_date]]-marketing_data[[#This Row],[Start_date]]</f>
        <v>2</v>
      </c>
    </row>
    <row r="35" spans="1:21" x14ac:dyDescent="0.2">
      <c r="A35" t="s">
        <v>95</v>
      </c>
      <c r="B35" t="s">
        <v>96</v>
      </c>
      <c r="C35" s="2">
        <v>45112</v>
      </c>
      <c r="D35" t="str">
        <f t="shared" si="0"/>
        <v>Jul</v>
      </c>
      <c r="E35" s="2">
        <v>45124</v>
      </c>
      <c r="F35" t="s">
        <v>19</v>
      </c>
      <c r="G35">
        <v>36773</v>
      </c>
      <c r="H35">
        <v>932</v>
      </c>
      <c r="I35">
        <v>84</v>
      </c>
      <c r="J35" t="b">
        <v>0</v>
      </c>
      <c r="K35" s="10">
        <v>1233.98</v>
      </c>
      <c r="L35" s="6">
        <f t="shared" si="1"/>
        <v>2.5344682239686726E-2</v>
      </c>
      <c r="M35">
        <f t="shared" si="2"/>
        <v>1.3240128755364806</v>
      </c>
      <c r="N35">
        <f t="shared" si="3"/>
        <v>14.690238095238096</v>
      </c>
      <c r="O35">
        <f t="shared" si="4"/>
        <v>2966.02</v>
      </c>
      <c r="P35">
        <f t="shared" si="5"/>
        <v>9.012875536480687E-2</v>
      </c>
      <c r="Q35" t="s">
        <v>4139</v>
      </c>
      <c r="R35" t="s">
        <v>4139</v>
      </c>
      <c r="S35">
        <f>YEAR(marketing_data[[#This Row],[Start_date]])</f>
        <v>2023</v>
      </c>
      <c r="T35" t="str">
        <f>TEXT(marketing_data[[#This Row],[Start_date]],"ddd")</f>
        <v>Wed</v>
      </c>
      <c r="U35">
        <f>marketing_data[[#This Row],[Cleaned End_date]]-marketing_data[[#This Row],[Start_date]]</f>
        <v>12</v>
      </c>
    </row>
    <row r="36" spans="1:21" x14ac:dyDescent="0.2">
      <c r="A36" t="s">
        <v>97</v>
      </c>
      <c r="B36" t="s">
        <v>98</v>
      </c>
      <c r="C36" s="2">
        <v>45187</v>
      </c>
      <c r="D36" t="str">
        <f t="shared" si="0"/>
        <v>Sep</v>
      </c>
      <c r="E36" s="2">
        <v>45191</v>
      </c>
      <c r="F36" t="s">
        <v>33</v>
      </c>
      <c r="G36">
        <v>68435</v>
      </c>
      <c r="H36">
        <v>1959</v>
      </c>
      <c r="I36">
        <v>128</v>
      </c>
      <c r="J36" t="b">
        <v>1</v>
      </c>
      <c r="K36" s="10">
        <v>2546.46</v>
      </c>
      <c r="L36" s="6">
        <f t="shared" si="1"/>
        <v>2.8625703222035507E-2</v>
      </c>
      <c r="M36">
        <f t="shared" si="2"/>
        <v>1.2998774885145483</v>
      </c>
      <c r="N36">
        <f t="shared" si="3"/>
        <v>19.89421875</v>
      </c>
      <c r="O36">
        <f t="shared" si="4"/>
        <v>3853.54</v>
      </c>
      <c r="P36">
        <f t="shared" si="5"/>
        <v>6.5339458907605924E-2</v>
      </c>
      <c r="Q36" t="s">
        <v>4136</v>
      </c>
      <c r="R36" t="s">
        <v>4139</v>
      </c>
      <c r="S36">
        <f>YEAR(marketing_data[[#This Row],[Start_date]])</f>
        <v>2023</v>
      </c>
      <c r="T36" t="str">
        <f>TEXT(marketing_data[[#This Row],[Start_date]],"ddd")</f>
        <v>Mon</v>
      </c>
      <c r="U36">
        <f>marketing_data[[#This Row],[Cleaned End_date]]-marketing_data[[#This Row],[Start_date]]</f>
        <v>4</v>
      </c>
    </row>
    <row r="37" spans="1:21" x14ac:dyDescent="0.2">
      <c r="A37" t="s">
        <v>99</v>
      </c>
      <c r="B37" t="s">
        <v>100</v>
      </c>
      <c r="C37" s="2">
        <v>44983</v>
      </c>
      <c r="D37" t="str">
        <f t="shared" si="0"/>
        <v>Feb</v>
      </c>
      <c r="E37" s="2">
        <v>44986</v>
      </c>
      <c r="F37" t="s">
        <v>14</v>
      </c>
      <c r="G37">
        <v>57886</v>
      </c>
      <c r="H37">
        <v>2514</v>
      </c>
      <c r="I37">
        <v>237</v>
      </c>
      <c r="J37" t="b">
        <v>1</v>
      </c>
      <c r="K37" s="10">
        <v>3631.7599999999998</v>
      </c>
      <c r="L37" s="6">
        <f t="shared" si="1"/>
        <v>4.343019037418374E-2</v>
      </c>
      <c r="M37">
        <f t="shared" si="2"/>
        <v>1.4446141607000795</v>
      </c>
      <c r="N37">
        <f t="shared" si="3"/>
        <v>15.323881856540083</v>
      </c>
      <c r="O37">
        <f t="shared" si="4"/>
        <v>8218.24</v>
      </c>
      <c r="P37">
        <f t="shared" si="5"/>
        <v>9.4272076372315036E-2</v>
      </c>
      <c r="Q37" t="s">
        <v>4138</v>
      </c>
      <c r="R37" t="s">
        <v>4141</v>
      </c>
      <c r="S37">
        <f>YEAR(marketing_data[[#This Row],[Start_date]])</f>
        <v>2023</v>
      </c>
      <c r="T37" t="str">
        <f>TEXT(marketing_data[[#This Row],[Start_date]],"ddd")</f>
        <v>Sun</v>
      </c>
      <c r="U37">
        <f>marketing_data[[#This Row],[Cleaned End_date]]-marketing_data[[#This Row],[Start_date]]</f>
        <v>3</v>
      </c>
    </row>
    <row r="38" spans="1:21" x14ac:dyDescent="0.2">
      <c r="A38" t="s">
        <v>101</v>
      </c>
      <c r="B38" t="s">
        <v>102</v>
      </c>
      <c r="C38" s="2">
        <v>45275</v>
      </c>
      <c r="D38" t="str">
        <f t="shared" si="0"/>
        <v>Dec</v>
      </c>
      <c r="E38" s="2">
        <v>45286</v>
      </c>
      <c r="F38" t="s">
        <v>33</v>
      </c>
      <c r="G38">
        <v>67803</v>
      </c>
      <c r="H38">
        <v>1317</v>
      </c>
      <c r="I38">
        <v>83</v>
      </c>
      <c r="J38" t="b">
        <v>1</v>
      </c>
      <c r="K38" s="10">
        <v>2136.63</v>
      </c>
      <c r="L38" s="6">
        <f t="shared" si="1"/>
        <v>1.9423919295606388E-2</v>
      </c>
      <c r="M38">
        <f t="shared" si="2"/>
        <v>1.6223462414578589</v>
      </c>
      <c r="N38">
        <f t="shared" si="3"/>
        <v>25.742530120481931</v>
      </c>
      <c r="O38">
        <f t="shared" si="4"/>
        <v>2013.37</v>
      </c>
      <c r="P38">
        <f t="shared" si="5"/>
        <v>6.3022019741837507E-2</v>
      </c>
      <c r="Q38" t="s">
        <v>4138</v>
      </c>
      <c r="R38" t="s">
        <v>4138</v>
      </c>
      <c r="S38">
        <f>YEAR(marketing_data[[#This Row],[Start_date]])</f>
        <v>2023</v>
      </c>
      <c r="T38" t="str">
        <f>TEXT(marketing_data[[#This Row],[Start_date]],"ddd")</f>
        <v>Fri</v>
      </c>
      <c r="U38">
        <f>marketing_data[[#This Row],[Cleaned End_date]]-marketing_data[[#This Row],[Start_date]]</f>
        <v>11</v>
      </c>
    </row>
    <row r="39" spans="1:21" x14ac:dyDescent="0.2">
      <c r="A39" t="s">
        <v>103</v>
      </c>
      <c r="B39" t="s">
        <v>104</v>
      </c>
      <c r="C39" s="2">
        <v>45122</v>
      </c>
      <c r="D39" t="str">
        <f t="shared" si="0"/>
        <v>Jul</v>
      </c>
      <c r="E39" s="2">
        <v>45145</v>
      </c>
      <c r="F39" t="s">
        <v>14</v>
      </c>
      <c r="G39">
        <v>32551</v>
      </c>
      <c r="H39">
        <v>1335</v>
      </c>
      <c r="I39">
        <v>200</v>
      </c>
      <c r="J39" t="b">
        <v>1</v>
      </c>
      <c r="K39" s="10">
        <v>1118.1500000000001</v>
      </c>
      <c r="L39" s="6">
        <f t="shared" si="1"/>
        <v>4.1012564898159812E-2</v>
      </c>
      <c r="M39">
        <f t="shared" si="2"/>
        <v>0.83756554307116116</v>
      </c>
      <c r="N39">
        <f t="shared" si="3"/>
        <v>5.5907500000000008</v>
      </c>
      <c r="O39">
        <f t="shared" si="4"/>
        <v>8881.85</v>
      </c>
      <c r="P39">
        <f t="shared" si="5"/>
        <v>0.14981273408239701</v>
      </c>
      <c r="Q39" t="s">
        <v>4139</v>
      </c>
      <c r="R39" t="s">
        <v>4138</v>
      </c>
      <c r="S39">
        <f>YEAR(marketing_data[[#This Row],[Start_date]])</f>
        <v>2023</v>
      </c>
      <c r="T39" t="str">
        <f>TEXT(marketing_data[[#This Row],[Start_date]],"ddd")</f>
        <v>Sat</v>
      </c>
      <c r="U39">
        <f>marketing_data[[#This Row],[Cleaned End_date]]-marketing_data[[#This Row],[Start_date]]</f>
        <v>23</v>
      </c>
    </row>
    <row r="40" spans="1:21" x14ac:dyDescent="0.2">
      <c r="A40" t="s">
        <v>105</v>
      </c>
      <c r="B40" t="s">
        <v>106</v>
      </c>
      <c r="C40" s="2">
        <v>45055</v>
      </c>
      <c r="D40" t="str">
        <f t="shared" si="0"/>
        <v>May</v>
      </c>
      <c r="E40" s="2">
        <v>45071</v>
      </c>
      <c r="F40" t="s">
        <v>23</v>
      </c>
      <c r="G40">
        <v>12394</v>
      </c>
      <c r="H40">
        <v>324</v>
      </c>
      <c r="I40">
        <v>22</v>
      </c>
      <c r="J40" t="b">
        <v>1</v>
      </c>
      <c r="K40" s="10">
        <v>418.96</v>
      </c>
      <c r="L40" s="6">
        <f t="shared" si="1"/>
        <v>2.6141681458770372E-2</v>
      </c>
      <c r="M40">
        <f t="shared" si="2"/>
        <v>1.2930864197530862</v>
      </c>
      <c r="N40">
        <f t="shared" si="3"/>
        <v>19.043636363636363</v>
      </c>
      <c r="O40">
        <f t="shared" si="4"/>
        <v>681.04</v>
      </c>
      <c r="P40">
        <f t="shared" si="5"/>
        <v>6.7901234567901231E-2</v>
      </c>
      <c r="Q40" t="s">
        <v>4137</v>
      </c>
      <c r="R40" t="s">
        <v>4141</v>
      </c>
      <c r="S40">
        <f>YEAR(marketing_data[[#This Row],[Start_date]])</f>
        <v>2023</v>
      </c>
      <c r="T40" t="str">
        <f>TEXT(marketing_data[[#This Row],[Start_date]],"ddd")</f>
        <v>Tue</v>
      </c>
      <c r="U40">
        <f>marketing_data[[#This Row],[Cleaned End_date]]-marketing_data[[#This Row],[Start_date]]</f>
        <v>16</v>
      </c>
    </row>
    <row r="41" spans="1:21" x14ac:dyDescent="0.2">
      <c r="A41" t="s">
        <v>107</v>
      </c>
      <c r="B41" t="s">
        <v>108</v>
      </c>
      <c r="C41" s="2">
        <v>44932</v>
      </c>
      <c r="D41" t="str">
        <f t="shared" si="0"/>
        <v>Jan</v>
      </c>
      <c r="E41" s="2">
        <v>44952</v>
      </c>
      <c r="F41" t="s">
        <v>23</v>
      </c>
      <c r="G41">
        <v>70092</v>
      </c>
      <c r="H41">
        <v>2388</v>
      </c>
      <c r="I41">
        <v>424</v>
      </c>
      <c r="J41" t="b">
        <v>0</v>
      </c>
      <c r="K41" s="10">
        <v>3631.7599999999998</v>
      </c>
      <c r="L41" s="6">
        <f t="shared" si="1"/>
        <v>3.4069508645779831E-2</v>
      </c>
      <c r="M41">
        <f t="shared" si="2"/>
        <v>1.5208375209380234</v>
      </c>
      <c r="N41">
        <f t="shared" si="3"/>
        <v>8.5654716981132069</v>
      </c>
      <c r="O41">
        <f t="shared" si="4"/>
        <v>17568.240000000002</v>
      </c>
      <c r="P41">
        <f t="shared" si="5"/>
        <v>0.17755443886097153</v>
      </c>
      <c r="Q41" t="s">
        <v>4138</v>
      </c>
      <c r="R41" t="s">
        <v>4142</v>
      </c>
      <c r="S41">
        <f>YEAR(marketing_data[[#This Row],[Start_date]])</f>
        <v>2023</v>
      </c>
      <c r="T41" t="str">
        <f>TEXT(marketing_data[[#This Row],[Start_date]],"ddd")</f>
        <v>Fri</v>
      </c>
      <c r="U41">
        <f>marketing_data[[#This Row],[Cleaned End_date]]-marketing_data[[#This Row],[Start_date]]</f>
        <v>20</v>
      </c>
    </row>
    <row r="42" spans="1:21" x14ac:dyDescent="0.2">
      <c r="A42" t="s">
        <v>109</v>
      </c>
      <c r="B42" t="s">
        <v>110</v>
      </c>
      <c r="C42" s="2">
        <v>45201</v>
      </c>
      <c r="D42" t="str">
        <f t="shared" si="0"/>
        <v>Oct</v>
      </c>
      <c r="E42" s="2">
        <v>45211</v>
      </c>
      <c r="F42" t="s">
        <v>23</v>
      </c>
      <c r="G42">
        <v>4890</v>
      </c>
      <c r="H42">
        <v>172</v>
      </c>
      <c r="I42">
        <v>29</v>
      </c>
      <c r="J42" t="b">
        <v>1</v>
      </c>
      <c r="K42" s="10">
        <v>329.13249999999999</v>
      </c>
      <c r="L42" s="6">
        <f t="shared" si="1"/>
        <v>3.5173824130879348E-2</v>
      </c>
      <c r="M42">
        <f t="shared" si="2"/>
        <v>1.9135610465116279</v>
      </c>
      <c r="N42">
        <f t="shared" si="3"/>
        <v>11.349396551724137</v>
      </c>
      <c r="O42">
        <f t="shared" si="4"/>
        <v>1120.8675000000001</v>
      </c>
      <c r="P42">
        <f t="shared" si="5"/>
        <v>0.16860465116279069</v>
      </c>
      <c r="Q42" t="s">
        <v>4136</v>
      </c>
      <c r="R42" t="s">
        <v>4139</v>
      </c>
      <c r="S42">
        <f>YEAR(marketing_data[[#This Row],[Start_date]])</f>
        <v>2023</v>
      </c>
      <c r="T42" t="str">
        <f>TEXT(marketing_data[[#This Row],[Start_date]],"ddd")</f>
        <v>Mon</v>
      </c>
      <c r="U42">
        <f>marketing_data[[#This Row],[Cleaned End_date]]-marketing_data[[#This Row],[Start_date]]</f>
        <v>10</v>
      </c>
    </row>
    <row r="43" spans="1:21" x14ac:dyDescent="0.2">
      <c r="A43" t="s">
        <v>111</v>
      </c>
      <c r="B43" t="s">
        <v>112</v>
      </c>
      <c r="C43" s="2">
        <v>45101</v>
      </c>
      <c r="D43" t="str">
        <f t="shared" si="0"/>
        <v>Jun</v>
      </c>
      <c r="E43" s="2">
        <v>45106</v>
      </c>
      <c r="F43" t="s">
        <v>14</v>
      </c>
      <c r="G43">
        <v>42606</v>
      </c>
      <c r="H43">
        <v>1061</v>
      </c>
      <c r="I43">
        <v>55</v>
      </c>
      <c r="J43" t="b">
        <v>1</v>
      </c>
      <c r="K43" s="10">
        <v>973.67</v>
      </c>
      <c r="L43" s="6">
        <f t="shared" si="1"/>
        <v>2.4902595878514764E-2</v>
      </c>
      <c r="M43">
        <f t="shared" si="2"/>
        <v>0.91769085768143255</v>
      </c>
      <c r="N43">
        <f t="shared" si="3"/>
        <v>17.703090909090907</v>
      </c>
      <c r="O43">
        <f t="shared" si="4"/>
        <v>1776.33</v>
      </c>
      <c r="P43">
        <f t="shared" si="5"/>
        <v>5.1837888784165884E-2</v>
      </c>
      <c r="Q43" t="s">
        <v>4139</v>
      </c>
      <c r="R43" t="s">
        <v>4139</v>
      </c>
      <c r="S43">
        <f>YEAR(marketing_data[[#This Row],[Start_date]])</f>
        <v>2023</v>
      </c>
      <c r="T43" t="str">
        <f>TEXT(marketing_data[[#This Row],[Start_date]],"ddd")</f>
        <v>Sat</v>
      </c>
      <c r="U43">
        <f>marketing_data[[#This Row],[Cleaned End_date]]-marketing_data[[#This Row],[Start_date]]</f>
        <v>5</v>
      </c>
    </row>
    <row r="44" spans="1:21" x14ac:dyDescent="0.2">
      <c r="A44" t="s">
        <v>113</v>
      </c>
      <c r="B44" t="s">
        <v>114</v>
      </c>
      <c r="C44" s="2">
        <v>45159</v>
      </c>
      <c r="D44" t="str">
        <f t="shared" si="0"/>
        <v>Aug</v>
      </c>
      <c r="E44" s="2">
        <v>45167</v>
      </c>
      <c r="F44" t="s">
        <v>33</v>
      </c>
      <c r="G44">
        <v>97276</v>
      </c>
      <c r="H44">
        <v>2967</v>
      </c>
      <c r="I44">
        <v>546</v>
      </c>
      <c r="J44" t="b">
        <v>1</v>
      </c>
      <c r="K44" s="10">
        <v>3631.7599999999998</v>
      </c>
      <c r="L44" s="6">
        <f t="shared" si="1"/>
        <v>3.0500842962292857E-2</v>
      </c>
      <c r="M44">
        <f t="shared" si="2"/>
        <v>1.224051230198854</v>
      </c>
      <c r="N44">
        <f t="shared" si="3"/>
        <v>6.6515750915750909</v>
      </c>
      <c r="O44">
        <f t="shared" si="4"/>
        <v>23668.240000000002</v>
      </c>
      <c r="P44">
        <f t="shared" si="5"/>
        <v>0.18402426693629928</v>
      </c>
      <c r="Q44" t="s">
        <v>4139</v>
      </c>
      <c r="R44" t="s">
        <v>4139</v>
      </c>
      <c r="S44">
        <f>YEAR(marketing_data[[#This Row],[Start_date]])</f>
        <v>2023</v>
      </c>
      <c r="T44" t="str">
        <f>TEXT(marketing_data[[#This Row],[Start_date]],"ddd")</f>
        <v>Mon</v>
      </c>
      <c r="U44">
        <f>marketing_data[[#This Row],[Cleaned End_date]]-marketing_data[[#This Row],[Start_date]]</f>
        <v>8</v>
      </c>
    </row>
    <row r="45" spans="1:21" x14ac:dyDescent="0.2">
      <c r="A45" t="s">
        <v>116</v>
      </c>
      <c r="B45" t="s">
        <v>117</v>
      </c>
      <c r="C45" s="2">
        <v>45061</v>
      </c>
      <c r="D45" t="str">
        <f t="shared" si="0"/>
        <v>May</v>
      </c>
      <c r="E45" s="2">
        <v>45078</v>
      </c>
      <c r="F45" t="s">
        <v>23</v>
      </c>
      <c r="G45">
        <v>81038</v>
      </c>
      <c r="H45">
        <v>2149</v>
      </c>
      <c r="I45">
        <v>116</v>
      </c>
      <c r="J45" t="b">
        <v>1</v>
      </c>
      <c r="K45" s="10">
        <v>3631.7599999999998</v>
      </c>
      <c r="L45" s="6">
        <f t="shared" si="1"/>
        <v>2.6518423455662774E-2</v>
      </c>
      <c r="M45">
        <f t="shared" si="2"/>
        <v>1.6899767333643554</v>
      </c>
      <c r="N45">
        <f t="shared" si="3"/>
        <v>31.308275862068964</v>
      </c>
      <c r="O45">
        <f t="shared" si="4"/>
        <v>2168.2400000000002</v>
      </c>
      <c r="P45">
        <f t="shared" si="5"/>
        <v>5.397859469520707E-2</v>
      </c>
      <c r="Q45" t="s">
        <v>4137</v>
      </c>
      <c r="R45" t="s">
        <v>4138</v>
      </c>
      <c r="S45">
        <f>YEAR(marketing_data[[#This Row],[Start_date]])</f>
        <v>2023</v>
      </c>
      <c r="T45" t="str">
        <f>TEXT(marketing_data[[#This Row],[Start_date]],"ddd")</f>
        <v>Mon</v>
      </c>
      <c r="U45">
        <f>marketing_data[[#This Row],[Cleaned End_date]]-marketing_data[[#This Row],[Start_date]]</f>
        <v>17</v>
      </c>
    </row>
    <row r="46" spans="1:21" x14ac:dyDescent="0.2">
      <c r="A46" t="s">
        <v>118</v>
      </c>
      <c r="B46" t="s">
        <v>119</v>
      </c>
      <c r="C46" s="2">
        <v>45186</v>
      </c>
      <c r="D46" t="str">
        <f t="shared" si="0"/>
        <v>Sep</v>
      </c>
      <c r="E46" s="2">
        <v>45202</v>
      </c>
      <c r="F46" t="s">
        <v>14</v>
      </c>
      <c r="G46">
        <v>88313</v>
      </c>
      <c r="H46">
        <v>1127</v>
      </c>
      <c r="I46">
        <v>96</v>
      </c>
      <c r="J46" t="b">
        <v>0</v>
      </c>
      <c r="K46" s="10">
        <v>670.24</v>
      </c>
      <c r="L46" s="6">
        <f t="shared" si="1"/>
        <v>1.2761428102317892E-2</v>
      </c>
      <c r="M46">
        <f t="shared" si="2"/>
        <v>0.5947116237799468</v>
      </c>
      <c r="N46">
        <f t="shared" si="3"/>
        <v>6.9816666666666665</v>
      </c>
      <c r="O46">
        <f t="shared" si="4"/>
        <v>4129.76</v>
      </c>
      <c r="P46">
        <f t="shared" si="5"/>
        <v>8.5181898846495116E-2</v>
      </c>
      <c r="Q46" t="s">
        <v>4136</v>
      </c>
      <c r="R46" t="s">
        <v>4139</v>
      </c>
      <c r="S46">
        <f>YEAR(marketing_data[[#This Row],[Start_date]])</f>
        <v>2023</v>
      </c>
      <c r="T46" t="str">
        <f>TEXT(marketing_data[[#This Row],[Start_date]],"ddd")</f>
        <v>Sun</v>
      </c>
      <c r="U46">
        <f>marketing_data[[#This Row],[Cleaned End_date]]-marketing_data[[#This Row],[Start_date]]</f>
        <v>16</v>
      </c>
    </row>
    <row r="47" spans="1:21" x14ac:dyDescent="0.2">
      <c r="A47" t="s">
        <v>120</v>
      </c>
      <c r="B47" t="s">
        <v>121</v>
      </c>
      <c r="C47" s="2">
        <v>45079</v>
      </c>
      <c r="D47" t="str">
        <f t="shared" si="0"/>
        <v>Jun</v>
      </c>
      <c r="E47" s="2">
        <v>45105</v>
      </c>
      <c r="F47" t="s">
        <v>33</v>
      </c>
      <c r="G47">
        <v>11627</v>
      </c>
      <c r="H47">
        <v>319</v>
      </c>
      <c r="I47">
        <v>17</v>
      </c>
      <c r="J47" t="b">
        <v>1</v>
      </c>
      <c r="K47" s="10">
        <v>531.19000000000005</v>
      </c>
      <c r="L47" s="6">
        <f t="shared" si="1"/>
        <v>2.7436140018921477E-2</v>
      </c>
      <c r="M47">
        <f t="shared" si="2"/>
        <v>1.6651724137931037</v>
      </c>
      <c r="N47">
        <f t="shared" si="3"/>
        <v>31.246470588235297</v>
      </c>
      <c r="O47">
        <f t="shared" si="4"/>
        <v>318.80999999999995</v>
      </c>
      <c r="P47">
        <f t="shared" si="5"/>
        <v>5.329153605015674E-2</v>
      </c>
      <c r="Q47" t="s">
        <v>4139</v>
      </c>
      <c r="R47" t="s">
        <v>4141</v>
      </c>
      <c r="S47">
        <f>YEAR(marketing_data[[#This Row],[Start_date]])</f>
        <v>2023</v>
      </c>
      <c r="T47" t="str">
        <f>TEXT(marketing_data[[#This Row],[Start_date]],"ddd")</f>
        <v>Fri</v>
      </c>
      <c r="U47">
        <f>marketing_data[[#This Row],[Cleaned End_date]]-marketing_data[[#This Row],[Start_date]]</f>
        <v>26</v>
      </c>
    </row>
    <row r="48" spans="1:21" x14ac:dyDescent="0.2">
      <c r="A48" t="s">
        <v>122</v>
      </c>
      <c r="B48" t="s">
        <v>123</v>
      </c>
      <c r="C48" s="2">
        <v>45028</v>
      </c>
      <c r="D48" t="str">
        <f t="shared" si="0"/>
        <v>Apr</v>
      </c>
      <c r="E48" s="2">
        <v>45035</v>
      </c>
      <c r="F48" t="s">
        <v>41</v>
      </c>
      <c r="G48">
        <v>9792</v>
      </c>
      <c r="H48">
        <v>136</v>
      </c>
      <c r="I48">
        <v>13</v>
      </c>
      <c r="J48" t="b">
        <v>1</v>
      </c>
      <c r="K48" s="10">
        <v>329.13249999999999</v>
      </c>
      <c r="L48" s="6">
        <f t="shared" si="1"/>
        <v>1.3888888888888888E-2</v>
      </c>
      <c r="M48">
        <f t="shared" si="2"/>
        <v>2.4200919117647057</v>
      </c>
      <c r="N48">
        <f t="shared" si="3"/>
        <v>25.317884615384614</v>
      </c>
      <c r="O48">
        <f t="shared" si="4"/>
        <v>320.86750000000001</v>
      </c>
      <c r="P48">
        <f t="shared" si="5"/>
        <v>9.5588235294117641E-2</v>
      </c>
      <c r="Q48" t="s">
        <v>4137</v>
      </c>
      <c r="R48" t="s">
        <v>4142</v>
      </c>
      <c r="S48">
        <f>YEAR(marketing_data[[#This Row],[Start_date]])</f>
        <v>2023</v>
      </c>
      <c r="T48" t="str">
        <f>TEXT(marketing_data[[#This Row],[Start_date]],"ddd")</f>
        <v>Wed</v>
      </c>
      <c r="U48">
        <f>marketing_data[[#This Row],[Cleaned End_date]]-marketing_data[[#This Row],[Start_date]]</f>
        <v>7</v>
      </c>
    </row>
    <row r="49" spans="1:21" x14ac:dyDescent="0.2">
      <c r="A49" t="s">
        <v>124</v>
      </c>
      <c r="B49" t="s">
        <v>125</v>
      </c>
      <c r="C49" s="2">
        <v>45203</v>
      </c>
      <c r="D49" t="str">
        <f t="shared" si="0"/>
        <v>Oct</v>
      </c>
      <c r="E49" s="2">
        <v>45217</v>
      </c>
      <c r="F49" t="s">
        <v>23</v>
      </c>
      <c r="G49">
        <v>74969</v>
      </c>
      <c r="H49">
        <v>1964</v>
      </c>
      <c r="I49">
        <v>249</v>
      </c>
      <c r="J49" t="b">
        <v>1</v>
      </c>
      <c r="K49" s="10">
        <v>2341.65</v>
      </c>
      <c r="L49" s="6">
        <f t="shared" si="1"/>
        <v>2.6197494964585361E-2</v>
      </c>
      <c r="M49">
        <f t="shared" si="2"/>
        <v>1.1922861507128311</v>
      </c>
      <c r="N49">
        <f t="shared" si="3"/>
        <v>9.4042168674698807</v>
      </c>
      <c r="O49">
        <f t="shared" si="4"/>
        <v>10108.35</v>
      </c>
      <c r="P49">
        <f t="shared" si="5"/>
        <v>0.12678207739307534</v>
      </c>
      <c r="Q49" t="s">
        <v>4136</v>
      </c>
      <c r="R49" t="s">
        <v>4138</v>
      </c>
      <c r="S49">
        <f>YEAR(marketing_data[[#This Row],[Start_date]])</f>
        <v>2023</v>
      </c>
      <c r="T49" t="str">
        <f>TEXT(marketing_data[[#This Row],[Start_date]],"ddd")</f>
        <v>Wed</v>
      </c>
      <c r="U49">
        <f>marketing_data[[#This Row],[Cleaned End_date]]-marketing_data[[#This Row],[Start_date]]</f>
        <v>14</v>
      </c>
    </row>
    <row r="50" spans="1:21" x14ac:dyDescent="0.2">
      <c r="A50" t="s">
        <v>126</v>
      </c>
      <c r="B50" t="s">
        <v>127</v>
      </c>
      <c r="C50" s="2">
        <v>44927</v>
      </c>
      <c r="D50" t="str">
        <f t="shared" si="0"/>
        <v>Jan</v>
      </c>
      <c r="E50" s="2">
        <v>44943</v>
      </c>
      <c r="F50" t="s">
        <v>19</v>
      </c>
      <c r="G50">
        <v>44001</v>
      </c>
      <c r="H50">
        <v>1483</v>
      </c>
      <c r="J50" t="b">
        <v>0</v>
      </c>
      <c r="K50" s="10">
        <v>2928.86</v>
      </c>
      <c r="L50" s="6">
        <f t="shared" si="1"/>
        <v>3.3703779459557735E-2</v>
      </c>
      <c r="M50">
        <f t="shared" si="2"/>
        <v>1.974956169925826</v>
      </c>
      <c r="N50">
        <f t="shared" si="3"/>
        <v>0</v>
      </c>
      <c r="O50">
        <f t="shared" si="4"/>
        <v>-2928.86</v>
      </c>
      <c r="P50">
        <f t="shared" si="5"/>
        <v>0</v>
      </c>
      <c r="Q50" t="s">
        <v>4138</v>
      </c>
      <c r="R50" t="s">
        <v>4138</v>
      </c>
      <c r="S50">
        <f>YEAR(marketing_data[[#This Row],[Start_date]])</f>
        <v>2023</v>
      </c>
      <c r="T50" t="str">
        <f>TEXT(marketing_data[[#This Row],[Start_date]],"ddd")</f>
        <v>Sun</v>
      </c>
      <c r="U50">
        <f>marketing_data[[#This Row],[Cleaned End_date]]-marketing_data[[#This Row],[Start_date]]</f>
        <v>16</v>
      </c>
    </row>
    <row r="51" spans="1:21" x14ac:dyDescent="0.2">
      <c r="A51" t="s">
        <v>128</v>
      </c>
      <c r="B51" t="s">
        <v>129</v>
      </c>
      <c r="C51" s="2">
        <v>44984</v>
      </c>
      <c r="D51" t="str">
        <f t="shared" si="0"/>
        <v>Feb</v>
      </c>
      <c r="E51" s="2">
        <v>44985</v>
      </c>
      <c r="F51" t="s">
        <v>23</v>
      </c>
      <c r="G51">
        <v>77552</v>
      </c>
      <c r="H51">
        <v>2572</v>
      </c>
      <c r="I51">
        <v>258</v>
      </c>
      <c r="J51" t="b">
        <v>1</v>
      </c>
      <c r="K51" s="10">
        <v>3631.7599999999998</v>
      </c>
      <c r="L51" s="6">
        <f t="shared" si="1"/>
        <v>3.3164844233546521E-2</v>
      </c>
      <c r="M51">
        <f t="shared" si="2"/>
        <v>1.4120373250388802</v>
      </c>
      <c r="N51">
        <f t="shared" si="3"/>
        <v>14.076589147286821</v>
      </c>
      <c r="O51">
        <f t="shared" si="4"/>
        <v>9268.24</v>
      </c>
      <c r="P51">
        <f t="shared" si="5"/>
        <v>0.10031104199066875</v>
      </c>
      <c r="Q51" t="s">
        <v>4138</v>
      </c>
      <c r="R51" t="s">
        <v>4139</v>
      </c>
      <c r="S51">
        <f>YEAR(marketing_data[[#This Row],[Start_date]])</f>
        <v>2023</v>
      </c>
      <c r="T51" t="str">
        <f>TEXT(marketing_data[[#This Row],[Start_date]],"ddd")</f>
        <v>Mon</v>
      </c>
      <c r="U51">
        <f>marketing_data[[#This Row],[Cleaned End_date]]-marketing_data[[#This Row],[Start_date]]</f>
        <v>1</v>
      </c>
    </row>
    <row r="52" spans="1:21" x14ac:dyDescent="0.2">
      <c r="A52" t="s">
        <v>130</v>
      </c>
      <c r="B52" t="s">
        <v>131</v>
      </c>
      <c r="C52" s="2">
        <v>45084</v>
      </c>
      <c r="D52" t="str">
        <f t="shared" si="0"/>
        <v>Jun</v>
      </c>
      <c r="E52" s="2">
        <v>45094</v>
      </c>
      <c r="F52" t="s">
        <v>41</v>
      </c>
      <c r="G52">
        <v>24897</v>
      </c>
      <c r="H52">
        <v>908</v>
      </c>
      <c r="I52">
        <v>141</v>
      </c>
      <c r="J52" t="b">
        <v>1</v>
      </c>
      <c r="K52" s="10">
        <v>1507.73</v>
      </c>
      <c r="L52" s="6">
        <f t="shared" si="1"/>
        <v>3.6470257460738238E-2</v>
      </c>
      <c r="M52">
        <f t="shared" si="2"/>
        <v>1.6604955947136564</v>
      </c>
      <c r="N52">
        <f t="shared" si="3"/>
        <v>10.693120567375887</v>
      </c>
      <c r="O52">
        <f t="shared" si="4"/>
        <v>5542.27</v>
      </c>
      <c r="P52">
        <f t="shared" si="5"/>
        <v>0.15528634361233482</v>
      </c>
      <c r="Q52" t="s">
        <v>4139</v>
      </c>
      <c r="R52" t="s">
        <v>4138</v>
      </c>
      <c r="S52">
        <f>YEAR(marketing_data[[#This Row],[Start_date]])</f>
        <v>2023</v>
      </c>
      <c r="T52" t="str">
        <f>TEXT(marketing_data[[#This Row],[Start_date]],"ddd")</f>
        <v>Wed</v>
      </c>
      <c r="U52">
        <f>marketing_data[[#This Row],[Cleaned End_date]]-marketing_data[[#This Row],[Start_date]]</f>
        <v>10</v>
      </c>
    </row>
    <row r="53" spans="1:21" x14ac:dyDescent="0.2">
      <c r="A53" t="s">
        <v>132</v>
      </c>
      <c r="B53" t="s">
        <v>133</v>
      </c>
      <c r="C53" s="2">
        <v>45217</v>
      </c>
      <c r="D53" t="str">
        <f t="shared" si="0"/>
        <v>Oct</v>
      </c>
      <c r="E53" s="2">
        <v>45238</v>
      </c>
      <c r="F53" t="s">
        <v>14</v>
      </c>
      <c r="G53">
        <v>69148</v>
      </c>
      <c r="H53">
        <v>954</v>
      </c>
      <c r="I53">
        <v>74</v>
      </c>
      <c r="J53" t="b">
        <v>0</v>
      </c>
      <c r="K53" s="10">
        <v>1547.16</v>
      </c>
      <c r="L53" s="6">
        <f t="shared" si="1"/>
        <v>1.3796494475617515E-2</v>
      </c>
      <c r="M53">
        <f t="shared" si="2"/>
        <v>1.6217610062893082</v>
      </c>
      <c r="N53">
        <f t="shared" si="3"/>
        <v>20.907567567567568</v>
      </c>
      <c r="O53">
        <f t="shared" si="4"/>
        <v>2152.84</v>
      </c>
      <c r="P53">
        <f t="shared" si="5"/>
        <v>7.7568134171907763E-2</v>
      </c>
      <c r="Q53" t="s">
        <v>4136</v>
      </c>
      <c r="R53" t="s">
        <v>4141</v>
      </c>
      <c r="S53">
        <f>YEAR(marketing_data[[#This Row],[Start_date]])</f>
        <v>2023</v>
      </c>
      <c r="T53" t="str">
        <f>TEXT(marketing_data[[#This Row],[Start_date]],"ddd")</f>
        <v>Wed</v>
      </c>
      <c r="U53">
        <f>marketing_data[[#This Row],[Cleaned End_date]]-marketing_data[[#This Row],[Start_date]]</f>
        <v>21</v>
      </c>
    </row>
    <row r="54" spans="1:21" x14ac:dyDescent="0.2">
      <c r="A54" t="s">
        <v>134</v>
      </c>
      <c r="B54" t="s">
        <v>135</v>
      </c>
      <c r="C54" s="2">
        <v>45175</v>
      </c>
      <c r="D54" t="str">
        <f t="shared" si="0"/>
        <v>Sep</v>
      </c>
      <c r="E54" s="2">
        <v>45181</v>
      </c>
      <c r="F54" t="s">
        <v>19</v>
      </c>
      <c r="G54">
        <v>24483</v>
      </c>
      <c r="H54">
        <v>883</v>
      </c>
      <c r="J54" t="b">
        <v>0</v>
      </c>
      <c r="K54" s="10">
        <v>640.98</v>
      </c>
      <c r="L54" s="6">
        <f t="shared" si="1"/>
        <v>3.6065841604378548E-2</v>
      </c>
      <c r="M54">
        <f t="shared" si="2"/>
        <v>0.72591166477916191</v>
      </c>
      <c r="N54">
        <f t="shared" si="3"/>
        <v>0</v>
      </c>
      <c r="O54">
        <f t="shared" si="4"/>
        <v>-640.98</v>
      </c>
      <c r="P54">
        <f t="shared" si="5"/>
        <v>0</v>
      </c>
      <c r="Q54" t="s">
        <v>4136</v>
      </c>
      <c r="R54" t="s">
        <v>4138</v>
      </c>
      <c r="S54">
        <f>YEAR(marketing_data[[#This Row],[Start_date]])</f>
        <v>2023</v>
      </c>
      <c r="T54" t="str">
        <f>TEXT(marketing_data[[#This Row],[Start_date]],"ddd")</f>
        <v>Wed</v>
      </c>
      <c r="U54">
        <f>marketing_data[[#This Row],[Cleaned End_date]]-marketing_data[[#This Row],[Start_date]]</f>
        <v>6</v>
      </c>
    </row>
    <row r="55" spans="1:21" x14ac:dyDescent="0.2">
      <c r="A55" t="s">
        <v>136</v>
      </c>
      <c r="B55" t="s">
        <v>137</v>
      </c>
      <c r="C55" s="2">
        <v>45199</v>
      </c>
      <c r="D55" t="str">
        <f t="shared" si="0"/>
        <v>Sep</v>
      </c>
      <c r="E55" s="2">
        <v>45210</v>
      </c>
      <c r="F55" t="str">
        <f>F54</f>
        <v>Facebook</v>
      </c>
      <c r="G55">
        <v>49555</v>
      </c>
      <c r="H55">
        <v>1114</v>
      </c>
      <c r="I55">
        <v>95</v>
      </c>
      <c r="J55" t="b">
        <v>0</v>
      </c>
      <c r="K55" s="10">
        <v>919.99</v>
      </c>
      <c r="L55" s="6">
        <f t="shared" si="1"/>
        <v>2.2480072646554335E-2</v>
      </c>
      <c r="M55">
        <f t="shared" si="2"/>
        <v>0.82584380610412922</v>
      </c>
      <c r="N55">
        <f t="shared" si="3"/>
        <v>9.6841052631578943</v>
      </c>
      <c r="O55">
        <f t="shared" si="4"/>
        <v>3830.01</v>
      </c>
      <c r="P55">
        <f t="shared" si="5"/>
        <v>8.527827648114901E-2</v>
      </c>
      <c r="Q55" t="s">
        <v>4136</v>
      </c>
      <c r="R55" t="s">
        <v>4138</v>
      </c>
      <c r="S55">
        <f>YEAR(marketing_data[[#This Row],[Start_date]])</f>
        <v>2023</v>
      </c>
      <c r="T55" t="str">
        <f>TEXT(marketing_data[[#This Row],[Start_date]],"ddd")</f>
        <v>Sat</v>
      </c>
      <c r="U55">
        <f>marketing_data[[#This Row],[Cleaned End_date]]-marketing_data[[#This Row],[Start_date]]</f>
        <v>11</v>
      </c>
    </row>
    <row r="56" spans="1:21" x14ac:dyDescent="0.2">
      <c r="A56" t="s">
        <v>140</v>
      </c>
      <c r="B56" t="s">
        <v>141</v>
      </c>
      <c r="C56" s="2">
        <v>45170</v>
      </c>
      <c r="D56" t="str">
        <f t="shared" si="0"/>
        <v>Sep</v>
      </c>
      <c r="E56" s="2">
        <v>45200</v>
      </c>
      <c r="F56" t="s">
        <v>41</v>
      </c>
      <c r="G56">
        <v>18159</v>
      </c>
      <c r="H56">
        <v>471</v>
      </c>
      <c r="I56">
        <v>33</v>
      </c>
      <c r="J56" t="b">
        <v>0</v>
      </c>
      <c r="K56" s="10">
        <v>563.30999999999995</v>
      </c>
      <c r="L56" s="6">
        <f t="shared" si="1"/>
        <v>2.5937551627292253E-2</v>
      </c>
      <c r="M56">
        <f t="shared" si="2"/>
        <v>1.1959872611464968</v>
      </c>
      <c r="N56">
        <f t="shared" si="3"/>
        <v>17.069999999999997</v>
      </c>
      <c r="O56">
        <f t="shared" si="4"/>
        <v>1086.69</v>
      </c>
      <c r="P56">
        <f t="shared" si="5"/>
        <v>7.0063694267515922E-2</v>
      </c>
      <c r="Q56" t="s">
        <v>4136</v>
      </c>
      <c r="R56" t="s">
        <v>4141</v>
      </c>
      <c r="S56">
        <f>YEAR(marketing_data[[#This Row],[Start_date]])</f>
        <v>2023</v>
      </c>
      <c r="T56" t="str">
        <f>TEXT(marketing_data[[#This Row],[Start_date]],"ddd")</f>
        <v>Fri</v>
      </c>
      <c r="U56">
        <f>marketing_data[[#This Row],[Cleaned End_date]]-marketing_data[[#This Row],[Start_date]]</f>
        <v>30</v>
      </c>
    </row>
    <row r="57" spans="1:21" x14ac:dyDescent="0.2">
      <c r="A57" t="s">
        <v>142</v>
      </c>
      <c r="B57" t="s">
        <v>143</v>
      </c>
      <c r="C57" s="2">
        <v>45197</v>
      </c>
      <c r="D57" t="str">
        <f t="shared" si="0"/>
        <v>Sep</v>
      </c>
      <c r="E57" s="2">
        <v>45207</v>
      </c>
      <c r="F57" t="s">
        <v>19</v>
      </c>
      <c r="G57">
        <v>81077</v>
      </c>
      <c r="H57">
        <v>3593</v>
      </c>
      <c r="I57">
        <v>279</v>
      </c>
      <c r="J57" t="b">
        <v>0</v>
      </c>
      <c r="K57" s="10">
        <v>3219.35</v>
      </c>
      <c r="L57" s="6">
        <f t="shared" si="1"/>
        <v>4.4315897233494085E-2</v>
      </c>
      <c r="M57">
        <f t="shared" si="2"/>
        <v>0.89600612301697746</v>
      </c>
      <c r="N57">
        <f t="shared" si="3"/>
        <v>11.538888888888888</v>
      </c>
      <c r="O57">
        <f t="shared" si="4"/>
        <v>10730.65</v>
      </c>
      <c r="P57">
        <f t="shared" si="5"/>
        <v>7.7650988032284998E-2</v>
      </c>
      <c r="Q57" t="s">
        <v>4136</v>
      </c>
      <c r="R57" t="s">
        <v>4142</v>
      </c>
      <c r="S57">
        <f>YEAR(marketing_data[[#This Row],[Start_date]])</f>
        <v>2023</v>
      </c>
      <c r="T57" t="str">
        <f>TEXT(marketing_data[[#This Row],[Start_date]],"ddd")</f>
        <v>Thu</v>
      </c>
      <c r="U57">
        <f>marketing_data[[#This Row],[Cleaned End_date]]-marketing_data[[#This Row],[Start_date]]</f>
        <v>10</v>
      </c>
    </row>
    <row r="58" spans="1:21" x14ac:dyDescent="0.2">
      <c r="A58" t="s">
        <v>144</v>
      </c>
      <c r="B58" t="s">
        <v>145</v>
      </c>
      <c r="C58" s="2">
        <v>45035</v>
      </c>
      <c r="D58" t="str">
        <f t="shared" si="0"/>
        <v>Apr</v>
      </c>
      <c r="E58" s="2">
        <v>45057</v>
      </c>
      <c r="F58" t="s">
        <v>23</v>
      </c>
      <c r="G58">
        <v>36920</v>
      </c>
      <c r="H58">
        <v>382</v>
      </c>
      <c r="I58">
        <v>29</v>
      </c>
      <c r="J58" t="b">
        <v>1</v>
      </c>
      <c r="K58" s="10">
        <v>428.93</v>
      </c>
      <c r="L58" s="6">
        <f t="shared" si="1"/>
        <v>1.0346695557963163E-2</v>
      </c>
      <c r="M58">
        <f t="shared" si="2"/>
        <v>1.1228534031413613</v>
      </c>
      <c r="N58">
        <f t="shared" si="3"/>
        <v>14.790689655172415</v>
      </c>
      <c r="O58">
        <f t="shared" si="4"/>
        <v>1021.0699999999999</v>
      </c>
      <c r="P58">
        <f t="shared" si="5"/>
        <v>7.5916230366492143E-2</v>
      </c>
      <c r="Q58" t="s">
        <v>4137</v>
      </c>
      <c r="R58" t="s">
        <v>4141</v>
      </c>
      <c r="S58">
        <f>YEAR(marketing_data[[#This Row],[Start_date]])</f>
        <v>2023</v>
      </c>
      <c r="T58" t="str">
        <f>TEXT(marketing_data[[#This Row],[Start_date]],"ddd")</f>
        <v>Wed</v>
      </c>
      <c r="U58">
        <f>marketing_data[[#This Row],[Cleaned End_date]]-marketing_data[[#This Row],[Start_date]]</f>
        <v>22</v>
      </c>
    </row>
    <row r="59" spans="1:21" x14ac:dyDescent="0.2">
      <c r="A59" t="s">
        <v>146</v>
      </c>
      <c r="B59" t="s">
        <v>147</v>
      </c>
      <c r="C59" s="2">
        <v>45280</v>
      </c>
      <c r="D59" t="str">
        <f t="shared" si="0"/>
        <v>Dec</v>
      </c>
      <c r="E59" s="2">
        <v>45300</v>
      </c>
      <c r="F59" t="s">
        <v>14</v>
      </c>
      <c r="G59">
        <v>93067</v>
      </c>
      <c r="H59">
        <v>3121</v>
      </c>
      <c r="I59">
        <v>396</v>
      </c>
      <c r="J59" t="b">
        <v>1</v>
      </c>
      <c r="K59" s="10">
        <v>3631.7599999999998</v>
      </c>
      <c r="L59" s="6">
        <f t="shared" si="1"/>
        <v>3.3534980175572437E-2</v>
      </c>
      <c r="M59">
        <f t="shared" si="2"/>
        <v>1.1636526754245433</v>
      </c>
      <c r="N59">
        <f t="shared" si="3"/>
        <v>9.1711111111111112</v>
      </c>
      <c r="O59">
        <f t="shared" si="4"/>
        <v>16168.24</v>
      </c>
      <c r="P59">
        <f t="shared" si="5"/>
        <v>0.1268824094841397</v>
      </c>
      <c r="Q59" t="s">
        <v>4138</v>
      </c>
      <c r="R59" t="s">
        <v>4139</v>
      </c>
      <c r="S59">
        <f>YEAR(marketing_data[[#This Row],[Start_date]])</f>
        <v>2023</v>
      </c>
      <c r="T59" t="str">
        <f>TEXT(marketing_data[[#This Row],[Start_date]],"ddd")</f>
        <v>Wed</v>
      </c>
      <c r="U59">
        <f>marketing_data[[#This Row],[Cleaned End_date]]-marketing_data[[#This Row],[Start_date]]</f>
        <v>20</v>
      </c>
    </row>
    <row r="60" spans="1:21" x14ac:dyDescent="0.2">
      <c r="A60" t="s">
        <v>148</v>
      </c>
      <c r="B60" t="s">
        <v>149</v>
      </c>
      <c r="C60" s="2">
        <v>45270</v>
      </c>
      <c r="D60" t="str">
        <f t="shared" si="0"/>
        <v>Dec</v>
      </c>
      <c r="E60" s="2">
        <v>45284</v>
      </c>
      <c r="F60" t="s">
        <v>19</v>
      </c>
      <c r="G60">
        <v>68121</v>
      </c>
      <c r="H60">
        <v>2312</v>
      </c>
      <c r="I60">
        <v>408</v>
      </c>
      <c r="J60" t="b">
        <v>1</v>
      </c>
      <c r="K60" s="10">
        <v>3631.7599999999998</v>
      </c>
      <c r="L60" s="6">
        <f t="shared" si="1"/>
        <v>3.3939607463190496E-2</v>
      </c>
      <c r="M60">
        <f t="shared" si="2"/>
        <v>1.5708304498269896</v>
      </c>
      <c r="N60">
        <f t="shared" si="3"/>
        <v>8.901372549019607</v>
      </c>
      <c r="O60">
        <f t="shared" si="4"/>
        <v>16768.240000000002</v>
      </c>
      <c r="P60">
        <f t="shared" si="5"/>
        <v>0.17647058823529413</v>
      </c>
      <c r="Q60" t="s">
        <v>4138</v>
      </c>
      <c r="R60" t="s">
        <v>4141</v>
      </c>
      <c r="S60">
        <f>YEAR(marketing_data[[#This Row],[Start_date]])</f>
        <v>2023</v>
      </c>
      <c r="T60" t="str">
        <f>TEXT(marketing_data[[#This Row],[Start_date]],"ddd")</f>
        <v>Sun</v>
      </c>
      <c r="U60">
        <f>marketing_data[[#This Row],[Cleaned End_date]]-marketing_data[[#This Row],[Start_date]]</f>
        <v>14</v>
      </c>
    </row>
    <row r="61" spans="1:21" x14ac:dyDescent="0.2">
      <c r="A61" t="s">
        <v>150</v>
      </c>
      <c r="B61" t="s">
        <v>151</v>
      </c>
      <c r="C61" s="2">
        <v>45191</v>
      </c>
      <c r="D61" t="str">
        <f t="shared" si="0"/>
        <v>Sep</v>
      </c>
      <c r="E61" s="2">
        <v>45211</v>
      </c>
      <c r="F61" t="s">
        <v>23</v>
      </c>
      <c r="G61">
        <v>70479</v>
      </c>
      <c r="H61">
        <v>1823</v>
      </c>
      <c r="I61">
        <v>112</v>
      </c>
      <c r="J61" t="b">
        <v>1</v>
      </c>
      <c r="K61" s="10">
        <v>2634.34</v>
      </c>
      <c r="L61" s="6">
        <f t="shared" si="1"/>
        <v>2.5865860752848364E-2</v>
      </c>
      <c r="M61">
        <f t="shared" si="2"/>
        <v>1.4450575973669777</v>
      </c>
      <c r="N61">
        <f t="shared" si="3"/>
        <v>23.520892857142858</v>
      </c>
      <c r="O61">
        <f t="shared" si="4"/>
        <v>2965.66</v>
      </c>
      <c r="P61">
        <f t="shared" si="5"/>
        <v>6.1437191442676904E-2</v>
      </c>
      <c r="Q61" t="s">
        <v>4136</v>
      </c>
      <c r="R61" t="s">
        <v>4142</v>
      </c>
      <c r="S61">
        <f>YEAR(marketing_data[[#This Row],[Start_date]])</f>
        <v>2023</v>
      </c>
      <c r="T61" t="str">
        <f>TEXT(marketing_data[[#This Row],[Start_date]],"ddd")</f>
        <v>Fri</v>
      </c>
      <c r="U61">
        <f>marketing_data[[#This Row],[Cleaned End_date]]-marketing_data[[#This Row],[Start_date]]</f>
        <v>20</v>
      </c>
    </row>
    <row r="62" spans="1:21" x14ac:dyDescent="0.2">
      <c r="A62" t="s">
        <v>152</v>
      </c>
      <c r="B62" t="s">
        <v>153</v>
      </c>
      <c r="C62" s="2">
        <v>44959</v>
      </c>
      <c r="D62" t="str">
        <f t="shared" si="0"/>
        <v>Feb</v>
      </c>
      <c r="E62" s="2">
        <v>44963</v>
      </c>
      <c r="F62" t="s">
        <v>41</v>
      </c>
      <c r="G62">
        <v>90475</v>
      </c>
      <c r="H62">
        <v>1762</v>
      </c>
      <c r="I62">
        <v>274</v>
      </c>
      <c r="J62" t="b">
        <v>1</v>
      </c>
      <c r="K62" s="10">
        <v>3149.01</v>
      </c>
      <c r="L62" s="6">
        <f t="shared" si="1"/>
        <v>1.9474993092014368E-2</v>
      </c>
      <c r="M62">
        <f t="shared" si="2"/>
        <v>1.7871793416572079</v>
      </c>
      <c r="N62">
        <f t="shared" si="3"/>
        <v>11.492737226277374</v>
      </c>
      <c r="O62">
        <f t="shared" si="4"/>
        <v>10550.99</v>
      </c>
      <c r="P62">
        <f t="shared" si="5"/>
        <v>0.15550510783200908</v>
      </c>
      <c r="Q62" t="s">
        <v>4138</v>
      </c>
      <c r="R62" t="s">
        <v>4139</v>
      </c>
      <c r="S62">
        <f>YEAR(marketing_data[[#This Row],[Start_date]])</f>
        <v>2023</v>
      </c>
      <c r="T62" t="str">
        <f>TEXT(marketing_data[[#This Row],[Start_date]],"ddd")</f>
        <v>Thu</v>
      </c>
      <c r="U62">
        <f>marketing_data[[#This Row],[Cleaned End_date]]-marketing_data[[#This Row],[Start_date]]</f>
        <v>4</v>
      </c>
    </row>
    <row r="63" spans="1:21" x14ac:dyDescent="0.2">
      <c r="A63" t="s">
        <v>154</v>
      </c>
      <c r="B63" t="s">
        <v>155</v>
      </c>
      <c r="C63" s="2">
        <v>45044</v>
      </c>
      <c r="D63" t="str">
        <f t="shared" si="0"/>
        <v>Apr</v>
      </c>
      <c r="E63" s="2">
        <v>45064</v>
      </c>
      <c r="F63" t="s">
        <v>41</v>
      </c>
      <c r="G63">
        <v>20457</v>
      </c>
      <c r="H63">
        <v>396</v>
      </c>
      <c r="I63">
        <v>58</v>
      </c>
      <c r="J63" t="b">
        <v>1</v>
      </c>
      <c r="K63" s="10">
        <v>663.56</v>
      </c>
      <c r="L63" s="6">
        <f t="shared" si="1"/>
        <v>1.9357677078750551E-2</v>
      </c>
      <c r="M63">
        <f t="shared" si="2"/>
        <v>1.6756565656565656</v>
      </c>
      <c r="N63">
        <f t="shared" si="3"/>
        <v>11.440689655172413</v>
      </c>
      <c r="O63">
        <f t="shared" si="4"/>
        <v>2236.44</v>
      </c>
      <c r="P63">
        <f t="shared" si="5"/>
        <v>0.14646464646464646</v>
      </c>
      <c r="Q63" t="s">
        <v>4137</v>
      </c>
      <c r="R63" t="s">
        <v>4142</v>
      </c>
      <c r="S63">
        <f>YEAR(marketing_data[[#This Row],[Start_date]])</f>
        <v>2023</v>
      </c>
      <c r="T63" t="str">
        <f>TEXT(marketing_data[[#This Row],[Start_date]],"ddd")</f>
        <v>Fri</v>
      </c>
      <c r="U63">
        <f>marketing_data[[#This Row],[Cleaned End_date]]-marketing_data[[#This Row],[Start_date]]</f>
        <v>20</v>
      </c>
    </row>
    <row r="64" spans="1:21" x14ac:dyDescent="0.2">
      <c r="A64" t="s">
        <v>156</v>
      </c>
      <c r="B64" t="s">
        <v>157</v>
      </c>
      <c r="C64" s="2">
        <v>45289</v>
      </c>
      <c r="D64" t="str">
        <f t="shared" si="0"/>
        <v>Dec</v>
      </c>
      <c r="E64" s="2">
        <v>45294</v>
      </c>
      <c r="F64" t="s">
        <v>19</v>
      </c>
      <c r="G64">
        <v>67557</v>
      </c>
      <c r="H64">
        <v>3063</v>
      </c>
      <c r="I64">
        <v>554</v>
      </c>
      <c r="J64" t="b">
        <v>0</v>
      </c>
      <c r="K64" s="10">
        <v>3502.47</v>
      </c>
      <c r="L64" s="6">
        <f t="shared" si="1"/>
        <v>4.5339491096407475E-2</v>
      </c>
      <c r="M64">
        <f t="shared" si="2"/>
        <v>1.1434769833496572</v>
      </c>
      <c r="N64">
        <f t="shared" si="3"/>
        <v>6.3221480144404332</v>
      </c>
      <c r="O64">
        <f t="shared" si="4"/>
        <v>24197.53</v>
      </c>
      <c r="P64">
        <f t="shared" si="5"/>
        <v>0.18086842964413974</v>
      </c>
      <c r="Q64" t="s">
        <v>4138</v>
      </c>
      <c r="R64" t="s">
        <v>4139</v>
      </c>
      <c r="S64">
        <f>YEAR(marketing_data[[#This Row],[Start_date]])</f>
        <v>2023</v>
      </c>
      <c r="T64" t="str">
        <f>TEXT(marketing_data[[#This Row],[Start_date]],"ddd")</f>
        <v>Fri</v>
      </c>
      <c r="U64">
        <f>marketing_data[[#This Row],[Cleaned End_date]]-marketing_data[[#This Row],[Start_date]]</f>
        <v>5</v>
      </c>
    </row>
    <row r="65" spans="1:21" x14ac:dyDescent="0.2">
      <c r="A65" t="s">
        <v>158</v>
      </c>
      <c r="B65" t="s">
        <v>159</v>
      </c>
      <c r="C65" s="2">
        <v>44943</v>
      </c>
      <c r="D65" t="str">
        <f t="shared" si="0"/>
        <v>Jan</v>
      </c>
      <c r="E65" s="2">
        <v>44960</v>
      </c>
      <c r="F65" t="s">
        <v>23</v>
      </c>
      <c r="G65">
        <v>78189</v>
      </c>
      <c r="H65">
        <v>2164</v>
      </c>
      <c r="I65">
        <v>187</v>
      </c>
      <c r="J65" t="b">
        <v>1</v>
      </c>
      <c r="K65" s="10">
        <v>1734.66</v>
      </c>
      <c r="L65" s="6">
        <f t="shared" si="1"/>
        <v>2.7676527388763125E-2</v>
      </c>
      <c r="M65">
        <f t="shared" si="2"/>
        <v>0.80159889094269876</v>
      </c>
      <c r="N65">
        <f t="shared" si="3"/>
        <v>9.2762566844919796</v>
      </c>
      <c r="O65">
        <f t="shared" si="4"/>
        <v>7615.34</v>
      </c>
      <c r="P65">
        <f t="shared" si="5"/>
        <v>8.641404805914972E-2</v>
      </c>
      <c r="Q65" t="s">
        <v>4138</v>
      </c>
      <c r="R65" t="s">
        <v>4142</v>
      </c>
      <c r="S65">
        <f>YEAR(marketing_data[[#This Row],[Start_date]])</f>
        <v>2023</v>
      </c>
      <c r="T65" t="str">
        <f>TEXT(marketing_data[[#This Row],[Start_date]],"ddd")</f>
        <v>Tue</v>
      </c>
      <c r="U65">
        <f>marketing_data[[#This Row],[Cleaned End_date]]-marketing_data[[#This Row],[Start_date]]</f>
        <v>17</v>
      </c>
    </row>
    <row r="66" spans="1:21" x14ac:dyDescent="0.2">
      <c r="A66" t="s">
        <v>160</v>
      </c>
      <c r="B66" t="s">
        <v>161</v>
      </c>
      <c r="C66" s="2">
        <v>45048</v>
      </c>
      <c r="D66" t="str">
        <f t="shared" si="0"/>
        <v>May</v>
      </c>
      <c r="E66" s="2">
        <v>45058</v>
      </c>
      <c r="F66" t="s">
        <v>23</v>
      </c>
      <c r="G66">
        <v>79953</v>
      </c>
      <c r="H66">
        <v>1857</v>
      </c>
      <c r="I66">
        <v>218</v>
      </c>
      <c r="J66" t="b">
        <v>0</v>
      </c>
      <c r="K66" s="10">
        <v>2360.81</v>
      </c>
      <c r="L66" s="6">
        <f t="shared" si="1"/>
        <v>2.3226145360399235E-2</v>
      </c>
      <c r="M66">
        <f t="shared" si="2"/>
        <v>1.2713031771674743</v>
      </c>
      <c r="N66">
        <f t="shared" si="3"/>
        <v>10.829403669724771</v>
      </c>
      <c r="O66">
        <f t="shared" si="4"/>
        <v>8539.19</v>
      </c>
      <c r="P66">
        <f t="shared" si="5"/>
        <v>0.11739364566505116</v>
      </c>
      <c r="Q66" t="s">
        <v>4137</v>
      </c>
      <c r="R66" t="s">
        <v>4139</v>
      </c>
      <c r="S66">
        <f>YEAR(marketing_data[[#This Row],[Start_date]])</f>
        <v>2023</v>
      </c>
      <c r="T66" t="str">
        <f>TEXT(marketing_data[[#This Row],[Start_date]],"ddd")</f>
        <v>Tue</v>
      </c>
      <c r="U66">
        <f>marketing_data[[#This Row],[Cleaned End_date]]-marketing_data[[#This Row],[Start_date]]</f>
        <v>10</v>
      </c>
    </row>
    <row r="67" spans="1:21" x14ac:dyDescent="0.2">
      <c r="A67" t="s">
        <v>162</v>
      </c>
      <c r="B67" t="s">
        <v>163</v>
      </c>
      <c r="C67" s="2">
        <v>45203</v>
      </c>
      <c r="D67" t="str">
        <f t="shared" ref="D67:D130" si="8">TEXT(C67,"mmm")</f>
        <v>Oct</v>
      </c>
      <c r="E67" s="2">
        <v>45214</v>
      </c>
      <c r="F67" t="s">
        <v>14</v>
      </c>
      <c r="G67">
        <v>53995</v>
      </c>
      <c r="H67">
        <v>1509</v>
      </c>
      <c r="I67">
        <v>285</v>
      </c>
      <c r="J67" t="b">
        <v>1</v>
      </c>
      <c r="K67" s="10">
        <v>2420.9499999999998</v>
      </c>
      <c r="L67" s="6">
        <f t="shared" ref="L67:L130" si="9">H67/G67</f>
        <v>2.7947032132604872E-2</v>
      </c>
      <c r="M67">
        <f t="shared" ref="M67:M130" si="10">K67/H67</f>
        <v>1.604340622929092</v>
      </c>
      <c r="N67">
        <f t="shared" ref="N67:N130" si="11">IFERROR(K67/I67,0)</f>
        <v>8.4945614035087704</v>
      </c>
      <c r="O67">
        <f t="shared" ref="O67:O130" si="12">(50*I67)-K67</f>
        <v>11829.05</v>
      </c>
      <c r="P67">
        <f t="shared" ref="P67:P130" si="13">I67/H67</f>
        <v>0.18886679920477137</v>
      </c>
      <c r="Q67" t="s">
        <v>4136</v>
      </c>
      <c r="R67" t="s">
        <v>4138</v>
      </c>
      <c r="S67">
        <f>YEAR(marketing_data[[#This Row],[Start_date]])</f>
        <v>2023</v>
      </c>
      <c r="T67" t="str">
        <f>TEXT(marketing_data[[#This Row],[Start_date]],"ddd")</f>
        <v>Wed</v>
      </c>
      <c r="U67">
        <f>marketing_data[[#This Row],[Cleaned End_date]]-marketing_data[[#This Row],[Start_date]]</f>
        <v>11</v>
      </c>
    </row>
    <row r="68" spans="1:21" x14ac:dyDescent="0.2">
      <c r="A68" t="s">
        <v>164</v>
      </c>
      <c r="B68" t="s">
        <v>165</v>
      </c>
      <c r="C68" s="2">
        <v>45219</v>
      </c>
      <c r="D68" t="str">
        <f t="shared" si="8"/>
        <v>Oct</v>
      </c>
      <c r="E68" s="2">
        <v>45243</v>
      </c>
      <c r="F68" t="s">
        <v>41</v>
      </c>
      <c r="G68">
        <v>41757</v>
      </c>
      <c r="H68">
        <v>1535</v>
      </c>
      <c r="J68" t="b">
        <v>1</v>
      </c>
      <c r="K68" s="10">
        <v>1772.36</v>
      </c>
      <c r="L68" s="6">
        <f t="shared" si="9"/>
        <v>3.6760303661661518E-2</v>
      </c>
      <c r="M68">
        <f t="shared" si="10"/>
        <v>1.1546319218241041</v>
      </c>
      <c r="N68">
        <f t="shared" si="11"/>
        <v>0</v>
      </c>
      <c r="O68">
        <f t="shared" si="12"/>
        <v>-1772.36</v>
      </c>
      <c r="P68">
        <f t="shared" si="13"/>
        <v>0</v>
      </c>
      <c r="Q68" t="s">
        <v>4136</v>
      </c>
      <c r="R68" t="s">
        <v>4142</v>
      </c>
      <c r="S68">
        <f>YEAR(marketing_data[[#This Row],[Start_date]])</f>
        <v>2023</v>
      </c>
      <c r="T68" t="str">
        <f>TEXT(marketing_data[[#This Row],[Start_date]],"ddd")</f>
        <v>Fri</v>
      </c>
      <c r="U68">
        <f>marketing_data[[#This Row],[Cleaned End_date]]-marketing_data[[#This Row],[Start_date]]</f>
        <v>24</v>
      </c>
    </row>
    <row r="69" spans="1:21" x14ac:dyDescent="0.2">
      <c r="A69" t="s">
        <v>166</v>
      </c>
      <c r="B69" t="s">
        <v>167</v>
      </c>
      <c r="C69" s="2">
        <v>45169</v>
      </c>
      <c r="D69" t="str">
        <f t="shared" si="8"/>
        <v>Aug</v>
      </c>
      <c r="E69" s="2">
        <v>45181</v>
      </c>
      <c r="F69" t="s">
        <v>19</v>
      </c>
      <c r="G69">
        <v>10692</v>
      </c>
      <c r="H69">
        <v>169</v>
      </c>
      <c r="I69">
        <v>18</v>
      </c>
      <c r="J69" t="b">
        <v>1</v>
      </c>
      <c r="K69" s="10">
        <v>329.13249999999999</v>
      </c>
      <c r="L69" s="6">
        <f t="shared" si="9"/>
        <v>1.5806210250654696E-2</v>
      </c>
      <c r="M69">
        <f t="shared" si="10"/>
        <v>1.9475295857988166</v>
      </c>
      <c r="N69">
        <f t="shared" si="11"/>
        <v>18.285138888888888</v>
      </c>
      <c r="O69">
        <f t="shared" si="12"/>
        <v>570.86750000000006</v>
      </c>
      <c r="P69">
        <f t="shared" si="13"/>
        <v>0.10650887573964497</v>
      </c>
      <c r="Q69" t="s">
        <v>4139</v>
      </c>
      <c r="R69" t="s">
        <v>4138</v>
      </c>
      <c r="S69">
        <f>YEAR(marketing_data[[#This Row],[Start_date]])</f>
        <v>2023</v>
      </c>
      <c r="T69" t="str">
        <f>TEXT(marketing_data[[#This Row],[Start_date]],"ddd")</f>
        <v>Thu</v>
      </c>
      <c r="U69">
        <f>marketing_data[[#This Row],[Cleaned End_date]]-marketing_data[[#This Row],[Start_date]]</f>
        <v>12</v>
      </c>
    </row>
    <row r="70" spans="1:21" x14ac:dyDescent="0.2">
      <c r="A70" t="s">
        <v>168</v>
      </c>
      <c r="B70" t="s">
        <v>169</v>
      </c>
      <c r="C70" s="2">
        <v>44976</v>
      </c>
      <c r="D70" t="str">
        <f t="shared" si="8"/>
        <v>Feb</v>
      </c>
      <c r="E70" s="2">
        <v>45002</v>
      </c>
      <c r="F70" t="s">
        <v>23</v>
      </c>
      <c r="G70">
        <v>46758</v>
      </c>
      <c r="H70">
        <v>1308</v>
      </c>
      <c r="I70">
        <v>91</v>
      </c>
      <c r="J70" t="b">
        <v>1</v>
      </c>
      <c r="K70" s="10">
        <v>839.07</v>
      </c>
      <c r="L70" s="6">
        <f t="shared" si="9"/>
        <v>2.7973822661362762E-2</v>
      </c>
      <c r="M70">
        <f t="shared" si="10"/>
        <v>0.64149082568807347</v>
      </c>
      <c r="N70">
        <f t="shared" si="11"/>
        <v>9.2205494505494503</v>
      </c>
      <c r="O70">
        <f t="shared" si="12"/>
        <v>3710.93</v>
      </c>
      <c r="P70">
        <f t="shared" si="13"/>
        <v>6.9571865443425071E-2</v>
      </c>
      <c r="Q70" t="s">
        <v>4138</v>
      </c>
      <c r="R70" t="s">
        <v>4138</v>
      </c>
      <c r="S70">
        <f>YEAR(marketing_data[[#This Row],[Start_date]])</f>
        <v>2023</v>
      </c>
      <c r="T70" t="str">
        <f>TEXT(marketing_data[[#This Row],[Start_date]],"ddd")</f>
        <v>Sun</v>
      </c>
      <c r="U70">
        <f>marketing_data[[#This Row],[Cleaned End_date]]-marketing_data[[#This Row],[Start_date]]</f>
        <v>26</v>
      </c>
    </row>
    <row r="71" spans="1:21" x14ac:dyDescent="0.2">
      <c r="A71" t="s">
        <v>170</v>
      </c>
      <c r="B71" t="s">
        <v>171</v>
      </c>
      <c r="C71" s="2">
        <v>45137</v>
      </c>
      <c r="D71" t="str">
        <f t="shared" si="8"/>
        <v>Jul</v>
      </c>
      <c r="E71" s="2">
        <v>45160</v>
      </c>
      <c r="F71" t="s">
        <v>23</v>
      </c>
      <c r="G71">
        <v>73409</v>
      </c>
      <c r="H71">
        <v>2460</v>
      </c>
      <c r="I71">
        <v>219</v>
      </c>
      <c r="J71" t="b">
        <v>1</v>
      </c>
      <c r="K71" s="10">
        <v>3631.7599999999998</v>
      </c>
      <c r="L71" s="6">
        <f t="shared" si="9"/>
        <v>3.3510877412851282E-2</v>
      </c>
      <c r="M71">
        <f t="shared" si="10"/>
        <v>1.4763252032520324</v>
      </c>
      <c r="N71">
        <f t="shared" si="11"/>
        <v>16.58337899543379</v>
      </c>
      <c r="O71">
        <f t="shared" si="12"/>
        <v>7318.24</v>
      </c>
      <c r="P71">
        <f t="shared" si="13"/>
        <v>8.9024390243902435E-2</v>
      </c>
      <c r="Q71" t="s">
        <v>4139</v>
      </c>
      <c r="R71" t="s">
        <v>4139</v>
      </c>
      <c r="S71">
        <f>YEAR(marketing_data[[#This Row],[Start_date]])</f>
        <v>2023</v>
      </c>
      <c r="T71" t="str">
        <f>TEXT(marketing_data[[#This Row],[Start_date]],"ddd")</f>
        <v>Sun</v>
      </c>
      <c r="U71">
        <f>marketing_data[[#This Row],[Cleaned End_date]]-marketing_data[[#This Row],[Start_date]]</f>
        <v>23</v>
      </c>
    </row>
    <row r="72" spans="1:21" x14ac:dyDescent="0.2">
      <c r="A72" t="s">
        <v>172</v>
      </c>
      <c r="B72" t="s">
        <v>173</v>
      </c>
      <c r="C72" s="2">
        <v>45271</v>
      </c>
      <c r="D72" t="str">
        <f t="shared" si="8"/>
        <v>Dec</v>
      </c>
      <c r="E72" s="2">
        <v>45299</v>
      </c>
      <c r="F72" t="s">
        <v>14</v>
      </c>
      <c r="G72">
        <v>72211</v>
      </c>
      <c r="H72">
        <v>3462</v>
      </c>
      <c r="I72">
        <v>474</v>
      </c>
      <c r="J72" t="b">
        <v>1</v>
      </c>
      <c r="K72" s="10">
        <v>3631.7599999999998</v>
      </c>
      <c r="L72" s="6">
        <f t="shared" si="9"/>
        <v>4.7942834194236332E-2</v>
      </c>
      <c r="M72">
        <f t="shared" si="10"/>
        <v>1.0490352397458116</v>
      </c>
      <c r="N72">
        <f t="shared" si="11"/>
        <v>7.6619409282700417</v>
      </c>
      <c r="O72">
        <f t="shared" si="12"/>
        <v>20068.240000000002</v>
      </c>
      <c r="P72">
        <f t="shared" si="13"/>
        <v>0.1369150779896014</v>
      </c>
      <c r="Q72" t="s">
        <v>4138</v>
      </c>
      <c r="R72" t="s">
        <v>4141</v>
      </c>
      <c r="S72">
        <f>YEAR(marketing_data[[#This Row],[Start_date]])</f>
        <v>2023</v>
      </c>
      <c r="T72" t="str">
        <f>TEXT(marketing_data[[#This Row],[Start_date]],"ddd")</f>
        <v>Mon</v>
      </c>
      <c r="U72">
        <f>marketing_data[[#This Row],[Cleaned End_date]]-marketing_data[[#This Row],[Start_date]]</f>
        <v>28</v>
      </c>
    </row>
    <row r="73" spans="1:21" x14ac:dyDescent="0.2">
      <c r="A73" t="s">
        <v>174</v>
      </c>
      <c r="B73" t="s">
        <v>175</v>
      </c>
      <c r="C73" s="2">
        <v>44958</v>
      </c>
      <c r="D73" t="str">
        <f t="shared" si="8"/>
        <v>Feb</v>
      </c>
      <c r="E73" s="2">
        <v>44988</v>
      </c>
      <c r="F73" t="s">
        <v>23</v>
      </c>
      <c r="G73">
        <v>66697</v>
      </c>
      <c r="H73">
        <v>1340</v>
      </c>
      <c r="J73" t="b">
        <v>1</v>
      </c>
      <c r="K73" s="10">
        <v>2090.7399999999998</v>
      </c>
      <c r="L73" s="6">
        <f t="shared" si="9"/>
        <v>2.0090858659310012E-2</v>
      </c>
      <c r="M73">
        <f t="shared" si="10"/>
        <v>1.5602537313432834</v>
      </c>
      <c r="N73">
        <f t="shared" si="11"/>
        <v>0</v>
      </c>
      <c r="O73">
        <f t="shared" si="12"/>
        <v>-2090.7399999999998</v>
      </c>
      <c r="P73">
        <f t="shared" si="13"/>
        <v>0</v>
      </c>
      <c r="Q73" t="s">
        <v>4138</v>
      </c>
      <c r="R73" t="s">
        <v>4139</v>
      </c>
      <c r="S73">
        <f>YEAR(marketing_data[[#This Row],[Start_date]])</f>
        <v>2023</v>
      </c>
      <c r="T73" t="str">
        <f>TEXT(marketing_data[[#This Row],[Start_date]],"ddd")</f>
        <v>Wed</v>
      </c>
      <c r="U73">
        <f>marketing_data[[#This Row],[Cleaned End_date]]-marketing_data[[#This Row],[Start_date]]</f>
        <v>30</v>
      </c>
    </row>
    <row r="74" spans="1:21" x14ac:dyDescent="0.2">
      <c r="A74" t="s">
        <v>176</v>
      </c>
      <c r="B74" t="s">
        <v>177</v>
      </c>
      <c r="C74" s="2">
        <v>44982</v>
      </c>
      <c r="D74" t="str">
        <f t="shared" si="8"/>
        <v>Feb</v>
      </c>
      <c r="E74" s="2">
        <v>44994</v>
      </c>
      <c r="F74" t="s">
        <v>41</v>
      </c>
      <c r="G74">
        <v>38065</v>
      </c>
      <c r="H74">
        <v>927</v>
      </c>
      <c r="J74" t="b">
        <v>0</v>
      </c>
      <c r="K74" s="10">
        <v>1808.48</v>
      </c>
      <c r="L74" s="6">
        <f t="shared" si="9"/>
        <v>2.4353080257454356E-2</v>
      </c>
      <c r="M74">
        <f t="shared" si="10"/>
        <v>1.9508953613807982</v>
      </c>
      <c r="N74">
        <f t="shared" si="11"/>
        <v>0</v>
      </c>
      <c r="O74">
        <f t="shared" si="12"/>
        <v>-1808.48</v>
      </c>
      <c r="P74">
        <f t="shared" si="13"/>
        <v>0</v>
      </c>
      <c r="Q74" t="s">
        <v>4138</v>
      </c>
      <c r="R74" t="s">
        <v>4139</v>
      </c>
      <c r="S74">
        <f>YEAR(marketing_data[[#This Row],[Start_date]])</f>
        <v>2023</v>
      </c>
      <c r="T74" t="str">
        <f>TEXT(marketing_data[[#This Row],[Start_date]],"ddd")</f>
        <v>Sat</v>
      </c>
      <c r="U74">
        <f>marketing_data[[#This Row],[Cleaned End_date]]-marketing_data[[#This Row],[Start_date]]</f>
        <v>12</v>
      </c>
    </row>
    <row r="75" spans="1:21" x14ac:dyDescent="0.2">
      <c r="A75" t="s">
        <v>178</v>
      </c>
      <c r="B75" t="s">
        <v>179</v>
      </c>
      <c r="C75" s="2">
        <v>45156</v>
      </c>
      <c r="D75" t="str">
        <f t="shared" si="8"/>
        <v>Aug</v>
      </c>
      <c r="E75" s="2">
        <v>45175</v>
      </c>
      <c r="F75" t="s">
        <v>23</v>
      </c>
      <c r="G75">
        <v>93093</v>
      </c>
      <c r="H75">
        <v>2343</v>
      </c>
      <c r="I75">
        <v>327</v>
      </c>
      <c r="J75" t="b">
        <v>0</v>
      </c>
      <c r="K75" s="10">
        <v>3631.7599999999998</v>
      </c>
      <c r="L75" s="6">
        <f t="shared" si="9"/>
        <v>2.5168380007089684E-2</v>
      </c>
      <c r="M75">
        <f t="shared" si="10"/>
        <v>1.5500469483568073</v>
      </c>
      <c r="N75">
        <f t="shared" si="11"/>
        <v>11.106299694189602</v>
      </c>
      <c r="O75">
        <f t="shared" si="12"/>
        <v>12718.24</v>
      </c>
      <c r="P75">
        <f t="shared" si="13"/>
        <v>0.13956466069142126</v>
      </c>
      <c r="Q75" t="s">
        <v>4139</v>
      </c>
      <c r="R75" t="s">
        <v>4139</v>
      </c>
      <c r="S75">
        <f>YEAR(marketing_data[[#This Row],[Start_date]])</f>
        <v>2023</v>
      </c>
      <c r="T75" t="str">
        <f>TEXT(marketing_data[[#This Row],[Start_date]],"ddd")</f>
        <v>Fri</v>
      </c>
      <c r="U75">
        <f>marketing_data[[#This Row],[Cleaned End_date]]-marketing_data[[#This Row],[Start_date]]</f>
        <v>19</v>
      </c>
    </row>
    <row r="76" spans="1:21" x14ac:dyDescent="0.2">
      <c r="A76" t="s">
        <v>180</v>
      </c>
      <c r="B76" t="s">
        <v>181</v>
      </c>
      <c r="C76" s="2">
        <v>45163</v>
      </c>
      <c r="D76" t="str">
        <f t="shared" si="8"/>
        <v>Aug</v>
      </c>
      <c r="E76" s="2">
        <v>45179</v>
      </c>
      <c r="F76" t="s">
        <v>14</v>
      </c>
      <c r="G76">
        <v>33606</v>
      </c>
      <c r="H76">
        <v>1150</v>
      </c>
      <c r="I76">
        <v>152</v>
      </c>
      <c r="J76" t="b">
        <v>1</v>
      </c>
      <c r="K76" s="10">
        <v>2132.84</v>
      </c>
      <c r="L76" s="6">
        <f t="shared" si="9"/>
        <v>3.4220079747664105E-2</v>
      </c>
      <c r="M76">
        <f t="shared" si="10"/>
        <v>1.8546434782608696</v>
      </c>
      <c r="N76">
        <f t="shared" si="11"/>
        <v>14.031842105263159</v>
      </c>
      <c r="O76">
        <f t="shared" si="12"/>
        <v>5467.16</v>
      </c>
      <c r="P76">
        <f t="shared" si="13"/>
        <v>0.13217391304347825</v>
      </c>
      <c r="Q76" t="s">
        <v>4139</v>
      </c>
      <c r="R76" t="s">
        <v>4142</v>
      </c>
      <c r="S76">
        <f>YEAR(marketing_data[[#This Row],[Start_date]])</f>
        <v>2023</v>
      </c>
      <c r="T76" t="str">
        <f>TEXT(marketing_data[[#This Row],[Start_date]],"ddd")</f>
        <v>Fri</v>
      </c>
      <c r="U76">
        <f>marketing_data[[#This Row],[Cleaned End_date]]-marketing_data[[#This Row],[Start_date]]</f>
        <v>16</v>
      </c>
    </row>
    <row r="77" spans="1:21" x14ac:dyDescent="0.2">
      <c r="A77" t="s">
        <v>182</v>
      </c>
      <c r="B77" t="s">
        <v>183</v>
      </c>
      <c r="C77" s="2">
        <v>45153</v>
      </c>
      <c r="D77" t="str">
        <f t="shared" si="8"/>
        <v>Aug</v>
      </c>
      <c r="E77" s="2">
        <v>45156</v>
      </c>
      <c r="F77" t="s">
        <v>23</v>
      </c>
      <c r="G77">
        <v>12534</v>
      </c>
      <c r="H77">
        <v>304</v>
      </c>
      <c r="I77">
        <v>38</v>
      </c>
      <c r="J77" t="b">
        <v>1</v>
      </c>
      <c r="K77" s="10">
        <v>577.71</v>
      </c>
      <c r="L77" s="6">
        <f t="shared" si="9"/>
        <v>2.4254029041008457E-2</v>
      </c>
      <c r="M77">
        <f t="shared" si="10"/>
        <v>1.9003618421052633</v>
      </c>
      <c r="N77">
        <f t="shared" si="11"/>
        <v>15.202894736842106</v>
      </c>
      <c r="O77">
        <f t="shared" si="12"/>
        <v>1322.29</v>
      </c>
      <c r="P77">
        <f t="shared" si="13"/>
        <v>0.125</v>
      </c>
      <c r="Q77" t="s">
        <v>4139</v>
      </c>
      <c r="R77" t="s">
        <v>4138</v>
      </c>
      <c r="S77">
        <f>YEAR(marketing_data[[#This Row],[Start_date]])</f>
        <v>2023</v>
      </c>
      <c r="T77" t="str">
        <f>TEXT(marketing_data[[#This Row],[Start_date]],"ddd")</f>
        <v>Tue</v>
      </c>
      <c r="U77">
        <f>marketing_data[[#This Row],[Cleaned End_date]]-marketing_data[[#This Row],[Start_date]]</f>
        <v>3</v>
      </c>
    </row>
    <row r="78" spans="1:21" x14ac:dyDescent="0.2">
      <c r="A78" t="s">
        <v>184</v>
      </c>
      <c r="B78" t="s">
        <v>185</v>
      </c>
      <c r="C78" s="2">
        <v>44977</v>
      </c>
      <c r="D78" t="str">
        <f t="shared" si="8"/>
        <v>Feb</v>
      </c>
      <c r="E78" s="2">
        <v>44978</v>
      </c>
      <c r="F78" t="s">
        <v>41</v>
      </c>
      <c r="G78">
        <v>95663</v>
      </c>
      <c r="H78">
        <v>2998</v>
      </c>
      <c r="I78">
        <v>460</v>
      </c>
      <c r="J78" t="b">
        <v>0</v>
      </c>
      <c r="K78" s="10">
        <v>3631.7599999999998</v>
      </c>
      <c r="L78" s="6">
        <f t="shared" si="9"/>
        <v>3.1339180247326549E-2</v>
      </c>
      <c r="M78">
        <f t="shared" si="10"/>
        <v>1.2113942628418946</v>
      </c>
      <c r="N78">
        <f t="shared" si="11"/>
        <v>7.8951304347826081</v>
      </c>
      <c r="O78">
        <f t="shared" si="12"/>
        <v>19368.240000000002</v>
      </c>
      <c r="P78">
        <f t="shared" si="13"/>
        <v>0.15343562374916611</v>
      </c>
      <c r="Q78" t="s">
        <v>4138</v>
      </c>
      <c r="R78" t="s">
        <v>4141</v>
      </c>
      <c r="S78">
        <f>YEAR(marketing_data[[#This Row],[Start_date]])</f>
        <v>2023</v>
      </c>
      <c r="T78" t="str">
        <f>TEXT(marketing_data[[#This Row],[Start_date]],"ddd")</f>
        <v>Mon</v>
      </c>
      <c r="U78">
        <f>marketing_data[[#This Row],[Cleaned End_date]]-marketing_data[[#This Row],[Start_date]]</f>
        <v>1</v>
      </c>
    </row>
    <row r="79" spans="1:21" x14ac:dyDescent="0.2">
      <c r="A79" t="s">
        <v>187</v>
      </c>
      <c r="B79" t="s">
        <v>188</v>
      </c>
      <c r="C79" s="2">
        <v>45203</v>
      </c>
      <c r="D79" t="str">
        <f t="shared" si="8"/>
        <v>Oct</v>
      </c>
      <c r="E79" s="2">
        <v>45218</v>
      </c>
      <c r="F79" t="s">
        <v>23</v>
      </c>
      <c r="G79">
        <v>41397</v>
      </c>
      <c r="H79">
        <v>1708</v>
      </c>
      <c r="I79">
        <v>299</v>
      </c>
      <c r="J79" t="b">
        <v>0</v>
      </c>
      <c r="K79" s="10">
        <v>2581.4499999999998</v>
      </c>
      <c r="L79" s="6">
        <f t="shared" si="9"/>
        <v>4.1259028432011985E-2</v>
      </c>
      <c r="M79">
        <f t="shared" si="10"/>
        <v>1.511387587822014</v>
      </c>
      <c r="N79">
        <f t="shared" si="11"/>
        <v>8.6336120401337784</v>
      </c>
      <c r="O79">
        <f t="shared" si="12"/>
        <v>12368.55</v>
      </c>
      <c r="P79">
        <f t="shared" si="13"/>
        <v>0.17505854800936768</v>
      </c>
      <c r="Q79" t="s">
        <v>4136</v>
      </c>
      <c r="R79" t="s">
        <v>4138</v>
      </c>
      <c r="S79">
        <f>YEAR(marketing_data[[#This Row],[Start_date]])</f>
        <v>2023</v>
      </c>
      <c r="T79" t="str">
        <f>TEXT(marketing_data[[#This Row],[Start_date]],"ddd")</f>
        <v>Wed</v>
      </c>
      <c r="U79">
        <f>marketing_data[[#This Row],[Cleaned End_date]]-marketing_data[[#This Row],[Start_date]]</f>
        <v>15</v>
      </c>
    </row>
    <row r="80" spans="1:21" x14ac:dyDescent="0.2">
      <c r="A80" t="s">
        <v>189</v>
      </c>
      <c r="B80" t="s">
        <v>190</v>
      </c>
      <c r="C80" s="2">
        <v>45048</v>
      </c>
      <c r="D80" t="str">
        <f t="shared" si="8"/>
        <v>May</v>
      </c>
      <c r="E80" s="2">
        <v>45060</v>
      </c>
      <c r="F80" t="s">
        <v>41</v>
      </c>
      <c r="G80">
        <v>92387</v>
      </c>
      <c r="H80">
        <v>3530</v>
      </c>
      <c r="I80">
        <v>347</v>
      </c>
      <c r="J80" t="b">
        <v>1</v>
      </c>
      <c r="K80" s="10">
        <v>1795.28</v>
      </c>
      <c r="L80" s="6">
        <f t="shared" si="9"/>
        <v>3.8208838905906678E-2</v>
      </c>
      <c r="M80">
        <f t="shared" si="10"/>
        <v>0.50857790368271949</v>
      </c>
      <c r="N80">
        <f t="shared" si="11"/>
        <v>5.1737175792507202</v>
      </c>
      <c r="O80">
        <f t="shared" si="12"/>
        <v>15554.72</v>
      </c>
      <c r="P80">
        <f t="shared" si="13"/>
        <v>9.8300283286118978E-2</v>
      </c>
      <c r="Q80" t="s">
        <v>4137</v>
      </c>
      <c r="R80" t="s">
        <v>4142</v>
      </c>
      <c r="S80">
        <f>YEAR(marketing_data[[#This Row],[Start_date]])</f>
        <v>2023</v>
      </c>
      <c r="T80" t="str">
        <f>TEXT(marketing_data[[#This Row],[Start_date]],"ddd")</f>
        <v>Tue</v>
      </c>
      <c r="U80">
        <f>marketing_data[[#This Row],[Cleaned End_date]]-marketing_data[[#This Row],[Start_date]]</f>
        <v>12</v>
      </c>
    </row>
    <row r="81" spans="1:21" x14ac:dyDescent="0.2">
      <c r="A81" t="s">
        <v>192</v>
      </c>
      <c r="B81" t="s">
        <v>193</v>
      </c>
      <c r="C81" s="2">
        <v>45036</v>
      </c>
      <c r="D81" t="str">
        <f t="shared" si="8"/>
        <v>Apr</v>
      </c>
      <c r="E81" s="2">
        <v>45050</v>
      </c>
      <c r="F81" t="s">
        <v>19</v>
      </c>
      <c r="G81">
        <v>2016</v>
      </c>
      <c r="H81">
        <v>56</v>
      </c>
      <c r="I81">
        <v>10</v>
      </c>
      <c r="J81" t="b">
        <v>1</v>
      </c>
      <c r="K81" s="10">
        <v>329.13249999999999</v>
      </c>
      <c r="L81" s="6">
        <f t="shared" si="9"/>
        <v>2.7777777777777776E-2</v>
      </c>
      <c r="M81">
        <f t="shared" si="10"/>
        <v>5.8773660714285709</v>
      </c>
      <c r="N81">
        <f t="shared" si="11"/>
        <v>32.913249999999998</v>
      </c>
      <c r="O81">
        <f t="shared" si="12"/>
        <v>170.86750000000001</v>
      </c>
      <c r="P81">
        <f t="shared" si="13"/>
        <v>0.17857142857142858</v>
      </c>
      <c r="Q81" t="s">
        <v>4137</v>
      </c>
      <c r="R81" t="s">
        <v>4139</v>
      </c>
      <c r="S81">
        <f>YEAR(marketing_data[[#This Row],[Start_date]])</f>
        <v>2023</v>
      </c>
      <c r="T81" t="str">
        <f>TEXT(marketing_data[[#This Row],[Start_date]],"ddd")</f>
        <v>Thu</v>
      </c>
      <c r="U81">
        <f>marketing_data[[#This Row],[Cleaned End_date]]-marketing_data[[#This Row],[Start_date]]</f>
        <v>14</v>
      </c>
    </row>
    <row r="82" spans="1:21" x14ac:dyDescent="0.2">
      <c r="A82" t="s">
        <v>194</v>
      </c>
      <c r="B82" t="s">
        <v>195</v>
      </c>
      <c r="C82" s="2">
        <v>45011</v>
      </c>
      <c r="D82" t="str">
        <f t="shared" si="8"/>
        <v>Mar</v>
      </c>
      <c r="E82" s="2">
        <v>45019</v>
      </c>
      <c r="F82" t="s">
        <v>23</v>
      </c>
      <c r="G82">
        <v>90789</v>
      </c>
      <c r="H82">
        <v>4046</v>
      </c>
      <c r="I82">
        <v>299</v>
      </c>
      <c r="J82" t="b">
        <v>1</v>
      </c>
      <c r="K82" s="10">
        <v>3631.7599999999998</v>
      </c>
      <c r="L82" s="6">
        <f t="shared" si="9"/>
        <v>4.4564870193525646E-2</v>
      </c>
      <c r="M82">
        <f t="shared" si="10"/>
        <v>0.89761739990113687</v>
      </c>
      <c r="N82">
        <f t="shared" si="11"/>
        <v>12.146354515050167</v>
      </c>
      <c r="O82">
        <f t="shared" si="12"/>
        <v>11318.24</v>
      </c>
      <c r="P82">
        <f t="shared" si="13"/>
        <v>7.3900148294611959E-2</v>
      </c>
      <c r="Q82" t="s">
        <v>4137</v>
      </c>
      <c r="R82" t="s">
        <v>4139</v>
      </c>
      <c r="S82">
        <f>YEAR(marketing_data[[#This Row],[Start_date]])</f>
        <v>2023</v>
      </c>
      <c r="T82" t="str">
        <f>TEXT(marketing_data[[#This Row],[Start_date]],"ddd")</f>
        <v>Sun</v>
      </c>
      <c r="U82">
        <f>marketing_data[[#This Row],[Cleaned End_date]]-marketing_data[[#This Row],[Start_date]]</f>
        <v>8</v>
      </c>
    </row>
    <row r="83" spans="1:21" x14ac:dyDescent="0.2">
      <c r="A83" t="s">
        <v>196</v>
      </c>
      <c r="B83" t="s">
        <v>197</v>
      </c>
      <c r="C83" s="2">
        <v>45062</v>
      </c>
      <c r="D83" t="str">
        <f t="shared" si="8"/>
        <v>May</v>
      </c>
      <c r="E83" s="2">
        <v>45069</v>
      </c>
      <c r="F83" t="s">
        <v>14</v>
      </c>
      <c r="G83">
        <v>56591</v>
      </c>
      <c r="H83">
        <v>1829</v>
      </c>
      <c r="I83">
        <v>138</v>
      </c>
      <c r="J83" t="b">
        <v>0</v>
      </c>
      <c r="K83" s="10">
        <v>1748.61</v>
      </c>
      <c r="L83" s="6">
        <f t="shared" si="9"/>
        <v>3.2319626795780244E-2</v>
      </c>
      <c r="M83">
        <f t="shared" si="10"/>
        <v>0.95604702022963362</v>
      </c>
      <c r="N83">
        <f t="shared" si="11"/>
        <v>12.671086956521739</v>
      </c>
      <c r="O83">
        <f t="shared" si="12"/>
        <v>5151.3900000000003</v>
      </c>
      <c r="P83">
        <f t="shared" si="13"/>
        <v>7.5451066156369595E-2</v>
      </c>
      <c r="Q83" t="s">
        <v>4137</v>
      </c>
      <c r="R83" t="s">
        <v>4141</v>
      </c>
      <c r="S83">
        <f>YEAR(marketing_data[[#This Row],[Start_date]])</f>
        <v>2023</v>
      </c>
      <c r="T83" t="str">
        <f>TEXT(marketing_data[[#This Row],[Start_date]],"ddd")</f>
        <v>Tue</v>
      </c>
      <c r="U83">
        <f>marketing_data[[#This Row],[Cleaned End_date]]-marketing_data[[#This Row],[Start_date]]</f>
        <v>7</v>
      </c>
    </row>
    <row r="84" spans="1:21" x14ac:dyDescent="0.2">
      <c r="A84" t="s">
        <v>198</v>
      </c>
      <c r="B84" t="s">
        <v>199</v>
      </c>
      <c r="C84" s="2">
        <v>45073</v>
      </c>
      <c r="D84" t="str">
        <f t="shared" si="8"/>
        <v>May</v>
      </c>
      <c r="E84" s="2">
        <v>45084</v>
      </c>
      <c r="F84" t="s">
        <v>33</v>
      </c>
      <c r="G84">
        <v>90812</v>
      </c>
      <c r="H84">
        <v>2869</v>
      </c>
      <c r="I84">
        <v>258</v>
      </c>
      <c r="J84" t="b">
        <v>1</v>
      </c>
      <c r="K84" s="10">
        <v>2803.46</v>
      </c>
      <c r="L84" s="6">
        <f t="shared" si="9"/>
        <v>3.1592741047438665E-2</v>
      </c>
      <c r="M84">
        <f t="shared" si="10"/>
        <v>0.97715580341582431</v>
      </c>
      <c r="N84">
        <f t="shared" si="11"/>
        <v>10.866124031007752</v>
      </c>
      <c r="O84">
        <f t="shared" si="12"/>
        <v>10096.540000000001</v>
      </c>
      <c r="P84">
        <f t="shared" si="13"/>
        <v>8.9926803764377838E-2</v>
      </c>
      <c r="Q84" t="s">
        <v>4137</v>
      </c>
      <c r="R84" t="s">
        <v>4142</v>
      </c>
      <c r="S84">
        <f>YEAR(marketing_data[[#This Row],[Start_date]])</f>
        <v>2023</v>
      </c>
      <c r="T84" t="str">
        <f>TEXT(marketing_data[[#This Row],[Start_date]],"ddd")</f>
        <v>Sat</v>
      </c>
      <c r="U84">
        <f>marketing_data[[#This Row],[Cleaned End_date]]-marketing_data[[#This Row],[Start_date]]</f>
        <v>11</v>
      </c>
    </row>
    <row r="85" spans="1:21" x14ac:dyDescent="0.2">
      <c r="A85" t="s">
        <v>200</v>
      </c>
      <c r="B85" t="s">
        <v>201</v>
      </c>
      <c r="C85" s="2">
        <v>45211</v>
      </c>
      <c r="D85" t="str">
        <f t="shared" si="8"/>
        <v>Oct</v>
      </c>
      <c r="E85" s="2">
        <v>45234</v>
      </c>
      <c r="F85" t="s">
        <v>33</v>
      </c>
      <c r="G85">
        <v>24247</v>
      </c>
      <c r="H85">
        <v>275</v>
      </c>
      <c r="I85">
        <v>18</v>
      </c>
      <c r="J85" t="b">
        <v>0</v>
      </c>
      <c r="K85" s="10">
        <v>533.98</v>
      </c>
      <c r="L85" s="6">
        <f t="shared" si="9"/>
        <v>1.1341609271250051E-2</v>
      </c>
      <c r="M85">
        <f t="shared" si="10"/>
        <v>1.9417454545454547</v>
      </c>
      <c r="N85">
        <f t="shared" si="11"/>
        <v>29.665555555555557</v>
      </c>
      <c r="O85">
        <f t="shared" si="12"/>
        <v>366.02</v>
      </c>
      <c r="P85">
        <f t="shared" si="13"/>
        <v>6.545454545454546E-2</v>
      </c>
      <c r="Q85" t="s">
        <v>4136</v>
      </c>
      <c r="R85" t="s">
        <v>4138</v>
      </c>
      <c r="S85">
        <f>YEAR(marketing_data[[#This Row],[Start_date]])</f>
        <v>2023</v>
      </c>
      <c r="T85" t="str">
        <f>TEXT(marketing_data[[#This Row],[Start_date]],"ddd")</f>
        <v>Thu</v>
      </c>
      <c r="U85">
        <f>marketing_data[[#This Row],[Cleaned End_date]]-marketing_data[[#This Row],[Start_date]]</f>
        <v>23</v>
      </c>
    </row>
    <row r="86" spans="1:21" x14ac:dyDescent="0.2">
      <c r="A86" t="s">
        <v>202</v>
      </c>
      <c r="B86" t="s">
        <v>203</v>
      </c>
      <c r="C86" s="2">
        <v>45024</v>
      </c>
      <c r="D86" t="str">
        <f t="shared" si="8"/>
        <v>Apr</v>
      </c>
      <c r="E86" s="2">
        <v>45032</v>
      </c>
      <c r="F86" t="s">
        <v>23</v>
      </c>
      <c r="G86">
        <v>25300</v>
      </c>
      <c r="H86">
        <v>1251</v>
      </c>
      <c r="I86">
        <v>105</v>
      </c>
      <c r="J86" t="b">
        <v>1</v>
      </c>
      <c r="K86" s="10">
        <v>2298.8000000000002</v>
      </c>
      <c r="L86" s="6">
        <f t="shared" si="9"/>
        <v>4.9446640316205534E-2</v>
      </c>
      <c r="M86">
        <f t="shared" si="10"/>
        <v>1.8375699440447644</v>
      </c>
      <c r="N86">
        <f t="shared" si="11"/>
        <v>21.893333333333334</v>
      </c>
      <c r="O86">
        <f t="shared" si="12"/>
        <v>2951.2</v>
      </c>
      <c r="P86">
        <f t="shared" si="13"/>
        <v>8.3932853717026384E-2</v>
      </c>
      <c r="Q86" t="s">
        <v>4137</v>
      </c>
      <c r="R86" t="s">
        <v>4139</v>
      </c>
      <c r="S86">
        <f>YEAR(marketing_data[[#This Row],[Start_date]])</f>
        <v>2023</v>
      </c>
      <c r="T86" t="str">
        <f>TEXT(marketing_data[[#This Row],[Start_date]],"ddd")</f>
        <v>Sat</v>
      </c>
      <c r="U86">
        <f>marketing_data[[#This Row],[Cleaned End_date]]-marketing_data[[#This Row],[Start_date]]</f>
        <v>8</v>
      </c>
    </row>
    <row r="87" spans="1:21" x14ac:dyDescent="0.2">
      <c r="A87" t="s">
        <v>204</v>
      </c>
      <c r="B87" t="s">
        <v>205</v>
      </c>
      <c r="C87" s="2">
        <v>45223</v>
      </c>
      <c r="D87" t="str">
        <f t="shared" si="8"/>
        <v>Oct</v>
      </c>
      <c r="E87" s="2">
        <v>45253</v>
      </c>
      <c r="F87" t="s">
        <v>41</v>
      </c>
      <c r="G87">
        <v>75065</v>
      </c>
      <c r="H87">
        <v>1119</v>
      </c>
      <c r="I87">
        <v>73</v>
      </c>
      <c r="J87" t="b">
        <v>1</v>
      </c>
      <c r="K87" s="10">
        <v>1984.85</v>
      </c>
      <c r="L87" s="6">
        <f t="shared" si="9"/>
        <v>1.4907080530207154E-2</v>
      </c>
      <c r="M87">
        <f t="shared" si="10"/>
        <v>1.7737712243074173</v>
      </c>
      <c r="N87">
        <f t="shared" si="11"/>
        <v>27.18972602739726</v>
      </c>
      <c r="O87">
        <f t="shared" si="12"/>
        <v>1665.15</v>
      </c>
      <c r="P87">
        <f t="shared" si="13"/>
        <v>6.523681858802502E-2</v>
      </c>
      <c r="Q87" t="s">
        <v>4136</v>
      </c>
      <c r="R87" t="s">
        <v>4138</v>
      </c>
      <c r="S87">
        <f>YEAR(marketing_data[[#This Row],[Start_date]])</f>
        <v>2023</v>
      </c>
      <c r="T87" t="str">
        <f>TEXT(marketing_data[[#This Row],[Start_date]],"ddd")</f>
        <v>Tue</v>
      </c>
      <c r="U87">
        <f>marketing_data[[#This Row],[Cleaned End_date]]-marketing_data[[#This Row],[Start_date]]</f>
        <v>30</v>
      </c>
    </row>
    <row r="88" spans="1:21" x14ac:dyDescent="0.2">
      <c r="A88" t="s">
        <v>206</v>
      </c>
      <c r="B88" t="s">
        <v>207</v>
      </c>
      <c r="C88" s="2">
        <v>45205</v>
      </c>
      <c r="D88" t="str">
        <f t="shared" si="8"/>
        <v>Oct</v>
      </c>
      <c r="E88" s="2">
        <v>45235</v>
      </c>
      <c r="F88" t="s">
        <v>33</v>
      </c>
      <c r="G88">
        <v>83798</v>
      </c>
      <c r="H88">
        <v>1612</v>
      </c>
      <c r="I88">
        <v>279</v>
      </c>
      <c r="J88" t="b">
        <v>1</v>
      </c>
      <c r="K88" s="10">
        <v>1787.74</v>
      </c>
      <c r="L88" s="6">
        <f t="shared" si="9"/>
        <v>1.923673596028545E-2</v>
      </c>
      <c r="M88">
        <f t="shared" si="10"/>
        <v>1.1090198511166254</v>
      </c>
      <c r="N88">
        <f t="shared" si="11"/>
        <v>6.4076702508960572</v>
      </c>
      <c r="O88">
        <f t="shared" si="12"/>
        <v>12162.26</v>
      </c>
      <c r="P88">
        <f t="shared" si="13"/>
        <v>0.17307692307692307</v>
      </c>
      <c r="Q88" t="s">
        <v>4136</v>
      </c>
      <c r="R88" t="s">
        <v>4138</v>
      </c>
      <c r="S88">
        <f>YEAR(marketing_data[[#This Row],[Start_date]])</f>
        <v>2023</v>
      </c>
      <c r="T88" t="str">
        <f>TEXT(marketing_data[[#This Row],[Start_date]],"ddd")</f>
        <v>Fri</v>
      </c>
      <c r="U88">
        <f>marketing_data[[#This Row],[Cleaned End_date]]-marketing_data[[#This Row],[Start_date]]</f>
        <v>30</v>
      </c>
    </row>
    <row r="89" spans="1:21" x14ac:dyDescent="0.2">
      <c r="A89" t="s">
        <v>208</v>
      </c>
      <c r="B89" t="s">
        <v>209</v>
      </c>
      <c r="C89" s="2">
        <v>45226</v>
      </c>
      <c r="D89" t="str">
        <f t="shared" si="8"/>
        <v>Oct</v>
      </c>
      <c r="E89" s="2">
        <v>45255</v>
      </c>
      <c r="F89" t="s">
        <v>33</v>
      </c>
      <c r="G89">
        <v>10268</v>
      </c>
      <c r="H89">
        <v>123</v>
      </c>
      <c r="I89">
        <v>8</v>
      </c>
      <c r="J89" t="b">
        <v>0</v>
      </c>
      <c r="K89" s="10">
        <v>329.13249999999999</v>
      </c>
      <c r="L89" s="6">
        <f t="shared" si="9"/>
        <v>1.1978963770938839E-2</v>
      </c>
      <c r="M89">
        <f t="shared" si="10"/>
        <v>2.6758739837398373</v>
      </c>
      <c r="N89">
        <f t="shared" si="11"/>
        <v>41.141562499999999</v>
      </c>
      <c r="O89">
        <f t="shared" si="12"/>
        <v>70.867500000000007</v>
      </c>
      <c r="P89">
        <f t="shared" si="13"/>
        <v>6.5040650406504072E-2</v>
      </c>
      <c r="Q89" t="s">
        <v>4136</v>
      </c>
      <c r="R89" t="s">
        <v>4142</v>
      </c>
      <c r="S89">
        <f>YEAR(marketing_data[[#This Row],[Start_date]])</f>
        <v>2023</v>
      </c>
      <c r="T89" t="str">
        <f>TEXT(marketing_data[[#This Row],[Start_date]],"ddd")</f>
        <v>Fri</v>
      </c>
      <c r="U89">
        <f>marketing_data[[#This Row],[Cleaned End_date]]-marketing_data[[#This Row],[Start_date]]</f>
        <v>29</v>
      </c>
    </row>
    <row r="90" spans="1:21" x14ac:dyDescent="0.2">
      <c r="A90" t="s">
        <v>210</v>
      </c>
      <c r="B90" t="s">
        <v>211</v>
      </c>
      <c r="C90" s="2">
        <v>45198</v>
      </c>
      <c r="D90" t="str">
        <f t="shared" si="8"/>
        <v>Sep</v>
      </c>
      <c r="E90" s="2">
        <v>45209</v>
      </c>
      <c r="F90" t="str">
        <f>F89</f>
        <v>Instagram</v>
      </c>
      <c r="G90">
        <v>87807</v>
      </c>
      <c r="H90">
        <v>3125</v>
      </c>
      <c r="I90">
        <v>506</v>
      </c>
      <c r="J90" t="b">
        <v>1</v>
      </c>
      <c r="K90" s="10">
        <v>1938.54</v>
      </c>
      <c r="L90" s="6">
        <f t="shared" si="9"/>
        <v>3.5589417700183354E-2</v>
      </c>
      <c r="M90">
        <f t="shared" si="10"/>
        <v>0.62033280000000002</v>
      </c>
      <c r="N90">
        <f t="shared" si="11"/>
        <v>3.8311067193675887</v>
      </c>
      <c r="O90">
        <f t="shared" si="12"/>
        <v>23361.46</v>
      </c>
      <c r="P90">
        <f t="shared" si="13"/>
        <v>0.16192000000000001</v>
      </c>
      <c r="Q90" t="s">
        <v>4136</v>
      </c>
      <c r="R90" t="s">
        <v>4138</v>
      </c>
      <c r="S90">
        <f>YEAR(marketing_data[[#This Row],[Start_date]])</f>
        <v>2023</v>
      </c>
      <c r="T90" t="str">
        <f>TEXT(marketing_data[[#This Row],[Start_date]],"ddd")</f>
        <v>Fri</v>
      </c>
      <c r="U90">
        <f>marketing_data[[#This Row],[Cleaned End_date]]-marketing_data[[#This Row],[Start_date]]</f>
        <v>11</v>
      </c>
    </row>
    <row r="91" spans="1:21" x14ac:dyDescent="0.2">
      <c r="A91" t="s">
        <v>212</v>
      </c>
      <c r="B91" t="s">
        <v>213</v>
      </c>
      <c r="C91" s="2">
        <v>44968</v>
      </c>
      <c r="D91" t="str">
        <f t="shared" si="8"/>
        <v>Feb</v>
      </c>
      <c r="E91" s="2">
        <v>45253</v>
      </c>
      <c r="F91" t="s">
        <v>33</v>
      </c>
      <c r="G91">
        <v>13185</v>
      </c>
      <c r="H91">
        <v>250</v>
      </c>
      <c r="I91">
        <v>14</v>
      </c>
      <c r="J91" t="b">
        <v>1</v>
      </c>
      <c r="K91" s="10">
        <v>329.13249999999999</v>
      </c>
      <c r="L91" s="6">
        <f t="shared" si="9"/>
        <v>1.8960940462646948E-2</v>
      </c>
      <c r="M91">
        <f t="shared" si="10"/>
        <v>1.31653</v>
      </c>
      <c r="N91">
        <f t="shared" si="11"/>
        <v>23.509464285714284</v>
      </c>
      <c r="O91">
        <f t="shared" si="12"/>
        <v>370.86750000000001</v>
      </c>
      <c r="P91">
        <f t="shared" si="13"/>
        <v>5.6000000000000001E-2</v>
      </c>
      <c r="Q91" t="s">
        <v>4138</v>
      </c>
      <c r="R91" t="s">
        <v>4142</v>
      </c>
      <c r="S91">
        <f>YEAR(marketing_data[[#This Row],[Start_date]])</f>
        <v>2023</v>
      </c>
      <c r="T91" t="str">
        <f>TEXT(marketing_data[[#This Row],[Start_date]],"ddd")</f>
        <v>Sat</v>
      </c>
      <c r="U91">
        <f>marketing_data[[#This Row],[Cleaned End_date]]-marketing_data[[#This Row],[Start_date]]</f>
        <v>285</v>
      </c>
    </row>
    <row r="92" spans="1:21" x14ac:dyDescent="0.2">
      <c r="A92" t="s">
        <v>214</v>
      </c>
      <c r="B92" t="s">
        <v>215</v>
      </c>
      <c r="C92" s="2">
        <v>44961</v>
      </c>
      <c r="D92" t="str">
        <f t="shared" si="8"/>
        <v>Feb</v>
      </c>
      <c r="E92" s="2">
        <v>44991</v>
      </c>
      <c r="F92" t="s">
        <v>33</v>
      </c>
      <c r="G92">
        <v>64704</v>
      </c>
      <c r="H92">
        <v>1112</v>
      </c>
      <c r="I92">
        <v>213</v>
      </c>
      <c r="J92" t="b">
        <v>1</v>
      </c>
      <c r="K92" s="10">
        <v>582.26</v>
      </c>
      <c r="L92" s="6">
        <f t="shared" si="9"/>
        <v>1.7185954500494559E-2</v>
      </c>
      <c r="M92">
        <f t="shared" si="10"/>
        <v>0.52361510791366905</v>
      </c>
      <c r="N92">
        <f t="shared" si="11"/>
        <v>2.7336150234741785</v>
      </c>
      <c r="O92">
        <f t="shared" si="12"/>
        <v>10067.74</v>
      </c>
      <c r="P92">
        <f t="shared" si="13"/>
        <v>0.19154676258992806</v>
      </c>
      <c r="Q92" t="s">
        <v>4138</v>
      </c>
      <c r="R92" t="s">
        <v>4141</v>
      </c>
      <c r="S92">
        <f>YEAR(marketing_data[[#This Row],[Start_date]])</f>
        <v>2023</v>
      </c>
      <c r="T92" t="str">
        <f>TEXT(marketing_data[[#This Row],[Start_date]],"ddd")</f>
        <v>Sat</v>
      </c>
      <c r="U92">
        <f>marketing_data[[#This Row],[Cleaned End_date]]-marketing_data[[#This Row],[Start_date]]</f>
        <v>30</v>
      </c>
    </row>
    <row r="93" spans="1:21" x14ac:dyDescent="0.2">
      <c r="A93" t="s">
        <v>216</v>
      </c>
      <c r="B93" t="s">
        <v>217</v>
      </c>
      <c r="C93" s="2">
        <v>44988</v>
      </c>
      <c r="D93" t="str">
        <f t="shared" si="8"/>
        <v>Mar</v>
      </c>
      <c r="E93" s="2">
        <v>45017</v>
      </c>
      <c r="F93" t="s">
        <v>41</v>
      </c>
      <c r="G93">
        <v>87779</v>
      </c>
      <c r="H93">
        <v>1188</v>
      </c>
      <c r="I93">
        <v>186</v>
      </c>
      <c r="J93" t="b">
        <v>0</v>
      </c>
      <c r="K93" s="10">
        <v>624.55999999999995</v>
      </c>
      <c r="L93" s="6">
        <f t="shared" si="9"/>
        <v>1.3533988767245013E-2</v>
      </c>
      <c r="M93">
        <f t="shared" si="10"/>
        <v>0.5257239057239057</v>
      </c>
      <c r="N93">
        <f t="shared" si="11"/>
        <v>3.357849462365591</v>
      </c>
      <c r="O93">
        <f t="shared" si="12"/>
        <v>8675.44</v>
      </c>
      <c r="P93">
        <f t="shared" si="13"/>
        <v>0.15656565656565657</v>
      </c>
      <c r="Q93" t="s">
        <v>4137</v>
      </c>
      <c r="R93" t="s">
        <v>4141</v>
      </c>
      <c r="S93">
        <f>YEAR(marketing_data[[#This Row],[Start_date]])</f>
        <v>2023</v>
      </c>
      <c r="T93" t="str">
        <f>TEXT(marketing_data[[#This Row],[Start_date]],"ddd")</f>
        <v>Fri</v>
      </c>
      <c r="U93">
        <f>marketing_data[[#This Row],[Cleaned End_date]]-marketing_data[[#This Row],[Start_date]]</f>
        <v>29</v>
      </c>
    </row>
    <row r="94" spans="1:21" x14ac:dyDescent="0.2">
      <c r="A94" t="s">
        <v>218</v>
      </c>
      <c r="B94" t="s">
        <v>219</v>
      </c>
      <c r="C94" s="2">
        <v>45223</v>
      </c>
      <c r="D94" t="str">
        <f t="shared" si="8"/>
        <v>Oct</v>
      </c>
      <c r="E94" s="2">
        <v>45239</v>
      </c>
      <c r="F94" t="s">
        <v>41</v>
      </c>
      <c r="G94">
        <v>40099</v>
      </c>
      <c r="H94">
        <v>566</v>
      </c>
      <c r="I94">
        <v>28</v>
      </c>
      <c r="J94" t="b">
        <v>0</v>
      </c>
      <c r="K94" s="10">
        <v>1061.2</v>
      </c>
      <c r="L94" s="6">
        <f t="shared" si="9"/>
        <v>1.4115065213596348E-2</v>
      </c>
      <c r="M94">
        <f t="shared" si="10"/>
        <v>1.8749116607773852</v>
      </c>
      <c r="N94">
        <f t="shared" si="11"/>
        <v>37.9</v>
      </c>
      <c r="O94">
        <f t="shared" si="12"/>
        <v>338.79999999999995</v>
      </c>
      <c r="P94">
        <f t="shared" si="13"/>
        <v>4.9469964664310952E-2</v>
      </c>
      <c r="Q94" t="s">
        <v>4136</v>
      </c>
      <c r="R94" t="s">
        <v>4138</v>
      </c>
      <c r="S94">
        <f>YEAR(marketing_data[[#This Row],[Start_date]])</f>
        <v>2023</v>
      </c>
      <c r="T94" t="str">
        <f>TEXT(marketing_data[[#This Row],[Start_date]],"ddd")</f>
        <v>Tue</v>
      </c>
      <c r="U94">
        <f>marketing_data[[#This Row],[Cleaned End_date]]-marketing_data[[#This Row],[Start_date]]</f>
        <v>16</v>
      </c>
    </row>
    <row r="95" spans="1:21" x14ac:dyDescent="0.2">
      <c r="A95" t="s">
        <v>220</v>
      </c>
      <c r="B95" t="s">
        <v>221</v>
      </c>
      <c r="C95" s="2">
        <v>45141</v>
      </c>
      <c r="D95" t="str">
        <f t="shared" si="8"/>
        <v>Aug</v>
      </c>
      <c r="E95" s="2">
        <v>45167</v>
      </c>
      <c r="F95" t="str">
        <f>F94</f>
        <v>Google Ads</v>
      </c>
      <c r="G95">
        <v>9571</v>
      </c>
      <c r="H95">
        <v>319</v>
      </c>
      <c r="I95">
        <v>52</v>
      </c>
      <c r="J95" t="b">
        <v>0</v>
      </c>
      <c r="K95" s="10">
        <v>497.4</v>
      </c>
      <c r="L95" s="6">
        <f t="shared" si="9"/>
        <v>3.3329850590324943E-2</v>
      </c>
      <c r="M95">
        <f t="shared" si="10"/>
        <v>1.5592476489028213</v>
      </c>
      <c r="N95">
        <f t="shared" si="11"/>
        <v>9.5653846153846143</v>
      </c>
      <c r="O95">
        <f t="shared" si="12"/>
        <v>2102.6</v>
      </c>
      <c r="P95">
        <f t="shared" si="13"/>
        <v>0.16300940438871472</v>
      </c>
      <c r="Q95" t="s">
        <v>4139</v>
      </c>
      <c r="R95" t="s">
        <v>4138</v>
      </c>
      <c r="S95">
        <f>YEAR(marketing_data[[#This Row],[Start_date]])</f>
        <v>2023</v>
      </c>
      <c r="T95" t="str">
        <f>TEXT(marketing_data[[#This Row],[Start_date]],"ddd")</f>
        <v>Thu</v>
      </c>
      <c r="U95">
        <f>marketing_data[[#This Row],[Cleaned End_date]]-marketing_data[[#This Row],[Start_date]]</f>
        <v>26</v>
      </c>
    </row>
    <row r="96" spans="1:21" x14ac:dyDescent="0.2">
      <c r="A96" t="s">
        <v>222</v>
      </c>
      <c r="B96" t="s">
        <v>223</v>
      </c>
      <c r="C96" s="2">
        <v>45088</v>
      </c>
      <c r="D96" t="str">
        <f t="shared" si="8"/>
        <v>Jun</v>
      </c>
      <c r="E96" s="2">
        <v>45097</v>
      </c>
      <c r="F96" t="s">
        <v>14</v>
      </c>
      <c r="G96">
        <v>39044</v>
      </c>
      <c r="H96">
        <v>1465</v>
      </c>
      <c r="I96">
        <v>186</v>
      </c>
      <c r="J96" t="b">
        <v>1</v>
      </c>
      <c r="K96" s="10">
        <v>1411.43</v>
      </c>
      <c r="L96" s="6">
        <f t="shared" si="9"/>
        <v>3.7521770310419013E-2</v>
      </c>
      <c r="M96">
        <f t="shared" si="10"/>
        <v>0.96343344709897616</v>
      </c>
      <c r="N96">
        <f t="shared" si="11"/>
        <v>7.5883333333333338</v>
      </c>
      <c r="O96">
        <f t="shared" si="12"/>
        <v>7888.57</v>
      </c>
      <c r="P96">
        <f t="shared" si="13"/>
        <v>0.12696245733788397</v>
      </c>
      <c r="Q96" t="s">
        <v>4139</v>
      </c>
      <c r="R96" t="s">
        <v>4139</v>
      </c>
      <c r="S96">
        <f>YEAR(marketing_data[[#This Row],[Start_date]])</f>
        <v>2023</v>
      </c>
      <c r="T96" t="str">
        <f>TEXT(marketing_data[[#This Row],[Start_date]],"ddd")</f>
        <v>Sun</v>
      </c>
      <c r="U96">
        <f>marketing_data[[#This Row],[Cleaned End_date]]-marketing_data[[#This Row],[Start_date]]</f>
        <v>9</v>
      </c>
    </row>
    <row r="97" spans="1:21" x14ac:dyDescent="0.2">
      <c r="A97" t="s">
        <v>224</v>
      </c>
      <c r="B97" t="s">
        <v>225</v>
      </c>
      <c r="C97" s="2">
        <v>45087</v>
      </c>
      <c r="D97" t="str">
        <f t="shared" si="8"/>
        <v>Jun</v>
      </c>
      <c r="E97" s="2">
        <v>45105</v>
      </c>
      <c r="F97" t="s">
        <v>41</v>
      </c>
      <c r="G97">
        <v>52214</v>
      </c>
      <c r="H97">
        <v>1352</v>
      </c>
      <c r="I97">
        <v>225</v>
      </c>
      <c r="J97" t="b">
        <v>0</v>
      </c>
      <c r="K97" s="10">
        <v>945</v>
      </c>
      <c r="L97" s="6">
        <f t="shared" si="9"/>
        <v>2.5893438541387367E-2</v>
      </c>
      <c r="M97">
        <f t="shared" si="10"/>
        <v>0.69896449704142016</v>
      </c>
      <c r="N97">
        <f t="shared" si="11"/>
        <v>4.2</v>
      </c>
      <c r="O97">
        <f t="shared" si="12"/>
        <v>10305</v>
      </c>
      <c r="P97">
        <f t="shared" si="13"/>
        <v>0.16642011834319526</v>
      </c>
      <c r="Q97" t="s">
        <v>4139</v>
      </c>
      <c r="R97" t="s">
        <v>4138</v>
      </c>
      <c r="S97">
        <f>YEAR(marketing_data[[#This Row],[Start_date]])</f>
        <v>2023</v>
      </c>
      <c r="T97" t="str">
        <f>TEXT(marketing_data[[#This Row],[Start_date]],"ddd")</f>
        <v>Sat</v>
      </c>
      <c r="U97">
        <f>marketing_data[[#This Row],[Cleaned End_date]]-marketing_data[[#This Row],[Start_date]]</f>
        <v>18</v>
      </c>
    </row>
    <row r="98" spans="1:21" x14ac:dyDescent="0.2">
      <c r="A98" t="s">
        <v>226</v>
      </c>
      <c r="B98" t="s">
        <v>227</v>
      </c>
      <c r="C98" s="2">
        <v>45270</v>
      </c>
      <c r="D98" t="str">
        <f t="shared" si="8"/>
        <v>Dec</v>
      </c>
      <c r="E98" s="2">
        <v>45281</v>
      </c>
      <c r="F98" t="s">
        <v>23</v>
      </c>
      <c r="G98">
        <v>62228</v>
      </c>
      <c r="H98">
        <v>1816</v>
      </c>
      <c r="I98">
        <v>233</v>
      </c>
      <c r="J98" t="b">
        <v>0</v>
      </c>
      <c r="K98" s="10">
        <v>2301.6999999999998</v>
      </c>
      <c r="L98" s="6">
        <f t="shared" si="9"/>
        <v>2.9183004435302435E-2</v>
      </c>
      <c r="M98">
        <f t="shared" si="10"/>
        <v>1.2674559471365638</v>
      </c>
      <c r="N98">
        <f t="shared" si="11"/>
        <v>9.8785407725321885</v>
      </c>
      <c r="O98">
        <f t="shared" si="12"/>
        <v>9348.2999999999993</v>
      </c>
      <c r="P98">
        <f t="shared" si="13"/>
        <v>0.12830396475770925</v>
      </c>
      <c r="Q98" t="s">
        <v>4138</v>
      </c>
      <c r="R98" t="s">
        <v>4139</v>
      </c>
      <c r="S98">
        <f>YEAR(marketing_data[[#This Row],[Start_date]])</f>
        <v>2023</v>
      </c>
      <c r="T98" t="str">
        <f>TEXT(marketing_data[[#This Row],[Start_date]],"ddd")</f>
        <v>Sun</v>
      </c>
      <c r="U98">
        <f>marketing_data[[#This Row],[Cleaned End_date]]-marketing_data[[#This Row],[Start_date]]</f>
        <v>11</v>
      </c>
    </row>
    <row r="99" spans="1:21" x14ac:dyDescent="0.2">
      <c r="A99" t="s">
        <v>228</v>
      </c>
      <c r="B99" t="s">
        <v>229</v>
      </c>
      <c r="C99" s="2">
        <v>45109</v>
      </c>
      <c r="D99" t="str">
        <f t="shared" si="8"/>
        <v>Jul</v>
      </c>
      <c r="E99" s="2">
        <v>45139</v>
      </c>
      <c r="F99" t="str">
        <f>F98</f>
        <v>Email</v>
      </c>
      <c r="G99">
        <v>49984</v>
      </c>
      <c r="H99">
        <v>1871</v>
      </c>
      <c r="I99">
        <v>273</v>
      </c>
      <c r="J99" t="b">
        <v>0</v>
      </c>
      <c r="K99" s="10">
        <v>950.5</v>
      </c>
      <c r="L99" s="6">
        <f t="shared" si="9"/>
        <v>3.7431978233034569E-2</v>
      </c>
      <c r="M99">
        <f t="shared" si="10"/>
        <v>0.50801710315339388</v>
      </c>
      <c r="N99">
        <f t="shared" si="11"/>
        <v>3.4816849816849818</v>
      </c>
      <c r="O99">
        <f t="shared" si="12"/>
        <v>12699.5</v>
      </c>
      <c r="P99">
        <f t="shared" si="13"/>
        <v>0.1459112773917691</v>
      </c>
      <c r="Q99" t="s">
        <v>4139</v>
      </c>
      <c r="R99" t="s">
        <v>4139</v>
      </c>
      <c r="S99">
        <f>YEAR(marketing_data[[#This Row],[Start_date]])</f>
        <v>2023</v>
      </c>
      <c r="T99" t="str">
        <f>TEXT(marketing_data[[#This Row],[Start_date]],"ddd")</f>
        <v>Sun</v>
      </c>
      <c r="U99">
        <f>marketing_data[[#This Row],[Cleaned End_date]]-marketing_data[[#This Row],[Start_date]]</f>
        <v>30</v>
      </c>
    </row>
    <row r="100" spans="1:21" x14ac:dyDescent="0.2">
      <c r="A100" t="s">
        <v>230</v>
      </c>
      <c r="B100" t="s">
        <v>231</v>
      </c>
      <c r="C100" s="2">
        <v>45245</v>
      </c>
      <c r="D100" t="str">
        <f t="shared" si="8"/>
        <v>Nov</v>
      </c>
      <c r="E100" s="2">
        <v>45271</v>
      </c>
      <c r="F100" t="s">
        <v>33</v>
      </c>
      <c r="G100">
        <v>41774</v>
      </c>
      <c r="H100">
        <v>446</v>
      </c>
      <c r="I100">
        <v>74</v>
      </c>
      <c r="J100" t="b">
        <v>0</v>
      </c>
      <c r="K100" s="10">
        <v>850.8</v>
      </c>
      <c r="L100" s="6">
        <f t="shared" si="9"/>
        <v>1.0676497342844832E-2</v>
      </c>
      <c r="M100">
        <f t="shared" si="10"/>
        <v>1.9076233183856501</v>
      </c>
      <c r="N100">
        <f t="shared" si="11"/>
        <v>11.497297297297298</v>
      </c>
      <c r="O100">
        <f t="shared" si="12"/>
        <v>2849.2</v>
      </c>
      <c r="P100">
        <f t="shared" si="13"/>
        <v>0.16591928251121077</v>
      </c>
      <c r="Q100" t="s">
        <v>4136</v>
      </c>
      <c r="R100" t="s">
        <v>4142</v>
      </c>
      <c r="S100">
        <f>YEAR(marketing_data[[#This Row],[Start_date]])</f>
        <v>2023</v>
      </c>
      <c r="T100" t="str">
        <f>TEXT(marketing_data[[#This Row],[Start_date]],"ddd")</f>
        <v>Wed</v>
      </c>
      <c r="U100">
        <f>marketing_data[[#This Row],[Cleaned End_date]]-marketing_data[[#This Row],[Start_date]]</f>
        <v>26</v>
      </c>
    </row>
    <row r="101" spans="1:21" x14ac:dyDescent="0.2">
      <c r="A101" t="s">
        <v>232</v>
      </c>
      <c r="B101" t="s">
        <v>233</v>
      </c>
      <c r="C101" s="2">
        <v>44964</v>
      </c>
      <c r="D101" t="str">
        <f t="shared" si="8"/>
        <v>Feb</v>
      </c>
      <c r="E101" s="2">
        <v>44975</v>
      </c>
      <c r="F101" t="s">
        <v>14</v>
      </c>
      <c r="G101">
        <v>3568</v>
      </c>
      <c r="H101">
        <v>81</v>
      </c>
      <c r="I101">
        <v>8</v>
      </c>
      <c r="J101" t="b">
        <v>1</v>
      </c>
      <c r="K101" s="10">
        <v>329.13249999999999</v>
      </c>
      <c r="L101" s="6">
        <f t="shared" si="9"/>
        <v>2.2701793721973094E-2</v>
      </c>
      <c r="M101">
        <f t="shared" si="10"/>
        <v>4.0633641975308645</v>
      </c>
      <c r="N101">
        <f t="shared" si="11"/>
        <v>41.141562499999999</v>
      </c>
      <c r="O101">
        <f t="shared" si="12"/>
        <v>70.867500000000007</v>
      </c>
      <c r="P101">
        <f t="shared" si="13"/>
        <v>9.8765432098765427E-2</v>
      </c>
      <c r="Q101" t="s">
        <v>4138</v>
      </c>
      <c r="R101" t="s">
        <v>4142</v>
      </c>
      <c r="S101">
        <f>YEAR(marketing_data[[#This Row],[Start_date]])</f>
        <v>2023</v>
      </c>
      <c r="T101" t="str">
        <f>TEXT(marketing_data[[#This Row],[Start_date]],"ddd")</f>
        <v>Tue</v>
      </c>
      <c r="U101">
        <f>marketing_data[[#This Row],[Cleaned End_date]]-marketing_data[[#This Row],[Start_date]]</f>
        <v>11</v>
      </c>
    </row>
    <row r="102" spans="1:21" x14ac:dyDescent="0.2">
      <c r="A102" t="s">
        <v>235</v>
      </c>
      <c r="B102" t="s">
        <v>236</v>
      </c>
      <c r="C102" s="2">
        <v>44994</v>
      </c>
      <c r="D102" t="str">
        <f t="shared" si="8"/>
        <v>Mar</v>
      </c>
      <c r="E102" s="2">
        <v>45017</v>
      </c>
      <c r="F102" t="s">
        <v>14</v>
      </c>
      <c r="G102">
        <v>63592</v>
      </c>
      <c r="H102">
        <v>3111</v>
      </c>
      <c r="I102">
        <v>156</v>
      </c>
      <c r="J102" t="b">
        <v>0</v>
      </c>
      <c r="K102" s="10">
        <v>3433</v>
      </c>
      <c r="L102" s="6">
        <f t="shared" si="9"/>
        <v>4.89212479557177E-2</v>
      </c>
      <c r="M102">
        <f t="shared" si="10"/>
        <v>1.1035036965605916</v>
      </c>
      <c r="N102">
        <f t="shared" si="11"/>
        <v>22.006410256410255</v>
      </c>
      <c r="O102">
        <f t="shared" si="12"/>
        <v>4367</v>
      </c>
      <c r="P102">
        <f t="shared" si="13"/>
        <v>5.0144648023143681E-2</v>
      </c>
      <c r="Q102" t="s">
        <v>4137</v>
      </c>
      <c r="R102" t="s">
        <v>4139</v>
      </c>
      <c r="S102">
        <f>YEAR(marketing_data[[#This Row],[Start_date]])</f>
        <v>2023</v>
      </c>
      <c r="T102" t="str">
        <f>TEXT(marketing_data[[#This Row],[Start_date]],"ddd")</f>
        <v>Thu</v>
      </c>
      <c r="U102">
        <f>marketing_data[[#This Row],[Cleaned End_date]]-marketing_data[[#This Row],[Start_date]]</f>
        <v>23</v>
      </c>
    </row>
    <row r="103" spans="1:21" x14ac:dyDescent="0.2">
      <c r="A103" t="s">
        <v>237</v>
      </c>
      <c r="B103" t="s">
        <v>238</v>
      </c>
      <c r="C103" s="2">
        <v>45052</v>
      </c>
      <c r="D103" t="str">
        <f t="shared" si="8"/>
        <v>May</v>
      </c>
      <c r="E103" s="2">
        <v>45059</v>
      </c>
      <c r="F103" t="s">
        <v>41</v>
      </c>
      <c r="G103">
        <v>68563</v>
      </c>
      <c r="H103">
        <v>2276</v>
      </c>
      <c r="I103">
        <v>403</v>
      </c>
      <c r="J103" t="b">
        <v>1</v>
      </c>
      <c r="K103" s="10">
        <v>2471.4899999999998</v>
      </c>
      <c r="L103" s="6">
        <f t="shared" si="9"/>
        <v>3.3195746977232619E-2</v>
      </c>
      <c r="M103">
        <f t="shared" si="10"/>
        <v>1.0858919156414761</v>
      </c>
      <c r="N103">
        <f t="shared" si="11"/>
        <v>6.1327295285359797</v>
      </c>
      <c r="O103">
        <f t="shared" si="12"/>
        <v>17678.510000000002</v>
      </c>
      <c r="P103">
        <f t="shared" si="13"/>
        <v>0.17706502636203866</v>
      </c>
      <c r="Q103" t="s">
        <v>4137</v>
      </c>
      <c r="R103" t="s">
        <v>4142</v>
      </c>
      <c r="S103">
        <f>YEAR(marketing_data[[#This Row],[Start_date]])</f>
        <v>2023</v>
      </c>
      <c r="T103" t="str">
        <f>TEXT(marketing_data[[#This Row],[Start_date]],"ddd")</f>
        <v>Sat</v>
      </c>
      <c r="U103">
        <f>marketing_data[[#This Row],[Cleaned End_date]]-marketing_data[[#This Row],[Start_date]]</f>
        <v>7</v>
      </c>
    </row>
    <row r="104" spans="1:21" x14ac:dyDescent="0.2">
      <c r="A104" t="s">
        <v>239</v>
      </c>
      <c r="B104" t="s">
        <v>240</v>
      </c>
      <c r="C104" s="2">
        <v>45205</v>
      </c>
      <c r="D104" t="str">
        <f t="shared" si="8"/>
        <v>Oct</v>
      </c>
      <c r="E104" s="2">
        <v>45234</v>
      </c>
      <c r="F104" t="str">
        <f>F103</f>
        <v>Google Ads</v>
      </c>
      <c r="G104">
        <v>3695</v>
      </c>
      <c r="H104">
        <v>74</v>
      </c>
      <c r="I104">
        <v>7</v>
      </c>
      <c r="J104" t="b">
        <v>0</v>
      </c>
      <c r="K104" s="10">
        <v>329.13249999999999</v>
      </c>
      <c r="L104" s="6">
        <f t="shared" si="9"/>
        <v>2.0027063599458727E-2</v>
      </c>
      <c r="M104">
        <f t="shared" si="10"/>
        <v>4.4477364864864866</v>
      </c>
      <c r="N104">
        <f t="shared" si="11"/>
        <v>47.018928571428567</v>
      </c>
      <c r="O104">
        <f t="shared" si="12"/>
        <v>20.867500000000007</v>
      </c>
      <c r="P104">
        <f t="shared" si="13"/>
        <v>9.45945945945946E-2</v>
      </c>
      <c r="Q104" t="s">
        <v>4136</v>
      </c>
      <c r="R104" t="s">
        <v>4139</v>
      </c>
      <c r="S104">
        <f>YEAR(marketing_data[[#This Row],[Start_date]])</f>
        <v>2023</v>
      </c>
      <c r="T104" t="str">
        <f>TEXT(marketing_data[[#This Row],[Start_date]],"ddd")</f>
        <v>Fri</v>
      </c>
      <c r="U104">
        <f>marketing_data[[#This Row],[Cleaned End_date]]-marketing_data[[#This Row],[Start_date]]</f>
        <v>29</v>
      </c>
    </row>
    <row r="105" spans="1:21" x14ac:dyDescent="0.2">
      <c r="A105" t="s">
        <v>241</v>
      </c>
      <c r="B105" t="s">
        <v>242</v>
      </c>
      <c r="C105" s="2">
        <v>45261</v>
      </c>
      <c r="D105" t="str">
        <f t="shared" si="8"/>
        <v>Dec</v>
      </c>
      <c r="E105" s="2">
        <v>45266</v>
      </c>
      <c r="F105" t="s">
        <v>23</v>
      </c>
      <c r="G105">
        <v>49190</v>
      </c>
      <c r="H105">
        <v>1518</v>
      </c>
      <c r="I105">
        <v>188</v>
      </c>
      <c r="J105" t="b">
        <v>1</v>
      </c>
      <c r="K105" s="10">
        <v>2212.46</v>
      </c>
      <c r="L105" s="6">
        <f t="shared" si="9"/>
        <v>3.0859930880260216E-2</v>
      </c>
      <c r="M105">
        <f t="shared" si="10"/>
        <v>1.457483530961792</v>
      </c>
      <c r="N105">
        <f t="shared" si="11"/>
        <v>11.768404255319149</v>
      </c>
      <c r="O105">
        <f t="shared" si="12"/>
        <v>7187.54</v>
      </c>
      <c r="P105">
        <f t="shared" si="13"/>
        <v>0.12384716732542819</v>
      </c>
      <c r="Q105" t="s">
        <v>4138</v>
      </c>
      <c r="R105" t="s">
        <v>4138</v>
      </c>
      <c r="S105">
        <f>YEAR(marketing_data[[#This Row],[Start_date]])</f>
        <v>2023</v>
      </c>
      <c r="T105" t="str">
        <f>TEXT(marketing_data[[#This Row],[Start_date]],"ddd")</f>
        <v>Fri</v>
      </c>
      <c r="U105">
        <f>marketing_data[[#This Row],[Cleaned End_date]]-marketing_data[[#This Row],[Start_date]]</f>
        <v>5</v>
      </c>
    </row>
    <row r="106" spans="1:21" x14ac:dyDescent="0.2">
      <c r="A106" t="s">
        <v>243</v>
      </c>
      <c r="B106" t="s">
        <v>244</v>
      </c>
      <c r="C106" s="2">
        <v>45210</v>
      </c>
      <c r="D106" t="str">
        <f t="shared" si="8"/>
        <v>Oct</v>
      </c>
      <c r="E106" s="2">
        <v>45221</v>
      </c>
      <c r="F106" t="s">
        <v>14</v>
      </c>
      <c r="G106">
        <v>6258</v>
      </c>
      <c r="H106">
        <v>148</v>
      </c>
      <c r="I106">
        <v>7</v>
      </c>
      <c r="J106" t="b">
        <v>1</v>
      </c>
      <c r="K106" s="10">
        <v>329.13249999999999</v>
      </c>
      <c r="L106" s="6">
        <f t="shared" si="9"/>
        <v>2.3649728347714925E-2</v>
      </c>
      <c r="M106">
        <f t="shared" si="10"/>
        <v>2.2238682432432433</v>
      </c>
      <c r="N106">
        <f t="shared" si="11"/>
        <v>47.018928571428567</v>
      </c>
      <c r="O106">
        <f t="shared" si="12"/>
        <v>20.867500000000007</v>
      </c>
      <c r="P106">
        <f t="shared" si="13"/>
        <v>4.72972972972973E-2</v>
      </c>
      <c r="Q106" t="s">
        <v>4136</v>
      </c>
      <c r="R106" t="s">
        <v>4142</v>
      </c>
      <c r="S106">
        <f>YEAR(marketing_data[[#This Row],[Start_date]])</f>
        <v>2023</v>
      </c>
      <c r="T106" t="str">
        <f>TEXT(marketing_data[[#This Row],[Start_date]],"ddd")</f>
        <v>Wed</v>
      </c>
      <c r="U106">
        <f>marketing_data[[#This Row],[Cleaned End_date]]-marketing_data[[#This Row],[Start_date]]</f>
        <v>11</v>
      </c>
    </row>
    <row r="107" spans="1:21" x14ac:dyDescent="0.2">
      <c r="A107" t="s">
        <v>245</v>
      </c>
      <c r="B107" t="s">
        <v>246</v>
      </c>
      <c r="C107" s="2">
        <v>44995</v>
      </c>
      <c r="D107" t="str">
        <f t="shared" si="8"/>
        <v>Mar</v>
      </c>
      <c r="E107" s="2">
        <v>45021</v>
      </c>
      <c r="F107" t="s">
        <v>41</v>
      </c>
      <c r="G107">
        <v>88538</v>
      </c>
      <c r="H107">
        <v>2770</v>
      </c>
      <c r="I107">
        <v>342</v>
      </c>
      <c r="J107" t="b">
        <v>0</v>
      </c>
      <c r="K107" s="10">
        <v>3631.7599999999998</v>
      </c>
      <c r="L107" s="6">
        <f t="shared" si="9"/>
        <v>3.1286001490885271E-2</v>
      </c>
      <c r="M107">
        <f t="shared" si="10"/>
        <v>1.3111046931407941</v>
      </c>
      <c r="N107">
        <f t="shared" si="11"/>
        <v>10.619181286549708</v>
      </c>
      <c r="O107">
        <f t="shared" si="12"/>
        <v>13468.24</v>
      </c>
      <c r="P107">
        <f t="shared" si="13"/>
        <v>0.12346570397111914</v>
      </c>
      <c r="Q107" t="s">
        <v>4137</v>
      </c>
      <c r="R107" t="s">
        <v>4142</v>
      </c>
      <c r="S107">
        <f>YEAR(marketing_data[[#This Row],[Start_date]])</f>
        <v>2023</v>
      </c>
      <c r="T107" t="str">
        <f>TEXT(marketing_data[[#This Row],[Start_date]],"ddd")</f>
        <v>Fri</v>
      </c>
      <c r="U107">
        <f>marketing_data[[#This Row],[Cleaned End_date]]-marketing_data[[#This Row],[Start_date]]</f>
        <v>26</v>
      </c>
    </row>
    <row r="108" spans="1:21" x14ac:dyDescent="0.2">
      <c r="A108" t="s">
        <v>247</v>
      </c>
      <c r="B108" t="s">
        <v>248</v>
      </c>
      <c r="C108" s="2">
        <v>45210</v>
      </c>
      <c r="D108" t="str">
        <f t="shared" si="8"/>
        <v>Oct</v>
      </c>
      <c r="E108" s="2">
        <v>45231</v>
      </c>
      <c r="F108" t="s">
        <v>41</v>
      </c>
      <c r="G108">
        <v>40504</v>
      </c>
      <c r="H108">
        <v>608</v>
      </c>
      <c r="I108">
        <v>120</v>
      </c>
      <c r="J108" t="b">
        <v>0</v>
      </c>
      <c r="K108" s="10">
        <v>430.25</v>
      </c>
      <c r="L108" s="6">
        <f t="shared" si="9"/>
        <v>1.5010863124629667E-2</v>
      </c>
      <c r="M108">
        <f t="shared" si="10"/>
        <v>0.70764802631578949</v>
      </c>
      <c r="N108">
        <f t="shared" si="11"/>
        <v>3.5854166666666667</v>
      </c>
      <c r="O108">
        <f t="shared" si="12"/>
        <v>5569.75</v>
      </c>
      <c r="P108">
        <f t="shared" si="13"/>
        <v>0.19736842105263158</v>
      </c>
      <c r="Q108" t="s">
        <v>4136</v>
      </c>
      <c r="R108" t="s">
        <v>4138</v>
      </c>
      <c r="S108">
        <f>YEAR(marketing_data[[#This Row],[Start_date]])</f>
        <v>2023</v>
      </c>
      <c r="T108" t="str">
        <f>TEXT(marketing_data[[#This Row],[Start_date]],"ddd")</f>
        <v>Wed</v>
      </c>
      <c r="U108">
        <f>marketing_data[[#This Row],[Cleaned End_date]]-marketing_data[[#This Row],[Start_date]]</f>
        <v>21</v>
      </c>
    </row>
    <row r="109" spans="1:21" x14ac:dyDescent="0.2">
      <c r="A109" t="s">
        <v>249</v>
      </c>
      <c r="B109" t="s">
        <v>250</v>
      </c>
      <c r="C109" s="2">
        <v>45034</v>
      </c>
      <c r="D109" t="str">
        <f t="shared" si="8"/>
        <v>Apr</v>
      </c>
      <c r="E109" s="2">
        <v>45053</v>
      </c>
      <c r="F109" t="s">
        <v>41</v>
      </c>
      <c r="G109">
        <v>34159</v>
      </c>
      <c r="H109">
        <v>522</v>
      </c>
      <c r="I109">
        <v>47</v>
      </c>
      <c r="J109" t="b">
        <v>0</v>
      </c>
      <c r="K109" s="10">
        <v>714.23</v>
      </c>
      <c r="L109" s="6">
        <f t="shared" si="9"/>
        <v>1.5281477795017418E-2</v>
      </c>
      <c r="M109">
        <f t="shared" si="10"/>
        <v>1.368256704980843</v>
      </c>
      <c r="N109">
        <f t="shared" si="11"/>
        <v>15.196382978723404</v>
      </c>
      <c r="O109">
        <f t="shared" si="12"/>
        <v>1635.77</v>
      </c>
      <c r="P109">
        <f t="shared" si="13"/>
        <v>9.0038314176245207E-2</v>
      </c>
      <c r="Q109" t="s">
        <v>4137</v>
      </c>
      <c r="R109" t="s">
        <v>4141</v>
      </c>
      <c r="S109">
        <f>YEAR(marketing_data[[#This Row],[Start_date]])</f>
        <v>2023</v>
      </c>
      <c r="T109" t="str">
        <f>TEXT(marketing_data[[#This Row],[Start_date]],"ddd")</f>
        <v>Tue</v>
      </c>
      <c r="U109">
        <f>marketing_data[[#This Row],[Cleaned End_date]]-marketing_data[[#This Row],[Start_date]]</f>
        <v>19</v>
      </c>
    </row>
    <row r="110" spans="1:21" x14ac:dyDescent="0.2">
      <c r="A110" t="s">
        <v>251</v>
      </c>
      <c r="B110" t="s">
        <v>252</v>
      </c>
      <c r="C110" s="2">
        <v>45251</v>
      </c>
      <c r="D110" t="str">
        <f t="shared" si="8"/>
        <v>Nov</v>
      </c>
      <c r="E110" s="2">
        <v>45281</v>
      </c>
      <c r="F110" t="s">
        <v>14</v>
      </c>
      <c r="G110">
        <v>14986</v>
      </c>
      <c r="H110">
        <v>235</v>
      </c>
      <c r="I110">
        <v>25</v>
      </c>
      <c r="J110" t="b">
        <v>1</v>
      </c>
      <c r="K110" s="10">
        <v>329.13249999999999</v>
      </c>
      <c r="L110" s="6">
        <f t="shared" si="9"/>
        <v>1.5681302549045775E-2</v>
      </c>
      <c r="M110">
        <f t="shared" si="10"/>
        <v>1.400563829787234</v>
      </c>
      <c r="N110">
        <f t="shared" si="11"/>
        <v>13.1653</v>
      </c>
      <c r="O110">
        <f t="shared" si="12"/>
        <v>920.86750000000006</v>
      </c>
      <c r="P110">
        <f t="shared" si="13"/>
        <v>0.10638297872340426</v>
      </c>
      <c r="Q110" t="s">
        <v>4136</v>
      </c>
      <c r="R110" t="s">
        <v>4142</v>
      </c>
      <c r="S110">
        <f>YEAR(marketing_data[[#This Row],[Start_date]])</f>
        <v>2023</v>
      </c>
      <c r="T110" t="str">
        <f>TEXT(marketing_data[[#This Row],[Start_date]],"ddd")</f>
        <v>Tue</v>
      </c>
      <c r="U110">
        <f>marketing_data[[#This Row],[Cleaned End_date]]-marketing_data[[#This Row],[Start_date]]</f>
        <v>30</v>
      </c>
    </row>
    <row r="111" spans="1:21" x14ac:dyDescent="0.2">
      <c r="A111" t="s">
        <v>253</v>
      </c>
      <c r="B111" t="s">
        <v>254</v>
      </c>
      <c r="C111" s="2">
        <v>45055</v>
      </c>
      <c r="D111" t="str">
        <f t="shared" si="8"/>
        <v>May</v>
      </c>
      <c r="E111" s="2">
        <v>45063</v>
      </c>
      <c r="F111" t="s">
        <v>33</v>
      </c>
      <c r="G111">
        <v>62858</v>
      </c>
      <c r="H111">
        <v>2991</v>
      </c>
      <c r="I111">
        <v>457</v>
      </c>
      <c r="J111" t="b">
        <v>0</v>
      </c>
      <c r="K111" s="10">
        <v>3631.7599999999998</v>
      </c>
      <c r="L111" s="6">
        <f t="shared" si="9"/>
        <v>4.7583442043972128E-2</v>
      </c>
      <c r="M111">
        <f t="shared" si="10"/>
        <v>1.2142293547308591</v>
      </c>
      <c r="N111">
        <f t="shared" si="11"/>
        <v>7.9469584245076579</v>
      </c>
      <c r="O111">
        <f t="shared" si="12"/>
        <v>19218.240000000002</v>
      </c>
      <c r="P111">
        <f t="shared" si="13"/>
        <v>0.15279170845870946</v>
      </c>
      <c r="Q111" t="s">
        <v>4137</v>
      </c>
      <c r="R111" t="s">
        <v>4141</v>
      </c>
      <c r="S111">
        <f>YEAR(marketing_data[[#This Row],[Start_date]])</f>
        <v>2023</v>
      </c>
      <c r="T111" t="str">
        <f>TEXT(marketing_data[[#This Row],[Start_date]],"ddd")</f>
        <v>Tue</v>
      </c>
      <c r="U111">
        <f>marketing_data[[#This Row],[Cleaned End_date]]-marketing_data[[#This Row],[Start_date]]</f>
        <v>8</v>
      </c>
    </row>
    <row r="112" spans="1:21" x14ac:dyDescent="0.2">
      <c r="A112" t="s">
        <v>255</v>
      </c>
      <c r="B112" t="s">
        <v>256</v>
      </c>
      <c r="C112" s="2">
        <v>44974</v>
      </c>
      <c r="D112" t="str">
        <f t="shared" si="8"/>
        <v>Feb</v>
      </c>
      <c r="E112" s="2">
        <v>44997</v>
      </c>
      <c r="F112" t="s">
        <v>23</v>
      </c>
      <c r="G112">
        <v>13666</v>
      </c>
      <c r="H112">
        <v>537</v>
      </c>
      <c r="I112">
        <v>92</v>
      </c>
      <c r="J112" t="b">
        <v>0</v>
      </c>
      <c r="K112" s="10">
        <v>573.89</v>
      </c>
      <c r="L112" s="6">
        <f t="shared" si="9"/>
        <v>3.9294599736572518E-2</v>
      </c>
      <c r="M112">
        <f t="shared" si="10"/>
        <v>1.0686964618249535</v>
      </c>
      <c r="N112">
        <f t="shared" si="11"/>
        <v>6.2379347826086953</v>
      </c>
      <c r="O112">
        <f t="shared" si="12"/>
        <v>4026.11</v>
      </c>
      <c r="P112">
        <f t="shared" si="13"/>
        <v>0.17132216014897581</v>
      </c>
      <c r="Q112" t="s">
        <v>4138</v>
      </c>
      <c r="R112" t="s">
        <v>4138</v>
      </c>
      <c r="S112">
        <f>YEAR(marketing_data[[#This Row],[Start_date]])</f>
        <v>2023</v>
      </c>
      <c r="T112" t="str">
        <f>TEXT(marketing_data[[#This Row],[Start_date]],"ddd")</f>
        <v>Fri</v>
      </c>
      <c r="U112">
        <f>marketing_data[[#This Row],[Cleaned End_date]]-marketing_data[[#This Row],[Start_date]]</f>
        <v>23</v>
      </c>
    </row>
    <row r="113" spans="1:21" x14ac:dyDescent="0.2">
      <c r="A113" t="s">
        <v>257</v>
      </c>
      <c r="B113" t="s">
        <v>258</v>
      </c>
      <c r="C113" s="2">
        <v>44949</v>
      </c>
      <c r="D113" t="str">
        <f t="shared" si="8"/>
        <v>Jan</v>
      </c>
      <c r="E113" s="2">
        <v>44968</v>
      </c>
      <c r="F113" t="s">
        <v>23</v>
      </c>
      <c r="G113">
        <v>39660</v>
      </c>
      <c r="H113">
        <v>654</v>
      </c>
      <c r="I113">
        <v>73</v>
      </c>
      <c r="J113" t="b">
        <v>0</v>
      </c>
      <c r="K113" s="10">
        <v>691.43</v>
      </c>
      <c r="L113" s="6">
        <f t="shared" si="9"/>
        <v>1.6490166414523451E-2</v>
      </c>
      <c r="M113">
        <f t="shared" si="10"/>
        <v>1.0572324159021407</v>
      </c>
      <c r="N113">
        <f t="shared" si="11"/>
        <v>9.4716438356164385</v>
      </c>
      <c r="O113">
        <f t="shared" si="12"/>
        <v>2958.57</v>
      </c>
      <c r="P113">
        <f t="shared" si="13"/>
        <v>0.11162079510703364</v>
      </c>
      <c r="Q113" t="s">
        <v>4138</v>
      </c>
      <c r="R113" t="s">
        <v>4142</v>
      </c>
      <c r="S113">
        <f>YEAR(marketing_data[[#This Row],[Start_date]])</f>
        <v>2023</v>
      </c>
      <c r="T113" t="str">
        <f>TEXT(marketing_data[[#This Row],[Start_date]],"ddd")</f>
        <v>Mon</v>
      </c>
      <c r="U113">
        <f>marketing_data[[#This Row],[Cleaned End_date]]-marketing_data[[#This Row],[Start_date]]</f>
        <v>19</v>
      </c>
    </row>
    <row r="114" spans="1:21" x14ac:dyDescent="0.2">
      <c r="A114" t="s">
        <v>260</v>
      </c>
      <c r="B114" t="s">
        <v>261</v>
      </c>
      <c r="C114" s="2">
        <v>44993</v>
      </c>
      <c r="D114" t="str">
        <f t="shared" si="8"/>
        <v>Mar</v>
      </c>
      <c r="E114" s="2">
        <v>45013</v>
      </c>
      <c r="F114" t="s">
        <v>33</v>
      </c>
      <c r="G114">
        <v>4561</v>
      </c>
      <c r="H114">
        <v>79</v>
      </c>
      <c r="I114">
        <v>7</v>
      </c>
      <c r="J114" t="b">
        <v>0</v>
      </c>
      <c r="K114" s="10">
        <v>329.13249999999999</v>
      </c>
      <c r="L114" s="6">
        <f t="shared" si="9"/>
        <v>1.7320762990572242E-2</v>
      </c>
      <c r="M114">
        <f t="shared" si="10"/>
        <v>4.1662341772151894</v>
      </c>
      <c r="N114">
        <f t="shared" si="11"/>
        <v>47.018928571428567</v>
      </c>
      <c r="O114">
        <f t="shared" si="12"/>
        <v>20.867500000000007</v>
      </c>
      <c r="P114">
        <f t="shared" si="13"/>
        <v>8.8607594936708861E-2</v>
      </c>
      <c r="Q114" t="s">
        <v>4137</v>
      </c>
      <c r="R114" t="s">
        <v>4142</v>
      </c>
      <c r="S114">
        <f>YEAR(marketing_data[[#This Row],[Start_date]])</f>
        <v>2023</v>
      </c>
      <c r="T114" t="str">
        <f>TEXT(marketing_data[[#This Row],[Start_date]],"ddd")</f>
        <v>Wed</v>
      </c>
      <c r="U114">
        <f>marketing_data[[#This Row],[Cleaned End_date]]-marketing_data[[#This Row],[Start_date]]</f>
        <v>20</v>
      </c>
    </row>
    <row r="115" spans="1:21" x14ac:dyDescent="0.2">
      <c r="A115" t="s">
        <v>262</v>
      </c>
      <c r="B115" t="s">
        <v>263</v>
      </c>
      <c r="C115" s="2">
        <v>45153</v>
      </c>
      <c r="D115" t="str">
        <f t="shared" si="8"/>
        <v>Aug</v>
      </c>
      <c r="E115" s="2">
        <v>45161</v>
      </c>
      <c r="F115" t="s">
        <v>19</v>
      </c>
      <c r="G115">
        <v>27854</v>
      </c>
      <c r="H115">
        <v>1092</v>
      </c>
      <c r="I115">
        <v>208</v>
      </c>
      <c r="J115" t="b">
        <v>1</v>
      </c>
      <c r="K115" s="10">
        <v>1582.97</v>
      </c>
      <c r="L115" s="6">
        <f t="shared" si="9"/>
        <v>3.9204423063114814E-2</v>
      </c>
      <c r="M115">
        <f t="shared" si="10"/>
        <v>1.4496062271062271</v>
      </c>
      <c r="N115">
        <f t="shared" si="11"/>
        <v>7.6104326923076924</v>
      </c>
      <c r="O115">
        <f t="shared" si="12"/>
        <v>8817.0300000000007</v>
      </c>
      <c r="P115">
        <f t="shared" si="13"/>
        <v>0.19047619047619047</v>
      </c>
      <c r="Q115" t="s">
        <v>4139</v>
      </c>
      <c r="R115" t="s">
        <v>4141</v>
      </c>
      <c r="S115">
        <f>YEAR(marketing_data[[#This Row],[Start_date]])</f>
        <v>2023</v>
      </c>
      <c r="T115" t="str">
        <f>TEXT(marketing_data[[#This Row],[Start_date]],"ddd")</f>
        <v>Tue</v>
      </c>
      <c r="U115">
        <f>marketing_data[[#This Row],[Cleaned End_date]]-marketing_data[[#This Row],[Start_date]]</f>
        <v>8</v>
      </c>
    </row>
    <row r="116" spans="1:21" x14ac:dyDescent="0.2">
      <c r="A116" t="s">
        <v>264</v>
      </c>
      <c r="B116" t="s">
        <v>265</v>
      </c>
      <c r="C116" s="2">
        <v>44931</v>
      </c>
      <c r="D116" t="str">
        <f t="shared" si="8"/>
        <v>Jan</v>
      </c>
      <c r="E116" s="2">
        <v>44958</v>
      </c>
      <c r="F116" t="s">
        <v>19</v>
      </c>
      <c r="G116">
        <v>65505</v>
      </c>
      <c r="H116">
        <v>1064</v>
      </c>
      <c r="I116">
        <v>161</v>
      </c>
      <c r="J116" t="b">
        <v>1</v>
      </c>
      <c r="K116" s="10">
        <v>1280.98</v>
      </c>
      <c r="L116" s="6">
        <f t="shared" si="9"/>
        <v>1.6243034882833372E-2</v>
      </c>
      <c r="M116">
        <f t="shared" si="10"/>
        <v>1.2039285714285715</v>
      </c>
      <c r="N116">
        <f t="shared" si="11"/>
        <v>7.95639751552795</v>
      </c>
      <c r="O116">
        <f t="shared" si="12"/>
        <v>6769.02</v>
      </c>
      <c r="P116">
        <f t="shared" si="13"/>
        <v>0.15131578947368421</v>
      </c>
      <c r="Q116" t="s">
        <v>4138</v>
      </c>
      <c r="R116" t="s">
        <v>4142</v>
      </c>
      <c r="S116">
        <f>YEAR(marketing_data[[#This Row],[Start_date]])</f>
        <v>2023</v>
      </c>
      <c r="T116" t="str">
        <f>TEXT(marketing_data[[#This Row],[Start_date]],"ddd")</f>
        <v>Thu</v>
      </c>
      <c r="U116">
        <f>marketing_data[[#This Row],[Cleaned End_date]]-marketing_data[[#This Row],[Start_date]]</f>
        <v>27</v>
      </c>
    </row>
    <row r="117" spans="1:21" x14ac:dyDescent="0.2">
      <c r="A117" t="s">
        <v>267</v>
      </c>
      <c r="B117" t="s">
        <v>268</v>
      </c>
      <c r="C117" s="2">
        <v>45280</v>
      </c>
      <c r="D117" t="str">
        <f t="shared" si="8"/>
        <v>Dec</v>
      </c>
      <c r="E117" s="2">
        <v>45307</v>
      </c>
      <c r="F117" t="s">
        <v>19</v>
      </c>
      <c r="G117">
        <v>53251</v>
      </c>
      <c r="H117">
        <v>1032</v>
      </c>
      <c r="I117">
        <v>70</v>
      </c>
      <c r="J117" t="b">
        <v>1</v>
      </c>
      <c r="K117" s="10">
        <v>1201.8599999999999</v>
      </c>
      <c r="L117" s="6">
        <f t="shared" si="9"/>
        <v>1.9379917748023511E-2</v>
      </c>
      <c r="M117">
        <f t="shared" si="10"/>
        <v>1.1645930232558139</v>
      </c>
      <c r="N117">
        <f t="shared" si="11"/>
        <v>17.169428571428568</v>
      </c>
      <c r="O117">
        <f t="shared" si="12"/>
        <v>2298.1400000000003</v>
      </c>
      <c r="P117">
        <f t="shared" si="13"/>
        <v>6.7829457364341081E-2</v>
      </c>
      <c r="Q117" t="s">
        <v>4138</v>
      </c>
      <c r="R117" t="s">
        <v>4139</v>
      </c>
      <c r="S117">
        <f>YEAR(marketing_data[[#This Row],[Start_date]])</f>
        <v>2023</v>
      </c>
      <c r="T117" t="str">
        <f>TEXT(marketing_data[[#This Row],[Start_date]],"ddd")</f>
        <v>Wed</v>
      </c>
      <c r="U117">
        <f>marketing_data[[#This Row],[Cleaned End_date]]-marketing_data[[#This Row],[Start_date]]</f>
        <v>27</v>
      </c>
    </row>
    <row r="118" spans="1:21" x14ac:dyDescent="0.2">
      <c r="A118" t="s">
        <v>269</v>
      </c>
      <c r="B118" t="s">
        <v>270</v>
      </c>
      <c r="C118" s="2">
        <v>45116</v>
      </c>
      <c r="D118" t="str">
        <f t="shared" si="8"/>
        <v>Jul</v>
      </c>
      <c r="E118" s="2">
        <v>45124</v>
      </c>
      <c r="F118" t="s">
        <v>14</v>
      </c>
      <c r="G118">
        <v>23662</v>
      </c>
      <c r="H118">
        <v>1148</v>
      </c>
      <c r="J118" t="b">
        <v>1</v>
      </c>
      <c r="K118" s="10">
        <v>1424.92</v>
      </c>
      <c r="L118" s="6">
        <f t="shared" si="9"/>
        <v>4.8516608908798921E-2</v>
      </c>
      <c r="M118">
        <f t="shared" si="10"/>
        <v>1.2412195121951219</v>
      </c>
      <c r="N118">
        <f t="shared" si="11"/>
        <v>0</v>
      </c>
      <c r="O118">
        <f t="shared" si="12"/>
        <v>-1424.92</v>
      </c>
      <c r="P118">
        <f t="shared" si="13"/>
        <v>0</v>
      </c>
      <c r="Q118" t="s">
        <v>4139</v>
      </c>
      <c r="R118" t="s">
        <v>4139</v>
      </c>
      <c r="S118">
        <f>YEAR(marketing_data[[#This Row],[Start_date]])</f>
        <v>2023</v>
      </c>
      <c r="T118" t="str">
        <f>TEXT(marketing_data[[#This Row],[Start_date]],"ddd")</f>
        <v>Sun</v>
      </c>
      <c r="U118">
        <f>marketing_data[[#This Row],[Cleaned End_date]]-marketing_data[[#This Row],[Start_date]]</f>
        <v>8</v>
      </c>
    </row>
    <row r="119" spans="1:21" x14ac:dyDescent="0.2">
      <c r="A119" t="s">
        <v>271</v>
      </c>
      <c r="B119" t="s">
        <v>272</v>
      </c>
      <c r="C119" s="2">
        <v>45110</v>
      </c>
      <c r="D119" t="str">
        <f t="shared" si="8"/>
        <v>Jul</v>
      </c>
      <c r="E119" s="2">
        <v>45140</v>
      </c>
      <c r="F119" t="s">
        <v>41</v>
      </c>
      <c r="G119">
        <v>9392</v>
      </c>
      <c r="H119">
        <v>189</v>
      </c>
      <c r="I119">
        <v>23</v>
      </c>
      <c r="J119" t="b">
        <v>1</v>
      </c>
      <c r="K119" s="10">
        <v>338.61</v>
      </c>
      <c r="L119" s="6">
        <f t="shared" si="9"/>
        <v>2.0123509369676319E-2</v>
      </c>
      <c r="M119">
        <f t="shared" si="10"/>
        <v>1.7915873015873016</v>
      </c>
      <c r="N119">
        <f t="shared" si="11"/>
        <v>14.722173913043479</v>
      </c>
      <c r="O119">
        <f t="shared" si="12"/>
        <v>811.39</v>
      </c>
      <c r="P119">
        <f t="shared" si="13"/>
        <v>0.12169312169312169</v>
      </c>
      <c r="Q119" t="s">
        <v>4139</v>
      </c>
      <c r="R119" t="s">
        <v>4139</v>
      </c>
      <c r="S119">
        <f>YEAR(marketing_data[[#This Row],[Start_date]])</f>
        <v>2023</v>
      </c>
      <c r="T119" t="str">
        <f>TEXT(marketing_data[[#This Row],[Start_date]],"ddd")</f>
        <v>Mon</v>
      </c>
      <c r="U119">
        <f>marketing_data[[#This Row],[Cleaned End_date]]-marketing_data[[#This Row],[Start_date]]</f>
        <v>30</v>
      </c>
    </row>
    <row r="120" spans="1:21" x14ac:dyDescent="0.2">
      <c r="A120" t="s">
        <v>273</v>
      </c>
      <c r="B120" t="s">
        <v>274</v>
      </c>
      <c r="C120" s="2">
        <v>45113</v>
      </c>
      <c r="D120" t="str">
        <f t="shared" si="8"/>
        <v>Jul</v>
      </c>
      <c r="E120" s="2">
        <v>45132</v>
      </c>
      <c r="F120" t="s">
        <v>19</v>
      </c>
      <c r="G120">
        <v>31535</v>
      </c>
      <c r="H120">
        <v>1149</v>
      </c>
      <c r="I120">
        <v>95</v>
      </c>
      <c r="J120" t="b">
        <v>1</v>
      </c>
      <c r="K120" s="10">
        <v>1369.32</v>
      </c>
      <c r="L120" s="6">
        <f t="shared" si="9"/>
        <v>3.6435706358014901E-2</v>
      </c>
      <c r="M120">
        <f t="shared" si="10"/>
        <v>1.1917493472584857</v>
      </c>
      <c r="N120">
        <f t="shared" si="11"/>
        <v>14.413894736842105</v>
      </c>
      <c r="O120">
        <f t="shared" si="12"/>
        <v>3380.6800000000003</v>
      </c>
      <c r="P120">
        <f t="shared" si="13"/>
        <v>8.2680591818973026E-2</v>
      </c>
      <c r="Q120" t="s">
        <v>4139</v>
      </c>
      <c r="R120" t="s">
        <v>4141</v>
      </c>
      <c r="S120">
        <f>YEAR(marketing_data[[#This Row],[Start_date]])</f>
        <v>2023</v>
      </c>
      <c r="T120" t="str">
        <f>TEXT(marketing_data[[#This Row],[Start_date]],"ddd")</f>
        <v>Thu</v>
      </c>
      <c r="U120">
        <f>marketing_data[[#This Row],[Cleaned End_date]]-marketing_data[[#This Row],[Start_date]]</f>
        <v>19</v>
      </c>
    </row>
    <row r="121" spans="1:21" x14ac:dyDescent="0.2">
      <c r="A121" t="s">
        <v>275</v>
      </c>
      <c r="B121" t="s">
        <v>276</v>
      </c>
      <c r="C121" s="2">
        <v>44947</v>
      </c>
      <c r="D121" t="str">
        <f t="shared" si="8"/>
        <v>Jan</v>
      </c>
      <c r="E121" s="2">
        <v>44963</v>
      </c>
      <c r="F121" t="s">
        <v>19</v>
      </c>
      <c r="G121">
        <v>79603</v>
      </c>
      <c r="H121">
        <v>3912</v>
      </c>
      <c r="I121">
        <v>344</v>
      </c>
      <c r="J121" t="b">
        <v>0</v>
      </c>
      <c r="K121" s="10">
        <v>3631.7599999999998</v>
      </c>
      <c r="L121" s="6">
        <f t="shared" si="9"/>
        <v>4.914387648706707E-2</v>
      </c>
      <c r="M121">
        <f t="shared" si="10"/>
        <v>0.92836400817995901</v>
      </c>
      <c r="N121">
        <f t="shared" si="11"/>
        <v>10.557441860465115</v>
      </c>
      <c r="O121">
        <f t="shared" si="12"/>
        <v>13568.24</v>
      </c>
      <c r="P121">
        <f t="shared" si="13"/>
        <v>8.7934560327198361E-2</v>
      </c>
      <c r="Q121" t="s">
        <v>4138</v>
      </c>
      <c r="R121" t="s">
        <v>4141</v>
      </c>
      <c r="S121">
        <f>YEAR(marketing_data[[#This Row],[Start_date]])</f>
        <v>2023</v>
      </c>
      <c r="T121" t="str">
        <f>TEXT(marketing_data[[#This Row],[Start_date]],"ddd")</f>
        <v>Sat</v>
      </c>
      <c r="U121">
        <f>marketing_data[[#This Row],[Cleaned End_date]]-marketing_data[[#This Row],[Start_date]]</f>
        <v>16</v>
      </c>
    </row>
    <row r="122" spans="1:21" x14ac:dyDescent="0.2">
      <c r="A122" t="s">
        <v>277</v>
      </c>
      <c r="B122" t="s">
        <v>278</v>
      </c>
      <c r="C122" s="2">
        <v>45054</v>
      </c>
      <c r="D122" t="str">
        <f t="shared" si="8"/>
        <v>May</v>
      </c>
      <c r="E122" s="2">
        <v>45083</v>
      </c>
      <c r="F122" t="s">
        <v>23</v>
      </c>
      <c r="G122">
        <v>53256</v>
      </c>
      <c r="H122">
        <v>1329</v>
      </c>
      <c r="I122">
        <v>241</v>
      </c>
      <c r="J122" t="b">
        <v>0</v>
      </c>
      <c r="K122" s="10">
        <v>1669.23</v>
      </c>
      <c r="L122" s="6">
        <f t="shared" si="9"/>
        <v>2.4954934655250113E-2</v>
      </c>
      <c r="M122">
        <f t="shared" si="10"/>
        <v>1.2560045146726861</v>
      </c>
      <c r="N122">
        <f t="shared" si="11"/>
        <v>6.9262655601659748</v>
      </c>
      <c r="O122">
        <f t="shared" si="12"/>
        <v>10380.77</v>
      </c>
      <c r="P122">
        <f t="shared" si="13"/>
        <v>0.18133935289691497</v>
      </c>
      <c r="Q122" t="s">
        <v>4137</v>
      </c>
      <c r="R122" t="s">
        <v>4138</v>
      </c>
      <c r="S122">
        <f>YEAR(marketing_data[[#This Row],[Start_date]])</f>
        <v>2023</v>
      </c>
      <c r="T122" t="str">
        <f>TEXT(marketing_data[[#This Row],[Start_date]],"ddd")</f>
        <v>Mon</v>
      </c>
      <c r="U122">
        <f>marketing_data[[#This Row],[Cleaned End_date]]-marketing_data[[#This Row],[Start_date]]</f>
        <v>29</v>
      </c>
    </row>
    <row r="123" spans="1:21" x14ac:dyDescent="0.2">
      <c r="A123" t="s">
        <v>279</v>
      </c>
      <c r="B123" t="s">
        <v>280</v>
      </c>
      <c r="C123" s="2">
        <v>45213</v>
      </c>
      <c r="D123" t="str">
        <f t="shared" si="8"/>
        <v>Oct</v>
      </c>
      <c r="E123" s="2">
        <v>45214</v>
      </c>
      <c r="F123" t="s">
        <v>33</v>
      </c>
      <c r="G123">
        <v>90135</v>
      </c>
      <c r="H123">
        <v>964</v>
      </c>
      <c r="I123">
        <v>61</v>
      </c>
      <c r="J123" t="b">
        <v>1</v>
      </c>
      <c r="K123" s="10">
        <v>1854.54</v>
      </c>
      <c r="L123" s="6">
        <f t="shared" si="9"/>
        <v>1.0695068508348587E-2</v>
      </c>
      <c r="M123">
        <f t="shared" si="10"/>
        <v>1.9237966804979252</v>
      </c>
      <c r="N123">
        <f t="shared" si="11"/>
        <v>30.402295081967214</v>
      </c>
      <c r="O123">
        <f t="shared" si="12"/>
        <v>1195.46</v>
      </c>
      <c r="P123">
        <f t="shared" si="13"/>
        <v>6.3278008298755184E-2</v>
      </c>
      <c r="Q123" t="s">
        <v>4136</v>
      </c>
      <c r="R123" t="s">
        <v>4141</v>
      </c>
      <c r="S123">
        <f>YEAR(marketing_data[[#This Row],[Start_date]])</f>
        <v>2023</v>
      </c>
      <c r="T123" t="str">
        <f>TEXT(marketing_data[[#This Row],[Start_date]],"ddd")</f>
        <v>Sat</v>
      </c>
      <c r="U123">
        <f>marketing_data[[#This Row],[Cleaned End_date]]-marketing_data[[#This Row],[Start_date]]</f>
        <v>1</v>
      </c>
    </row>
    <row r="124" spans="1:21" x14ac:dyDescent="0.2">
      <c r="A124" t="s">
        <v>281</v>
      </c>
      <c r="B124" t="s">
        <v>282</v>
      </c>
      <c r="C124" s="2">
        <v>45244</v>
      </c>
      <c r="D124" t="str">
        <f t="shared" si="8"/>
        <v>Nov</v>
      </c>
      <c r="E124" s="2">
        <v>45255</v>
      </c>
      <c r="F124" t="s">
        <v>19</v>
      </c>
      <c r="G124">
        <v>36222</v>
      </c>
      <c r="H124">
        <v>715</v>
      </c>
      <c r="I124">
        <v>112</v>
      </c>
      <c r="J124" t="b">
        <v>1</v>
      </c>
      <c r="K124" s="10">
        <v>1250.71</v>
      </c>
      <c r="L124" s="6">
        <f t="shared" si="9"/>
        <v>1.9739384904201865E-2</v>
      </c>
      <c r="M124">
        <f t="shared" si="10"/>
        <v>1.7492447552447552</v>
      </c>
      <c r="N124">
        <f t="shared" si="11"/>
        <v>11.167053571428571</v>
      </c>
      <c r="O124">
        <f t="shared" si="12"/>
        <v>4349.29</v>
      </c>
      <c r="P124">
        <f t="shared" si="13"/>
        <v>0.15664335664335666</v>
      </c>
      <c r="Q124" t="s">
        <v>4136</v>
      </c>
      <c r="R124" t="s">
        <v>4142</v>
      </c>
      <c r="S124">
        <f>YEAR(marketing_data[[#This Row],[Start_date]])</f>
        <v>2023</v>
      </c>
      <c r="T124" t="str">
        <f>TEXT(marketing_data[[#This Row],[Start_date]],"ddd")</f>
        <v>Tue</v>
      </c>
      <c r="U124">
        <f>marketing_data[[#This Row],[Cleaned End_date]]-marketing_data[[#This Row],[Start_date]]</f>
        <v>11</v>
      </c>
    </row>
    <row r="125" spans="1:21" x14ac:dyDescent="0.2">
      <c r="A125" t="s">
        <v>283</v>
      </c>
      <c r="B125" t="s">
        <v>284</v>
      </c>
      <c r="C125" s="2">
        <v>45048</v>
      </c>
      <c r="D125" t="str">
        <f t="shared" si="8"/>
        <v>May</v>
      </c>
      <c r="E125" s="2">
        <v>45065</v>
      </c>
      <c r="F125" t="str">
        <f>F124</f>
        <v>Facebook</v>
      </c>
      <c r="G125">
        <v>78373</v>
      </c>
      <c r="H125">
        <v>3388</v>
      </c>
      <c r="I125">
        <v>307</v>
      </c>
      <c r="J125" t="b">
        <v>1</v>
      </c>
      <c r="K125" s="10">
        <v>3535.88</v>
      </c>
      <c r="L125" s="6">
        <f t="shared" si="9"/>
        <v>4.3229173312237634E-2</v>
      </c>
      <c r="M125">
        <f t="shared" si="10"/>
        <v>1.0436481700118063</v>
      </c>
      <c r="N125">
        <f t="shared" si="11"/>
        <v>11.517524429967427</v>
      </c>
      <c r="O125">
        <f t="shared" si="12"/>
        <v>11814.119999999999</v>
      </c>
      <c r="P125">
        <f t="shared" si="13"/>
        <v>9.0613931523022426E-2</v>
      </c>
      <c r="Q125" t="s">
        <v>4137</v>
      </c>
      <c r="R125" t="s">
        <v>4141</v>
      </c>
      <c r="S125">
        <f>YEAR(marketing_data[[#This Row],[Start_date]])</f>
        <v>2023</v>
      </c>
      <c r="T125" t="str">
        <f>TEXT(marketing_data[[#This Row],[Start_date]],"ddd")</f>
        <v>Tue</v>
      </c>
      <c r="U125">
        <f>marketing_data[[#This Row],[Cleaned End_date]]-marketing_data[[#This Row],[Start_date]]</f>
        <v>17</v>
      </c>
    </row>
    <row r="126" spans="1:21" x14ac:dyDescent="0.2">
      <c r="A126" t="s">
        <v>285</v>
      </c>
      <c r="B126" t="s">
        <v>286</v>
      </c>
      <c r="C126" s="2">
        <v>45017</v>
      </c>
      <c r="D126" t="str">
        <f t="shared" si="8"/>
        <v>Apr</v>
      </c>
      <c r="E126" s="2">
        <v>45047</v>
      </c>
      <c r="F126" t="s">
        <v>23</v>
      </c>
      <c r="G126">
        <v>80575</v>
      </c>
      <c r="H126">
        <v>3592</v>
      </c>
      <c r="I126">
        <v>589</v>
      </c>
      <c r="J126" t="b">
        <v>0</v>
      </c>
      <c r="K126" s="10">
        <v>3631.7599999999998</v>
      </c>
      <c r="L126" s="6">
        <f t="shared" si="9"/>
        <v>4.4579584238287312E-2</v>
      </c>
      <c r="M126">
        <f t="shared" si="10"/>
        <v>1.0110690423162583</v>
      </c>
      <c r="N126">
        <f t="shared" si="11"/>
        <v>6.1659762308998296</v>
      </c>
      <c r="O126">
        <f t="shared" si="12"/>
        <v>25818.240000000002</v>
      </c>
      <c r="P126">
        <f t="shared" si="13"/>
        <v>0.16397550111358575</v>
      </c>
      <c r="Q126" t="s">
        <v>4137</v>
      </c>
      <c r="R126" t="s">
        <v>4139</v>
      </c>
      <c r="S126">
        <f>YEAR(marketing_data[[#This Row],[Start_date]])</f>
        <v>2023</v>
      </c>
      <c r="T126" t="str">
        <f>TEXT(marketing_data[[#This Row],[Start_date]],"ddd")</f>
        <v>Sat</v>
      </c>
      <c r="U126">
        <f>marketing_data[[#This Row],[Cleaned End_date]]-marketing_data[[#This Row],[Start_date]]</f>
        <v>30</v>
      </c>
    </row>
    <row r="127" spans="1:21" x14ac:dyDescent="0.2">
      <c r="A127" t="s">
        <v>287</v>
      </c>
      <c r="B127" t="s">
        <v>288</v>
      </c>
      <c r="C127" s="2">
        <v>45097</v>
      </c>
      <c r="D127" t="str">
        <f t="shared" si="8"/>
        <v>Jun</v>
      </c>
      <c r="E127" s="2">
        <v>45101</v>
      </c>
      <c r="F127" t="s">
        <v>23</v>
      </c>
      <c r="G127">
        <v>97354</v>
      </c>
      <c r="H127">
        <v>3966</v>
      </c>
      <c r="I127">
        <v>628</v>
      </c>
      <c r="J127" t="b">
        <v>1</v>
      </c>
      <c r="K127" s="10">
        <v>2637.77</v>
      </c>
      <c r="L127" s="6">
        <f t="shared" si="9"/>
        <v>4.0737925508967272E-2</v>
      </c>
      <c r="M127">
        <f t="shared" si="10"/>
        <v>0.66509581442259202</v>
      </c>
      <c r="N127">
        <f t="shared" si="11"/>
        <v>4.2002707006369429</v>
      </c>
      <c r="O127">
        <f t="shared" si="12"/>
        <v>28762.23</v>
      </c>
      <c r="P127">
        <f t="shared" si="13"/>
        <v>0.1583459404942007</v>
      </c>
      <c r="Q127" t="s">
        <v>4139</v>
      </c>
      <c r="R127" t="s">
        <v>4138</v>
      </c>
      <c r="S127">
        <f>YEAR(marketing_data[[#This Row],[Start_date]])</f>
        <v>2023</v>
      </c>
      <c r="T127" t="str">
        <f>TEXT(marketing_data[[#This Row],[Start_date]],"ddd")</f>
        <v>Tue</v>
      </c>
      <c r="U127">
        <f>marketing_data[[#This Row],[Cleaned End_date]]-marketing_data[[#This Row],[Start_date]]</f>
        <v>4</v>
      </c>
    </row>
    <row r="128" spans="1:21" x14ac:dyDescent="0.2">
      <c r="A128" t="s">
        <v>289</v>
      </c>
      <c r="B128" t="s">
        <v>290</v>
      </c>
      <c r="C128" s="2">
        <v>45269</v>
      </c>
      <c r="D128" t="str">
        <f t="shared" si="8"/>
        <v>Dec</v>
      </c>
      <c r="E128" s="2">
        <v>45282</v>
      </c>
      <c r="F128" t="s">
        <v>33</v>
      </c>
      <c r="G128">
        <v>85651</v>
      </c>
      <c r="H128">
        <v>1244</v>
      </c>
      <c r="I128">
        <v>63</v>
      </c>
      <c r="J128" t="b">
        <v>0</v>
      </c>
      <c r="K128" s="10">
        <v>2348.14</v>
      </c>
      <c r="L128" s="6">
        <f t="shared" si="9"/>
        <v>1.4524056928699023E-2</v>
      </c>
      <c r="M128">
        <f t="shared" si="10"/>
        <v>1.8875723472668808</v>
      </c>
      <c r="N128">
        <f t="shared" si="11"/>
        <v>37.272063492063488</v>
      </c>
      <c r="O128">
        <f t="shared" si="12"/>
        <v>801.86000000000013</v>
      </c>
      <c r="P128">
        <f t="shared" si="13"/>
        <v>5.0643086816720258E-2</v>
      </c>
      <c r="Q128" t="s">
        <v>4138</v>
      </c>
      <c r="R128" t="s">
        <v>4141</v>
      </c>
      <c r="S128">
        <f>YEAR(marketing_data[[#This Row],[Start_date]])</f>
        <v>2023</v>
      </c>
      <c r="T128" t="str">
        <f>TEXT(marketing_data[[#This Row],[Start_date]],"ddd")</f>
        <v>Sat</v>
      </c>
      <c r="U128">
        <f>marketing_data[[#This Row],[Cleaned End_date]]-marketing_data[[#This Row],[Start_date]]</f>
        <v>13</v>
      </c>
    </row>
    <row r="129" spans="1:21" x14ac:dyDescent="0.2">
      <c r="A129" t="s">
        <v>291</v>
      </c>
      <c r="B129" t="s">
        <v>292</v>
      </c>
      <c r="C129" s="2">
        <v>45063</v>
      </c>
      <c r="D129" t="str">
        <f t="shared" si="8"/>
        <v>May</v>
      </c>
      <c r="E129" s="2">
        <v>45088</v>
      </c>
      <c r="F129" t="s">
        <v>33</v>
      </c>
      <c r="G129">
        <v>64335</v>
      </c>
      <c r="H129">
        <v>2690</v>
      </c>
      <c r="J129" t="b">
        <v>1</v>
      </c>
      <c r="K129" s="10">
        <v>3631.7599999999998</v>
      </c>
      <c r="L129" s="6">
        <f t="shared" si="9"/>
        <v>4.1812388280096369E-2</v>
      </c>
      <c r="M129">
        <f t="shared" si="10"/>
        <v>1.350096654275093</v>
      </c>
      <c r="N129">
        <f t="shared" si="11"/>
        <v>0</v>
      </c>
      <c r="O129">
        <f t="shared" si="12"/>
        <v>-3631.7599999999998</v>
      </c>
      <c r="P129">
        <f t="shared" si="13"/>
        <v>0</v>
      </c>
      <c r="Q129" t="s">
        <v>4137</v>
      </c>
      <c r="R129" t="s">
        <v>4138</v>
      </c>
      <c r="S129">
        <f>YEAR(marketing_data[[#This Row],[Start_date]])</f>
        <v>2023</v>
      </c>
      <c r="T129" t="str">
        <f>TEXT(marketing_data[[#This Row],[Start_date]],"ddd")</f>
        <v>Wed</v>
      </c>
      <c r="U129">
        <f>marketing_data[[#This Row],[Cleaned End_date]]-marketing_data[[#This Row],[Start_date]]</f>
        <v>25</v>
      </c>
    </row>
    <row r="130" spans="1:21" x14ac:dyDescent="0.2">
      <c r="A130" t="s">
        <v>293</v>
      </c>
      <c r="B130" t="s">
        <v>294</v>
      </c>
      <c r="C130" s="2">
        <v>45122</v>
      </c>
      <c r="D130" t="str">
        <f t="shared" si="8"/>
        <v>Jul</v>
      </c>
      <c r="E130" s="2">
        <v>45127</v>
      </c>
      <c r="F130" t="s">
        <v>14</v>
      </c>
      <c r="G130">
        <v>11965</v>
      </c>
      <c r="H130">
        <v>559</v>
      </c>
      <c r="I130">
        <v>39</v>
      </c>
      <c r="J130" t="b">
        <v>0</v>
      </c>
      <c r="K130" s="10">
        <v>329.13249999999999</v>
      </c>
      <c r="L130" s="6">
        <f t="shared" si="9"/>
        <v>4.6719598829920599E-2</v>
      </c>
      <c r="M130">
        <f t="shared" si="10"/>
        <v>0.58878801431127015</v>
      </c>
      <c r="N130">
        <f t="shared" si="11"/>
        <v>8.4392948717948713</v>
      </c>
      <c r="O130">
        <f t="shared" si="12"/>
        <v>1620.8675000000001</v>
      </c>
      <c r="P130">
        <f t="shared" si="13"/>
        <v>6.9767441860465115E-2</v>
      </c>
      <c r="Q130" t="s">
        <v>4139</v>
      </c>
      <c r="R130" t="s">
        <v>4142</v>
      </c>
      <c r="S130">
        <f>YEAR(marketing_data[[#This Row],[Start_date]])</f>
        <v>2023</v>
      </c>
      <c r="T130" t="str">
        <f>TEXT(marketing_data[[#This Row],[Start_date]],"ddd")</f>
        <v>Sat</v>
      </c>
      <c r="U130">
        <f>marketing_data[[#This Row],[Cleaned End_date]]-marketing_data[[#This Row],[Start_date]]</f>
        <v>5</v>
      </c>
    </row>
    <row r="131" spans="1:21" x14ac:dyDescent="0.2">
      <c r="A131" t="s">
        <v>295</v>
      </c>
      <c r="B131" t="s">
        <v>296</v>
      </c>
      <c r="C131" s="2">
        <v>45040</v>
      </c>
      <c r="D131" t="str">
        <f t="shared" ref="D131:D194" si="14">TEXT(C131,"mmm")</f>
        <v>Apr</v>
      </c>
      <c r="E131" s="2">
        <v>45060</v>
      </c>
      <c r="F131" t="s">
        <v>19</v>
      </c>
      <c r="G131">
        <v>25538</v>
      </c>
      <c r="H131">
        <v>868</v>
      </c>
      <c r="I131">
        <v>156</v>
      </c>
      <c r="J131" t="b">
        <v>0</v>
      </c>
      <c r="K131" s="10">
        <v>1272.82</v>
      </c>
      <c r="L131" s="6">
        <f t="shared" ref="L131:L194" si="15">H131/G131</f>
        <v>3.3988566058422744E-2</v>
      </c>
      <c r="M131">
        <f t="shared" ref="M131:M194" si="16">K131/H131</f>
        <v>1.4663824884792627</v>
      </c>
      <c r="N131">
        <f t="shared" ref="N131:N194" si="17">IFERROR(K131/I131,0)</f>
        <v>8.1591025641025645</v>
      </c>
      <c r="O131">
        <f t="shared" ref="O131:O194" si="18">(50*I131)-K131</f>
        <v>6527.18</v>
      </c>
      <c r="P131">
        <f t="shared" ref="P131:P194" si="19">I131/H131</f>
        <v>0.17972350230414746</v>
      </c>
      <c r="Q131" t="s">
        <v>4137</v>
      </c>
      <c r="R131" t="s">
        <v>4142</v>
      </c>
      <c r="S131">
        <f>YEAR(marketing_data[[#This Row],[Start_date]])</f>
        <v>2023</v>
      </c>
      <c r="T131" t="str">
        <f>TEXT(marketing_data[[#This Row],[Start_date]],"ddd")</f>
        <v>Mon</v>
      </c>
      <c r="U131">
        <f>marketing_data[[#This Row],[Cleaned End_date]]-marketing_data[[#This Row],[Start_date]]</f>
        <v>20</v>
      </c>
    </row>
    <row r="132" spans="1:21" x14ac:dyDescent="0.2">
      <c r="A132" t="s">
        <v>297</v>
      </c>
      <c r="B132" t="s">
        <v>298</v>
      </c>
      <c r="C132" s="2">
        <v>45106</v>
      </c>
      <c r="D132" t="str">
        <f t="shared" si="14"/>
        <v>Jun</v>
      </c>
      <c r="E132" s="2">
        <v>45117</v>
      </c>
      <c r="F132" t="s">
        <v>41</v>
      </c>
      <c r="G132">
        <v>71592</v>
      </c>
      <c r="H132">
        <v>3410</v>
      </c>
      <c r="I132">
        <v>616</v>
      </c>
      <c r="J132" t="b">
        <v>0</v>
      </c>
      <c r="K132" s="10">
        <v>3631.7599999999998</v>
      </c>
      <c r="L132" s="6">
        <f t="shared" si="15"/>
        <v>4.7631020225723547E-2</v>
      </c>
      <c r="M132">
        <f t="shared" si="16"/>
        <v>1.065032258064516</v>
      </c>
      <c r="N132">
        <f t="shared" si="17"/>
        <v>5.895714285714285</v>
      </c>
      <c r="O132">
        <f t="shared" si="18"/>
        <v>27168.240000000002</v>
      </c>
      <c r="P132">
        <f t="shared" si="19"/>
        <v>0.18064516129032257</v>
      </c>
      <c r="Q132" t="s">
        <v>4139</v>
      </c>
      <c r="R132" t="s">
        <v>4141</v>
      </c>
      <c r="S132">
        <f>YEAR(marketing_data[[#This Row],[Start_date]])</f>
        <v>2023</v>
      </c>
      <c r="T132" t="str">
        <f>TEXT(marketing_data[[#This Row],[Start_date]],"ddd")</f>
        <v>Thu</v>
      </c>
      <c r="U132">
        <f>marketing_data[[#This Row],[Cleaned End_date]]-marketing_data[[#This Row],[Start_date]]</f>
        <v>11</v>
      </c>
    </row>
    <row r="133" spans="1:21" x14ac:dyDescent="0.2">
      <c r="A133" t="s">
        <v>299</v>
      </c>
      <c r="B133" t="s">
        <v>300</v>
      </c>
      <c r="C133" s="2">
        <v>45043</v>
      </c>
      <c r="D133" t="str">
        <f t="shared" si="14"/>
        <v>Apr</v>
      </c>
      <c r="E133" s="2">
        <v>45046</v>
      </c>
      <c r="F133" t="s">
        <v>41</v>
      </c>
      <c r="G133">
        <v>99018</v>
      </c>
      <c r="H133">
        <v>4265</v>
      </c>
      <c r="I133">
        <v>480</v>
      </c>
      <c r="J133" t="b">
        <v>0</v>
      </c>
      <c r="K133" s="10">
        <v>2579.0500000000002</v>
      </c>
      <c r="L133" s="6">
        <f t="shared" si="15"/>
        <v>4.3072976630511621E-2</v>
      </c>
      <c r="M133">
        <f t="shared" si="16"/>
        <v>0.60470105509964833</v>
      </c>
      <c r="N133">
        <f t="shared" si="17"/>
        <v>5.3730208333333334</v>
      </c>
      <c r="O133">
        <f t="shared" si="18"/>
        <v>21420.95</v>
      </c>
      <c r="P133">
        <f t="shared" si="19"/>
        <v>0.11254396248534584</v>
      </c>
      <c r="Q133" t="s">
        <v>4137</v>
      </c>
      <c r="R133" t="s">
        <v>4141</v>
      </c>
      <c r="S133">
        <f>YEAR(marketing_data[[#This Row],[Start_date]])</f>
        <v>2023</v>
      </c>
      <c r="T133" t="str">
        <f>TEXT(marketing_data[[#This Row],[Start_date]],"ddd")</f>
        <v>Thu</v>
      </c>
      <c r="U133">
        <f>marketing_data[[#This Row],[Cleaned End_date]]-marketing_data[[#This Row],[Start_date]]</f>
        <v>3</v>
      </c>
    </row>
    <row r="134" spans="1:21" x14ac:dyDescent="0.2">
      <c r="A134" t="s">
        <v>301</v>
      </c>
      <c r="B134" t="s">
        <v>302</v>
      </c>
      <c r="C134" s="2">
        <v>45131</v>
      </c>
      <c r="D134" t="str">
        <f t="shared" si="14"/>
        <v>Jul</v>
      </c>
      <c r="E134" s="2">
        <v>45148</v>
      </c>
      <c r="F134" t="s">
        <v>19</v>
      </c>
      <c r="G134">
        <v>9110</v>
      </c>
      <c r="H134">
        <v>334</v>
      </c>
      <c r="I134">
        <v>38</v>
      </c>
      <c r="J134" t="b">
        <v>1</v>
      </c>
      <c r="K134" s="10">
        <v>444.9</v>
      </c>
      <c r="L134" s="6">
        <f t="shared" si="15"/>
        <v>3.6663007683863887E-2</v>
      </c>
      <c r="M134">
        <f t="shared" si="16"/>
        <v>1.3320359281437124</v>
      </c>
      <c r="N134">
        <f t="shared" si="17"/>
        <v>11.707894736842105</v>
      </c>
      <c r="O134">
        <f t="shared" si="18"/>
        <v>1455.1</v>
      </c>
      <c r="P134">
        <f t="shared" si="19"/>
        <v>0.11377245508982035</v>
      </c>
      <c r="Q134" t="s">
        <v>4139</v>
      </c>
      <c r="R134" t="s">
        <v>4142</v>
      </c>
      <c r="S134">
        <f>YEAR(marketing_data[[#This Row],[Start_date]])</f>
        <v>2023</v>
      </c>
      <c r="T134" t="str">
        <f>TEXT(marketing_data[[#This Row],[Start_date]],"ddd")</f>
        <v>Mon</v>
      </c>
      <c r="U134">
        <f>marketing_data[[#This Row],[Cleaned End_date]]-marketing_data[[#This Row],[Start_date]]</f>
        <v>17</v>
      </c>
    </row>
    <row r="135" spans="1:21" x14ac:dyDescent="0.2">
      <c r="A135" t="s">
        <v>303</v>
      </c>
      <c r="B135" t="s">
        <v>304</v>
      </c>
      <c r="C135" s="2">
        <v>45069</v>
      </c>
      <c r="D135" t="str">
        <f t="shared" si="14"/>
        <v>May</v>
      </c>
      <c r="E135" s="2">
        <v>45085</v>
      </c>
      <c r="F135" t="s">
        <v>19</v>
      </c>
      <c r="G135">
        <v>80309</v>
      </c>
      <c r="H135">
        <v>2657</v>
      </c>
      <c r="I135">
        <v>253</v>
      </c>
      <c r="J135" t="b">
        <v>1</v>
      </c>
      <c r="K135" s="10">
        <v>3631.7599999999998</v>
      </c>
      <c r="L135" s="6">
        <f t="shared" si="15"/>
        <v>3.3084710306441369E-2</v>
      </c>
      <c r="M135">
        <f t="shared" si="16"/>
        <v>1.3668648852088821</v>
      </c>
      <c r="N135">
        <f t="shared" si="17"/>
        <v>14.35478260869565</v>
      </c>
      <c r="O135">
        <f t="shared" si="18"/>
        <v>9018.24</v>
      </c>
      <c r="P135">
        <f t="shared" si="19"/>
        <v>9.5220173127587501E-2</v>
      </c>
      <c r="Q135" t="s">
        <v>4137</v>
      </c>
      <c r="R135" t="s">
        <v>4139</v>
      </c>
      <c r="S135">
        <f>YEAR(marketing_data[[#This Row],[Start_date]])</f>
        <v>2023</v>
      </c>
      <c r="T135" t="str">
        <f>TEXT(marketing_data[[#This Row],[Start_date]],"ddd")</f>
        <v>Tue</v>
      </c>
      <c r="U135">
        <f>marketing_data[[#This Row],[Cleaned End_date]]-marketing_data[[#This Row],[Start_date]]</f>
        <v>16</v>
      </c>
    </row>
    <row r="136" spans="1:21" x14ac:dyDescent="0.2">
      <c r="A136" t="s">
        <v>305</v>
      </c>
      <c r="B136" t="s">
        <v>306</v>
      </c>
      <c r="C136" s="2">
        <v>45274</v>
      </c>
      <c r="D136" t="str">
        <f t="shared" si="14"/>
        <v>Dec</v>
      </c>
      <c r="E136" s="2">
        <v>45289</v>
      </c>
      <c r="F136" t="s">
        <v>41</v>
      </c>
      <c r="G136">
        <v>28266</v>
      </c>
      <c r="H136">
        <v>676</v>
      </c>
      <c r="J136" t="b">
        <v>1</v>
      </c>
      <c r="K136" s="10">
        <v>1159.5999999999999</v>
      </c>
      <c r="L136" s="6">
        <f t="shared" si="15"/>
        <v>2.3915658388169531E-2</v>
      </c>
      <c r="M136">
        <f t="shared" si="16"/>
        <v>1.7153846153846153</v>
      </c>
      <c r="N136">
        <f t="shared" si="17"/>
        <v>0</v>
      </c>
      <c r="O136">
        <f t="shared" si="18"/>
        <v>-1159.5999999999999</v>
      </c>
      <c r="P136">
        <f t="shared" si="19"/>
        <v>0</v>
      </c>
      <c r="Q136" t="s">
        <v>4138</v>
      </c>
      <c r="R136" t="s">
        <v>4141</v>
      </c>
      <c r="S136">
        <f>YEAR(marketing_data[[#This Row],[Start_date]])</f>
        <v>2023</v>
      </c>
      <c r="T136" t="str">
        <f>TEXT(marketing_data[[#This Row],[Start_date]],"ddd")</f>
        <v>Thu</v>
      </c>
      <c r="U136">
        <f>marketing_data[[#This Row],[Cleaned End_date]]-marketing_data[[#This Row],[Start_date]]</f>
        <v>15</v>
      </c>
    </row>
    <row r="137" spans="1:21" x14ac:dyDescent="0.2">
      <c r="A137" t="s">
        <v>307</v>
      </c>
      <c r="B137" t="s">
        <v>308</v>
      </c>
      <c r="C137" s="2">
        <v>44941</v>
      </c>
      <c r="D137" t="str">
        <f t="shared" si="14"/>
        <v>Jan</v>
      </c>
      <c r="E137" s="2">
        <v>44961</v>
      </c>
      <c r="F137" t="s">
        <v>41</v>
      </c>
      <c r="G137">
        <v>53992</v>
      </c>
      <c r="H137">
        <v>883</v>
      </c>
      <c r="I137">
        <v>91</v>
      </c>
      <c r="J137" t="b">
        <v>1</v>
      </c>
      <c r="K137" s="10">
        <v>989.61</v>
      </c>
      <c r="L137" s="6">
        <f t="shared" si="15"/>
        <v>1.6354274707364055E-2</v>
      </c>
      <c r="M137">
        <f t="shared" si="16"/>
        <v>1.1207361268403171</v>
      </c>
      <c r="N137">
        <f t="shared" si="17"/>
        <v>10.874835164835165</v>
      </c>
      <c r="O137">
        <f t="shared" si="18"/>
        <v>3560.39</v>
      </c>
      <c r="P137">
        <f t="shared" si="19"/>
        <v>0.10305775764439411</v>
      </c>
      <c r="Q137" t="s">
        <v>4138</v>
      </c>
      <c r="R137" t="s">
        <v>4138</v>
      </c>
      <c r="S137">
        <f>YEAR(marketing_data[[#This Row],[Start_date]])</f>
        <v>2023</v>
      </c>
      <c r="T137" t="str">
        <f>TEXT(marketing_data[[#This Row],[Start_date]],"ddd")</f>
        <v>Sun</v>
      </c>
      <c r="U137">
        <f>marketing_data[[#This Row],[Cleaned End_date]]-marketing_data[[#This Row],[Start_date]]</f>
        <v>20</v>
      </c>
    </row>
    <row r="138" spans="1:21" x14ac:dyDescent="0.2">
      <c r="A138" t="s">
        <v>309</v>
      </c>
      <c r="B138" t="s">
        <v>310</v>
      </c>
      <c r="C138" s="2">
        <v>45018</v>
      </c>
      <c r="D138" t="str">
        <f t="shared" si="14"/>
        <v>Apr</v>
      </c>
      <c r="E138" s="2">
        <v>45047</v>
      </c>
      <c r="F138" t="s">
        <v>41</v>
      </c>
      <c r="G138">
        <v>83948</v>
      </c>
      <c r="H138">
        <v>2870</v>
      </c>
      <c r="I138">
        <v>258</v>
      </c>
      <c r="J138" t="b">
        <v>1</v>
      </c>
      <c r="K138" s="10">
        <v>2313.94</v>
      </c>
      <c r="L138" s="6">
        <f t="shared" si="15"/>
        <v>3.4187830561776336E-2</v>
      </c>
      <c r="M138">
        <f t="shared" si="16"/>
        <v>0.80625087108013938</v>
      </c>
      <c r="N138">
        <f t="shared" si="17"/>
        <v>8.9687596899224804</v>
      </c>
      <c r="O138">
        <f t="shared" si="18"/>
        <v>10586.06</v>
      </c>
      <c r="P138">
        <f t="shared" si="19"/>
        <v>8.9895470383275264E-2</v>
      </c>
      <c r="Q138" t="s">
        <v>4137</v>
      </c>
      <c r="R138" t="s">
        <v>4139</v>
      </c>
      <c r="S138">
        <f>YEAR(marketing_data[[#This Row],[Start_date]])</f>
        <v>2023</v>
      </c>
      <c r="T138" t="str">
        <f>TEXT(marketing_data[[#This Row],[Start_date]],"ddd")</f>
        <v>Sun</v>
      </c>
      <c r="U138">
        <f>marketing_data[[#This Row],[Cleaned End_date]]-marketing_data[[#This Row],[Start_date]]</f>
        <v>29</v>
      </c>
    </row>
    <row r="139" spans="1:21" x14ac:dyDescent="0.2">
      <c r="A139" t="s">
        <v>311</v>
      </c>
      <c r="B139" t="s">
        <v>312</v>
      </c>
      <c r="C139" s="2">
        <v>44946</v>
      </c>
      <c r="D139" t="str">
        <f t="shared" si="14"/>
        <v>Jan</v>
      </c>
      <c r="E139" s="2">
        <v>44975</v>
      </c>
      <c r="F139" t="s">
        <v>19</v>
      </c>
      <c r="G139">
        <v>99806</v>
      </c>
      <c r="H139">
        <v>2268</v>
      </c>
      <c r="I139">
        <v>260</v>
      </c>
      <c r="J139" t="b">
        <v>1</v>
      </c>
      <c r="K139" s="10">
        <v>1278.05</v>
      </c>
      <c r="L139" s="6">
        <f t="shared" si="15"/>
        <v>2.2724084724365268E-2</v>
      </c>
      <c r="M139">
        <f t="shared" si="16"/>
        <v>0.56351410934744262</v>
      </c>
      <c r="N139">
        <f t="shared" si="17"/>
        <v>4.9155769230769231</v>
      </c>
      <c r="O139">
        <f t="shared" si="18"/>
        <v>11721.95</v>
      </c>
      <c r="P139">
        <f t="shared" si="19"/>
        <v>0.1146384479717813</v>
      </c>
      <c r="Q139" t="s">
        <v>4138</v>
      </c>
      <c r="R139" t="s">
        <v>4139</v>
      </c>
      <c r="S139">
        <f>YEAR(marketing_data[[#This Row],[Start_date]])</f>
        <v>2023</v>
      </c>
      <c r="T139" t="str">
        <f>TEXT(marketing_data[[#This Row],[Start_date]],"ddd")</f>
        <v>Fri</v>
      </c>
      <c r="U139">
        <f>marketing_data[[#This Row],[Cleaned End_date]]-marketing_data[[#This Row],[Start_date]]</f>
        <v>29</v>
      </c>
    </row>
    <row r="140" spans="1:21" x14ac:dyDescent="0.2">
      <c r="A140" t="s">
        <v>313</v>
      </c>
      <c r="B140" t="s">
        <v>314</v>
      </c>
      <c r="C140" s="2">
        <v>45087</v>
      </c>
      <c r="D140" t="str">
        <f t="shared" si="14"/>
        <v>Jun</v>
      </c>
      <c r="E140" s="2">
        <v>45111</v>
      </c>
      <c r="F140" t="s">
        <v>33</v>
      </c>
      <c r="G140">
        <v>7910</v>
      </c>
      <c r="H140">
        <v>353</v>
      </c>
      <c r="I140">
        <v>22</v>
      </c>
      <c r="J140" t="b">
        <v>0</v>
      </c>
      <c r="K140" s="10">
        <v>483.47</v>
      </c>
      <c r="L140" s="6">
        <f t="shared" si="15"/>
        <v>4.4627054361567636E-2</v>
      </c>
      <c r="M140">
        <f t="shared" si="16"/>
        <v>1.3696033994334278</v>
      </c>
      <c r="N140">
        <f t="shared" si="17"/>
        <v>21.975909090909092</v>
      </c>
      <c r="O140">
        <f t="shared" si="18"/>
        <v>616.53</v>
      </c>
      <c r="P140">
        <f t="shared" si="19"/>
        <v>6.2322946175637391E-2</v>
      </c>
      <c r="Q140" t="s">
        <v>4139</v>
      </c>
      <c r="R140" t="s">
        <v>4141</v>
      </c>
      <c r="S140">
        <f>YEAR(marketing_data[[#This Row],[Start_date]])</f>
        <v>2023</v>
      </c>
      <c r="T140" t="str">
        <f>TEXT(marketing_data[[#This Row],[Start_date]],"ddd")</f>
        <v>Sat</v>
      </c>
      <c r="U140">
        <f>marketing_data[[#This Row],[Cleaned End_date]]-marketing_data[[#This Row],[Start_date]]</f>
        <v>24</v>
      </c>
    </row>
    <row r="141" spans="1:21" x14ac:dyDescent="0.2">
      <c r="A141" t="s">
        <v>315</v>
      </c>
      <c r="B141" t="s">
        <v>316</v>
      </c>
      <c r="C141" s="2">
        <v>44986</v>
      </c>
      <c r="D141" t="str">
        <f t="shared" si="14"/>
        <v>Mar</v>
      </c>
      <c r="E141" s="2">
        <v>44995</v>
      </c>
      <c r="F141" t="s">
        <v>33</v>
      </c>
      <c r="G141">
        <v>91982</v>
      </c>
      <c r="H141">
        <v>4574</v>
      </c>
      <c r="J141" t="b">
        <v>0</v>
      </c>
      <c r="K141" s="10">
        <v>3631.7599999999998</v>
      </c>
      <c r="L141" s="6">
        <f t="shared" si="15"/>
        <v>4.9727120523580699E-2</v>
      </c>
      <c r="M141">
        <f t="shared" si="16"/>
        <v>0.79400087450808909</v>
      </c>
      <c r="N141">
        <f t="shared" si="17"/>
        <v>0</v>
      </c>
      <c r="O141">
        <f t="shared" si="18"/>
        <v>-3631.7599999999998</v>
      </c>
      <c r="P141">
        <f t="shared" si="19"/>
        <v>0</v>
      </c>
      <c r="Q141" t="s">
        <v>4137</v>
      </c>
      <c r="R141" t="s">
        <v>4138</v>
      </c>
      <c r="S141">
        <f>YEAR(marketing_data[[#This Row],[Start_date]])</f>
        <v>2023</v>
      </c>
      <c r="T141" t="str">
        <f>TEXT(marketing_data[[#This Row],[Start_date]],"ddd")</f>
        <v>Wed</v>
      </c>
      <c r="U141">
        <f>marketing_data[[#This Row],[Cleaned End_date]]-marketing_data[[#This Row],[Start_date]]</f>
        <v>9</v>
      </c>
    </row>
    <row r="142" spans="1:21" x14ac:dyDescent="0.2">
      <c r="A142" t="s">
        <v>317</v>
      </c>
      <c r="B142" t="s">
        <v>318</v>
      </c>
      <c r="C142" s="2">
        <v>45235</v>
      </c>
      <c r="D142" t="str">
        <f t="shared" si="14"/>
        <v>Nov</v>
      </c>
      <c r="E142" s="2">
        <v>45265</v>
      </c>
      <c r="F142" t="s">
        <v>19</v>
      </c>
      <c r="G142">
        <v>1206</v>
      </c>
      <c r="H142">
        <v>48</v>
      </c>
      <c r="I142">
        <v>2</v>
      </c>
      <c r="J142" t="b">
        <v>1</v>
      </c>
      <c r="K142" s="10">
        <v>329.13249999999999</v>
      </c>
      <c r="L142" s="6">
        <f t="shared" si="15"/>
        <v>3.9800995024875621E-2</v>
      </c>
      <c r="M142">
        <f t="shared" si="16"/>
        <v>6.8569270833333329</v>
      </c>
      <c r="N142">
        <f t="shared" si="17"/>
        <v>164.56625</v>
      </c>
      <c r="O142">
        <f t="shared" si="18"/>
        <v>-229.13249999999999</v>
      </c>
      <c r="P142">
        <f t="shared" si="19"/>
        <v>4.1666666666666664E-2</v>
      </c>
      <c r="Q142" t="s">
        <v>4136</v>
      </c>
      <c r="R142" t="s">
        <v>4138</v>
      </c>
      <c r="S142">
        <f>YEAR(marketing_data[[#This Row],[Start_date]])</f>
        <v>2023</v>
      </c>
      <c r="T142" t="str">
        <f>TEXT(marketing_data[[#This Row],[Start_date]],"ddd")</f>
        <v>Sun</v>
      </c>
      <c r="U142">
        <f>marketing_data[[#This Row],[Cleaned End_date]]-marketing_data[[#This Row],[Start_date]]</f>
        <v>30</v>
      </c>
    </row>
    <row r="143" spans="1:21" x14ac:dyDescent="0.2">
      <c r="A143" t="s">
        <v>319</v>
      </c>
      <c r="B143" t="s">
        <v>320</v>
      </c>
      <c r="C143" s="2">
        <v>45268</v>
      </c>
      <c r="D143" t="str">
        <f t="shared" si="14"/>
        <v>Dec</v>
      </c>
      <c r="E143" s="2">
        <v>45298</v>
      </c>
      <c r="F143" t="s">
        <v>14</v>
      </c>
      <c r="G143">
        <v>88054</v>
      </c>
      <c r="H143">
        <v>1199</v>
      </c>
      <c r="I143">
        <v>175</v>
      </c>
      <c r="J143" t="b">
        <v>1</v>
      </c>
      <c r="K143" s="10">
        <v>708.5</v>
      </c>
      <c r="L143" s="6">
        <f t="shared" si="15"/>
        <v>1.3616644331887251E-2</v>
      </c>
      <c r="M143">
        <f t="shared" si="16"/>
        <v>0.59090909090909094</v>
      </c>
      <c r="N143">
        <f t="shared" si="17"/>
        <v>4.0485714285714289</v>
      </c>
      <c r="O143">
        <f t="shared" si="18"/>
        <v>8041.5</v>
      </c>
      <c r="P143">
        <f t="shared" si="19"/>
        <v>0.14595496246872394</v>
      </c>
      <c r="Q143" t="s">
        <v>4138</v>
      </c>
      <c r="R143" t="s">
        <v>4141</v>
      </c>
      <c r="S143">
        <f>YEAR(marketing_data[[#This Row],[Start_date]])</f>
        <v>2023</v>
      </c>
      <c r="T143" t="str">
        <f>TEXT(marketing_data[[#This Row],[Start_date]],"ddd")</f>
        <v>Fri</v>
      </c>
      <c r="U143">
        <f>marketing_data[[#This Row],[Cleaned End_date]]-marketing_data[[#This Row],[Start_date]]</f>
        <v>30</v>
      </c>
    </row>
    <row r="144" spans="1:21" x14ac:dyDescent="0.2">
      <c r="A144" t="s">
        <v>321</v>
      </c>
      <c r="B144" t="s">
        <v>322</v>
      </c>
      <c r="C144" s="2">
        <v>45202</v>
      </c>
      <c r="D144" t="str">
        <f t="shared" si="14"/>
        <v>Oct</v>
      </c>
      <c r="E144" s="2">
        <v>45215</v>
      </c>
      <c r="F144" t="s">
        <v>19</v>
      </c>
      <c r="G144">
        <v>88897</v>
      </c>
      <c r="H144">
        <v>1915</v>
      </c>
      <c r="I144">
        <v>148</v>
      </c>
      <c r="J144" t="b">
        <v>0</v>
      </c>
      <c r="K144" s="10">
        <v>2926.3</v>
      </c>
      <c r="L144" s="6">
        <f t="shared" si="15"/>
        <v>2.1541784312181515E-2</v>
      </c>
      <c r="M144">
        <f t="shared" si="16"/>
        <v>1.5280939947780681</v>
      </c>
      <c r="N144">
        <f t="shared" si="17"/>
        <v>19.7722972972973</v>
      </c>
      <c r="O144">
        <f t="shared" si="18"/>
        <v>4473.7</v>
      </c>
      <c r="P144">
        <f t="shared" si="19"/>
        <v>7.7284595300261091E-2</v>
      </c>
      <c r="Q144" t="s">
        <v>4136</v>
      </c>
      <c r="R144" t="s">
        <v>4142</v>
      </c>
      <c r="S144">
        <f>YEAR(marketing_data[[#This Row],[Start_date]])</f>
        <v>2023</v>
      </c>
      <c r="T144" t="str">
        <f>TEXT(marketing_data[[#This Row],[Start_date]],"ddd")</f>
        <v>Tue</v>
      </c>
      <c r="U144">
        <f>marketing_data[[#This Row],[Cleaned End_date]]-marketing_data[[#This Row],[Start_date]]</f>
        <v>13</v>
      </c>
    </row>
    <row r="145" spans="1:21" x14ac:dyDescent="0.2">
      <c r="A145" t="s">
        <v>323</v>
      </c>
      <c r="B145" t="s">
        <v>324</v>
      </c>
      <c r="C145" s="2">
        <v>45270</v>
      </c>
      <c r="D145" t="str">
        <f t="shared" si="14"/>
        <v>Dec</v>
      </c>
      <c r="E145" s="2">
        <v>45295</v>
      </c>
      <c r="F145" t="s">
        <v>41</v>
      </c>
      <c r="G145">
        <v>24419</v>
      </c>
      <c r="H145">
        <v>350</v>
      </c>
      <c r="I145">
        <v>29</v>
      </c>
      <c r="J145" t="b">
        <v>0</v>
      </c>
      <c r="K145" s="10">
        <v>329.13249999999999</v>
      </c>
      <c r="L145" s="6">
        <f t="shared" si="15"/>
        <v>1.4333101273598428E-2</v>
      </c>
      <c r="M145">
        <f t="shared" si="16"/>
        <v>0.9403785714285714</v>
      </c>
      <c r="N145">
        <f t="shared" si="17"/>
        <v>11.349396551724137</v>
      </c>
      <c r="O145">
        <f t="shared" si="18"/>
        <v>1120.8675000000001</v>
      </c>
      <c r="P145">
        <f t="shared" si="19"/>
        <v>8.2857142857142851E-2</v>
      </c>
      <c r="Q145" t="s">
        <v>4138</v>
      </c>
      <c r="R145" t="s">
        <v>4139</v>
      </c>
      <c r="S145">
        <f>YEAR(marketing_data[[#This Row],[Start_date]])</f>
        <v>2023</v>
      </c>
      <c r="T145" t="str">
        <f>TEXT(marketing_data[[#This Row],[Start_date]],"ddd")</f>
        <v>Sun</v>
      </c>
      <c r="U145">
        <f>marketing_data[[#This Row],[Cleaned End_date]]-marketing_data[[#This Row],[Start_date]]</f>
        <v>25</v>
      </c>
    </row>
    <row r="146" spans="1:21" x14ac:dyDescent="0.2">
      <c r="A146" t="s">
        <v>325</v>
      </c>
      <c r="B146" t="s">
        <v>326</v>
      </c>
      <c r="C146" s="2">
        <v>45267</v>
      </c>
      <c r="D146" t="str">
        <f t="shared" si="14"/>
        <v>Dec</v>
      </c>
      <c r="E146" s="2">
        <v>45274</v>
      </c>
      <c r="F146" t="s">
        <v>19</v>
      </c>
      <c r="G146">
        <v>51636</v>
      </c>
      <c r="H146">
        <v>1859</v>
      </c>
      <c r="I146">
        <v>270</v>
      </c>
      <c r="J146" t="b">
        <v>1</v>
      </c>
      <c r="K146" s="10">
        <v>1407.54</v>
      </c>
      <c r="L146" s="6">
        <f t="shared" si="15"/>
        <v>3.6002014098690839E-2</v>
      </c>
      <c r="M146">
        <f t="shared" si="16"/>
        <v>0.75714900484131253</v>
      </c>
      <c r="N146">
        <f t="shared" si="17"/>
        <v>5.213111111111111</v>
      </c>
      <c r="O146">
        <f t="shared" si="18"/>
        <v>12092.46</v>
      </c>
      <c r="P146">
        <f t="shared" si="19"/>
        <v>0.14523937600860679</v>
      </c>
      <c r="Q146" t="s">
        <v>4138</v>
      </c>
      <c r="R146" t="s">
        <v>4139</v>
      </c>
      <c r="S146">
        <f>YEAR(marketing_data[[#This Row],[Start_date]])</f>
        <v>2023</v>
      </c>
      <c r="T146" t="str">
        <f>TEXT(marketing_data[[#This Row],[Start_date]],"ddd")</f>
        <v>Thu</v>
      </c>
      <c r="U146">
        <f>marketing_data[[#This Row],[Cleaned End_date]]-marketing_data[[#This Row],[Start_date]]</f>
        <v>7</v>
      </c>
    </row>
    <row r="147" spans="1:21" x14ac:dyDescent="0.2">
      <c r="A147" t="s">
        <v>327</v>
      </c>
      <c r="B147" t="s">
        <v>328</v>
      </c>
      <c r="C147" s="2">
        <v>45266</v>
      </c>
      <c r="D147" t="str">
        <f t="shared" si="14"/>
        <v>Dec</v>
      </c>
      <c r="E147" s="2">
        <v>45292</v>
      </c>
      <c r="F147" t="s">
        <v>41</v>
      </c>
      <c r="G147">
        <v>51015</v>
      </c>
      <c r="H147">
        <v>2071</v>
      </c>
      <c r="J147" t="b">
        <v>0</v>
      </c>
      <c r="K147" s="10">
        <v>2444.54</v>
      </c>
      <c r="L147" s="6">
        <f t="shared" si="15"/>
        <v>4.0595903165735567E-2</v>
      </c>
      <c r="M147">
        <f t="shared" si="16"/>
        <v>1.1803669724770642</v>
      </c>
      <c r="N147">
        <f t="shared" si="17"/>
        <v>0</v>
      </c>
      <c r="O147">
        <f t="shared" si="18"/>
        <v>-2444.54</v>
      </c>
      <c r="P147">
        <f t="shared" si="19"/>
        <v>0</v>
      </c>
      <c r="Q147" t="s">
        <v>4138</v>
      </c>
      <c r="R147" t="s">
        <v>4141</v>
      </c>
      <c r="S147">
        <f>YEAR(marketing_data[[#This Row],[Start_date]])</f>
        <v>2023</v>
      </c>
      <c r="T147" t="str">
        <f>TEXT(marketing_data[[#This Row],[Start_date]],"ddd")</f>
        <v>Wed</v>
      </c>
      <c r="U147">
        <f>marketing_data[[#This Row],[Cleaned End_date]]-marketing_data[[#This Row],[Start_date]]</f>
        <v>26</v>
      </c>
    </row>
    <row r="148" spans="1:21" x14ac:dyDescent="0.2">
      <c r="A148" t="s">
        <v>329</v>
      </c>
      <c r="B148" t="s">
        <v>330</v>
      </c>
      <c r="C148" s="2">
        <v>45080</v>
      </c>
      <c r="D148" t="str">
        <f t="shared" si="14"/>
        <v>Jun</v>
      </c>
      <c r="E148" s="2">
        <v>45105</v>
      </c>
      <c r="F148" t="s">
        <v>19</v>
      </c>
      <c r="G148">
        <v>55268</v>
      </c>
      <c r="H148">
        <v>2599</v>
      </c>
      <c r="I148">
        <v>433</v>
      </c>
      <c r="J148" t="b">
        <v>1</v>
      </c>
      <c r="K148" s="10">
        <v>3072.82</v>
      </c>
      <c r="L148" s="6">
        <f t="shared" si="15"/>
        <v>4.7025403488456248E-2</v>
      </c>
      <c r="M148">
        <f t="shared" si="16"/>
        <v>1.1823085802231628</v>
      </c>
      <c r="N148">
        <f t="shared" si="17"/>
        <v>7.0965819861431871</v>
      </c>
      <c r="O148">
        <f t="shared" si="18"/>
        <v>18577.18</v>
      </c>
      <c r="P148">
        <f t="shared" si="19"/>
        <v>0.16660253943824549</v>
      </c>
      <c r="Q148" t="s">
        <v>4139</v>
      </c>
      <c r="R148" t="s">
        <v>4142</v>
      </c>
      <c r="S148">
        <f>YEAR(marketing_data[[#This Row],[Start_date]])</f>
        <v>2023</v>
      </c>
      <c r="T148" t="str">
        <f>TEXT(marketing_data[[#This Row],[Start_date]],"ddd")</f>
        <v>Sat</v>
      </c>
      <c r="U148">
        <f>marketing_data[[#This Row],[Cleaned End_date]]-marketing_data[[#This Row],[Start_date]]</f>
        <v>25</v>
      </c>
    </row>
    <row r="149" spans="1:21" x14ac:dyDescent="0.2">
      <c r="A149" t="s">
        <v>331</v>
      </c>
      <c r="B149" t="s">
        <v>332</v>
      </c>
      <c r="C149" s="2">
        <v>45094</v>
      </c>
      <c r="D149" t="str">
        <f t="shared" si="14"/>
        <v>Jun</v>
      </c>
      <c r="E149" s="2">
        <v>45103</v>
      </c>
      <c r="F149" t="s">
        <v>33</v>
      </c>
      <c r="G149">
        <v>88939</v>
      </c>
      <c r="H149">
        <v>2448</v>
      </c>
      <c r="I149">
        <v>205</v>
      </c>
      <c r="J149" t="b">
        <v>1</v>
      </c>
      <c r="K149" s="10">
        <v>3631.7599999999998</v>
      </c>
      <c r="L149" s="6">
        <f t="shared" si="15"/>
        <v>2.7524483072667784E-2</v>
      </c>
      <c r="M149">
        <f t="shared" si="16"/>
        <v>1.4835620915032679</v>
      </c>
      <c r="N149">
        <f t="shared" si="17"/>
        <v>17.71590243902439</v>
      </c>
      <c r="O149">
        <f t="shared" si="18"/>
        <v>6618.24</v>
      </c>
      <c r="P149">
        <f t="shared" si="19"/>
        <v>8.3741830065359471E-2</v>
      </c>
      <c r="Q149" t="s">
        <v>4139</v>
      </c>
      <c r="R149" t="s">
        <v>4141</v>
      </c>
      <c r="S149">
        <f>YEAR(marketing_data[[#This Row],[Start_date]])</f>
        <v>2023</v>
      </c>
      <c r="T149" t="str">
        <f>TEXT(marketing_data[[#This Row],[Start_date]],"ddd")</f>
        <v>Sat</v>
      </c>
      <c r="U149">
        <f>marketing_data[[#This Row],[Cleaned End_date]]-marketing_data[[#This Row],[Start_date]]</f>
        <v>9</v>
      </c>
    </row>
    <row r="150" spans="1:21" x14ac:dyDescent="0.2">
      <c r="A150" t="s">
        <v>333</v>
      </c>
      <c r="B150" t="s">
        <v>334</v>
      </c>
      <c r="C150" s="2">
        <v>44992</v>
      </c>
      <c r="D150" t="str">
        <f t="shared" si="14"/>
        <v>Mar</v>
      </c>
      <c r="E150" s="2">
        <v>45015</v>
      </c>
      <c r="F150" t="s">
        <v>19</v>
      </c>
      <c r="G150">
        <v>19141</v>
      </c>
      <c r="H150">
        <v>881</v>
      </c>
      <c r="I150">
        <v>67</v>
      </c>
      <c r="J150" t="b">
        <v>1</v>
      </c>
      <c r="K150" s="10">
        <v>1643.35</v>
      </c>
      <c r="L150" s="6">
        <f t="shared" si="15"/>
        <v>4.6026853351444547E-2</v>
      </c>
      <c r="M150">
        <f t="shared" si="16"/>
        <v>1.8653234960272416</v>
      </c>
      <c r="N150">
        <f t="shared" si="17"/>
        <v>24.527611940298506</v>
      </c>
      <c r="O150">
        <f t="shared" si="18"/>
        <v>1706.65</v>
      </c>
      <c r="P150">
        <f t="shared" si="19"/>
        <v>7.6049943246311008E-2</v>
      </c>
      <c r="Q150" t="s">
        <v>4137</v>
      </c>
      <c r="R150" t="s">
        <v>4142</v>
      </c>
      <c r="S150">
        <f>YEAR(marketing_data[[#This Row],[Start_date]])</f>
        <v>2023</v>
      </c>
      <c r="T150" t="str">
        <f>TEXT(marketing_data[[#This Row],[Start_date]],"ddd")</f>
        <v>Tue</v>
      </c>
      <c r="U150">
        <f>marketing_data[[#This Row],[Cleaned End_date]]-marketing_data[[#This Row],[Start_date]]</f>
        <v>23</v>
      </c>
    </row>
    <row r="151" spans="1:21" x14ac:dyDescent="0.2">
      <c r="A151" t="s">
        <v>335</v>
      </c>
      <c r="B151" t="s">
        <v>336</v>
      </c>
      <c r="C151" s="2">
        <v>45121</v>
      </c>
      <c r="D151" t="str">
        <f t="shared" si="14"/>
        <v>Jul</v>
      </c>
      <c r="E151" s="2">
        <v>45126</v>
      </c>
      <c r="F151" t="str">
        <f>F150</f>
        <v>Facebook</v>
      </c>
      <c r="G151">
        <v>81356</v>
      </c>
      <c r="H151">
        <v>3670</v>
      </c>
      <c r="I151">
        <v>660</v>
      </c>
      <c r="J151" t="b">
        <v>1</v>
      </c>
      <c r="K151" s="10">
        <v>3631.7599999999998</v>
      </c>
      <c r="L151" s="6">
        <f t="shared" si="15"/>
        <v>4.5110379074684105E-2</v>
      </c>
      <c r="M151">
        <f t="shared" si="16"/>
        <v>0.9895803814713896</v>
      </c>
      <c r="N151">
        <f t="shared" si="17"/>
        <v>5.5026666666666664</v>
      </c>
      <c r="O151">
        <f t="shared" si="18"/>
        <v>29368.240000000002</v>
      </c>
      <c r="P151">
        <f t="shared" si="19"/>
        <v>0.17983651226158037</v>
      </c>
      <c r="Q151" t="s">
        <v>4139</v>
      </c>
      <c r="R151" t="s">
        <v>4139</v>
      </c>
      <c r="S151">
        <f>YEAR(marketing_data[[#This Row],[Start_date]])</f>
        <v>2023</v>
      </c>
      <c r="T151" t="str">
        <f>TEXT(marketing_data[[#This Row],[Start_date]],"ddd")</f>
        <v>Fri</v>
      </c>
      <c r="U151">
        <f>marketing_data[[#This Row],[Cleaned End_date]]-marketing_data[[#This Row],[Start_date]]</f>
        <v>5</v>
      </c>
    </row>
    <row r="152" spans="1:21" x14ac:dyDescent="0.2">
      <c r="A152" t="s">
        <v>337</v>
      </c>
      <c r="B152" t="s">
        <v>338</v>
      </c>
      <c r="C152" s="2">
        <v>45242</v>
      </c>
      <c r="D152" t="str">
        <f t="shared" si="14"/>
        <v>Nov</v>
      </c>
      <c r="E152" s="2">
        <v>45254</v>
      </c>
      <c r="F152" t="s">
        <v>41</v>
      </c>
      <c r="G152">
        <v>72910</v>
      </c>
      <c r="H152">
        <v>1654</v>
      </c>
      <c r="I152">
        <v>192</v>
      </c>
      <c r="J152" t="b">
        <v>1</v>
      </c>
      <c r="K152" s="10">
        <v>3192.72</v>
      </c>
      <c r="L152" s="6">
        <f t="shared" si="15"/>
        <v>2.2685502674530244E-2</v>
      </c>
      <c r="M152">
        <f t="shared" si="16"/>
        <v>1.9303022974607011</v>
      </c>
      <c r="N152">
        <f t="shared" si="17"/>
        <v>16.62875</v>
      </c>
      <c r="O152">
        <f t="shared" si="18"/>
        <v>6407.2800000000007</v>
      </c>
      <c r="P152">
        <f t="shared" si="19"/>
        <v>0.11608222490931076</v>
      </c>
      <c r="Q152" t="s">
        <v>4136</v>
      </c>
      <c r="R152" t="s">
        <v>4141</v>
      </c>
      <c r="S152">
        <f>YEAR(marketing_data[[#This Row],[Start_date]])</f>
        <v>2023</v>
      </c>
      <c r="T152" t="str">
        <f>TEXT(marketing_data[[#This Row],[Start_date]],"ddd")</f>
        <v>Sun</v>
      </c>
      <c r="U152">
        <f>marketing_data[[#This Row],[Cleaned End_date]]-marketing_data[[#This Row],[Start_date]]</f>
        <v>12</v>
      </c>
    </row>
    <row r="153" spans="1:21" x14ac:dyDescent="0.2">
      <c r="A153" t="s">
        <v>339</v>
      </c>
      <c r="B153" t="s">
        <v>340</v>
      </c>
      <c r="C153" s="2">
        <v>44927</v>
      </c>
      <c r="D153" t="str">
        <f t="shared" si="14"/>
        <v>Jan</v>
      </c>
      <c r="E153" s="2">
        <v>44955</v>
      </c>
      <c r="F153" t="s">
        <v>23</v>
      </c>
      <c r="G153">
        <v>57044</v>
      </c>
      <c r="H153">
        <v>2553</v>
      </c>
      <c r="I153">
        <v>180</v>
      </c>
      <c r="J153" t="b">
        <v>1</v>
      </c>
      <c r="K153" s="10">
        <v>3631.7599999999998</v>
      </c>
      <c r="L153" s="6">
        <f t="shared" si="15"/>
        <v>4.4754926022018089E-2</v>
      </c>
      <c r="M153">
        <f t="shared" si="16"/>
        <v>1.4225460242851546</v>
      </c>
      <c r="N153">
        <f t="shared" si="17"/>
        <v>20.176444444444442</v>
      </c>
      <c r="O153">
        <f t="shared" si="18"/>
        <v>5368.24</v>
      </c>
      <c r="P153">
        <f t="shared" si="19"/>
        <v>7.0505287896592245E-2</v>
      </c>
      <c r="Q153" t="s">
        <v>4138</v>
      </c>
      <c r="R153" t="s">
        <v>4142</v>
      </c>
      <c r="S153">
        <f>YEAR(marketing_data[[#This Row],[Start_date]])</f>
        <v>2023</v>
      </c>
      <c r="T153" t="str">
        <f>TEXT(marketing_data[[#This Row],[Start_date]],"ddd")</f>
        <v>Sun</v>
      </c>
      <c r="U153">
        <f>marketing_data[[#This Row],[Cleaned End_date]]-marketing_data[[#This Row],[Start_date]]</f>
        <v>28</v>
      </c>
    </row>
    <row r="154" spans="1:21" x14ac:dyDescent="0.2">
      <c r="A154" t="s">
        <v>341</v>
      </c>
      <c r="B154" t="s">
        <v>342</v>
      </c>
      <c r="C154" s="2">
        <v>45223</v>
      </c>
      <c r="D154" t="str">
        <f t="shared" si="14"/>
        <v>Oct</v>
      </c>
      <c r="E154" s="2">
        <v>45248</v>
      </c>
      <c r="F154" t="s">
        <v>14</v>
      </c>
      <c r="G154">
        <v>68214</v>
      </c>
      <c r="H154">
        <v>1707</v>
      </c>
      <c r="I154">
        <v>306</v>
      </c>
      <c r="J154" t="b">
        <v>1</v>
      </c>
      <c r="K154" s="10">
        <v>2350.11</v>
      </c>
      <c r="L154" s="6">
        <f t="shared" si="15"/>
        <v>2.502418858298883E-2</v>
      </c>
      <c r="M154">
        <f t="shared" si="16"/>
        <v>1.3767486818980668</v>
      </c>
      <c r="N154">
        <f t="shared" si="17"/>
        <v>7.6800980392156868</v>
      </c>
      <c r="O154">
        <f t="shared" si="18"/>
        <v>12949.89</v>
      </c>
      <c r="P154">
        <f t="shared" si="19"/>
        <v>0.17926186291739896</v>
      </c>
      <c r="Q154" t="s">
        <v>4136</v>
      </c>
      <c r="R154" t="s">
        <v>4138</v>
      </c>
      <c r="S154">
        <f>YEAR(marketing_data[[#This Row],[Start_date]])</f>
        <v>2023</v>
      </c>
      <c r="T154" t="str">
        <f>TEXT(marketing_data[[#This Row],[Start_date]],"ddd")</f>
        <v>Tue</v>
      </c>
      <c r="U154">
        <f>marketing_data[[#This Row],[Cleaned End_date]]-marketing_data[[#This Row],[Start_date]]</f>
        <v>25</v>
      </c>
    </row>
    <row r="155" spans="1:21" x14ac:dyDescent="0.2">
      <c r="A155" t="s">
        <v>343</v>
      </c>
      <c r="B155" t="s">
        <v>344</v>
      </c>
      <c r="C155" s="2">
        <v>45153</v>
      </c>
      <c r="D155" t="str">
        <f t="shared" si="14"/>
        <v>Aug</v>
      </c>
      <c r="E155" s="2">
        <v>45155</v>
      </c>
      <c r="F155" t="s">
        <v>14</v>
      </c>
      <c r="G155">
        <v>34827</v>
      </c>
      <c r="H155">
        <v>761</v>
      </c>
      <c r="I155">
        <v>131</v>
      </c>
      <c r="J155" t="b">
        <v>0</v>
      </c>
      <c r="K155" s="10">
        <v>1332.27</v>
      </c>
      <c r="L155" s="6">
        <f t="shared" si="15"/>
        <v>2.1850862836305166E-2</v>
      </c>
      <c r="M155">
        <f t="shared" si="16"/>
        <v>1.7506833114323259</v>
      </c>
      <c r="N155">
        <f t="shared" si="17"/>
        <v>10.17</v>
      </c>
      <c r="O155">
        <f t="shared" si="18"/>
        <v>5217.7299999999996</v>
      </c>
      <c r="P155">
        <f t="shared" si="19"/>
        <v>0.17214191852825231</v>
      </c>
      <c r="Q155" t="s">
        <v>4139</v>
      </c>
      <c r="R155" t="s">
        <v>4141</v>
      </c>
      <c r="S155">
        <f>YEAR(marketing_data[[#This Row],[Start_date]])</f>
        <v>2023</v>
      </c>
      <c r="T155" t="str">
        <f>TEXT(marketing_data[[#This Row],[Start_date]],"ddd")</f>
        <v>Tue</v>
      </c>
      <c r="U155">
        <f>marketing_data[[#This Row],[Cleaned End_date]]-marketing_data[[#This Row],[Start_date]]</f>
        <v>2</v>
      </c>
    </row>
    <row r="156" spans="1:21" x14ac:dyDescent="0.2">
      <c r="A156" t="s">
        <v>345</v>
      </c>
      <c r="B156" t="s">
        <v>346</v>
      </c>
      <c r="C156" s="2">
        <v>45169</v>
      </c>
      <c r="D156" t="str">
        <f t="shared" si="14"/>
        <v>Aug</v>
      </c>
      <c r="E156" s="2">
        <v>45185</v>
      </c>
      <c r="F156" t="s">
        <v>19</v>
      </c>
      <c r="G156">
        <v>56820</v>
      </c>
      <c r="H156">
        <v>2043</v>
      </c>
      <c r="I156">
        <v>403</v>
      </c>
      <c r="J156" t="b">
        <v>1</v>
      </c>
      <c r="K156" s="10">
        <v>2990.68</v>
      </c>
      <c r="L156" s="6">
        <f t="shared" si="15"/>
        <v>3.5955649419218583E-2</v>
      </c>
      <c r="M156">
        <f t="shared" si="16"/>
        <v>1.4638668624571707</v>
      </c>
      <c r="N156">
        <f t="shared" si="17"/>
        <v>7.421042183622828</v>
      </c>
      <c r="O156">
        <f t="shared" si="18"/>
        <v>17159.32</v>
      </c>
      <c r="P156">
        <f t="shared" si="19"/>
        <v>0.19725893294175231</v>
      </c>
      <c r="Q156" t="s">
        <v>4139</v>
      </c>
      <c r="R156" t="s">
        <v>4141</v>
      </c>
      <c r="S156">
        <f>YEAR(marketing_data[[#This Row],[Start_date]])</f>
        <v>2023</v>
      </c>
      <c r="T156" t="str">
        <f>TEXT(marketing_data[[#This Row],[Start_date]],"ddd")</f>
        <v>Thu</v>
      </c>
      <c r="U156">
        <f>marketing_data[[#This Row],[Cleaned End_date]]-marketing_data[[#This Row],[Start_date]]</f>
        <v>16</v>
      </c>
    </row>
    <row r="157" spans="1:21" x14ac:dyDescent="0.2">
      <c r="A157" t="s">
        <v>347</v>
      </c>
      <c r="B157" t="s">
        <v>348</v>
      </c>
      <c r="C157" s="2">
        <v>45013</v>
      </c>
      <c r="D157" t="str">
        <f t="shared" si="14"/>
        <v>Mar</v>
      </c>
      <c r="E157" s="2">
        <v>45021</v>
      </c>
      <c r="F157" t="s">
        <v>19</v>
      </c>
      <c r="G157">
        <v>63623</v>
      </c>
      <c r="H157">
        <v>1471</v>
      </c>
      <c r="I157">
        <v>274</v>
      </c>
      <c r="J157" t="b">
        <v>1</v>
      </c>
      <c r="K157" s="10">
        <v>908.84</v>
      </c>
      <c r="L157" s="6">
        <f t="shared" si="15"/>
        <v>2.3120569605331404E-2</v>
      </c>
      <c r="M157">
        <f t="shared" si="16"/>
        <v>0.61783820530251532</v>
      </c>
      <c r="N157">
        <f t="shared" si="17"/>
        <v>3.3169343065693431</v>
      </c>
      <c r="O157">
        <f t="shared" si="18"/>
        <v>12791.16</v>
      </c>
      <c r="P157">
        <f t="shared" si="19"/>
        <v>0.18626784500339905</v>
      </c>
      <c r="Q157" t="s">
        <v>4137</v>
      </c>
      <c r="R157" t="s">
        <v>4141</v>
      </c>
      <c r="S157">
        <f>YEAR(marketing_data[[#This Row],[Start_date]])</f>
        <v>2023</v>
      </c>
      <c r="T157" t="str">
        <f>TEXT(marketing_data[[#This Row],[Start_date]],"ddd")</f>
        <v>Tue</v>
      </c>
      <c r="U157">
        <f>marketing_data[[#This Row],[Cleaned End_date]]-marketing_data[[#This Row],[Start_date]]</f>
        <v>8</v>
      </c>
    </row>
    <row r="158" spans="1:21" x14ac:dyDescent="0.2">
      <c r="A158" t="s">
        <v>349</v>
      </c>
      <c r="B158" t="s">
        <v>350</v>
      </c>
      <c r="C158" s="2">
        <v>45266</v>
      </c>
      <c r="D158" t="str">
        <f t="shared" si="14"/>
        <v>Dec</v>
      </c>
      <c r="E158" s="2">
        <v>45296</v>
      </c>
      <c r="F158" t="s">
        <v>14</v>
      </c>
      <c r="G158">
        <v>82734</v>
      </c>
      <c r="H158">
        <v>2912</v>
      </c>
      <c r="J158" t="b">
        <v>1</v>
      </c>
      <c r="K158" s="10">
        <v>3631.7599999999998</v>
      </c>
      <c r="L158" s="6">
        <f t="shared" si="15"/>
        <v>3.5197137815166681E-2</v>
      </c>
      <c r="M158">
        <f t="shared" si="16"/>
        <v>1.2471703296703296</v>
      </c>
      <c r="N158">
        <f t="shared" si="17"/>
        <v>0</v>
      </c>
      <c r="O158">
        <f t="shared" si="18"/>
        <v>-3631.7599999999998</v>
      </c>
      <c r="P158">
        <f t="shared" si="19"/>
        <v>0</v>
      </c>
      <c r="Q158" t="s">
        <v>4138</v>
      </c>
      <c r="R158" t="s">
        <v>4141</v>
      </c>
      <c r="S158">
        <f>YEAR(marketing_data[[#This Row],[Start_date]])</f>
        <v>2023</v>
      </c>
      <c r="T158" t="str">
        <f>TEXT(marketing_data[[#This Row],[Start_date]],"ddd")</f>
        <v>Wed</v>
      </c>
      <c r="U158">
        <f>marketing_data[[#This Row],[Cleaned End_date]]-marketing_data[[#This Row],[Start_date]]</f>
        <v>30</v>
      </c>
    </row>
    <row r="159" spans="1:21" x14ac:dyDescent="0.2">
      <c r="A159" t="s">
        <v>351</v>
      </c>
      <c r="B159" t="s">
        <v>352</v>
      </c>
      <c r="C159" s="2">
        <v>45047</v>
      </c>
      <c r="D159" t="str">
        <f t="shared" si="14"/>
        <v>May</v>
      </c>
      <c r="E159" s="2">
        <v>45068</v>
      </c>
      <c r="F159" t="s">
        <v>23</v>
      </c>
      <c r="G159">
        <v>76450</v>
      </c>
      <c r="H159">
        <v>2629</v>
      </c>
      <c r="J159" t="b">
        <v>1</v>
      </c>
      <c r="K159" s="10">
        <v>1688.77</v>
      </c>
      <c r="L159" s="6">
        <f t="shared" si="15"/>
        <v>3.4388489208633091E-2</v>
      </c>
      <c r="M159">
        <f t="shared" si="16"/>
        <v>0.64236211487257511</v>
      </c>
      <c r="N159">
        <f t="shared" si="17"/>
        <v>0</v>
      </c>
      <c r="O159">
        <f t="shared" si="18"/>
        <v>-1688.77</v>
      </c>
      <c r="P159">
        <f t="shared" si="19"/>
        <v>0</v>
      </c>
      <c r="Q159" t="s">
        <v>4137</v>
      </c>
      <c r="R159" t="s">
        <v>4138</v>
      </c>
      <c r="S159">
        <f>YEAR(marketing_data[[#This Row],[Start_date]])</f>
        <v>2023</v>
      </c>
      <c r="T159" t="str">
        <f>TEXT(marketing_data[[#This Row],[Start_date]],"ddd")</f>
        <v>Mon</v>
      </c>
      <c r="U159">
        <f>marketing_data[[#This Row],[Cleaned End_date]]-marketing_data[[#This Row],[Start_date]]</f>
        <v>21</v>
      </c>
    </row>
    <row r="160" spans="1:21" x14ac:dyDescent="0.2">
      <c r="A160" t="s">
        <v>353</v>
      </c>
      <c r="B160" t="s">
        <v>354</v>
      </c>
      <c r="C160" s="2">
        <v>45028</v>
      </c>
      <c r="D160" t="str">
        <f t="shared" si="14"/>
        <v>Apr</v>
      </c>
      <c r="E160" s="2">
        <v>45265</v>
      </c>
      <c r="F160" t="s">
        <v>41</v>
      </c>
      <c r="G160">
        <v>94426</v>
      </c>
      <c r="H160">
        <v>3072</v>
      </c>
      <c r="I160">
        <v>201</v>
      </c>
      <c r="J160" t="b">
        <v>1</v>
      </c>
      <c r="K160" s="10">
        <v>3631.7599999999998</v>
      </c>
      <c r="L160" s="6">
        <f t="shared" si="15"/>
        <v>3.2533412407599605E-2</v>
      </c>
      <c r="M160">
        <f t="shared" si="16"/>
        <v>1.1822135416666666</v>
      </c>
      <c r="N160">
        <f t="shared" si="17"/>
        <v>18.068457711442786</v>
      </c>
      <c r="O160">
        <f t="shared" si="18"/>
        <v>6418.24</v>
      </c>
      <c r="P160">
        <f t="shared" si="19"/>
        <v>6.54296875E-2</v>
      </c>
      <c r="Q160" t="s">
        <v>4137</v>
      </c>
      <c r="R160" t="s">
        <v>4138</v>
      </c>
      <c r="S160">
        <f>YEAR(marketing_data[[#This Row],[Start_date]])</f>
        <v>2023</v>
      </c>
      <c r="T160" t="str">
        <f>TEXT(marketing_data[[#This Row],[Start_date]],"ddd")</f>
        <v>Wed</v>
      </c>
      <c r="U160">
        <f>marketing_data[[#This Row],[Cleaned End_date]]-marketing_data[[#This Row],[Start_date]]</f>
        <v>237</v>
      </c>
    </row>
    <row r="161" spans="1:21" x14ac:dyDescent="0.2">
      <c r="A161" t="s">
        <v>355</v>
      </c>
      <c r="B161" t="s">
        <v>356</v>
      </c>
      <c r="C161" s="2">
        <v>45170</v>
      </c>
      <c r="D161" t="str">
        <f t="shared" si="14"/>
        <v>Sep</v>
      </c>
      <c r="E161" s="2">
        <v>45181</v>
      </c>
      <c r="F161" t="s">
        <v>41</v>
      </c>
      <c r="G161">
        <v>23299</v>
      </c>
      <c r="H161">
        <v>587</v>
      </c>
      <c r="I161">
        <v>79</v>
      </c>
      <c r="J161" t="b">
        <v>1</v>
      </c>
      <c r="K161" s="10">
        <v>912.17</v>
      </c>
      <c r="L161" s="6">
        <f t="shared" si="15"/>
        <v>2.519421434396326E-2</v>
      </c>
      <c r="M161">
        <f t="shared" si="16"/>
        <v>1.5539522998296422</v>
      </c>
      <c r="N161">
        <f t="shared" si="17"/>
        <v>11.546455696202532</v>
      </c>
      <c r="O161">
        <f t="shared" si="18"/>
        <v>3037.83</v>
      </c>
      <c r="P161">
        <f t="shared" si="19"/>
        <v>0.13458262350936967</v>
      </c>
      <c r="Q161" t="s">
        <v>4136</v>
      </c>
      <c r="R161" t="s">
        <v>4142</v>
      </c>
      <c r="S161">
        <f>YEAR(marketing_data[[#This Row],[Start_date]])</f>
        <v>2023</v>
      </c>
      <c r="T161" t="str">
        <f>TEXT(marketing_data[[#This Row],[Start_date]],"ddd")</f>
        <v>Fri</v>
      </c>
      <c r="U161">
        <f>marketing_data[[#This Row],[Cleaned End_date]]-marketing_data[[#This Row],[Start_date]]</f>
        <v>11</v>
      </c>
    </row>
    <row r="162" spans="1:21" x14ac:dyDescent="0.2">
      <c r="A162" t="s">
        <v>357</v>
      </c>
      <c r="B162" t="s">
        <v>358</v>
      </c>
      <c r="C162" s="2">
        <v>45160</v>
      </c>
      <c r="D162" t="str">
        <f t="shared" si="14"/>
        <v>Aug</v>
      </c>
      <c r="E162" s="2">
        <v>45172</v>
      </c>
      <c r="F162" t="s">
        <v>19</v>
      </c>
      <c r="G162">
        <v>44585</v>
      </c>
      <c r="H162">
        <v>1424</v>
      </c>
      <c r="I162">
        <v>184</v>
      </c>
      <c r="J162" t="b">
        <v>0</v>
      </c>
      <c r="K162" s="10">
        <v>854.1</v>
      </c>
      <c r="L162" s="6">
        <f t="shared" si="15"/>
        <v>3.1938992934843556E-2</v>
      </c>
      <c r="M162">
        <f t="shared" si="16"/>
        <v>0.59978932584269662</v>
      </c>
      <c r="N162">
        <f t="shared" si="17"/>
        <v>4.6418478260869565</v>
      </c>
      <c r="O162">
        <f t="shared" si="18"/>
        <v>8345.9</v>
      </c>
      <c r="P162">
        <f t="shared" si="19"/>
        <v>0.12921348314606743</v>
      </c>
      <c r="Q162" t="s">
        <v>4139</v>
      </c>
      <c r="R162" t="s">
        <v>4138</v>
      </c>
      <c r="S162">
        <f>YEAR(marketing_data[[#This Row],[Start_date]])</f>
        <v>2023</v>
      </c>
      <c r="T162" t="str">
        <f>TEXT(marketing_data[[#This Row],[Start_date]],"ddd")</f>
        <v>Tue</v>
      </c>
      <c r="U162">
        <f>marketing_data[[#This Row],[Cleaned End_date]]-marketing_data[[#This Row],[Start_date]]</f>
        <v>12</v>
      </c>
    </row>
    <row r="163" spans="1:21" x14ac:dyDescent="0.2">
      <c r="A163" t="s">
        <v>359</v>
      </c>
      <c r="B163" t="s">
        <v>360</v>
      </c>
      <c r="C163" s="2">
        <v>45026</v>
      </c>
      <c r="D163" t="str">
        <f t="shared" si="14"/>
        <v>Apr</v>
      </c>
      <c r="E163" s="2">
        <v>45053</v>
      </c>
      <c r="F163" t="s">
        <v>41</v>
      </c>
      <c r="G163">
        <v>65044</v>
      </c>
      <c r="H163">
        <v>2202</v>
      </c>
      <c r="I163">
        <v>261</v>
      </c>
      <c r="J163" t="b">
        <v>0</v>
      </c>
      <c r="K163" s="10">
        <v>1863.31</v>
      </c>
      <c r="L163" s="6">
        <f t="shared" si="15"/>
        <v>3.3854006518664291E-2</v>
      </c>
      <c r="M163">
        <f t="shared" si="16"/>
        <v>0.84618982742960946</v>
      </c>
      <c r="N163">
        <f t="shared" si="17"/>
        <v>7.1391187739463602</v>
      </c>
      <c r="O163">
        <f t="shared" si="18"/>
        <v>11186.69</v>
      </c>
      <c r="P163">
        <f t="shared" si="19"/>
        <v>0.11852861035422343</v>
      </c>
      <c r="Q163" t="s">
        <v>4137</v>
      </c>
      <c r="R163" t="s">
        <v>4138</v>
      </c>
      <c r="S163">
        <f>YEAR(marketing_data[[#This Row],[Start_date]])</f>
        <v>2023</v>
      </c>
      <c r="T163" t="str">
        <f>TEXT(marketing_data[[#This Row],[Start_date]],"ddd")</f>
        <v>Mon</v>
      </c>
      <c r="U163">
        <f>marketing_data[[#This Row],[Cleaned End_date]]-marketing_data[[#This Row],[Start_date]]</f>
        <v>27</v>
      </c>
    </row>
    <row r="164" spans="1:21" x14ac:dyDescent="0.2">
      <c r="A164" t="s">
        <v>361</v>
      </c>
      <c r="B164" t="s">
        <v>362</v>
      </c>
      <c r="C164" s="2">
        <v>45131</v>
      </c>
      <c r="D164" t="str">
        <f t="shared" si="14"/>
        <v>Jul</v>
      </c>
      <c r="E164" s="2">
        <v>45151</v>
      </c>
      <c r="F164" t="str">
        <f>F163</f>
        <v>Google Ads</v>
      </c>
      <c r="G164">
        <v>43557</v>
      </c>
      <c r="H164">
        <v>1386</v>
      </c>
      <c r="I164">
        <v>151</v>
      </c>
      <c r="J164" t="b">
        <v>1</v>
      </c>
      <c r="K164" s="10">
        <v>2596.6799999999998</v>
      </c>
      <c r="L164" s="6">
        <f t="shared" si="15"/>
        <v>3.1820373303946554E-2</v>
      </c>
      <c r="M164">
        <f t="shared" si="16"/>
        <v>1.8735064935064933</v>
      </c>
      <c r="N164">
        <f t="shared" si="17"/>
        <v>17.196556291390728</v>
      </c>
      <c r="O164">
        <f t="shared" si="18"/>
        <v>4953.32</v>
      </c>
      <c r="P164">
        <f t="shared" si="19"/>
        <v>0.10894660894660894</v>
      </c>
      <c r="Q164" t="s">
        <v>4139</v>
      </c>
      <c r="R164" t="s">
        <v>4142</v>
      </c>
      <c r="S164">
        <f>YEAR(marketing_data[[#This Row],[Start_date]])</f>
        <v>2023</v>
      </c>
      <c r="T164" t="str">
        <f>TEXT(marketing_data[[#This Row],[Start_date]],"ddd")</f>
        <v>Mon</v>
      </c>
      <c r="U164">
        <f>marketing_data[[#This Row],[Cleaned End_date]]-marketing_data[[#This Row],[Start_date]]</f>
        <v>20</v>
      </c>
    </row>
    <row r="165" spans="1:21" x14ac:dyDescent="0.2">
      <c r="A165" t="s">
        <v>363</v>
      </c>
      <c r="B165" t="s">
        <v>364</v>
      </c>
      <c r="C165" s="2">
        <v>44929</v>
      </c>
      <c r="D165" t="str">
        <f t="shared" si="14"/>
        <v>Jan</v>
      </c>
      <c r="E165" s="2">
        <v>44945</v>
      </c>
      <c r="F165" t="s">
        <v>41</v>
      </c>
      <c r="G165">
        <v>50080</v>
      </c>
      <c r="H165">
        <v>1391</v>
      </c>
      <c r="I165">
        <v>159</v>
      </c>
      <c r="J165" t="b">
        <v>1</v>
      </c>
      <c r="K165" s="10">
        <v>1981.44</v>
      </c>
      <c r="L165" s="6">
        <f t="shared" si="15"/>
        <v>2.7775559105431311E-2</v>
      </c>
      <c r="M165">
        <f t="shared" si="16"/>
        <v>1.4244716031631919</v>
      </c>
      <c r="N165">
        <f t="shared" si="17"/>
        <v>12.46188679245283</v>
      </c>
      <c r="O165">
        <f t="shared" si="18"/>
        <v>5968.5599999999995</v>
      </c>
      <c r="P165">
        <f t="shared" si="19"/>
        <v>0.11430625449317038</v>
      </c>
      <c r="Q165" t="s">
        <v>4138</v>
      </c>
      <c r="R165" t="s">
        <v>4141</v>
      </c>
      <c r="S165">
        <f>YEAR(marketing_data[[#This Row],[Start_date]])</f>
        <v>2023</v>
      </c>
      <c r="T165" t="str">
        <f>TEXT(marketing_data[[#This Row],[Start_date]],"ddd")</f>
        <v>Tue</v>
      </c>
      <c r="U165">
        <f>marketing_data[[#This Row],[Cleaned End_date]]-marketing_data[[#This Row],[Start_date]]</f>
        <v>16</v>
      </c>
    </row>
    <row r="166" spans="1:21" x14ac:dyDescent="0.2">
      <c r="A166" t="s">
        <v>365</v>
      </c>
      <c r="B166" t="s">
        <v>366</v>
      </c>
      <c r="C166" s="2">
        <v>44981</v>
      </c>
      <c r="D166" t="str">
        <f t="shared" si="14"/>
        <v>Feb</v>
      </c>
      <c r="E166" s="2">
        <v>44999</v>
      </c>
      <c r="F166" t="s">
        <v>33</v>
      </c>
      <c r="G166">
        <v>3693</v>
      </c>
      <c r="H166">
        <v>39</v>
      </c>
      <c r="J166" t="b">
        <v>0</v>
      </c>
      <c r="K166" s="10">
        <v>329.13249999999999</v>
      </c>
      <c r="L166" s="6">
        <f t="shared" si="15"/>
        <v>1.0560519902518278E-2</v>
      </c>
      <c r="M166">
        <f t="shared" si="16"/>
        <v>8.4392948717948713</v>
      </c>
      <c r="N166">
        <f t="shared" si="17"/>
        <v>0</v>
      </c>
      <c r="O166">
        <f t="shared" si="18"/>
        <v>-329.13249999999999</v>
      </c>
      <c r="P166">
        <f t="shared" si="19"/>
        <v>0</v>
      </c>
      <c r="Q166" t="s">
        <v>4138</v>
      </c>
      <c r="R166" t="s">
        <v>4139</v>
      </c>
      <c r="S166">
        <f>YEAR(marketing_data[[#This Row],[Start_date]])</f>
        <v>2023</v>
      </c>
      <c r="T166" t="str">
        <f>TEXT(marketing_data[[#This Row],[Start_date]],"ddd")</f>
        <v>Fri</v>
      </c>
      <c r="U166">
        <f>marketing_data[[#This Row],[Cleaned End_date]]-marketing_data[[#This Row],[Start_date]]</f>
        <v>18</v>
      </c>
    </row>
    <row r="167" spans="1:21" x14ac:dyDescent="0.2">
      <c r="A167" t="s">
        <v>367</v>
      </c>
      <c r="B167" t="s">
        <v>368</v>
      </c>
      <c r="C167" s="2">
        <v>45283</v>
      </c>
      <c r="D167" t="str">
        <f t="shared" si="14"/>
        <v>Dec</v>
      </c>
      <c r="E167" s="2">
        <v>45288</v>
      </c>
      <c r="F167" t="s">
        <v>14</v>
      </c>
      <c r="G167">
        <v>96003</v>
      </c>
      <c r="H167">
        <v>3214</v>
      </c>
      <c r="I167">
        <v>161</v>
      </c>
      <c r="J167" t="b">
        <v>1</v>
      </c>
      <c r="K167" s="10">
        <v>3631.7599999999998</v>
      </c>
      <c r="L167" s="6">
        <f t="shared" si="15"/>
        <v>3.3478120475401808E-2</v>
      </c>
      <c r="M167">
        <f t="shared" si="16"/>
        <v>1.1299813316739264</v>
      </c>
      <c r="N167">
        <f t="shared" si="17"/>
        <v>22.557515527950308</v>
      </c>
      <c r="O167">
        <f t="shared" si="18"/>
        <v>4418.24</v>
      </c>
      <c r="P167">
        <f t="shared" si="19"/>
        <v>5.0093341630367147E-2</v>
      </c>
      <c r="Q167" t="s">
        <v>4138</v>
      </c>
      <c r="R167" t="s">
        <v>4138</v>
      </c>
      <c r="S167">
        <f>YEAR(marketing_data[[#This Row],[Start_date]])</f>
        <v>2023</v>
      </c>
      <c r="T167" t="str">
        <f>TEXT(marketing_data[[#This Row],[Start_date]],"ddd")</f>
        <v>Sat</v>
      </c>
      <c r="U167">
        <f>marketing_data[[#This Row],[Cleaned End_date]]-marketing_data[[#This Row],[Start_date]]</f>
        <v>5</v>
      </c>
    </row>
    <row r="168" spans="1:21" x14ac:dyDescent="0.2">
      <c r="A168" t="s">
        <v>369</v>
      </c>
      <c r="B168" t="s">
        <v>370</v>
      </c>
      <c r="C168" s="2">
        <v>45054</v>
      </c>
      <c r="D168" t="str">
        <f t="shared" si="14"/>
        <v>May</v>
      </c>
      <c r="E168" s="2">
        <v>45080</v>
      </c>
      <c r="F168" t="s">
        <v>41</v>
      </c>
      <c r="G168">
        <v>96259</v>
      </c>
      <c r="H168">
        <v>1611</v>
      </c>
      <c r="I168">
        <v>143</v>
      </c>
      <c r="J168" t="b">
        <v>1</v>
      </c>
      <c r="K168" s="10">
        <v>2247.61</v>
      </c>
      <c r="L168" s="6">
        <f t="shared" si="15"/>
        <v>1.673609740387912E-2</v>
      </c>
      <c r="M168">
        <f t="shared" si="16"/>
        <v>1.3951644941030417</v>
      </c>
      <c r="N168">
        <f t="shared" si="17"/>
        <v>15.717552447552448</v>
      </c>
      <c r="O168">
        <f t="shared" si="18"/>
        <v>4902.3899999999994</v>
      </c>
      <c r="P168">
        <f t="shared" si="19"/>
        <v>8.8764742396027316E-2</v>
      </c>
      <c r="Q168" t="s">
        <v>4137</v>
      </c>
      <c r="R168" t="s">
        <v>4139</v>
      </c>
      <c r="S168">
        <f>YEAR(marketing_data[[#This Row],[Start_date]])</f>
        <v>2023</v>
      </c>
      <c r="T168" t="str">
        <f>TEXT(marketing_data[[#This Row],[Start_date]],"ddd")</f>
        <v>Mon</v>
      </c>
      <c r="U168">
        <f>marketing_data[[#This Row],[Cleaned End_date]]-marketing_data[[#This Row],[Start_date]]</f>
        <v>26</v>
      </c>
    </row>
    <row r="169" spans="1:21" x14ac:dyDescent="0.2">
      <c r="A169" t="s">
        <v>371</v>
      </c>
      <c r="B169" t="s">
        <v>372</v>
      </c>
      <c r="C169" s="2">
        <v>44995</v>
      </c>
      <c r="D169" t="str">
        <f t="shared" si="14"/>
        <v>Mar</v>
      </c>
      <c r="E169" s="2">
        <v>45004</v>
      </c>
      <c r="F169" t="s">
        <v>19</v>
      </c>
      <c r="G169">
        <v>70163</v>
      </c>
      <c r="H169">
        <v>2505</v>
      </c>
      <c r="J169" t="b">
        <v>1</v>
      </c>
      <c r="K169" s="10">
        <v>3137.17</v>
      </c>
      <c r="L169" s="6">
        <f t="shared" si="15"/>
        <v>3.5702578282000484E-2</v>
      </c>
      <c r="M169">
        <f t="shared" si="16"/>
        <v>1.2523632734530938</v>
      </c>
      <c r="N169">
        <f t="shared" si="17"/>
        <v>0</v>
      </c>
      <c r="O169">
        <f t="shared" si="18"/>
        <v>-3137.17</v>
      </c>
      <c r="P169">
        <f t="shared" si="19"/>
        <v>0</v>
      </c>
      <c r="Q169" t="s">
        <v>4137</v>
      </c>
      <c r="R169" t="s">
        <v>4138</v>
      </c>
      <c r="S169">
        <f>YEAR(marketing_data[[#This Row],[Start_date]])</f>
        <v>2023</v>
      </c>
      <c r="T169" t="str">
        <f>TEXT(marketing_data[[#This Row],[Start_date]],"ddd")</f>
        <v>Fri</v>
      </c>
      <c r="U169">
        <f>marketing_data[[#This Row],[Cleaned End_date]]-marketing_data[[#This Row],[Start_date]]</f>
        <v>9</v>
      </c>
    </row>
    <row r="170" spans="1:21" x14ac:dyDescent="0.2">
      <c r="A170" t="s">
        <v>373</v>
      </c>
      <c r="B170" t="s">
        <v>374</v>
      </c>
      <c r="C170" s="2">
        <v>45213</v>
      </c>
      <c r="D170" t="str">
        <f t="shared" si="14"/>
        <v>Oct</v>
      </c>
      <c r="E170" s="2">
        <v>45224</v>
      </c>
      <c r="F170" t="s">
        <v>41</v>
      </c>
      <c r="G170">
        <v>26939</v>
      </c>
      <c r="H170">
        <v>1087</v>
      </c>
      <c r="I170">
        <v>172</v>
      </c>
      <c r="J170" t="b">
        <v>1</v>
      </c>
      <c r="K170" s="10">
        <v>2135.17</v>
      </c>
      <c r="L170" s="6">
        <f t="shared" si="15"/>
        <v>4.035042132224656E-2</v>
      </c>
      <c r="M170">
        <f t="shared" si="16"/>
        <v>1.9642778288868445</v>
      </c>
      <c r="N170">
        <f t="shared" si="17"/>
        <v>12.413779069767441</v>
      </c>
      <c r="O170">
        <f t="shared" si="18"/>
        <v>6464.83</v>
      </c>
      <c r="P170">
        <f t="shared" si="19"/>
        <v>0.15823367065317387</v>
      </c>
      <c r="Q170" t="s">
        <v>4136</v>
      </c>
      <c r="R170" t="s">
        <v>4141</v>
      </c>
      <c r="S170">
        <f>YEAR(marketing_data[[#This Row],[Start_date]])</f>
        <v>2023</v>
      </c>
      <c r="T170" t="str">
        <f>TEXT(marketing_data[[#This Row],[Start_date]],"ddd")</f>
        <v>Sat</v>
      </c>
      <c r="U170">
        <f>marketing_data[[#This Row],[Cleaned End_date]]-marketing_data[[#This Row],[Start_date]]</f>
        <v>11</v>
      </c>
    </row>
    <row r="171" spans="1:21" x14ac:dyDescent="0.2">
      <c r="A171" t="s">
        <v>375</v>
      </c>
      <c r="B171" t="s">
        <v>376</v>
      </c>
      <c r="C171" s="2">
        <v>45153</v>
      </c>
      <c r="D171" t="str">
        <f t="shared" si="14"/>
        <v>Aug</v>
      </c>
      <c r="E171" s="2">
        <v>45169</v>
      </c>
      <c r="F171" t="s">
        <v>14</v>
      </c>
      <c r="G171">
        <v>49925</v>
      </c>
      <c r="H171">
        <v>1498</v>
      </c>
      <c r="I171">
        <v>114</v>
      </c>
      <c r="J171" t="b">
        <v>1</v>
      </c>
      <c r="K171" s="10">
        <v>2284.7199999999998</v>
      </c>
      <c r="L171" s="6">
        <f t="shared" si="15"/>
        <v>3.0005007511266901E-2</v>
      </c>
      <c r="M171">
        <f t="shared" si="16"/>
        <v>1.5251802403204271</v>
      </c>
      <c r="N171">
        <f t="shared" si="17"/>
        <v>20.041403508771928</v>
      </c>
      <c r="O171">
        <f t="shared" si="18"/>
        <v>3415.28</v>
      </c>
      <c r="P171">
        <f t="shared" si="19"/>
        <v>7.6101468624833107E-2</v>
      </c>
      <c r="Q171" t="s">
        <v>4139</v>
      </c>
      <c r="R171" t="s">
        <v>4141</v>
      </c>
      <c r="S171">
        <f>YEAR(marketing_data[[#This Row],[Start_date]])</f>
        <v>2023</v>
      </c>
      <c r="T171" t="str">
        <f>TEXT(marketing_data[[#This Row],[Start_date]],"ddd")</f>
        <v>Tue</v>
      </c>
      <c r="U171">
        <f>marketing_data[[#This Row],[Cleaned End_date]]-marketing_data[[#This Row],[Start_date]]</f>
        <v>16</v>
      </c>
    </row>
    <row r="172" spans="1:21" x14ac:dyDescent="0.2">
      <c r="A172" t="s">
        <v>377</v>
      </c>
      <c r="B172" t="s">
        <v>378</v>
      </c>
      <c r="C172" s="2">
        <v>45185</v>
      </c>
      <c r="D172" t="str">
        <f t="shared" si="14"/>
        <v>Sep</v>
      </c>
      <c r="E172" s="2">
        <v>45196</v>
      </c>
      <c r="F172" t="str">
        <f>F171</f>
        <v>TikTok</v>
      </c>
      <c r="G172">
        <v>43941</v>
      </c>
      <c r="H172">
        <v>1392</v>
      </c>
      <c r="I172">
        <v>183</v>
      </c>
      <c r="J172" t="b">
        <v>1</v>
      </c>
      <c r="K172" s="10">
        <v>1479.92</v>
      </c>
      <c r="L172" s="6">
        <f t="shared" si="15"/>
        <v>3.1678842083703147E-2</v>
      </c>
      <c r="M172">
        <f t="shared" si="16"/>
        <v>1.0631609195402298</v>
      </c>
      <c r="N172">
        <f t="shared" si="17"/>
        <v>8.0869945355191266</v>
      </c>
      <c r="O172">
        <f t="shared" si="18"/>
        <v>7670.08</v>
      </c>
      <c r="P172">
        <f t="shared" si="19"/>
        <v>0.13146551724137931</v>
      </c>
      <c r="Q172" t="s">
        <v>4136</v>
      </c>
      <c r="R172" t="s">
        <v>4142</v>
      </c>
      <c r="S172">
        <f>YEAR(marketing_data[[#This Row],[Start_date]])</f>
        <v>2023</v>
      </c>
      <c r="T172" t="str">
        <f>TEXT(marketing_data[[#This Row],[Start_date]],"ddd")</f>
        <v>Sat</v>
      </c>
      <c r="U172">
        <f>marketing_data[[#This Row],[Cleaned End_date]]-marketing_data[[#This Row],[Start_date]]</f>
        <v>11</v>
      </c>
    </row>
    <row r="173" spans="1:21" x14ac:dyDescent="0.2">
      <c r="A173" t="s">
        <v>379</v>
      </c>
      <c r="B173" t="s">
        <v>380</v>
      </c>
      <c r="C173" s="2">
        <v>45155</v>
      </c>
      <c r="D173" t="str">
        <f t="shared" si="14"/>
        <v>Aug</v>
      </c>
      <c r="E173" s="2">
        <v>45175</v>
      </c>
      <c r="F173" t="s">
        <v>19</v>
      </c>
      <c r="G173">
        <v>22834</v>
      </c>
      <c r="H173">
        <v>1097</v>
      </c>
      <c r="I173">
        <v>172</v>
      </c>
      <c r="J173" t="b">
        <v>0</v>
      </c>
      <c r="K173" s="10">
        <v>1865.02</v>
      </c>
      <c r="L173" s="6">
        <f t="shared" si="15"/>
        <v>4.8042392922834368E-2</v>
      </c>
      <c r="M173">
        <f t="shared" si="16"/>
        <v>1.7001093892433909</v>
      </c>
      <c r="N173">
        <f t="shared" si="17"/>
        <v>10.84313953488372</v>
      </c>
      <c r="O173">
        <f t="shared" si="18"/>
        <v>6734.98</v>
      </c>
      <c r="P173">
        <f t="shared" si="19"/>
        <v>0.15679124886052873</v>
      </c>
      <c r="Q173" t="s">
        <v>4139</v>
      </c>
      <c r="R173" t="s">
        <v>4138</v>
      </c>
      <c r="S173">
        <f>YEAR(marketing_data[[#This Row],[Start_date]])</f>
        <v>2023</v>
      </c>
      <c r="T173" t="str">
        <f>TEXT(marketing_data[[#This Row],[Start_date]],"ddd")</f>
        <v>Thu</v>
      </c>
      <c r="U173">
        <f>marketing_data[[#This Row],[Cleaned End_date]]-marketing_data[[#This Row],[Start_date]]</f>
        <v>20</v>
      </c>
    </row>
    <row r="174" spans="1:21" x14ac:dyDescent="0.2">
      <c r="A174" t="s">
        <v>381</v>
      </c>
      <c r="B174" t="s">
        <v>382</v>
      </c>
      <c r="C174" s="2">
        <v>45170</v>
      </c>
      <c r="D174" t="str">
        <f t="shared" si="14"/>
        <v>Sep</v>
      </c>
      <c r="E174" s="2">
        <v>45199</v>
      </c>
      <c r="F174" t="s">
        <v>23</v>
      </c>
      <c r="G174">
        <v>19047</v>
      </c>
      <c r="H174">
        <v>835</v>
      </c>
      <c r="I174">
        <v>97</v>
      </c>
      <c r="J174" t="b">
        <v>1</v>
      </c>
      <c r="K174" s="10">
        <v>1525.44</v>
      </c>
      <c r="L174" s="6">
        <f t="shared" si="15"/>
        <v>4.3838924765054861E-2</v>
      </c>
      <c r="M174">
        <f t="shared" si="16"/>
        <v>1.826874251497006</v>
      </c>
      <c r="N174">
        <f t="shared" si="17"/>
        <v>15.72618556701031</v>
      </c>
      <c r="O174">
        <f t="shared" si="18"/>
        <v>3324.56</v>
      </c>
      <c r="P174">
        <f t="shared" si="19"/>
        <v>0.11616766467065869</v>
      </c>
      <c r="Q174" t="s">
        <v>4136</v>
      </c>
      <c r="R174" t="s">
        <v>4142</v>
      </c>
      <c r="S174">
        <f>YEAR(marketing_data[[#This Row],[Start_date]])</f>
        <v>2023</v>
      </c>
      <c r="T174" t="str">
        <f>TEXT(marketing_data[[#This Row],[Start_date]],"ddd")</f>
        <v>Fri</v>
      </c>
      <c r="U174">
        <f>marketing_data[[#This Row],[Cleaned End_date]]-marketing_data[[#This Row],[Start_date]]</f>
        <v>29</v>
      </c>
    </row>
    <row r="175" spans="1:21" x14ac:dyDescent="0.2">
      <c r="A175" t="s">
        <v>383</v>
      </c>
      <c r="B175" t="s">
        <v>384</v>
      </c>
      <c r="C175" s="2">
        <v>45253</v>
      </c>
      <c r="D175" t="str">
        <f t="shared" si="14"/>
        <v>Nov</v>
      </c>
      <c r="E175" s="2">
        <v>45271</v>
      </c>
      <c r="F175" t="s">
        <v>14</v>
      </c>
      <c r="G175">
        <v>27105</v>
      </c>
      <c r="H175">
        <v>1262</v>
      </c>
      <c r="I175">
        <v>68</v>
      </c>
      <c r="J175" t="b">
        <v>1</v>
      </c>
      <c r="K175" s="10">
        <v>868.04</v>
      </c>
      <c r="L175" s="6">
        <f t="shared" si="15"/>
        <v>4.6559675336653755E-2</v>
      </c>
      <c r="M175">
        <f t="shared" si="16"/>
        <v>0.68782884310618064</v>
      </c>
      <c r="N175">
        <f t="shared" si="17"/>
        <v>12.765294117647059</v>
      </c>
      <c r="O175">
        <f t="shared" si="18"/>
        <v>2531.96</v>
      </c>
      <c r="P175">
        <f t="shared" si="19"/>
        <v>5.388272583201268E-2</v>
      </c>
      <c r="Q175" t="s">
        <v>4136</v>
      </c>
      <c r="R175" t="s">
        <v>4139</v>
      </c>
      <c r="S175">
        <f>YEAR(marketing_data[[#This Row],[Start_date]])</f>
        <v>2023</v>
      </c>
      <c r="T175" t="str">
        <f>TEXT(marketing_data[[#This Row],[Start_date]],"ddd")</f>
        <v>Thu</v>
      </c>
      <c r="U175">
        <f>marketing_data[[#This Row],[Cleaned End_date]]-marketing_data[[#This Row],[Start_date]]</f>
        <v>18</v>
      </c>
    </row>
    <row r="176" spans="1:21" x14ac:dyDescent="0.2">
      <c r="A176" t="s">
        <v>385</v>
      </c>
      <c r="B176" t="s">
        <v>386</v>
      </c>
      <c r="C176" s="2">
        <v>45175</v>
      </c>
      <c r="D176" t="str">
        <f t="shared" si="14"/>
        <v>Sep</v>
      </c>
      <c r="E176" s="2">
        <v>45182</v>
      </c>
      <c r="F176" t="s">
        <v>23</v>
      </c>
      <c r="G176">
        <v>76766</v>
      </c>
      <c r="H176">
        <v>3266</v>
      </c>
      <c r="I176">
        <v>383</v>
      </c>
      <c r="J176" t="b">
        <v>1</v>
      </c>
      <c r="K176" s="10">
        <v>2615.5100000000002</v>
      </c>
      <c r="L176" s="6">
        <f t="shared" si="15"/>
        <v>4.2544876638094989E-2</v>
      </c>
      <c r="M176">
        <f t="shared" si="16"/>
        <v>0.80082976117575022</v>
      </c>
      <c r="N176">
        <f t="shared" si="17"/>
        <v>6.8290078328981725</v>
      </c>
      <c r="O176">
        <f t="shared" si="18"/>
        <v>16534.489999999998</v>
      </c>
      <c r="P176">
        <f t="shared" si="19"/>
        <v>0.11726883037354562</v>
      </c>
      <c r="Q176" t="s">
        <v>4136</v>
      </c>
      <c r="R176" t="s">
        <v>4142</v>
      </c>
      <c r="S176">
        <f>YEAR(marketing_data[[#This Row],[Start_date]])</f>
        <v>2023</v>
      </c>
      <c r="T176" t="str">
        <f>TEXT(marketing_data[[#This Row],[Start_date]],"ddd")</f>
        <v>Wed</v>
      </c>
      <c r="U176">
        <f>marketing_data[[#This Row],[Cleaned End_date]]-marketing_data[[#This Row],[Start_date]]</f>
        <v>7</v>
      </c>
    </row>
    <row r="177" spans="1:21" x14ac:dyDescent="0.2">
      <c r="A177" t="s">
        <v>387</v>
      </c>
      <c r="B177" t="s">
        <v>388</v>
      </c>
      <c r="C177" s="2">
        <v>44966</v>
      </c>
      <c r="D177" t="str">
        <f t="shared" si="14"/>
        <v>Feb</v>
      </c>
      <c r="E177" s="2">
        <v>44993</v>
      </c>
      <c r="F177" t="s">
        <v>14</v>
      </c>
      <c r="G177">
        <v>16707</v>
      </c>
      <c r="H177">
        <v>239</v>
      </c>
      <c r="I177">
        <v>22</v>
      </c>
      <c r="J177" t="b">
        <v>0</v>
      </c>
      <c r="K177" s="10">
        <v>329.13249999999999</v>
      </c>
      <c r="L177" s="6">
        <f t="shared" si="15"/>
        <v>1.4305380978033159E-2</v>
      </c>
      <c r="M177">
        <f t="shared" si="16"/>
        <v>1.377123430962343</v>
      </c>
      <c r="N177">
        <f t="shared" si="17"/>
        <v>14.960568181818182</v>
      </c>
      <c r="O177">
        <f t="shared" si="18"/>
        <v>770.86750000000006</v>
      </c>
      <c r="P177">
        <f t="shared" si="19"/>
        <v>9.2050209205020925E-2</v>
      </c>
      <c r="Q177" t="s">
        <v>4138</v>
      </c>
      <c r="R177" t="s">
        <v>4141</v>
      </c>
      <c r="S177">
        <f>YEAR(marketing_data[[#This Row],[Start_date]])</f>
        <v>2023</v>
      </c>
      <c r="T177" t="str">
        <f>TEXT(marketing_data[[#This Row],[Start_date]],"ddd")</f>
        <v>Thu</v>
      </c>
      <c r="U177">
        <f>marketing_data[[#This Row],[Cleaned End_date]]-marketing_data[[#This Row],[Start_date]]</f>
        <v>27</v>
      </c>
    </row>
    <row r="178" spans="1:21" x14ac:dyDescent="0.2">
      <c r="A178" t="s">
        <v>389</v>
      </c>
      <c r="B178" t="s">
        <v>390</v>
      </c>
      <c r="C178" s="2">
        <v>45098</v>
      </c>
      <c r="D178" t="str">
        <f t="shared" si="14"/>
        <v>Jun</v>
      </c>
      <c r="E178" s="2">
        <v>45124</v>
      </c>
      <c r="F178" t="s">
        <v>14</v>
      </c>
      <c r="G178">
        <v>22976</v>
      </c>
      <c r="H178">
        <v>366</v>
      </c>
      <c r="J178" t="b">
        <v>0</v>
      </c>
      <c r="K178" s="10">
        <v>562.48</v>
      </c>
      <c r="L178" s="6">
        <f t="shared" si="15"/>
        <v>1.5929665738161559E-2</v>
      </c>
      <c r="M178">
        <f t="shared" si="16"/>
        <v>1.5368306010928963</v>
      </c>
      <c r="N178">
        <f t="shared" si="17"/>
        <v>0</v>
      </c>
      <c r="O178">
        <f t="shared" si="18"/>
        <v>-562.48</v>
      </c>
      <c r="P178">
        <f t="shared" si="19"/>
        <v>0</v>
      </c>
      <c r="Q178" t="s">
        <v>4139</v>
      </c>
      <c r="R178" t="s">
        <v>4141</v>
      </c>
      <c r="S178">
        <f>YEAR(marketing_data[[#This Row],[Start_date]])</f>
        <v>2023</v>
      </c>
      <c r="T178" t="str">
        <f>TEXT(marketing_data[[#This Row],[Start_date]],"ddd")</f>
        <v>Wed</v>
      </c>
      <c r="U178">
        <f>marketing_data[[#This Row],[Cleaned End_date]]-marketing_data[[#This Row],[Start_date]]</f>
        <v>26</v>
      </c>
    </row>
    <row r="179" spans="1:21" x14ac:dyDescent="0.2">
      <c r="A179" t="s">
        <v>391</v>
      </c>
      <c r="B179" t="s">
        <v>392</v>
      </c>
      <c r="C179" s="2">
        <v>44997</v>
      </c>
      <c r="D179" t="str">
        <f t="shared" si="14"/>
        <v>Mar</v>
      </c>
      <c r="E179" s="2">
        <v>45018</v>
      </c>
      <c r="F179" t="s">
        <v>19</v>
      </c>
      <c r="G179">
        <v>45262</v>
      </c>
      <c r="H179">
        <v>1406</v>
      </c>
      <c r="I179">
        <v>96</v>
      </c>
      <c r="J179" t="b">
        <v>0</v>
      </c>
      <c r="K179" s="10">
        <v>1974.81</v>
      </c>
      <c r="L179" s="6">
        <f t="shared" si="15"/>
        <v>3.1063585347532147E-2</v>
      </c>
      <c r="M179">
        <f t="shared" si="16"/>
        <v>1.4045590327169275</v>
      </c>
      <c r="N179">
        <f t="shared" si="17"/>
        <v>20.570937499999999</v>
      </c>
      <c r="O179">
        <f t="shared" si="18"/>
        <v>2825.19</v>
      </c>
      <c r="P179">
        <f t="shared" si="19"/>
        <v>6.8278805120910391E-2</v>
      </c>
      <c r="Q179" t="s">
        <v>4137</v>
      </c>
      <c r="R179" t="s">
        <v>4142</v>
      </c>
      <c r="S179">
        <f>YEAR(marketing_data[[#This Row],[Start_date]])</f>
        <v>2023</v>
      </c>
      <c r="T179" t="str">
        <f>TEXT(marketing_data[[#This Row],[Start_date]],"ddd")</f>
        <v>Sun</v>
      </c>
      <c r="U179">
        <f>marketing_data[[#This Row],[Cleaned End_date]]-marketing_data[[#This Row],[Start_date]]</f>
        <v>21</v>
      </c>
    </row>
    <row r="180" spans="1:21" x14ac:dyDescent="0.2">
      <c r="A180" t="s">
        <v>393</v>
      </c>
      <c r="B180" t="s">
        <v>394</v>
      </c>
      <c r="C180" s="2">
        <v>45005</v>
      </c>
      <c r="D180" t="str">
        <f t="shared" si="14"/>
        <v>Mar</v>
      </c>
      <c r="E180" s="2">
        <v>45012</v>
      </c>
      <c r="F180" t="s">
        <v>19</v>
      </c>
      <c r="G180">
        <v>24776</v>
      </c>
      <c r="H180">
        <v>491</v>
      </c>
      <c r="I180">
        <v>72</v>
      </c>
      <c r="J180" t="b">
        <v>0</v>
      </c>
      <c r="K180" s="10">
        <v>701.39</v>
      </c>
      <c r="L180" s="6">
        <f t="shared" si="15"/>
        <v>1.9817565385857282E-2</v>
      </c>
      <c r="M180">
        <f t="shared" si="16"/>
        <v>1.4284928716904277</v>
      </c>
      <c r="N180">
        <f t="shared" si="17"/>
        <v>9.7415277777777778</v>
      </c>
      <c r="O180">
        <f t="shared" si="18"/>
        <v>2898.61</v>
      </c>
      <c r="P180">
        <f t="shared" si="19"/>
        <v>0.14663951120162932</v>
      </c>
      <c r="Q180" t="s">
        <v>4137</v>
      </c>
      <c r="R180" t="s">
        <v>4141</v>
      </c>
      <c r="S180">
        <f>YEAR(marketing_data[[#This Row],[Start_date]])</f>
        <v>2023</v>
      </c>
      <c r="T180" t="str">
        <f>TEXT(marketing_data[[#This Row],[Start_date]],"ddd")</f>
        <v>Mon</v>
      </c>
      <c r="U180">
        <f>marketing_data[[#This Row],[Cleaned End_date]]-marketing_data[[#This Row],[Start_date]]</f>
        <v>7</v>
      </c>
    </row>
    <row r="181" spans="1:21" x14ac:dyDescent="0.2">
      <c r="A181" t="s">
        <v>395</v>
      </c>
      <c r="B181" t="s">
        <v>396</v>
      </c>
      <c r="C181" s="2">
        <v>45135</v>
      </c>
      <c r="D181" t="str">
        <f t="shared" si="14"/>
        <v>Jul</v>
      </c>
      <c r="E181" s="2">
        <v>45165</v>
      </c>
      <c r="F181" t="s">
        <v>19</v>
      </c>
      <c r="G181">
        <v>31080</v>
      </c>
      <c r="H181">
        <v>903</v>
      </c>
      <c r="I181">
        <v>52</v>
      </c>
      <c r="J181" t="b">
        <v>0</v>
      </c>
      <c r="K181" s="10">
        <v>1725.78</v>
      </c>
      <c r="L181" s="6">
        <f t="shared" si="15"/>
        <v>2.9054054054054056E-2</v>
      </c>
      <c r="M181">
        <f t="shared" si="16"/>
        <v>1.9111627906976745</v>
      </c>
      <c r="N181">
        <f t="shared" si="17"/>
        <v>33.18807692307692</v>
      </c>
      <c r="O181">
        <f t="shared" si="18"/>
        <v>874.22</v>
      </c>
      <c r="P181">
        <f t="shared" si="19"/>
        <v>5.7585825027685493E-2</v>
      </c>
      <c r="Q181" t="s">
        <v>4139</v>
      </c>
      <c r="R181" t="s">
        <v>4139</v>
      </c>
      <c r="S181">
        <f>YEAR(marketing_data[[#This Row],[Start_date]])</f>
        <v>2023</v>
      </c>
      <c r="T181" t="str">
        <f>TEXT(marketing_data[[#This Row],[Start_date]],"ddd")</f>
        <v>Fri</v>
      </c>
      <c r="U181">
        <f>marketing_data[[#This Row],[Cleaned End_date]]-marketing_data[[#This Row],[Start_date]]</f>
        <v>30</v>
      </c>
    </row>
    <row r="182" spans="1:21" x14ac:dyDescent="0.2">
      <c r="A182" t="s">
        <v>397</v>
      </c>
      <c r="B182" t="s">
        <v>398</v>
      </c>
      <c r="C182" s="2">
        <v>44958</v>
      </c>
      <c r="D182" t="str">
        <f t="shared" si="14"/>
        <v>Feb</v>
      </c>
      <c r="E182" s="2">
        <v>44978</v>
      </c>
      <c r="F182" t="s">
        <v>33</v>
      </c>
      <c r="G182">
        <v>67842</v>
      </c>
      <c r="H182">
        <v>1748</v>
      </c>
      <c r="J182" t="b">
        <v>1</v>
      </c>
      <c r="K182" s="10">
        <v>2908.44</v>
      </c>
      <c r="L182" s="6">
        <f t="shared" si="15"/>
        <v>2.5765749830488488E-2</v>
      </c>
      <c r="M182">
        <f t="shared" si="16"/>
        <v>1.6638672768878719</v>
      </c>
      <c r="N182">
        <f t="shared" si="17"/>
        <v>0</v>
      </c>
      <c r="O182">
        <f t="shared" si="18"/>
        <v>-2908.44</v>
      </c>
      <c r="P182">
        <f t="shared" si="19"/>
        <v>0</v>
      </c>
      <c r="Q182" t="s">
        <v>4138</v>
      </c>
      <c r="R182" t="s">
        <v>4141</v>
      </c>
      <c r="S182">
        <f>YEAR(marketing_data[[#This Row],[Start_date]])</f>
        <v>2023</v>
      </c>
      <c r="T182" t="str">
        <f>TEXT(marketing_data[[#This Row],[Start_date]],"ddd")</f>
        <v>Wed</v>
      </c>
      <c r="U182">
        <f>marketing_data[[#This Row],[Cleaned End_date]]-marketing_data[[#This Row],[Start_date]]</f>
        <v>20</v>
      </c>
    </row>
    <row r="183" spans="1:21" x14ac:dyDescent="0.2">
      <c r="A183" t="s">
        <v>399</v>
      </c>
      <c r="B183" t="s">
        <v>400</v>
      </c>
      <c r="C183" s="2">
        <v>45226</v>
      </c>
      <c r="D183" t="str">
        <f t="shared" si="14"/>
        <v>Oct</v>
      </c>
      <c r="E183" s="2">
        <v>45246</v>
      </c>
      <c r="F183" t="s">
        <v>23</v>
      </c>
      <c r="G183">
        <v>62373</v>
      </c>
      <c r="H183">
        <v>1994</v>
      </c>
      <c r="I183">
        <v>265</v>
      </c>
      <c r="J183" t="b">
        <v>1</v>
      </c>
      <c r="K183" s="10">
        <v>1379.66</v>
      </c>
      <c r="L183" s="6">
        <f t="shared" si="15"/>
        <v>3.1968960928606932E-2</v>
      </c>
      <c r="M183">
        <f t="shared" si="16"/>
        <v>0.69190571715145444</v>
      </c>
      <c r="N183">
        <f t="shared" si="17"/>
        <v>5.2062641509433965</v>
      </c>
      <c r="O183">
        <f t="shared" si="18"/>
        <v>11870.34</v>
      </c>
      <c r="P183">
        <f t="shared" si="19"/>
        <v>0.13289869608826479</v>
      </c>
      <c r="Q183" t="s">
        <v>4136</v>
      </c>
      <c r="R183" t="s">
        <v>4142</v>
      </c>
      <c r="S183">
        <f>YEAR(marketing_data[[#This Row],[Start_date]])</f>
        <v>2023</v>
      </c>
      <c r="T183" t="str">
        <f>TEXT(marketing_data[[#This Row],[Start_date]],"ddd")</f>
        <v>Fri</v>
      </c>
      <c r="U183">
        <f>marketing_data[[#This Row],[Cleaned End_date]]-marketing_data[[#This Row],[Start_date]]</f>
        <v>20</v>
      </c>
    </row>
    <row r="184" spans="1:21" x14ac:dyDescent="0.2">
      <c r="A184" t="s">
        <v>401</v>
      </c>
      <c r="B184" t="s">
        <v>402</v>
      </c>
      <c r="C184" s="2">
        <v>45221</v>
      </c>
      <c r="D184" t="str">
        <f t="shared" si="14"/>
        <v>Oct</v>
      </c>
      <c r="E184" s="2">
        <v>45225</v>
      </c>
      <c r="F184" t="s">
        <v>23</v>
      </c>
      <c r="G184">
        <v>7776</v>
      </c>
      <c r="H184">
        <v>310</v>
      </c>
      <c r="I184">
        <v>29</v>
      </c>
      <c r="J184" t="b">
        <v>1</v>
      </c>
      <c r="K184" s="10">
        <v>329.13249999999999</v>
      </c>
      <c r="L184" s="6">
        <f t="shared" si="15"/>
        <v>3.9866255144032921E-2</v>
      </c>
      <c r="M184">
        <f t="shared" si="16"/>
        <v>1.0617177419354837</v>
      </c>
      <c r="N184">
        <f t="shared" si="17"/>
        <v>11.349396551724137</v>
      </c>
      <c r="O184">
        <f t="shared" si="18"/>
        <v>1120.8675000000001</v>
      </c>
      <c r="P184">
        <f t="shared" si="19"/>
        <v>9.3548387096774197E-2</v>
      </c>
      <c r="Q184" t="s">
        <v>4136</v>
      </c>
      <c r="R184" t="s">
        <v>4138</v>
      </c>
      <c r="S184">
        <f>YEAR(marketing_data[[#This Row],[Start_date]])</f>
        <v>2023</v>
      </c>
      <c r="T184" t="str">
        <f>TEXT(marketing_data[[#This Row],[Start_date]],"ddd")</f>
        <v>Sun</v>
      </c>
      <c r="U184">
        <f>marketing_data[[#This Row],[Cleaned End_date]]-marketing_data[[#This Row],[Start_date]]</f>
        <v>4</v>
      </c>
    </row>
    <row r="185" spans="1:21" x14ac:dyDescent="0.2">
      <c r="A185" t="s">
        <v>403</v>
      </c>
      <c r="B185" t="s">
        <v>404</v>
      </c>
      <c r="C185" s="2">
        <v>45107</v>
      </c>
      <c r="D185" t="str">
        <f t="shared" si="14"/>
        <v>Jun</v>
      </c>
      <c r="E185" s="2">
        <v>45117</v>
      </c>
      <c r="F185" t="s">
        <v>23</v>
      </c>
      <c r="G185">
        <v>93787</v>
      </c>
      <c r="H185">
        <v>3622</v>
      </c>
      <c r="I185">
        <v>428</v>
      </c>
      <c r="J185" t="b">
        <v>0</v>
      </c>
      <c r="K185" s="10">
        <v>3631.7599999999998</v>
      </c>
      <c r="L185" s="6">
        <f t="shared" si="15"/>
        <v>3.861942486698583E-2</v>
      </c>
      <c r="M185">
        <f t="shared" si="16"/>
        <v>1.0026946438431805</v>
      </c>
      <c r="N185">
        <f t="shared" si="17"/>
        <v>8.4854205607476629</v>
      </c>
      <c r="O185">
        <f t="shared" si="18"/>
        <v>17768.240000000002</v>
      </c>
      <c r="P185">
        <f t="shared" si="19"/>
        <v>0.11816675869685257</v>
      </c>
      <c r="Q185" t="s">
        <v>4139</v>
      </c>
      <c r="R185" t="s">
        <v>4141</v>
      </c>
      <c r="S185">
        <f>YEAR(marketing_data[[#This Row],[Start_date]])</f>
        <v>2023</v>
      </c>
      <c r="T185" t="str">
        <f>TEXT(marketing_data[[#This Row],[Start_date]],"ddd")</f>
        <v>Fri</v>
      </c>
      <c r="U185">
        <f>marketing_data[[#This Row],[Cleaned End_date]]-marketing_data[[#This Row],[Start_date]]</f>
        <v>10</v>
      </c>
    </row>
    <row r="186" spans="1:21" x14ac:dyDescent="0.2">
      <c r="A186" t="s">
        <v>405</v>
      </c>
      <c r="B186" t="s">
        <v>406</v>
      </c>
      <c r="C186" s="2">
        <v>45141</v>
      </c>
      <c r="D186" t="str">
        <f t="shared" si="14"/>
        <v>Aug</v>
      </c>
      <c r="E186" s="2">
        <v>45165</v>
      </c>
      <c r="F186" t="s">
        <v>19</v>
      </c>
      <c r="G186">
        <v>56016</v>
      </c>
      <c r="H186">
        <v>1728</v>
      </c>
      <c r="I186">
        <v>128</v>
      </c>
      <c r="J186" t="b">
        <v>0</v>
      </c>
      <c r="K186" s="10">
        <v>1890.33</v>
      </c>
      <c r="L186" s="6">
        <f t="shared" si="15"/>
        <v>3.0848329048843187E-2</v>
      </c>
      <c r="M186">
        <f t="shared" si="16"/>
        <v>1.0939409722222222</v>
      </c>
      <c r="N186">
        <f t="shared" si="17"/>
        <v>14.768203124999999</v>
      </c>
      <c r="O186">
        <f t="shared" si="18"/>
        <v>4509.67</v>
      </c>
      <c r="P186">
        <f t="shared" si="19"/>
        <v>7.407407407407407E-2</v>
      </c>
      <c r="Q186" t="s">
        <v>4139</v>
      </c>
      <c r="R186" t="s">
        <v>4141</v>
      </c>
      <c r="S186">
        <f>YEAR(marketing_data[[#This Row],[Start_date]])</f>
        <v>2023</v>
      </c>
      <c r="T186" t="str">
        <f>TEXT(marketing_data[[#This Row],[Start_date]],"ddd")</f>
        <v>Thu</v>
      </c>
      <c r="U186">
        <f>marketing_data[[#This Row],[Cleaned End_date]]-marketing_data[[#This Row],[Start_date]]</f>
        <v>24</v>
      </c>
    </row>
    <row r="187" spans="1:21" x14ac:dyDescent="0.2">
      <c r="A187" t="s">
        <v>407</v>
      </c>
      <c r="B187" t="s">
        <v>408</v>
      </c>
      <c r="C187" s="2">
        <v>45235</v>
      </c>
      <c r="D187" t="str">
        <f t="shared" si="14"/>
        <v>Nov</v>
      </c>
      <c r="E187" s="2">
        <v>45237</v>
      </c>
      <c r="F187" t="s">
        <v>33</v>
      </c>
      <c r="G187">
        <v>10474</v>
      </c>
      <c r="H187">
        <v>449</v>
      </c>
      <c r="I187">
        <v>42</v>
      </c>
      <c r="J187" t="b">
        <v>1</v>
      </c>
      <c r="K187" s="10">
        <v>675.28</v>
      </c>
      <c r="L187" s="6">
        <f t="shared" si="15"/>
        <v>4.2868054229520718E-2</v>
      </c>
      <c r="M187">
        <f t="shared" si="16"/>
        <v>1.5039643652561248</v>
      </c>
      <c r="N187">
        <f t="shared" si="17"/>
        <v>16.078095238095237</v>
      </c>
      <c r="O187">
        <f t="shared" si="18"/>
        <v>1424.72</v>
      </c>
      <c r="P187">
        <f t="shared" si="19"/>
        <v>9.3541202672605794E-2</v>
      </c>
      <c r="Q187" t="s">
        <v>4136</v>
      </c>
      <c r="R187" t="s">
        <v>4139</v>
      </c>
      <c r="S187">
        <f>YEAR(marketing_data[[#This Row],[Start_date]])</f>
        <v>2023</v>
      </c>
      <c r="T187" t="str">
        <f>TEXT(marketing_data[[#This Row],[Start_date]],"ddd")</f>
        <v>Sun</v>
      </c>
      <c r="U187">
        <f>marketing_data[[#This Row],[Cleaned End_date]]-marketing_data[[#This Row],[Start_date]]</f>
        <v>2</v>
      </c>
    </row>
    <row r="188" spans="1:21" x14ac:dyDescent="0.2">
      <c r="A188" t="s">
        <v>409</v>
      </c>
      <c r="B188" t="s">
        <v>410</v>
      </c>
      <c r="C188" s="2">
        <v>45066</v>
      </c>
      <c r="D188" t="str">
        <f t="shared" si="14"/>
        <v>May</v>
      </c>
      <c r="E188" s="2">
        <v>45090</v>
      </c>
      <c r="F188" t="s">
        <v>19</v>
      </c>
      <c r="G188">
        <v>59053</v>
      </c>
      <c r="H188">
        <v>1608</v>
      </c>
      <c r="I188">
        <v>230</v>
      </c>
      <c r="J188" t="b">
        <v>1</v>
      </c>
      <c r="K188" s="10">
        <v>2955.25</v>
      </c>
      <c r="L188" s="6">
        <f t="shared" si="15"/>
        <v>2.7229776641322201E-2</v>
      </c>
      <c r="M188">
        <f t="shared" si="16"/>
        <v>1.8378420398009949</v>
      </c>
      <c r="N188">
        <f t="shared" si="17"/>
        <v>12.848913043478261</v>
      </c>
      <c r="O188">
        <f t="shared" si="18"/>
        <v>8544.75</v>
      </c>
      <c r="P188">
        <f t="shared" si="19"/>
        <v>0.14303482587064675</v>
      </c>
      <c r="Q188" t="s">
        <v>4137</v>
      </c>
      <c r="R188" t="s">
        <v>4139</v>
      </c>
      <c r="S188">
        <f>YEAR(marketing_data[[#This Row],[Start_date]])</f>
        <v>2023</v>
      </c>
      <c r="T188" t="str">
        <f>TEXT(marketing_data[[#This Row],[Start_date]],"ddd")</f>
        <v>Sat</v>
      </c>
      <c r="U188">
        <f>marketing_data[[#This Row],[Cleaned End_date]]-marketing_data[[#This Row],[Start_date]]</f>
        <v>24</v>
      </c>
    </row>
    <row r="189" spans="1:21" x14ac:dyDescent="0.2">
      <c r="A189" t="s">
        <v>411</v>
      </c>
      <c r="B189" t="s">
        <v>412</v>
      </c>
      <c r="C189" s="2">
        <v>45099</v>
      </c>
      <c r="D189" t="str">
        <f t="shared" si="14"/>
        <v>Jun</v>
      </c>
      <c r="E189" s="2">
        <v>45128</v>
      </c>
      <c r="F189" t="s">
        <v>23</v>
      </c>
      <c r="G189">
        <v>22959</v>
      </c>
      <c r="H189">
        <v>1053</v>
      </c>
      <c r="I189">
        <v>100</v>
      </c>
      <c r="J189" t="b">
        <v>1</v>
      </c>
      <c r="K189" s="10">
        <v>1009.91</v>
      </c>
      <c r="L189" s="6">
        <f t="shared" si="15"/>
        <v>4.5864366914935319E-2</v>
      </c>
      <c r="M189">
        <f t="shared" si="16"/>
        <v>0.9590788224121557</v>
      </c>
      <c r="N189">
        <f t="shared" si="17"/>
        <v>10.0991</v>
      </c>
      <c r="O189">
        <f t="shared" si="18"/>
        <v>3990.09</v>
      </c>
      <c r="P189">
        <f t="shared" si="19"/>
        <v>9.4966761633428307E-2</v>
      </c>
      <c r="Q189" t="s">
        <v>4139</v>
      </c>
      <c r="R189" t="s">
        <v>4139</v>
      </c>
      <c r="S189">
        <f>YEAR(marketing_data[[#This Row],[Start_date]])</f>
        <v>2023</v>
      </c>
      <c r="T189" t="str">
        <f>TEXT(marketing_data[[#This Row],[Start_date]],"ddd")</f>
        <v>Thu</v>
      </c>
      <c r="U189">
        <f>marketing_data[[#This Row],[Cleaned End_date]]-marketing_data[[#This Row],[Start_date]]</f>
        <v>29</v>
      </c>
    </row>
    <row r="190" spans="1:21" x14ac:dyDescent="0.2">
      <c r="A190" t="s">
        <v>413</v>
      </c>
      <c r="B190" t="s">
        <v>414</v>
      </c>
      <c r="C190" s="2">
        <v>45011</v>
      </c>
      <c r="D190" t="str">
        <f t="shared" si="14"/>
        <v>Mar</v>
      </c>
      <c r="E190" s="2">
        <v>45018</v>
      </c>
      <c r="F190" t="s">
        <v>33</v>
      </c>
      <c r="G190">
        <v>6530</v>
      </c>
      <c r="H190">
        <v>83</v>
      </c>
      <c r="I190">
        <v>15</v>
      </c>
      <c r="J190" t="b">
        <v>1</v>
      </c>
      <c r="K190" s="10">
        <v>329.13249999999999</v>
      </c>
      <c r="L190" s="6">
        <f t="shared" si="15"/>
        <v>1.2710566615620214E-2</v>
      </c>
      <c r="M190">
        <f t="shared" si="16"/>
        <v>3.9654518072289155</v>
      </c>
      <c r="N190">
        <f t="shared" si="17"/>
        <v>21.942166666666665</v>
      </c>
      <c r="O190">
        <f t="shared" si="18"/>
        <v>420.86750000000001</v>
      </c>
      <c r="P190">
        <f t="shared" si="19"/>
        <v>0.18072289156626506</v>
      </c>
      <c r="Q190" t="s">
        <v>4137</v>
      </c>
      <c r="R190" t="s">
        <v>4139</v>
      </c>
      <c r="S190">
        <f>YEAR(marketing_data[[#This Row],[Start_date]])</f>
        <v>2023</v>
      </c>
      <c r="T190" t="str">
        <f>TEXT(marketing_data[[#This Row],[Start_date]],"ddd")</f>
        <v>Sun</v>
      </c>
      <c r="U190">
        <f>marketing_data[[#This Row],[Cleaned End_date]]-marketing_data[[#This Row],[Start_date]]</f>
        <v>7</v>
      </c>
    </row>
    <row r="191" spans="1:21" x14ac:dyDescent="0.2">
      <c r="A191" t="s">
        <v>416</v>
      </c>
      <c r="B191" t="s">
        <v>417</v>
      </c>
      <c r="C191" s="2">
        <v>45245</v>
      </c>
      <c r="D191" t="str">
        <f t="shared" si="14"/>
        <v>Nov</v>
      </c>
      <c r="E191" s="2">
        <v>45262</v>
      </c>
      <c r="F191" t="s">
        <v>19</v>
      </c>
      <c r="G191">
        <v>95856</v>
      </c>
      <c r="H191">
        <v>4618</v>
      </c>
      <c r="J191" t="b">
        <v>1</v>
      </c>
      <c r="K191" s="10">
        <v>3631.7599999999998</v>
      </c>
      <c r="L191" s="6">
        <f t="shared" si="15"/>
        <v>4.8176431313637122E-2</v>
      </c>
      <c r="M191">
        <f t="shared" si="16"/>
        <v>0.78643568644434814</v>
      </c>
      <c r="N191">
        <f t="shared" si="17"/>
        <v>0</v>
      </c>
      <c r="O191">
        <f t="shared" si="18"/>
        <v>-3631.7599999999998</v>
      </c>
      <c r="P191">
        <f t="shared" si="19"/>
        <v>0</v>
      </c>
      <c r="Q191" t="s">
        <v>4136</v>
      </c>
      <c r="R191" t="s">
        <v>4139</v>
      </c>
      <c r="S191">
        <f>YEAR(marketing_data[[#This Row],[Start_date]])</f>
        <v>2023</v>
      </c>
      <c r="T191" t="str">
        <f>TEXT(marketing_data[[#This Row],[Start_date]],"ddd")</f>
        <v>Wed</v>
      </c>
      <c r="U191">
        <f>marketing_data[[#This Row],[Cleaned End_date]]-marketing_data[[#This Row],[Start_date]]</f>
        <v>17</v>
      </c>
    </row>
    <row r="192" spans="1:21" x14ac:dyDescent="0.2">
      <c r="A192" t="s">
        <v>418</v>
      </c>
      <c r="B192" t="s">
        <v>419</v>
      </c>
      <c r="C192" s="2">
        <v>45230</v>
      </c>
      <c r="D192" t="str">
        <f t="shared" si="14"/>
        <v>Oct</v>
      </c>
      <c r="E192" s="2">
        <v>45256</v>
      </c>
      <c r="F192" t="s">
        <v>19</v>
      </c>
      <c r="G192">
        <v>4748</v>
      </c>
      <c r="H192">
        <v>171</v>
      </c>
      <c r="I192">
        <v>19</v>
      </c>
      <c r="J192" t="b">
        <v>1</v>
      </c>
      <c r="K192" s="10">
        <v>329.13249999999999</v>
      </c>
      <c r="L192" s="6">
        <f t="shared" si="15"/>
        <v>3.6015164279696713E-2</v>
      </c>
      <c r="M192">
        <f t="shared" si="16"/>
        <v>1.9247514619883042</v>
      </c>
      <c r="N192">
        <f t="shared" si="17"/>
        <v>17.322763157894737</v>
      </c>
      <c r="O192">
        <f t="shared" si="18"/>
        <v>620.86750000000006</v>
      </c>
      <c r="P192">
        <f t="shared" si="19"/>
        <v>0.1111111111111111</v>
      </c>
      <c r="Q192" t="s">
        <v>4136</v>
      </c>
      <c r="R192" t="s">
        <v>4139</v>
      </c>
      <c r="S192">
        <f>YEAR(marketing_data[[#This Row],[Start_date]])</f>
        <v>2023</v>
      </c>
      <c r="T192" t="str">
        <f>TEXT(marketing_data[[#This Row],[Start_date]],"ddd")</f>
        <v>Tue</v>
      </c>
      <c r="U192">
        <f>marketing_data[[#This Row],[Cleaned End_date]]-marketing_data[[#This Row],[Start_date]]</f>
        <v>26</v>
      </c>
    </row>
    <row r="193" spans="1:21" x14ac:dyDescent="0.2">
      <c r="A193" t="s">
        <v>420</v>
      </c>
      <c r="B193" t="s">
        <v>421</v>
      </c>
      <c r="C193" s="2">
        <v>45256</v>
      </c>
      <c r="D193" t="str">
        <f t="shared" si="14"/>
        <v>Nov</v>
      </c>
      <c r="E193" s="2">
        <v>45273</v>
      </c>
      <c r="F193" t="s">
        <v>33</v>
      </c>
      <c r="G193">
        <v>98504</v>
      </c>
      <c r="H193">
        <v>2482</v>
      </c>
      <c r="I193">
        <v>138</v>
      </c>
      <c r="J193" t="b">
        <v>1</v>
      </c>
      <c r="K193" s="10">
        <v>1866.9</v>
      </c>
      <c r="L193" s="6">
        <f t="shared" si="15"/>
        <v>2.5196946316900837E-2</v>
      </c>
      <c r="M193">
        <f t="shared" si="16"/>
        <v>0.75217566478646258</v>
      </c>
      <c r="N193">
        <f t="shared" si="17"/>
        <v>13.528260869565218</v>
      </c>
      <c r="O193">
        <f t="shared" si="18"/>
        <v>5033.1000000000004</v>
      </c>
      <c r="P193">
        <f t="shared" si="19"/>
        <v>5.5600322320709106E-2</v>
      </c>
      <c r="Q193" t="s">
        <v>4136</v>
      </c>
      <c r="R193" t="s">
        <v>4141</v>
      </c>
      <c r="S193">
        <f>YEAR(marketing_data[[#This Row],[Start_date]])</f>
        <v>2023</v>
      </c>
      <c r="T193" t="str">
        <f>TEXT(marketing_data[[#This Row],[Start_date]],"ddd")</f>
        <v>Sun</v>
      </c>
      <c r="U193">
        <f>marketing_data[[#This Row],[Cleaned End_date]]-marketing_data[[#This Row],[Start_date]]</f>
        <v>17</v>
      </c>
    </row>
    <row r="194" spans="1:21" x14ac:dyDescent="0.2">
      <c r="A194" t="s">
        <v>422</v>
      </c>
      <c r="B194" t="s">
        <v>423</v>
      </c>
      <c r="C194" s="2">
        <v>45020</v>
      </c>
      <c r="D194" t="str">
        <f t="shared" si="14"/>
        <v>Apr</v>
      </c>
      <c r="E194" s="2">
        <v>45030</v>
      </c>
      <c r="F194" t="s">
        <v>19</v>
      </c>
      <c r="G194">
        <v>99098</v>
      </c>
      <c r="H194">
        <v>1772</v>
      </c>
      <c r="I194">
        <v>221</v>
      </c>
      <c r="J194" t="b">
        <v>1</v>
      </c>
      <c r="K194" s="10">
        <v>2148.42</v>
      </c>
      <c r="L194" s="6">
        <f t="shared" si="15"/>
        <v>1.7881289228844174E-2</v>
      </c>
      <c r="M194">
        <f t="shared" si="16"/>
        <v>1.2124266365688487</v>
      </c>
      <c r="N194">
        <f t="shared" si="17"/>
        <v>9.7213574660633491</v>
      </c>
      <c r="O194">
        <f t="shared" si="18"/>
        <v>8901.58</v>
      </c>
      <c r="P194">
        <f t="shared" si="19"/>
        <v>0.12471783295711061</v>
      </c>
      <c r="Q194" t="s">
        <v>4137</v>
      </c>
      <c r="R194" t="s">
        <v>4138</v>
      </c>
      <c r="S194">
        <f>YEAR(marketing_data[[#This Row],[Start_date]])</f>
        <v>2023</v>
      </c>
      <c r="T194" t="str">
        <f>TEXT(marketing_data[[#This Row],[Start_date]],"ddd")</f>
        <v>Tue</v>
      </c>
      <c r="U194">
        <f>marketing_data[[#This Row],[Cleaned End_date]]-marketing_data[[#This Row],[Start_date]]</f>
        <v>10</v>
      </c>
    </row>
    <row r="195" spans="1:21" x14ac:dyDescent="0.2">
      <c r="A195" t="s">
        <v>424</v>
      </c>
      <c r="B195" t="s">
        <v>425</v>
      </c>
      <c r="C195" s="2">
        <v>45121</v>
      </c>
      <c r="D195" t="str">
        <f t="shared" ref="D195:D258" si="20">TEXT(C195,"mmm")</f>
        <v>Jul</v>
      </c>
      <c r="E195" s="2">
        <v>45129</v>
      </c>
      <c r="F195" t="s">
        <v>19</v>
      </c>
      <c r="G195">
        <v>14545</v>
      </c>
      <c r="H195">
        <v>424</v>
      </c>
      <c r="I195">
        <v>69</v>
      </c>
      <c r="J195" t="b">
        <v>1</v>
      </c>
      <c r="K195" s="10">
        <v>329.13249999999999</v>
      </c>
      <c r="L195" s="6">
        <f t="shared" ref="L195:L258" si="21">H195/G195</f>
        <v>2.9150910965967686E-2</v>
      </c>
      <c r="M195">
        <f t="shared" ref="M195:M258" si="22">K195/H195</f>
        <v>0.77625589622641511</v>
      </c>
      <c r="N195">
        <f t="shared" ref="N195:N258" si="23">IFERROR(K195/I195,0)</f>
        <v>4.7700362318840579</v>
      </c>
      <c r="O195">
        <f t="shared" ref="O195:O258" si="24">(50*I195)-K195</f>
        <v>3120.8674999999998</v>
      </c>
      <c r="P195">
        <f t="shared" ref="P195:P258" si="25">I195/H195</f>
        <v>0.16273584905660377</v>
      </c>
      <c r="Q195" t="s">
        <v>4139</v>
      </c>
      <c r="R195" t="s">
        <v>4141</v>
      </c>
      <c r="S195">
        <f>YEAR(marketing_data[[#This Row],[Start_date]])</f>
        <v>2023</v>
      </c>
      <c r="T195" t="str">
        <f>TEXT(marketing_data[[#This Row],[Start_date]],"ddd")</f>
        <v>Fri</v>
      </c>
      <c r="U195">
        <f>marketing_data[[#This Row],[Cleaned End_date]]-marketing_data[[#This Row],[Start_date]]</f>
        <v>8</v>
      </c>
    </row>
    <row r="196" spans="1:21" x14ac:dyDescent="0.2">
      <c r="A196" t="s">
        <v>426</v>
      </c>
      <c r="B196" t="s">
        <v>427</v>
      </c>
      <c r="C196" s="2">
        <v>45099</v>
      </c>
      <c r="D196" t="str">
        <f t="shared" si="20"/>
        <v>Jun</v>
      </c>
      <c r="E196" s="2">
        <v>45125</v>
      </c>
      <c r="F196" t="s">
        <v>23</v>
      </c>
      <c r="G196">
        <v>67199</v>
      </c>
      <c r="H196">
        <v>1194</v>
      </c>
      <c r="I196">
        <v>107</v>
      </c>
      <c r="J196" t="b">
        <v>1</v>
      </c>
      <c r="K196" s="10">
        <v>2284.81</v>
      </c>
      <c r="L196" s="6">
        <f t="shared" si="21"/>
        <v>1.7768121549427821E-2</v>
      </c>
      <c r="M196">
        <f t="shared" si="22"/>
        <v>1.9135762144053601</v>
      </c>
      <c r="N196">
        <f t="shared" si="23"/>
        <v>21.353364485981309</v>
      </c>
      <c r="O196">
        <f t="shared" si="24"/>
        <v>3065.19</v>
      </c>
      <c r="P196">
        <f t="shared" si="25"/>
        <v>8.9614740368509208E-2</v>
      </c>
      <c r="Q196" t="s">
        <v>4139</v>
      </c>
      <c r="R196" t="s">
        <v>4138</v>
      </c>
      <c r="S196">
        <f>YEAR(marketing_data[[#This Row],[Start_date]])</f>
        <v>2023</v>
      </c>
      <c r="T196" t="str">
        <f>TEXT(marketing_data[[#This Row],[Start_date]],"ddd")</f>
        <v>Thu</v>
      </c>
      <c r="U196">
        <f>marketing_data[[#This Row],[Cleaned End_date]]-marketing_data[[#This Row],[Start_date]]</f>
        <v>26</v>
      </c>
    </row>
    <row r="197" spans="1:21" x14ac:dyDescent="0.2">
      <c r="A197" t="s">
        <v>428</v>
      </c>
      <c r="B197" t="s">
        <v>429</v>
      </c>
      <c r="C197" s="2">
        <v>45142</v>
      </c>
      <c r="D197" t="str">
        <f t="shared" si="20"/>
        <v>Aug</v>
      </c>
      <c r="E197" s="2">
        <v>45172</v>
      </c>
      <c r="F197" t="s">
        <v>33</v>
      </c>
      <c r="G197">
        <v>35766</v>
      </c>
      <c r="H197">
        <v>595</v>
      </c>
      <c r="I197">
        <v>101</v>
      </c>
      <c r="J197" t="b">
        <v>1</v>
      </c>
      <c r="K197" s="10">
        <v>364.28</v>
      </c>
      <c r="L197" s="6">
        <f t="shared" si="21"/>
        <v>1.6635911200581558E-2</v>
      </c>
      <c r="M197">
        <f t="shared" si="22"/>
        <v>0.61223529411764699</v>
      </c>
      <c r="N197">
        <f t="shared" si="23"/>
        <v>3.6067326732673264</v>
      </c>
      <c r="O197">
        <f t="shared" si="24"/>
        <v>4685.72</v>
      </c>
      <c r="P197">
        <f t="shared" si="25"/>
        <v>0.16974789915966387</v>
      </c>
      <c r="Q197" t="s">
        <v>4139</v>
      </c>
      <c r="R197" t="s">
        <v>4139</v>
      </c>
      <c r="S197">
        <f>YEAR(marketing_data[[#This Row],[Start_date]])</f>
        <v>2023</v>
      </c>
      <c r="T197" t="str">
        <f>TEXT(marketing_data[[#This Row],[Start_date]],"ddd")</f>
        <v>Fri</v>
      </c>
      <c r="U197">
        <f>marketing_data[[#This Row],[Cleaned End_date]]-marketing_data[[#This Row],[Start_date]]</f>
        <v>30</v>
      </c>
    </row>
    <row r="198" spans="1:21" x14ac:dyDescent="0.2">
      <c r="A198" t="s">
        <v>430</v>
      </c>
      <c r="B198" t="s">
        <v>431</v>
      </c>
      <c r="C198" s="2">
        <v>44936</v>
      </c>
      <c r="D198" t="str">
        <f t="shared" si="20"/>
        <v>Jan</v>
      </c>
      <c r="E198" s="2">
        <v>45214</v>
      </c>
      <c r="F198" t="s">
        <v>33</v>
      </c>
      <c r="G198">
        <v>74530</v>
      </c>
      <c r="H198">
        <v>2585</v>
      </c>
      <c r="I198">
        <v>226</v>
      </c>
      <c r="J198" t="b">
        <v>1</v>
      </c>
      <c r="K198" s="10">
        <v>2992.62</v>
      </c>
      <c r="L198" s="6">
        <f t="shared" si="21"/>
        <v>3.4684019857775396E-2</v>
      </c>
      <c r="M198">
        <f t="shared" si="22"/>
        <v>1.1576866537717601</v>
      </c>
      <c r="N198">
        <f t="shared" si="23"/>
        <v>13.241681415929204</v>
      </c>
      <c r="O198">
        <f t="shared" si="24"/>
        <v>8307.380000000001</v>
      </c>
      <c r="P198">
        <f t="shared" si="25"/>
        <v>8.7427466150870409E-2</v>
      </c>
      <c r="Q198" t="s">
        <v>4138</v>
      </c>
      <c r="R198" t="s">
        <v>4141</v>
      </c>
      <c r="S198">
        <f>YEAR(marketing_data[[#This Row],[Start_date]])</f>
        <v>2023</v>
      </c>
      <c r="T198" t="str">
        <f>TEXT(marketing_data[[#This Row],[Start_date]],"ddd")</f>
        <v>Tue</v>
      </c>
      <c r="U198">
        <f>marketing_data[[#This Row],[Cleaned End_date]]-marketing_data[[#This Row],[Start_date]]</f>
        <v>278</v>
      </c>
    </row>
    <row r="199" spans="1:21" x14ac:dyDescent="0.2">
      <c r="A199" t="s">
        <v>432</v>
      </c>
      <c r="B199" t="s">
        <v>433</v>
      </c>
      <c r="C199" s="2">
        <v>45106</v>
      </c>
      <c r="D199" t="str">
        <f t="shared" si="20"/>
        <v>Jun</v>
      </c>
      <c r="E199" s="2">
        <v>45129</v>
      </c>
      <c r="F199" t="s">
        <v>14</v>
      </c>
      <c r="G199">
        <v>94557</v>
      </c>
      <c r="H199">
        <v>2924</v>
      </c>
      <c r="I199">
        <v>507</v>
      </c>
      <c r="J199" t="b">
        <v>1</v>
      </c>
      <c r="K199" s="10">
        <v>3631.7599999999998</v>
      </c>
      <c r="L199" s="6">
        <f t="shared" si="21"/>
        <v>3.0923146884947704E-2</v>
      </c>
      <c r="M199">
        <f t="shared" si="22"/>
        <v>1.2420519835841313</v>
      </c>
      <c r="N199">
        <f t="shared" si="23"/>
        <v>7.1632347140039441</v>
      </c>
      <c r="O199">
        <f t="shared" si="24"/>
        <v>21718.240000000002</v>
      </c>
      <c r="P199">
        <f t="shared" si="25"/>
        <v>0.17339261285909713</v>
      </c>
      <c r="Q199" t="s">
        <v>4139</v>
      </c>
      <c r="R199" t="s">
        <v>4141</v>
      </c>
      <c r="S199">
        <f>YEAR(marketing_data[[#This Row],[Start_date]])</f>
        <v>2023</v>
      </c>
      <c r="T199" t="str">
        <f>TEXT(marketing_data[[#This Row],[Start_date]],"ddd")</f>
        <v>Thu</v>
      </c>
      <c r="U199">
        <f>marketing_data[[#This Row],[Cleaned End_date]]-marketing_data[[#This Row],[Start_date]]</f>
        <v>23</v>
      </c>
    </row>
    <row r="200" spans="1:21" x14ac:dyDescent="0.2">
      <c r="A200" t="s">
        <v>434</v>
      </c>
      <c r="B200" t="s">
        <v>435</v>
      </c>
      <c r="C200" s="2">
        <v>45260</v>
      </c>
      <c r="D200" t="str">
        <f t="shared" si="20"/>
        <v>Nov</v>
      </c>
      <c r="E200" s="2">
        <v>45287</v>
      </c>
      <c r="F200" t="s">
        <v>23</v>
      </c>
      <c r="G200">
        <v>62087</v>
      </c>
      <c r="H200">
        <v>2285</v>
      </c>
      <c r="I200">
        <v>143</v>
      </c>
      <c r="J200" t="b">
        <v>0</v>
      </c>
      <c r="K200" s="10">
        <v>3631.7599999999998</v>
      </c>
      <c r="L200" s="6">
        <f t="shared" si="21"/>
        <v>3.6803195515969528E-2</v>
      </c>
      <c r="M200">
        <f t="shared" si="22"/>
        <v>1.5893916849015317</v>
      </c>
      <c r="N200">
        <f t="shared" si="23"/>
        <v>25.396923076923077</v>
      </c>
      <c r="O200">
        <f t="shared" si="24"/>
        <v>3518.2400000000002</v>
      </c>
      <c r="P200">
        <f t="shared" si="25"/>
        <v>6.2582056892778987E-2</v>
      </c>
      <c r="Q200" t="s">
        <v>4136</v>
      </c>
      <c r="R200" t="s">
        <v>4142</v>
      </c>
      <c r="S200">
        <f>YEAR(marketing_data[[#This Row],[Start_date]])</f>
        <v>2023</v>
      </c>
      <c r="T200" t="str">
        <f>TEXT(marketing_data[[#This Row],[Start_date]],"ddd")</f>
        <v>Thu</v>
      </c>
      <c r="U200">
        <f>marketing_data[[#This Row],[Cleaned End_date]]-marketing_data[[#This Row],[Start_date]]</f>
        <v>27</v>
      </c>
    </row>
    <row r="201" spans="1:21" x14ac:dyDescent="0.2">
      <c r="A201" t="s">
        <v>437</v>
      </c>
      <c r="B201" t="s">
        <v>438</v>
      </c>
      <c r="C201" s="2">
        <v>44942</v>
      </c>
      <c r="D201" t="str">
        <f t="shared" si="20"/>
        <v>Jan</v>
      </c>
      <c r="E201" s="2">
        <v>44970</v>
      </c>
      <c r="F201" t="s">
        <v>41</v>
      </c>
      <c r="G201">
        <v>96839</v>
      </c>
      <c r="H201">
        <v>4569</v>
      </c>
      <c r="J201" t="b">
        <v>0</v>
      </c>
      <c r="K201" s="10">
        <v>3422.33</v>
      </c>
      <c r="L201" s="6">
        <f t="shared" si="21"/>
        <v>4.7181404186329885E-2</v>
      </c>
      <c r="M201">
        <f t="shared" si="22"/>
        <v>0.74903261107463337</v>
      </c>
      <c r="N201">
        <f t="shared" si="23"/>
        <v>0</v>
      </c>
      <c r="O201">
        <f t="shared" si="24"/>
        <v>-3422.33</v>
      </c>
      <c r="P201">
        <f t="shared" si="25"/>
        <v>0</v>
      </c>
      <c r="Q201" t="s">
        <v>4138</v>
      </c>
      <c r="R201" t="s">
        <v>4142</v>
      </c>
      <c r="S201">
        <f>YEAR(marketing_data[[#This Row],[Start_date]])</f>
        <v>2023</v>
      </c>
      <c r="T201" t="str">
        <f>TEXT(marketing_data[[#This Row],[Start_date]],"ddd")</f>
        <v>Mon</v>
      </c>
      <c r="U201">
        <f>marketing_data[[#This Row],[Cleaned End_date]]-marketing_data[[#This Row],[Start_date]]</f>
        <v>28</v>
      </c>
    </row>
    <row r="202" spans="1:21" x14ac:dyDescent="0.2">
      <c r="A202" t="s">
        <v>439</v>
      </c>
      <c r="B202" t="s">
        <v>440</v>
      </c>
      <c r="C202" s="2">
        <v>44937</v>
      </c>
      <c r="D202" t="str">
        <f t="shared" si="20"/>
        <v>Jan</v>
      </c>
      <c r="E202" s="2">
        <v>44967</v>
      </c>
      <c r="F202" t="s">
        <v>33</v>
      </c>
      <c r="G202">
        <v>69840</v>
      </c>
      <c r="H202">
        <v>2185</v>
      </c>
      <c r="I202">
        <v>272</v>
      </c>
      <c r="J202" t="b">
        <v>1</v>
      </c>
      <c r="K202" s="10">
        <v>1467.55</v>
      </c>
      <c r="L202" s="6">
        <f t="shared" si="21"/>
        <v>3.1285796105383734E-2</v>
      </c>
      <c r="M202">
        <f t="shared" si="22"/>
        <v>0.67164759725400458</v>
      </c>
      <c r="N202">
        <f t="shared" si="23"/>
        <v>5.395404411764706</v>
      </c>
      <c r="O202">
        <f t="shared" si="24"/>
        <v>12132.45</v>
      </c>
      <c r="P202">
        <f t="shared" si="25"/>
        <v>0.12448512585812357</v>
      </c>
      <c r="Q202" t="s">
        <v>4138</v>
      </c>
      <c r="R202" t="s">
        <v>4142</v>
      </c>
      <c r="S202">
        <f>YEAR(marketing_data[[#This Row],[Start_date]])</f>
        <v>2023</v>
      </c>
      <c r="T202" t="str">
        <f>TEXT(marketing_data[[#This Row],[Start_date]],"ddd")</f>
        <v>Wed</v>
      </c>
      <c r="U202">
        <f>marketing_data[[#This Row],[Cleaned End_date]]-marketing_data[[#This Row],[Start_date]]</f>
        <v>30</v>
      </c>
    </row>
    <row r="203" spans="1:21" x14ac:dyDescent="0.2">
      <c r="A203" t="s">
        <v>441</v>
      </c>
      <c r="B203" t="s">
        <v>442</v>
      </c>
      <c r="C203" s="2">
        <v>45169</v>
      </c>
      <c r="D203" t="str">
        <f t="shared" si="20"/>
        <v>Aug</v>
      </c>
      <c r="E203" s="2">
        <v>45179</v>
      </c>
      <c r="F203" t="s">
        <v>23</v>
      </c>
      <c r="G203">
        <v>55384</v>
      </c>
      <c r="H203">
        <v>1840</v>
      </c>
      <c r="I203">
        <v>173</v>
      </c>
      <c r="J203" t="b">
        <v>1</v>
      </c>
      <c r="K203" s="10">
        <v>944.03</v>
      </c>
      <c r="L203" s="6">
        <f t="shared" si="21"/>
        <v>3.3222591362126248E-2</v>
      </c>
      <c r="M203">
        <f t="shared" si="22"/>
        <v>0.51305978260869567</v>
      </c>
      <c r="N203">
        <f t="shared" si="23"/>
        <v>5.4568208092485548</v>
      </c>
      <c r="O203">
        <f t="shared" si="24"/>
        <v>7705.97</v>
      </c>
      <c r="P203">
        <f t="shared" si="25"/>
        <v>9.4021739130434781E-2</v>
      </c>
      <c r="Q203" t="s">
        <v>4139</v>
      </c>
      <c r="R203" t="s">
        <v>4141</v>
      </c>
      <c r="S203">
        <f>YEAR(marketing_data[[#This Row],[Start_date]])</f>
        <v>2023</v>
      </c>
      <c r="T203" t="str">
        <f>TEXT(marketing_data[[#This Row],[Start_date]],"ddd")</f>
        <v>Thu</v>
      </c>
      <c r="U203">
        <f>marketing_data[[#This Row],[Cleaned End_date]]-marketing_data[[#This Row],[Start_date]]</f>
        <v>10</v>
      </c>
    </row>
    <row r="204" spans="1:21" x14ac:dyDescent="0.2">
      <c r="A204" t="s">
        <v>443</v>
      </c>
      <c r="B204" t="s">
        <v>444</v>
      </c>
      <c r="C204" s="2">
        <v>45038</v>
      </c>
      <c r="D204" t="str">
        <f t="shared" si="20"/>
        <v>Apr</v>
      </c>
      <c r="E204" s="2">
        <v>45047</v>
      </c>
      <c r="F204" t="s">
        <v>19</v>
      </c>
      <c r="G204">
        <v>52005</v>
      </c>
      <c r="H204">
        <v>706</v>
      </c>
      <c r="I204">
        <v>63</v>
      </c>
      <c r="J204" t="b">
        <v>0</v>
      </c>
      <c r="K204" s="10">
        <v>517.75</v>
      </c>
      <c r="L204" s="6">
        <f t="shared" si="21"/>
        <v>1.3575617729064514E-2</v>
      </c>
      <c r="M204">
        <f t="shared" si="22"/>
        <v>0.73335694050991507</v>
      </c>
      <c r="N204">
        <f t="shared" si="23"/>
        <v>8.2182539682539684</v>
      </c>
      <c r="O204">
        <f t="shared" si="24"/>
        <v>2632.25</v>
      </c>
      <c r="P204">
        <f t="shared" si="25"/>
        <v>8.9235127478753534E-2</v>
      </c>
      <c r="Q204" t="s">
        <v>4137</v>
      </c>
      <c r="R204" t="s">
        <v>4139</v>
      </c>
      <c r="S204">
        <f>YEAR(marketing_data[[#This Row],[Start_date]])</f>
        <v>2023</v>
      </c>
      <c r="T204" t="str">
        <f>TEXT(marketing_data[[#This Row],[Start_date]],"ddd")</f>
        <v>Sat</v>
      </c>
      <c r="U204">
        <f>marketing_data[[#This Row],[Cleaned End_date]]-marketing_data[[#This Row],[Start_date]]</f>
        <v>9</v>
      </c>
    </row>
    <row r="205" spans="1:21" x14ac:dyDescent="0.2">
      <c r="A205" t="s">
        <v>445</v>
      </c>
      <c r="B205" t="s">
        <v>446</v>
      </c>
      <c r="C205" s="2">
        <v>45115</v>
      </c>
      <c r="D205" t="str">
        <f t="shared" si="20"/>
        <v>Jul</v>
      </c>
      <c r="E205" s="2">
        <v>45122</v>
      </c>
      <c r="F205" t="s">
        <v>33</v>
      </c>
      <c r="G205">
        <v>47576</v>
      </c>
      <c r="H205">
        <v>1841</v>
      </c>
      <c r="I205">
        <v>211</v>
      </c>
      <c r="J205" t="b">
        <v>0</v>
      </c>
      <c r="K205" s="10">
        <v>1492.88</v>
      </c>
      <c r="L205" s="6">
        <f t="shared" si="21"/>
        <v>3.8695981166974945E-2</v>
      </c>
      <c r="M205">
        <f t="shared" si="22"/>
        <v>0.81090711569799023</v>
      </c>
      <c r="N205">
        <f t="shared" si="23"/>
        <v>7.0752606635071098</v>
      </c>
      <c r="O205">
        <f t="shared" si="24"/>
        <v>9057.119999999999</v>
      </c>
      <c r="P205">
        <f t="shared" si="25"/>
        <v>0.11461162411732755</v>
      </c>
      <c r="Q205" t="s">
        <v>4139</v>
      </c>
      <c r="R205" t="s">
        <v>4139</v>
      </c>
      <c r="S205">
        <f>YEAR(marketing_data[[#This Row],[Start_date]])</f>
        <v>2023</v>
      </c>
      <c r="T205" t="str">
        <f>TEXT(marketing_data[[#This Row],[Start_date]],"ddd")</f>
        <v>Sat</v>
      </c>
      <c r="U205">
        <f>marketing_data[[#This Row],[Cleaned End_date]]-marketing_data[[#This Row],[Start_date]]</f>
        <v>7</v>
      </c>
    </row>
    <row r="206" spans="1:21" x14ac:dyDescent="0.2">
      <c r="A206" t="s">
        <v>447</v>
      </c>
      <c r="B206" t="s">
        <v>448</v>
      </c>
      <c r="C206" s="2">
        <v>44985</v>
      </c>
      <c r="D206" t="str">
        <f t="shared" si="20"/>
        <v>Feb</v>
      </c>
      <c r="E206" s="2">
        <v>44990</v>
      </c>
      <c r="F206" t="s">
        <v>33</v>
      </c>
      <c r="G206">
        <v>40353</v>
      </c>
      <c r="H206">
        <v>1049</v>
      </c>
      <c r="I206">
        <v>209</v>
      </c>
      <c r="J206" t="b">
        <v>1</v>
      </c>
      <c r="K206" s="10">
        <v>1516.72</v>
      </c>
      <c r="L206" s="6">
        <f t="shared" si="21"/>
        <v>2.5995588927712934E-2</v>
      </c>
      <c r="M206">
        <f t="shared" si="22"/>
        <v>1.4458722592945663</v>
      </c>
      <c r="N206">
        <f t="shared" si="23"/>
        <v>7.2570334928229663</v>
      </c>
      <c r="O206">
        <f t="shared" si="24"/>
        <v>8933.2800000000007</v>
      </c>
      <c r="P206">
        <f t="shared" si="25"/>
        <v>0.1992373689227836</v>
      </c>
      <c r="Q206" t="s">
        <v>4138</v>
      </c>
      <c r="R206" t="s">
        <v>4139</v>
      </c>
      <c r="S206">
        <f>YEAR(marketing_data[[#This Row],[Start_date]])</f>
        <v>2023</v>
      </c>
      <c r="T206" t="str">
        <f>TEXT(marketing_data[[#This Row],[Start_date]],"ddd")</f>
        <v>Tue</v>
      </c>
      <c r="U206">
        <f>marketing_data[[#This Row],[Cleaned End_date]]-marketing_data[[#This Row],[Start_date]]</f>
        <v>5</v>
      </c>
    </row>
    <row r="207" spans="1:21" x14ac:dyDescent="0.2">
      <c r="A207" t="s">
        <v>449</v>
      </c>
      <c r="B207" t="s">
        <v>450</v>
      </c>
      <c r="C207" s="2">
        <v>45086</v>
      </c>
      <c r="D207" t="str">
        <f t="shared" si="20"/>
        <v>Jun</v>
      </c>
      <c r="E207" s="2">
        <v>45185</v>
      </c>
      <c r="F207" t="s">
        <v>23</v>
      </c>
      <c r="G207">
        <v>63003</v>
      </c>
      <c r="H207">
        <v>3091</v>
      </c>
      <c r="I207">
        <v>256</v>
      </c>
      <c r="J207" t="b">
        <v>1</v>
      </c>
      <c r="K207" s="10">
        <v>2564.17</v>
      </c>
      <c r="L207" s="6">
        <f t="shared" si="21"/>
        <v>4.9061155817976924E-2</v>
      </c>
      <c r="M207">
        <f t="shared" si="22"/>
        <v>0.82956001294079584</v>
      </c>
      <c r="N207">
        <f t="shared" si="23"/>
        <v>10.0162890625</v>
      </c>
      <c r="O207">
        <f t="shared" si="24"/>
        <v>10235.83</v>
      </c>
      <c r="P207">
        <f t="shared" si="25"/>
        <v>8.2821093497250087E-2</v>
      </c>
      <c r="Q207" t="s">
        <v>4139</v>
      </c>
      <c r="R207" t="s">
        <v>4142</v>
      </c>
      <c r="S207">
        <f>YEAR(marketing_data[[#This Row],[Start_date]])</f>
        <v>2023</v>
      </c>
      <c r="T207" t="str">
        <f>TEXT(marketing_data[[#This Row],[Start_date]],"ddd")</f>
        <v>Fri</v>
      </c>
      <c r="U207">
        <f>marketing_data[[#This Row],[Cleaned End_date]]-marketing_data[[#This Row],[Start_date]]</f>
        <v>99</v>
      </c>
    </row>
    <row r="208" spans="1:21" x14ac:dyDescent="0.2">
      <c r="A208" t="s">
        <v>451</v>
      </c>
      <c r="B208" t="s">
        <v>452</v>
      </c>
      <c r="C208" s="2">
        <v>45086</v>
      </c>
      <c r="D208" t="str">
        <f t="shared" si="20"/>
        <v>Jun</v>
      </c>
      <c r="E208" s="2">
        <v>45087</v>
      </c>
      <c r="F208" t="s">
        <v>33</v>
      </c>
      <c r="G208">
        <v>84211</v>
      </c>
      <c r="H208">
        <v>3614</v>
      </c>
      <c r="I208">
        <v>236</v>
      </c>
      <c r="J208" t="b">
        <v>0</v>
      </c>
      <c r="K208" s="10">
        <v>1918.24</v>
      </c>
      <c r="L208" s="6">
        <f t="shared" si="21"/>
        <v>4.2916008597451642E-2</v>
      </c>
      <c r="M208">
        <f t="shared" si="22"/>
        <v>0.53078029883785283</v>
      </c>
      <c r="N208">
        <f t="shared" si="23"/>
        <v>8.128135593220339</v>
      </c>
      <c r="O208">
        <f t="shared" si="24"/>
        <v>9881.76</v>
      </c>
      <c r="P208">
        <f t="shared" si="25"/>
        <v>6.5301604869950194E-2</v>
      </c>
      <c r="Q208" t="s">
        <v>4139</v>
      </c>
      <c r="R208" t="s">
        <v>4142</v>
      </c>
      <c r="S208">
        <f>YEAR(marketing_data[[#This Row],[Start_date]])</f>
        <v>2023</v>
      </c>
      <c r="T208" t="str">
        <f>TEXT(marketing_data[[#This Row],[Start_date]],"ddd")</f>
        <v>Fri</v>
      </c>
      <c r="U208">
        <f>marketing_data[[#This Row],[Cleaned End_date]]-marketing_data[[#This Row],[Start_date]]</f>
        <v>1</v>
      </c>
    </row>
    <row r="209" spans="1:21" x14ac:dyDescent="0.2">
      <c r="A209" t="s">
        <v>453</v>
      </c>
      <c r="B209" t="s">
        <v>454</v>
      </c>
      <c r="C209" s="2">
        <v>45119</v>
      </c>
      <c r="D209" t="str">
        <f t="shared" si="20"/>
        <v>Jul</v>
      </c>
      <c r="E209" s="2">
        <v>45120</v>
      </c>
      <c r="F209" t="s">
        <v>19</v>
      </c>
      <c r="G209">
        <v>53733</v>
      </c>
      <c r="H209">
        <v>1660</v>
      </c>
      <c r="I209">
        <v>228</v>
      </c>
      <c r="J209" t="b">
        <v>1</v>
      </c>
      <c r="K209" s="10">
        <v>2888.28</v>
      </c>
      <c r="L209" s="6">
        <f t="shared" si="21"/>
        <v>3.0893491895111012E-2</v>
      </c>
      <c r="M209">
        <f t="shared" si="22"/>
        <v>1.7399277108433737</v>
      </c>
      <c r="N209">
        <f t="shared" si="23"/>
        <v>12.667894736842106</v>
      </c>
      <c r="O209">
        <f t="shared" si="24"/>
        <v>8511.7199999999993</v>
      </c>
      <c r="P209">
        <f t="shared" si="25"/>
        <v>0.13734939759036144</v>
      </c>
      <c r="Q209" t="s">
        <v>4139</v>
      </c>
      <c r="R209" t="s">
        <v>4141</v>
      </c>
      <c r="S209">
        <f>YEAR(marketing_data[[#This Row],[Start_date]])</f>
        <v>2023</v>
      </c>
      <c r="T209" t="str">
        <f>TEXT(marketing_data[[#This Row],[Start_date]],"ddd")</f>
        <v>Wed</v>
      </c>
      <c r="U209">
        <f>marketing_data[[#This Row],[Cleaned End_date]]-marketing_data[[#This Row],[Start_date]]</f>
        <v>1</v>
      </c>
    </row>
    <row r="210" spans="1:21" x14ac:dyDescent="0.2">
      <c r="A210" t="s">
        <v>455</v>
      </c>
      <c r="B210" t="s">
        <v>456</v>
      </c>
      <c r="C210" s="2">
        <v>44965</v>
      </c>
      <c r="D210" t="str">
        <f t="shared" si="20"/>
        <v>Feb</v>
      </c>
      <c r="E210" s="2">
        <v>44986</v>
      </c>
      <c r="F210" t="str">
        <f>F209</f>
        <v>Facebook</v>
      </c>
      <c r="G210">
        <v>66318</v>
      </c>
      <c r="H210">
        <v>990</v>
      </c>
      <c r="I210">
        <v>122</v>
      </c>
      <c r="J210" t="b">
        <v>0</v>
      </c>
      <c r="K210" s="10">
        <v>1037.9100000000001</v>
      </c>
      <c r="L210" s="6">
        <f t="shared" si="21"/>
        <v>1.4928073826110558E-2</v>
      </c>
      <c r="M210">
        <f t="shared" si="22"/>
        <v>1.0483939393939394</v>
      </c>
      <c r="N210">
        <f t="shared" si="23"/>
        <v>8.5074590163934438</v>
      </c>
      <c r="O210">
        <f t="shared" si="24"/>
        <v>5062.09</v>
      </c>
      <c r="P210">
        <f t="shared" si="25"/>
        <v>0.12323232323232323</v>
      </c>
      <c r="Q210" t="s">
        <v>4138</v>
      </c>
      <c r="R210" t="s">
        <v>4141</v>
      </c>
      <c r="S210">
        <f>YEAR(marketing_data[[#This Row],[Start_date]])</f>
        <v>2023</v>
      </c>
      <c r="T210" t="str">
        <f>TEXT(marketing_data[[#This Row],[Start_date]],"ddd")</f>
        <v>Wed</v>
      </c>
      <c r="U210">
        <f>marketing_data[[#This Row],[Cleaned End_date]]-marketing_data[[#This Row],[Start_date]]</f>
        <v>21</v>
      </c>
    </row>
    <row r="211" spans="1:21" x14ac:dyDescent="0.2">
      <c r="A211" t="s">
        <v>457</v>
      </c>
      <c r="B211" t="s">
        <v>458</v>
      </c>
      <c r="C211" s="2">
        <v>45051</v>
      </c>
      <c r="D211" t="str">
        <f t="shared" si="20"/>
        <v>May</v>
      </c>
      <c r="E211" s="2">
        <v>45072</v>
      </c>
      <c r="F211" t="s">
        <v>33</v>
      </c>
      <c r="G211">
        <v>90474</v>
      </c>
      <c r="H211">
        <v>4014</v>
      </c>
      <c r="I211">
        <v>516</v>
      </c>
      <c r="J211" t="b">
        <v>1</v>
      </c>
      <c r="K211" s="10">
        <v>3631.7599999999998</v>
      </c>
      <c r="L211" s="6">
        <f t="shared" si="21"/>
        <v>4.4366337290271236E-2</v>
      </c>
      <c r="M211">
        <f t="shared" si="22"/>
        <v>0.90477329347284496</v>
      </c>
      <c r="N211">
        <f t="shared" si="23"/>
        <v>7.0382945736434106</v>
      </c>
      <c r="O211">
        <f t="shared" si="24"/>
        <v>22168.240000000002</v>
      </c>
      <c r="P211">
        <f t="shared" si="25"/>
        <v>0.12855007473841554</v>
      </c>
      <c r="Q211" t="s">
        <v>4137</v>
      </c>
      <c r="R211" t="s">
        <v>4141</v>
      </c>
      <c r="S211">
        <f>YEAR(marketing_data[[#This Row],[Start_date]])</f>
        <v>2023</v>
      </c>
      <c r="T211" t="str">
        <f>TEXT(marketing_data[[#This Row],[Start_date]],"ddd")</f>
        <v>Fri</v>
      </c>
      <c r="U211">
        <f>marketing_data[[#This Row],[Cleaned End_date]]-marketing_data[[#This Row],[Start_date]]</f>
        <v>21</v>
      </c>
    </row>
    <row r="212" spans="1:21" x14ac:dyDescent="0.2">
      <c r="A212" t="s">
        <v>459</v>
      </c>
      <c r="B212" t="s">
        <v>460</v>
      </c>
      <c r="C212" s="2">
        <v>45277</v>
      </c>
      <c r="D212" t="str">
        <f t="shared" si="20"/>
        <v>Dec</v>
      </c>
      <c r="E212" s="2">
        <v>45302</v>
      </c>
      <c r="F212" t="s">
        <v>14</v>
      </c>
      <c r="G212">
        <v>24664</v>
      </c>
      <c r="H212">
        <v>1035</v>
      </c>
      <c r="I212">
        <v>155</v>
      </c>
      <c r="J212" t="b">
        <v>1</v>
      </c>
      <c r="K212" s="10">
        <v>987.1</v>
      </c>
      <c r="L212" s="6">
        <f t="shared" si="21"/>
        <v>4.1963996107687321E-2</v>
      </c>
      <c r="M212">
        <f t="shared" si="22"/>
        <v>0.95371980676328505</v>
      </c>
      <c r="N212">
        <f t="shared" si="23"/>
        <v>6.3683870967741933</v>
      </c>
      <c r="O212">
        <f t="shared" si="24"/>
        <v>6762.9</v>
      </c>
      <c r="P212">
        <f t="shared" si="25"/>
        <v>0.14975845410628019</v>
      </c>
      <c r="Q212" t="s">
        <v>4138</v>
      </c>
      <c r="R212" t="s">
        <v>4141</v>
      </c>
      <c r="S212">
        <f>YEAR(marketing_data[[#This Row],[Start_date]])</f>
        <v>2023</v>
      </c>
      <c r="T212" t="str">
        <f>TEXT(marketing_data[[#This Row],[Start_date]],"ddd")</f>
        <v>Sun</v>
      </c>
      <c r="U212">
        <f>marketing_data[[#This Row],[Cleaned End_date]]-marketing_data[[#This Row],[Start_date]]</f>
        <v>25</v>
      </c>
    </row>
    <row r="213" spans="1:21" x14ac:dyDescent="0.2">
      <c r="A213" t="s">
        <v>461</v>
      </c>
      <c r="B213" t="s">
        <v>462</v>
      </c>
      <c r="C213" s="2">
        <v>45216</v>
      </c>
      <c r="D213" t="str">
        <f t="shared" si="20"/>
        <v>Oct</v>
      </c>
      <c r="E213" s="2">
        <v>45230</v>
      </c>
      <c r="F213" t="s">
        <v>19</v>
      </c>
      <c r="G213">
        <v>68172</v>
      </c>
      <c r="H213">
        <v>1185</v>
      </c>
      <c r="J213" t="b">
        <v>0</v>
      </c>
      <c r="K213" s="10">
        <v>2326.23</v>
      </c>
      <c r="L213" s="6">
        <f t="shared" si="21"/>
        <v>1.7382503080443583E-2</v>
      </c>
      <c r="M213">
        <f t="shared" si="22"/>
        <v>1.9630632911392405</v>
      </c>
      <c r="N213">
        <f t="shared" si="23"/>
        <v>0</v>
      </c>
      <c r="O213">
        <f t="shared" si="24"/>
        <v>-2326.23</v>
      </c>
      <c r="P213">
        <f t="shared" si="25"/>
        <v>0</v>
      </c>
      <c r="Q213" t="s">
        <v>4136</v>
      </c>
      <c r="R213" t="s">
        <v>4141</v>
      </c>
      <c r="S213">
        <f>YEAR(marketing_data[[#This Row],[Start_date]])</f>
        <v>2023</v>
      </c>
      <c r="T213" t="str">
        <f>TEXT(marketing_data[[#This Row],[Start_date]],"ddd")</f>
        <v>Tue</v>
      </c>
      <c r="U213">
        <f>marketing_data[[#This Row],[Cleaned End_date]]-marketing_data[[#This Row],[Start_date]]</f>
        <v>14</v>
      </c>
    </row>
    <row r="214" spans="1:21" x14ac:dyDescent="0.2">
      <c r="A214" t="s">
        <v>463</v>
      </c>
      <c r="B214" t="s">
        <v>464</v>
      </c>
      <c r="C214" s="2">
        <v>45146</v>
      </c>
      <c r="D214" t="str">
        <f t="shared" si="20"/>
        <v>Aug</v>
      </c>
      <c r="E214" s="2">
        <v>45149</v>
      </c>
      <c r="F214" t="s">
        <v>19</v>
      </c>
      <c r="G214">
        <v>86616</v>
      </c>
      <c r="H214">
        <v>1889</v>
      </c>
      <c r="J214" t="b">
        <v>1</v>
      </c>
      <c r="K214" s="10">
        <v>1426.52</v>
      </c>
      <c r="L214" s="6">
        <f t="shared" si="21"/>
        <v>2.1808903666759027E-2</v>
      </c>
      <c r="M214">
        <f t="shared" si="22"/>
        <v>0.75517204870301746</v>
      </c>
      <c r="N214">
        <f t="shared" si="23"/>
        <v>0</v>
      </c>
      <c r="O214">
        <f t="shared" si="24"/>
        <v>-1426.52</v>
      </c>
      <c r="P214">
        <f t="shared" si="25"/>
        <v>0</v>
      </c>
      <c r="Q214" t="s">
        <v>4139</v>
      </c>
      <c r="R214" t="s">
        <v>4141</v>
      </c>
      <c r="S214">
        <f>YEAR(marketing_data[[#This Row],[Start_date]])</f>
        <v>2023</v>
      </c>
      <c r="T214" t="str">
        <f>TEXT(marketing_data[[#This Row],[Start_date]],"ddd")</f>
        <v>Tue</v>
      </c>
      <c r="U214">
        <f>marketing_data[[#This Row],[Cleaned End_date]]-marketing_data[[#This Row],[Start_date]]</f>
        <v>3</v>
      </c>
    </row>
    <row r="215" spans="1:21" x14ac:dyDescent="0.2">
      <c r="A215" t="s">
        <v>465</v>
      </c>
      <c r="B215" t="s">
        <v>466</v>
      </c>
      <c r="C215" s="2">
        <v>45258</v>
      </c>
      <c r="D215" t="str">
        <f t="shared" si="20"/>
        <v>Nov</v>
      </c>
      <c r="E215" s="2">
        <v>45270</v>
      </c>
      <c r="F215" t="s">
        <v>23</v>
      </c>
      <c r="G215">
        <v>94264</v>
      </c>
      <c r="H215">
        <v>3934</v>
      </c>
      <c r="I215">
        <v>453</v>
      </c>
      <c r="J215" t="b">
        <v>1</v>
      </c>
      <c r="K215" s="10">
        <v>3631.7599999999998</v>
      </c>
      <c r="L215" s="6">
        <f t="shared" si="21"/>
        <v>4.1733853857251972E-2</v>
      </c>
      <c r="M215">
        <f t="shared" si="22"/>
        <v>0.92317234367056422</v>
      </c>
      <c r="N215">
        <f t="shared" si="23"/>
        <v>8.0171302428256066</v>
      </c>
      <c r="O215">
        <f t="shared" si="24"/>
        <v>19018.240000000002</v>
      </c>
      <c r="P215">
        <f t="shared" si="25"/>
        <v>0.11514997458057956</v>
      </c>
      <c r="Q215" t="s">
        <v>4136</v>
      </c>
      <c r="R215" t="s">
        <v>4138</v>
      </c>
      <c r="S215">
        <f>YEAR(marketing_data[[#This Row],[Start_date]])</f>
        <v>2023</v>
      </c>
      <c r="T215" t="str">
        <f>TEXT(marketing_data[[#This Row],[Start_date]],"ddd")</f>
        <v>Tue</v>
      </c>
      <c r="U215">
        <f>marketing_data[[#This Row],[Cleaned End_date]]-marketing_data[[#This Row],[Start_date]]</f>
        <v>12</v>
      </c>
    </row>
    <row r="216" spans="1:21" x14ac:dyDescent="0.2">
      <c r="A216" t="s">
        <v>467</v>
      </c>
      <c r="B216" t="s">
        <v>468</v>
      </c>
      <c r="C216" s="2">
        <v>45177</v>
      </c>
      <c r="D216" t="str">
        <f t="shared" si="20"/>
        <v>Sep</v>
      </c>
      <c r="E216" s="2">
        <v>45192</v>
      </c>
      <c r="F216" t="s">
        <v>14</v>
      </c>
      <c r="G216">
        <v>27736</v>
      </c>
      <c r="H216">
        <v>482</v>
      </c>
      <c r="I216">
        <v>33</v>
      </c>
      <c r="J216" t="b">
        <v>1</v>
      </c>
      <c r="K216" s="10">
        <v>802.63</v>
      </c>
      <c r="L216" s="6">
        <f t="shared" si="21"/>
        <v>1.7378136717623307E-2</v>
      </c>
      <c r="M216">
        <f t="shared" si="22"/>
        <v>1.6652074688796681</v>
      </c>
      <c r="N216">
        <f t="shared" si="23"/>
        <v>24.32212121212121</v>
      </c>
      <c r="O216">
        <f t="shared" si="24"/>
        <v>847.37</v>
      </c>
      <c r="P216">
        <f t="shared" si="25"/>
        <v>6.8464730290456438E-2</v>
      </c>
      <c r="Q216" t="s">
        <v>4136</v>
      </c>
      <c r="R216" t="s">
        <v>4138</v>
      </c>
      <c r="S216">
        <f>YEAR(marketing_data[[#This Row],[Start_date]])</f>
        <v>2023</v>
      </c>
      <c r="T216" t="str">
        <f>TEXT(marketing_data[[#This Row],[Start_date]],"ddd")</f>
        <v>Fri</v>
      </c>
      <c r="U216">
        <f>marketing_data[[#This Row],[Cleaned End_date]]-marketing_data[[#This Row],[Start_date]]</f>
        <v>15</v>
      </c>
    </row>
    <row r="217" spans="1:21" x14ac:dyDescent="0.2">
      <c r="A217" t="s">
        <v>469</v>
      </c>
      <c r="B217" t="s">
        <v>470</v>
      </c>
      <c r="C217" s="2">
        <v>45252</v>
      </c>
      <c r="D217" t="str">
        <f t="shared" si="20"/>
        <v>Nov</v>
      </c>
      <c r="E217" s="2">
        <v>45277</v>
      </c>
      <c r="F217" t="s">
        <v>14</v>
      </c>
      <c r="G217">
        <v>95209</v>
      </c>
      <c r="H217">
        <v>4447</v>
      </c>
      <c r="I217">
        <v>717</v>
      </c>
      <c r="J217" t="b">
        <v>1</v>
      </c>
      <c r="K217" s="10">
        <v>2733.66</v>
      </c>
      <c r="L217" s="6">
        <f t="shared" si="21"/>
        <v>4.6707769223497779E-2</v>
      </c>
      <c r="M217">
        <f t="shared" si="22"/>
        <v>0.61472003597931191</v>
      </c>
      <c r="N217">
        <f t="shared" si="23"/>
        <v>3.8126359832635983</v>
      </c>
      <c r="O217">
        <f t="shared" si="24"/>
        <v>33116.339999999997</v>
      </c>
      <c r="P217">
        <f t="shared" si="25"/>
        <v>0.16123229143242634</v>
      </c>
      <c r="Q217" t="s">
        <v>4136</v>
      </c>
      <c r="R217" t="s">
        <v>4138</v>
      </c>
      <c r="S217">
        <f>YEAR(marketing_data[[#This Row],[Start_date]])</f>
        <v>2023</v>
      </c>
      <c r="T217" t="str">
        <f>TEXT(marketing_data[[#This Row],[Start_date]],"ddd")</f>
        <v>Wed</v>
      </c>
      <c r="U217">
        <f>marketing_data[[#This Row],[Cleaned End_date]]-marketing_data[[#This Row],[Start_date]]</f>
        <v>25</v>
      </c>
    </row>
    <row r="218" spans="1:21" x14ac:dyDescent="0.2">
      <c r="A218" t="s">
        <v>471</v>
      </c>
      <c r="B218" t="s">
        <v>472</v>
      </c>
      <c r="C218" s="2">
        <v>45005</v>
      </c>
      <c r="D218" t="str">
        <f t="shared" si="20"/>
        <v>Mar</v>
      </c>
      <c r="E218" s="2">
        <v>45035</v>
      </c>
      <c r="F218" t="s">
        <v>33</v>
      </c>
      <c r="G218">
        <v>1854</v>
      </c>
      <c r="H218">
        <v>50</v>
      </c>
      <c r="I218">
        <v>7</v>
      </c>
      <c r="J218" t="b">
        <v>0</v>
      </c>
      <c r="K218" s="10">
        <v>329.13249999999999</v>
      </c>
      <c r="L218" s="6">
        <f t="shared" si="21"/>
        <v>2.696871628910464E-2</v>
      </c>
      <c r="M218">
        <f t="shared" si="22"/>
        <v>6.5826500000000001</v>
      </c>
      <c r="N218">
        <f t="shared" si="23"/>
        <v>47.018928571428567</v>
      </c>
      <c r="O218">
        <f t="shared" si="24"/>
        <v>20.867500000000007</v>
      </c>
      <c r="P218">
        <f t="shared" si="25"/>
        <v>0.14000000000000001</v>
      </c>
      <c r="Q218" t="s">
        <v>4137</v>
      </c>
      <c r="R218" t="s">
        <v>4141</v>
      </c>
      <c r="S218">
        <f>YEAR(marketing_data[[#This Row],[Start_date]])</f>
        <v>2023</v>
      </c>
      <c r="T218" t="str">
        <f>TEXT(marketing_data[[#This Row],[Start_date]],"ddd")</f>
        <v>Mon</v>
      </c>
      <c r="U218">
        <f>marketing_data[[#This Row],[Cleaned End_date]]-marketing_data[[#This Row],[Start_date]]</f>
        <v>30</v>
      </c>
    </row>
    <row r="219" spans="1:21" x14ac:dyDescent="0.2">
      <c r="A219" t="s">
        <v>473</v>
      </c>
      <c r="B219" t="s">
        <v>474</v>
      </c>
      <c r="C219" s="2">
        <v>45260</v>
      </c>
      <c r="D219" t="str">
        <f t="shared" si="20"/>
        <v>Nov</v>
      </c>
      <c r="E219" s="2">
        <v>45265</v>
      </c>
      <c r="F219" t="s">
        <v>41</v>
      </c>
      <c r="G219">
        <v>91084</v>
      </c>
      <c r="H219">
        <v>1227</v>
      </c>
      <c r="I219">
        <v>119</v>
      </c>
      <c r="J219" t="b">
        <v>1</v>
      </c>
      <c r="K219" s="10">
        <v>1112.95</v>
      </c>
      <c r="L219" s="6">
        <f t="shared" si="21"/>
        <v>1.3471081638926704E-2</v>
      </c>
      <c r="M219">
        <f t="shared" si="22"/>
        <v>0.90704971475142626</v>
      </c>
      <c r="N219">
        <f t="shared" si="23"/>
        <v>9.352521008403361</v>
      </c>
      <c r="O219">
        <f t="shared" si="24"/>
        <v>4837.05</v>
      </c>
      <c r="P219">
        <f t="shared" si="25"/>
        <v>9.6984515077424616E-2</v>
      </c>
      <c r="Q219" t="s">
        <v>4136</v>
      </c>
      <c r="R219" t="s">
        <v>4138</v>
      </c>
      <c r="S219">
        <f>YEAR(marketing_data[[#This Row],[Start_date]])</f>
        <v>2023</v>
      </c>
      <c r="T219" t="str">
        <f>TEXT(marketing_data[[#This Row],[Start_date]],"ddd")</f>
        <v>Thu</v>
      </c>
      <c r="U219">
        <f>marketing_data[[#This Row],[Cleaned End_date]]-marketing_data[[#This Row],[Start_date]]</f>
        <v>5</v>
      </c>
    </row>
    <row r="220" spans="1:21" x14ac:dyDescent="0.2">
      <c r="A220" t="s">
        <v>475</v>
      </c>
      <c r="B220" t="s">
        <v>476</v>
      </c>
      <c r="C220" s="2">
        <v>45202</v>
      </c>
      <c r="D220" t="str">
        <f t="shared" si="20"/>
        <v>Oct</v>
      </c>
      <c r="E220" s="2">
        <v>45232</v>
      </c>
      <c r="F220" t="s">
        <v>14</v>
      </c>
      <c r="G220">
        <v>39623</v>
      </c>
      <c r="H220">
        <v>1689</v>
      </c>
      <c r="I220">
        <v>241</v>
      </c>
      <c r="J220" t="b">
        <v>0</v>
      </c>
      <c r="K220" s="10">
        <v>1094.26</v>
      </c>
      <c r="L220" s="6">
        <f t="shared" si="21"/>
        <v>4.2626757186482601E-2</v>
      </c>
      <c r="M220">
        <f t="shared" si="22"/>
        <v>0.6478744819419775</v>
      </c>
      <c r="N220">
        <f t="shared" si="23"/>
        <v>4.540497925311203</v>
      </c>
      <c r="O220">
        <f t="shared" si="24"/>
        <v>10955.74</v>
      </c>
      <c r="P220">
        <f t="shared" si="25"/>
        <v>0.14268798105387803</v>
      </c>
      <c r="Q220" t="s">
        <v>4136</v>
      </c>
      <c r="R220" t="s">
        <v>4138</v>
      </c>
      <c r="S220">
        <f>YEAR(marketing_data[[#This Row],[Start_date]])</f>
        <v>2023</v>
      </c>
      <c r="T220" t="str">
        <f>TEXT(marketing_data[[#This Row],[Start_date]],"ddd")</f>
        <v>Tue</v>
      </c>
      <c r="U220">
        <f>marketing_data[[#This Row],[Cleaned End_date]]-marketing_data[[#This Row],[Start_date]]</f>
        <v>30</v>
      </c>
    </row>
    <row r="221" spans="1:21" x14ac:dyDescent="0.2">
      <c r="A221" t="s">
        <v>477</v>
      </c>
      <c r="B221" t="s">
        <v>478</v>
      </c>
      <c r="C221" s="2">
        <v>45230</v>
      </c>
      <c r="D221" t="str">
        <f t="shared" si="20"/>
        <v>Oct</v>
      </c>
      <c r="E221" s="2">
        <v>45251</v>
      </c>
      <c r="F221" t="s">
        <v>33</v>
      </c>
      <c r="G221">
        <v>8392</v>
      </c>
      <c r="H221">
        <v>209</v>
      </c>
      <c r="I221">
        <v>17</v>
      </c>
      <c r="J221" t="b">
        <v>1</v>
      </c>
      <c r="K221" s="10">
        <v>364.49</v>
      </c>
      <c r="L221" s="6">
        <f t="shared" si="21"/>
        <v>2.490467111534795E-2</v>
      </c>
      <c r="M221">
        <f t="shared" si="22"/>
        <v>1.7439712918660288</v>
      </c>
      <c r="N221">
        <f t="shared" si="23"/>
        <v>21.440588235294118</v>
      </c>
      <c r="O221">
        <f t="shared" si="24"/>
        <v>485.51</v>
      </c>
      <c r="P221">
        <f t="shared" si="25"/>
        <v>8.1339712918660281E-2</v>
      </c>
      <c r="Q221" t="s">
        <v>4136</v>
      </c>
      <c r="R221" t="s">
        <v>4139</v>
      </c>
      <c r="S221">
        <f>YEAR(marketing_data[[#This Row],[Start_date]])</f>
        <v>2023</v>
      </c>
      <c r="T221" t="str">
        <f>TEXT(marketing_data[[#This Row],[Start_date]],"ddd")</f>
        <v>Tue</v>
      </c>
      <c r="U221">
        <f>marketing_data[[#This Row],[Cleaned End_date]]-marketing_data[[#This Row],[Start_date]]</f>
        <v>21</v>
      </c>
    </row>
    <row r="222" spans="1:21" x14ac:dyDescent="0.2">
      <c r="A222" t="s">
        <v>479</v>
      </c>
      <c r="B222" t="s">
        <v>480</v>
      </c>
      <c r="C222" s="2">
        <v>44971</v>
      </c>
      <c r="D222" t="str">
        <f t="shared" si="20"/>
        <v>Feb</v>
      </c>
      <c r="E222" s="2">
        <v>44984</v>
      </c>
      <c r="F222" t="s">
        <v>19</v>
      </c>
      <c r="G222">
        <v>56680</v>
      </c>
      <c r="H222">
        <v>1760</v>
      </c>
      <c r="I222">
        <v>205</v>
      </c>
      <c r="J222" t="b">
        <v>0</v>
      </c>
      <c r="K222" s="10">
        <v>2745.62</v>
      </c>
      <c r="L222" s="6">
        <f t="shared" si="21"/>
        <v>3.1051517290049402E-2</v>
      </c>
      <c r="M222">
        <f t="shared" si="22"/>
        <v>1.5600113636363635</v>
      </c>
      <c r="N222">
        <f t="shared" si="23"/>
        <v>13.393268292682926</v>
      </c>
      <c r="O222">
        <f t="shared" si="24"/>
        <v>7504.38</v>
      </c>
      <c r="P222">
        <f t="shared" si="25"/>
        <v>0.11647727272727272</v>
      </c>
      <c r="Q222" t="s">
        <v>4138</v>
      </c>
      <c r="R222" t="s">
        <v>4141</v>
      </c>
      <c r="S222">
        <f>YEAR(marketing_data[[#This Row],[Start_date]])</f>
        <v>2023</v>
      </c>
      <c r="T222" t="str">
        <f>TEXT(marketing_data[[#This Row],[Start_date]],"ddd")</f>
        <v>Tue</v>
      </c>
      <c r="U222">
        <f>marketing_data[[#This Row],[Cleaned End_date]]-marketing_data[[#This Row],[Start_date]]</f>
        <v>13</v>
      </c>
    </row>
    <row r="223" spans="1:21" x14ac:dyDescent="0.2">
      <c r="A223" t="s">
        <v>481</v>
      </c>
      <c r="B223" t="s">
        <v>482</v>
      </c>
      <c r="C223" s="2">
        <v>45164</v>
      </c>
      <c r="D223" t="str">
        <f t="shared" si="20"/>
        <v>Aug</v>
      </c>
      <c r="E223" s="2">
        <v>45194</v>
      </c>
      <c r="F223" t="s">
        <v>14</v>
      </c>
      <c r="G223">
        <v>47717</v>
      </c>
      <c r="H223">
        <v>691</v>
      </c>
      <c r="I223">
        <v>127</v>
      </c>
      <c r="J223" t="b">
        <v>1</v>
      </c>
      <c r="K223" s="10">
        <v>985.25</v>
      </c>
      <c r="L223" s="6">
        <f t="shared" si="21"/>
        <v>1.4481212146614414E-2</v>
      </c>
      <c r="M223">
        <f t="shared" si="22"/>
        <v>1.4258321273516643</v>
      </c>
      <c r="N223">
        <f t="shared" si="23"/>
        <v>7.7578740157480315</v>
      </c>
      <c r="O223">
        <f t="shared" si="24"/>
        <v>5364.75</v>
      </c>
      <c r="P223">
        <f t="shared" si="25"/>
        <v>0.18379160636758321</v>
      </c>
      <c r="Q223" t="s">
        <v>4139</v>
      </c>
      <c r="R223" t="s">
        <v>4138</v>
      </c>
      <c r="S223">
        <f>YEAR(marketing_data[[#This Row],[Start_date]])</f>
        <v>2023</v>
      </c>
      <c r="T223" t="str">
        <f>TEXT(marketing_data[[#This Row],[Start_date]],"ddd")</f>
        <v>Sat</v>
      </c>
      <c r="U223">
        <f>marketing_data[[#This Row],[Cleaned End_date]]-marketing_data[[#This Row],[Start_date]]</f>
        <v>30</v>
      </c>
    </row>
    <row r="224" spans="1:21" x14ac:dyDescent="0.2">
      <c r="A224" t="s">
        <v>483</v>
      </c>
      <c r="B224" t="s">
        <v>484</v>
      </c>
      <c r="C224" s="2">
        <v>45099</v>
      </c>
      <c r="D224" t="str">
        <f t="shared" si="20"/>
        <v>Jun</v>
      </c>
      <c r="E224" s="2">
        <v>45105</v>
      </c>
      <c r="F224" t="s">
        <v>19</v>
      </c>
      <c r="G224">
        <v>88092</v>
      </c>
      <c r="H224">
        <v>890</v>
      </c>
      <c r="I224">
        <v>62</v>
      </c>
      <c r="J224" t="b">
        <v>0</v>
      </c>
      <c r="K224" s="10">
        <v>653.23</v>
      </c>
      <c r="L224" s="6">
        <f t="shared" si="21"/>
        <v>1.0103074058938382E-2</v>
      </c>
      <c r="M224">
        <f t="shared" si="22"/>
        <v>0.73396629213483144</v>
      </c>
      <c r="N224">
        <f t="shared" si="23"/>
        <v>10.535967741935485</v>
      </c>
      <c r="O224">
        <f t="shared" si="24"/>
        <v>2446.77</v>
      </c>
      <c r="P224">
        <f t="shared" si="25"/>
        <v>6.9662921348314602E-2</v>
      </c>
      <c r="Q224" t="s">
        <v>4139</v>
      </c>
      <c r="R224" t="s">
        <v>4139</v>
      </c>
      <c r="S224">
        <f>YEAR(marketing_data[[#This Row],[Start_date]])</f>
        <v>2023</v>
      </c>
      <c r="T224" t="str">
        <f>TEXT(marketing_data[[#This Row],[Start_date]],"ddd")</f>
        <v>Thu</v>
      </c>
      <c r="U224">
        <f>marketing_data[[#This Row],[Cleaned End_date]]-marketing_data[[#This Row],[Start_date]]</f>
        <v>6</v>
      </c>
    </row>
    <row r="225" spans="1:21" x14ac:dyDescent="0.2">
      <c r="A225" t="s">
        <v>486</v>
      </c>
      <c r="B225" t="s">
        <v>487</v>
      </c>
      <c r="C225" s="2">
        <v>45093</v>
      </c>
      <c r="D225" t="str">
        <f t="shared" si="20"/>
        <v>Jun</v>
      </c>
      <c r="E225" s="2">
        <v>45113</v>
      </c>
      <c r="F225" t="s">
        <v>41</v>
      </c>
      <c r="G225">
        <v>51859</v>
      </c>
      <c r="H225">
        <v>1842</v>
      </c>
      <c r="J225" t="b">
        <v>1</v>
      </c>
      <c r="K225" s="10">
        <v>2243.08</v>
      </c>
      <c r="L225" s="6">
        <f t="shared" si="21"/>
        <v>3.5519389112786591E-2</v>
      </c>
      <c r="M225">
        <f t="shared" si="22"/>
        <v>1.2177415852334419</v>
      </c>
      <c r="N225">
        <f t="shared" si="23"/>
        <v>0</v>
      </c>
      <c r="O225">
        <f t="shared" si="24"/>
        <v>-2243.08</v>
      </c>
      <c r="P225">
        <f t="shared" si="25"/>
        <v>0</v>
      </c>
      <c r="Q225" t="s">
        <v>4139</v>
      </c>
      <c r="R225" t="s">
        <v>4139</v>
      </c>
      <c r="S225">
        <f>YEAR(marketing_data[[#This Row],[Start_date]])</f>
        <v>2023</v>
      </c>
      <c r="T225" t="str">
        <f>TEXT(marketing_data[[#This Row],[Start_date]],"ddd")</f>
        <v>Fri</v>
      </c>
      <c r="U225">
        <f>marketing_data[[#This Row],[Cleaned End_date]]-marketing_data[[#This Row],[Start_date]]</f>
        <v>20</v>
      </c>
    </row>
    <row r="226" spans="1:21" x14ac:dyDescent="0.2">
      <c r="A226" t="s">
        <v>488</v>
      </c>
      <c r="B226" t="s">
        <v>489</v>
      </c>
      <c r="C226" s="2">
        <v>45059</v>
      </c>
      <c r="D226" t="str">
        <f t="shared" si="20"/>
        <v>May</v>
      </c>
      <c r="E226" s="2">
        <v>45074</v>
      </c>
      <c r="F226" t="str">
        <f>F225</f>
        <v>Google Ads</v>
      </c>
      <c r="G226">
        <v>27309</v>
      </c>
      <c r="H226">
        <v>835</v>
      </c>
      <c r="I226">
        <v>144</v>
      </c>
      <c r="J226" t="b">
        <v>1</v>
      </c>
      <c r="K226" s="10">
        <v>1395.15</v>
      </c>
      <c r="L226" s="6">
        <f t="shared" si="21"/>
        <v>3.0576000585887435E-2</v>
      </c>
      <c r="M226">
        <f t="shared" si="22"/>
        <v>1.6708383233532935</v>
      </c>
      <c r="N226">
        <f t="shared" si="23"/>
        <v>9.6885416666666675</v>
      </c>
      <c r="O226">
        <f t="shared" si="24"/>
        <v>5804.85</v>
      </c>
      <c r="P226">
        <f t="shared" si="25"/>
        <v>0.17245508982035929</v>
      </c>
      <c r="Q226" t="s">
        <v>4137</v>
      </c>
      <c r="R226" t="s">
        <v>4141</v>
      </c>
      <c r="S226">
        <f>YEAR(marketing_data[[#This Row],[Start_date]])</f>
        <v>2023</v>
      </c>
      <c r="T226" t="str">
        <f>TEXT(marketing_data[[#This Row],[Start_date]],"ddd")</f>
        <v>Sat</v>
      </c>
      <c r="U226">
        <f>marketing_data[[#This Row],[Cleaned End_date]]-marketing_data[[#This Row],[Start_date]]</f>
        <v>15</v>
      </c>
    </row>
    <row r="227" spans="1:21" x14ac:dyDescent="0.2">
      <c r="A227" t="s">
        <v>490</v>
      </c>
      <c r="B227" t="s">
        <v>491</v>
      </c>
      <c r="C227" s="2">
        <v>45286</v>
      </c>
      <c r="D227" t="str">
        <f t="shared" si="20"/>
        <v>Dec</v>
      </c>
      <c r="E227" s="2">
        <v>45311</v>
      </c>
      <c r="F227" t="s">
        <v>33</v>
      </c>
      <c r="G227">
        <v>88455</v>
      </c>
      <c r="H227">
        <v>2984</v>
      </c>
      <c r="I227">
        <v>583</v>
      </c>
      <c r="J227" t="b">
        <v>1</v>
      </c>
      <c r="K227" s="10">
        <v>2851.02</v>
      </c>
      <c r="L227" s="6">
        <f t="shared" si="21"/>
        <v>3.3734667344977674E-2</v>
      </c>
      <c r="M227">
        <f t="shared" si="22"/>
        <v>0.95543565683646114</v>
      </c>
      <c r="N227">
        <f t="shared" si="23"/>
        <v>4.8902572898799317</v>
      </c>
      <c r="O227">
        <f t="shared" si="24"/>
        <v>26298.98</v>
      </c>
      <c r="P227">
        <f t="shared" si="25"/>
        <v>0.19537533512064342</v>
      </c>
      <c r="Q227" t="s">
        <v>4138</v>
      </c>
      <c r="R227" t="s">
        <v>4138</v>
      </c>
      <c r="S227">
        <f>YEAR(marketing_data[[#This Row],[Start_date]])</f>
        <v>2023</v>
      </c>
      <c r="T227" t="str">
        <f>TEXT(marketing_data[[#This Row],[Start_date]],"ddd")</f>
        <v>Tue</v>
      </c>
      <c r="U227">
        <f>marketing_data[[#This Row],[Cleaned End_date]]-marketing_data[[#This Row],[Start_date]]</f>
        <v>25</v>
      </c>
    </row>
    <row r="228" spans="1:21" x14ac:dyDescent="0.2">
      <c r="A228" t="s">
        <v>492</v>
      </c>
      <c r="B228" t="s">
        <v>493</v>
      </c>
      <c r="C228" s="2">
        <v>45191</v>
      </c>
      <c r="D228" t="str">
        <f t="shared" si="20"/>
        <v>Sep</v>
      </c>
      <c r="E228" s="2">
        <v>45202</v>
      </c>
      <c r="F228" t="s">
        <v>23</v>
      </c>
      <c r="G228">
        <v>64734</v>
      </c>
      <c r="H228">
        <v>2702</v>
      </c>
      <c r="I228">
        <v>319</v>
      </c>
      <c r="J228" t="b">
        <v>0</v>
      </c>
      <c r="K228" s="10">
        <v>2614.2800000000002</v>
      </c>
      <c r="L228" s="6">
        <f t="shared" si="21"/>
        <v>4.1740043871844781E-2</v>
      </c>
      <c r="M228">
        <f t="shared" si="22"/>
        <v>0.96753515914137678</v>
      </c>
      <c r="N228">
        <f t="shared" si="23"/>
        <v>8.1952351097178688</v>
      </c>
      <c r="O228">
        <f t="shared" si="24"/>
        <v>13335.72</v>
      </c>
      <c r="P228">
        <f t="shared" si="25"/>
        <v>0.11806069578090303</v>
      </c>
      <c r="Q228" t="s">
        <v>4136</v>
      </c>
      <c r="R228" t="s">
        <v>4138</v>
      </c>
      <c r="S228">
        <f>YEAR(marketing_data[[#This Row],[Start_date]])</f>
        <v>2023</v>
      </c>
      <c r="T228" t="str">
        <f>TEXT(marketing_data[[#This Row],[Start_date]],"ddd")</f>
        <v>Fri</v>
      </c>
      <c r="U228">
        <f>marketing_data[[#This Row],[Cleaned End_date]]-marketing_data[[#This Row],[Start_date]]</f>
        <v>11</v>
      </c>
    </row>
    <row r="229" spans="1:21" x14ac:dyDescent="0.2">
      <c r="A229" t="s">
        <v>494</v>
      </c>
      <c r="B229" t="s">
        <v>495</v>
      </c>
      <c r="C229" s="2">
        <v>45135</v>
      </c>
      <c r="D229" t="str">
        <f t="shared" si="20"/>
        <v>Jul</v>
      </c>
      <c r="E229" s="2">
        <v>45139</v>
      </c>
      <c r="F229" t="s">
        <v>23</v>
      </c>
      <c r="G229">
        <v>71467</v>
      </c>
      <c r="H229">
        <v>2563</v>
      </c>
      <c r="I229">
        <v>323</v>
      </c>
      <c r="J229" t="b">
        <v>0</v>
      </c>
      <c r="K229" s="10">
        <v>1293.58</v>
      </c>
      <c r="L229" s="6">
        <f t="shared" si="21"/>
        <v>3.5862705864245038E-2</v>
      </c>
      <c r="M229">
        <f t="shared" si="22"/>
        <v>0.50471322668747554</v>
      </c>
      <c r="N229">
        <f t="shared" si="23"/>
        <v>4.0048916408668731</v>
      </c>
      <c r="O229">
        <f t="shared" si="24"/>
        <v>14856.42</v>
      </c>
      <c r="P229">
        <f t="shared" si="25"/>
        <v>0.12602419040187279</v>
      </c>
      <c r="Q229" t="s">
        <v>4139</v>
      </c>
      <c r="R229" t="s">
        <v>4138</v>
      </c>
      <c r="S229">
        <f>YEAR(marketing_data[[#This Row],[Start_date]])</f>
        <v>2023</v>
      </c>
      <c r="T229" t="str">
        <f>TEXT(marketing_data[[#This Row],[Start_date]],"ddd")</f>
        <v>Fri</v>
      </c>
      <c r="U229">
        <f>marketing_data[[#This Row],[Cleaned End_date]]-marketing_data[[#This Row],[Start_date]]</f>
        <v>4</v>
      </c>
    </row>
    <row r="230" spans="1:21" x14ac:dyDescent="0.2">
      <c r="A230" t="s">
        <v>496</v>
      </c>
      <c r="B230" t="s">
        <v>497</v>
      </c>
      <c r="C230" s="2">
        <v>45280</v>
      </c>
      <c r="D230" t="str">
        <f t="shared" si="20"/>
        <v>Dec</v>
      </c>
      <c r="E230" s="2">
        <v>45310</v>
      </c>
      <c r="F230" t="s">
        <v>23</v>
      </c>
      <c r="G230">
        <v>53662</v>
      </c>
      <c r="H230">
        <v>911</v>
      </c>
      <c r="I230">
        <v>123</v>
      </c>
      <c r="J230" t="b">
        <v>1</v>
      </c>
      <c r="K230" s="10">
        <v>693.6</v>
      </c>
      <c r="L230" s="6">
        <f t="shared" si="21"/>
        <v>1.6976631508329915E-2</v>
      </c>
      <c r="M230">
        <f t="shared" si="22"/>
        <v>0.76136114160263446</v>
      </c>
      <c r="N230">
        <f t="shared" si="23"/>
        <v>5.639024390243903</v>
      </c>
      <c r="O230">
        <f t="shared" si="24"/>
        <v>5456.4</v>
      </c>
      <c r="P230">
        <f t="shared" si="25"/>
        <v>0.1350164654226125</v>
      </c>
      <c r="Q230" t="s">
        <v>4138</v>
      </c>
      <c r="R230" t="s">
        <v>4141</v>
      </c>
      <c r="S230">
        <f>YEAR(marketing_data[[#This Row],[Start_date]])</f>
        <v>2023</v>
      </c>
      <c r="T230" t="str">
        <f>TEXT(marketing_data[[#This Row],[Start_date]],"ddd")</f>
        <v>Wed</v>
      </c>
      <c r="U230">
        <f>marketing_data[[#This Row],[Cleaned End_date]]-marketing_data[[#This Row],[Start_date]]</f>
        <v>30</v>
      </c>
    </row>
    <row r="231" spans="1:21" x14ac:dyDescent="0.2">
      <c r="A231" t="s">
        <v>498</v>
      </c>
      <c r="B231" t="s">
        <v>499</v>
      </c>
      <c r="C231" s="2">
        <v>45156</v>
      </c>
      <c r="D231" t="str">
        <f t="shared" si="20"/>
        <v>Aug</v>
      </c>
      <c r="E231" s="2">
        <v>45165</v>
      </c>
      <c r="F231" t="s">
        <v>14</v>
      </c>
      <c r="G231">
        <v>99506</v>
      </c>
      <c r="H231">
        <v>2431</v>
      </c>
      <c r="I231">
        <v>461</v>
      </c>
      <c r="J231" t="b">
        <v>1</v>
      </c>
      <c r="K231" s="10">
        <v>3631.7599999999998</v>
      </c>
      <c r="L231" s="6">
        <f t="shared" si="21"/>
        <v>2.4430687596727837E-2</v>
      </c>
      <c r="M231">
        <f t="shared" si="22"/>
        <v>1.4939366515837103</v>
      </c>
      <c r="N231">
        <f t="shared" si="23"/>
        <v>7.8780043383947937</v>
      </c>
      <c r="O231">
        <f t="shared" si="24"/>
        <v>19418.240000000002</v>
      </c>
      <c r="P231">
        <f t="shared" si="25"/>
        <v>0.18963389551624846</v>
      </c>
      <c r="Q231" t="s">
        <v>4139</v>
      </c>
      <c r="R231" t="s">
        <v>4139</v>
      </c>
      <c r="S231">
        <f>YEAR(marketing_data[[#This Row],[Start_date]])</f>
        <v>2023</v>
      </c>
      <c r="T231" t="str">
        <f>TEXT(marketing_data[[#This Row],[Start_date]],"ddd")</f>
        <v>Fri</v>
      </c>
      <c r="U231">
        <f>marketing_data[[#This Row],[Cleaned End_date]]-marketing_data[[#This Row],[Start_date]]</f>
        <v>9</v>
      </c>
    </row>
    <row r="232" spans="1:21" x14ac:dyDescent="0.2">
      <c r="A232" t="s">
        <v>500</v>
      </c>
      <c r="B232" t="s">
        <v>501</v>
      </c>
      <c r="C232" s="2">
        <v>45040</v>
      </c>
      <c r="D232" t="str">
        <f t="shared" si="20"/>
        <v>Apr</v>
      </c>
      <c r="E232" s="2">
        <v>45055</v>
      </c>
      <c r="F232" t="s">
        <v>33</v>
      </c>
      <c r="G232">
        <v>13688</v>
      </c>
      <c r="H232">
        <v>632</v>
      </c>
      <c r="I232">
        <v>112</v>
      </c>
      <c r="J232" t="b">
        <v>1</v>
      </c>
      <c r="K232" s="10">
        <v>734.78</v>
      </c>
      <c r="L232" s="6">
        <f t="shared" si="21"/>
        <v>4.6171829339567504E-2</v>
      </c>
      <c r="M232">
        <f t="shared" si="22"/>
        <v>1.1626265822784809</v>
      </c>
      <c r="N232">
        <f t="shared" si="23"/>
        <v>6.5605357142857139</v>
      </c>
      <c r="O232">
        <f t="shared" si="24"/>
        <v>4865.22</v>
      </c>
      <c r="P232">
        <f t="shared" si="25"/>
        <v>0.17721518987341772</v>
      </c>
      <c r="Q232" t="s">
        <v>4137</v>
      </c>
      <c r="R232" t="s">
        <v>4139</v>
      </c>
      <c r="S232">
        <f>YEAR(marketing_data[[#This Row],[Start_date]])</f>
        <v>2023</v>
      </c>
      <c r="T232" t="str">
        <f>TEXT(marketing_data[[#This Row],[Start_date]],"ddd")</f>
        <v>Mon</v>
      </c>
      <c r="U232">
        <f>marketing_data[[#This Row],[Cleaned End_date]]-marketing_data[[#This Row],[Start_date]]</f>
        <v>15</v>
      </c>
    </row>
    <row r="233" spans="1:21" x14ac:dyDescent="0.2">
      <c r="A233" t="s">
        <v>502</v>
      </c>
      <c r="B233" t="s">
        <v>503</v>
      </c>
      <c r="C233" s="2">
        <v>45266</v>
      </c>
      <c r="D233" t="str">
        <f t="shared" si="20"/>
        <v>Dec</v>
      </c>
      <c r="E233" s="2">
        <v>45275</v>
      </c>
      <c r="F233" t="str">
        <f>F232</f>
        <v>Instagram</v>
      </c>
      <c r="G233">
        <v>26342</v>
      </c>
      <c r="H233">
        <v>1074</v>
      </c>
      <c r="I233">
        <v>81</v>
      </c>
      <c r="J233" t="b">
        <v>1</v>
      </c>
      <c r="K233" s="10">
        <v>2122.6</v>
      </c>
      <c r="L233" s="6">
        <f t="shared" si="21"/>
        <v>4.0771391693872901E-2</v>
      </c>
      <c r="M233">
        <f t="shared" si="22"/>
        <v>1.9763500931098696</v>
      </c>
      <c r="N233">
        <f t="shared" si="23"/>
        <v>26.204938271604938</v>
      </c>
      <c r="O233">
        <f t="shared" si="24"/>
        <v>1927.4</v>
      </c>
      <c r="P233">
        <f t="shared" si="25"/>
        <v>7.5418994413407825E-2</v>
      </c>
      <c r="Q233" t="s">
        <v>4138</v>
      </c>
      <c r="R233" t="s">
        <v>4139</v>
      </c>
      <c r="S233">
        <f>YEAR(marketing_data[[#This Row],[Start_date]])</f>
        <v>2023</v>
      </c>
      <c r="T233" t="str">
        <f>TEXT(marketing_data[[#This Row],[Start_date]],"ddd")</f>
        <v>Wed</v>
      </c>
      <c r="U233">
        <f>marketing_data[[#This Row],[Cleaned End_date]]-marketing_data[[#This Row],[Start_date]]</f>
        <v>9</v>
      </c>
    </row>
    <row r="234" spans="1:21" x14ac:dyDescent="0.2">
      <c r="A234" t="s">
        <v>504</v>
      </c>
      <c r="B234" t="s">
        <v>505</v>
      </c>
      <c r="C234" s="2">
        <v>45198</v>
      </c>
      <c r="D234" t="str">
        <f t="shared" si="20"/>
        <v>Sep</v>
      </c>
      <c r="E234" s="2">
        <v>45205</v>
      </c>
      <c r="F234" t="s">
        <v>33</v>
      </c>
      <c r="G234">
        <v>38157</v>
      </c>
      <c r="H234">
        <v>1231</v>
      </c>
      <c r="I234">
        <v>142</v>
      </c>
      <c r="J234" t="b">
        <v>1</v>
      </c>
      <c r="K234" s="10">
        <v>1346.17</v>
      </c>
      <c r="L234" s="6">
        <f t="shared" si="21"/>
        <v>3.2261446130460988E-2</v>
      </c>
      <c r="M234">
        <f t="shared" si="22"/>
        <v>1.093558082859464</v>
      </c>
      <c r="N234">
        <f t="shared" si="23"/>
        <v>9.4800704225352117</v>
      </c>
      <c r="O234">
        <f t="shared" si="24"/>
        <v>5753.83</v>
      </c>
      <c r="P234">
        <f t="shared" si="25"/>
        <v>0.11535337124289195</v>
      </c>
      <c r="Q234" t="s">
        <v>4136</v>
      </c>
      <c r="R234" t="s">
        <v>4139</v>
      </c>
      <c r="S234">
        <f>YEAR(marketing_data[[#This Row],[Start_date]])</f>
        <v>2023</v>
      </c>
      <c r="T234" t="str">
        <f>TEXT(marketing_data[[#This Row],[Start_date]],"ddd")</f>
        <v>Fri</v>
      </c>
      <c r="U234">
        <f>marketing_data[[#This Row],[Cleaned End_date]]-marketing_data[[#This Row],[Start_date]]</f>
        <v>7</v>
      </c>
    </row>
    <row r="235" spans="1:21" x14ac:dyDescent="0.2">
      <c r="A235" t="s">
        <v>506</v>
      </c>
      <c r="B235" t="s">
        <v>507</v>
      </c>
      <c r="C235" s="2">
        <v>45208</v>
      </c>
      <c r="D235" t="str">
        <f t="shared" si="20"/>
        <v>Oct</v>
      </c>
      <c r="E235" s="2">
        <v>45231</v>
      </c>
      <c r="F235" t="s">
        <v>14</v>
      </c>
      <c r="G235">
        <v>68863</v>
      </c>
      <c r="H235">
        <v>1392</v>
      </c>
      <c r="I235">
        <v>166</v>
      </c>
      <c r="J235" t="b">
        <v>0</v>
      </c>
      <c r="K235" s="10">
        <v>2189.31</v>
      </c>
      <c r="L235" s="6">
        <f t="shared" si="21"/>
        <v>2.021404818262347E-2</v>
      </c>
      <c r="M235">
        <f t="shared" si="22"/>
        <v>1.5727801724137931</v>
      </c>
      <c r="N235">
        <f t="shared" si="23"/>
        <v>13.188614457831324</v>
      </c>
      <c r="O235">
        <f t="shared" si="24"/>
        <v>6110.6900000000005</v>
      </c>
      <c r="P235">
        <f t="shared" si="25"/>
        <v>0.11925287356321838</v>
      </c>
      <c r="Q235" t="s">
        <v>4136</v>
      </c>
      <c r="R235" t="s">
        <v>4139</v>
      </c>
      <c r="S235">
        <f>YEAR(marketing_data[[#This Row],[Start_date]])</f>
        <v>2023</v>
      </c>
      <c r="T235" t="str">
        <f>TEXT(marketing_data[[#This Row],[Start_date]],"ddd")</f>
        <v>Mon</v>
      </c>
      <c r="U235">
        <f>marketing_data[[#This Row],[Cleaned End_date]]-marketing_data[[#This Row],[Start_date]]</f>
        <v>23</v>
      </c>
    </row>
    <row r="236" spans="1:21" x14ac:dyDescent="0.2">
      <c r="A236" t="s">
        <v>508</v>
      </c>
      <c r="B236" t="s">
        <v>509</v>
      </c>
      <c r="C236" s="2">
        <v>45065</v>
      </c>
      <c r="D236" t="str">
        <f t="shared" si="20"/>
        <v>May</v>
      </c>
      <c r="E236" s="2">
        <v>45085</v>
      </c>
      <c r="F236" t="s">
        <v>33</v>
      </c>
      <c r="G236">
        <v>53083</v>
      </c>
      <c r="H236">
        <v>1172</v>
      </c>
      <c r="I236">
        <v>197</v>
      </c>
      <c r="J236" t="b">
        <v>1</v>
      </c>
      <c r="K236" s="10">
        <v>1081.6099999999999</v>
      </c>
      <c r="L236" s="6">
        <f t="shared" si="21"/>
        <v>2.2078631576964377E-2</v>
      </c>
      <c r="M236">
        <f t="shared" si="22"/>
        <v>0.92287542662116029</v>
      </c>
      <c r="N236">
        <f t="shared" si="23"/>
        <v>5.4904060913705575</v>
      </c>
      <c r="O236">
        <f t="shared" si="24"/>
        <v>8768.39</v>
      </c>
      <c r="P236">
        <f t="shared" si="25"/>
        <v>0.16808873720136519</v>
      </c>
      <c r="Q236" t="s">
        <v>4137</v>
      </c>
      <c r="R236" t="s">
        <v>4138</v>
      </c>
      <c r="S236">
        <f>YEAR(marketing_data[[#This Row],[Start_date]])</f>
        <v>2023</v>
      </c>
      <c r="T236" t="str">
        <f>TEXT(marketing_data[[#This Row],[Start_date]],"ddd")</f>
        <v>Fri</v>
      </c>
      <c r="U236">
        <f>marketing_data[[#This Row],[Cleaned End_date]]-marketing_data[[#This Row],[Start_date]]</f>
        <v>20</v>
      </c>
    </row>
    <row r="237" spans="1:21" x14ac:dyDescent="0.2">
      <c r="A237" t="s">
        <v>510</v>
      </c>
      <c r="B237" t="s">
        <v>511</v>
      </c>
      <c r="C237" s="2">
        <v>45025</v>
      </c>
      <c r="D237" t="str">
        <f t="shared" si="20"/>
        <v>Apr</v>
      </c>
      <c r="E237" s="2">
        <v>45040</v>
      </c>
      <c r="F237" t="s">
        <v>19</v>
      </c>
      <c r="G237">
        <v>66733</v>
      </c>
      <c r="H237">
        <v>2621</v>
      </c>
      <c r="J237" t="b">
        <v>0</v>
      </c>
      <c r="K237" s="10">
        <v>2740.82</v>
      </c>
      <c r="L237" s="6">
        <f t="shared" si="21"/>
        <v>3.9275920459143153E-2</v>
      </c>
      <c r="M237">
        <f t="shared" si="22"/>
        <v>1.0457153758107594</v>
      </c>
      <c r="N237">
        <f t="shared" si="23"/>
        <v>0</v>
      </c>
      <c r="O237">
        <f t="shared" si="24"/>
        <v>-2740.82</v>
      </c>
      <c r="P237">
        <f t="shared" si="25"/>
        <v>0</v>
      </c>
      <c r="Q237" t="s">
        <v>4137</v>
      </c>
      <c r="R237" t="s">
        <v>4142</v>
      </c>
      <c r="S237">
        <f>YEAR(marketing_data[[#This Row],[Start_date]])</f>
        <v>2023</v>
      </c>
      <c r="T237" t="str">
        <f>TEXT(marketing_data[[#This Row],[Start_date]],"ddd")</f>
        <v>Sun</v>
      </c>
      <c r="U237">
        <f>marketing_data[[#This Row],[Cleaned End_date]]-marketing_data[[#This Row],[Start_date]]</f>
        <v>15</v>
      </c>
    </row>
    <row r="238" spans="1:21" x14ac:dyDescent="0.2">
      <c r="A238" t="s">
        <v>512</v>
      </c>
      <c r="B238" t="s">
        <v>513</v>
      </c>
      <c r="C238" s="2">
        <v>45280</v>
      </c>
      <c r="D238" t="str">
        <f t="shared" si="20"/>
        <v>Dec</v>
      </c>
      <c r="E238" s="2">
        <v>45290</v>
      </c>
      <c r="F238" t="str">
        <f t="shared" ref="F238:F240" si="26">F237</f>
        <v>Facebook</v>
      </c>
      <c r="G238">
        <v>90045</v>
      </c>
      <c r="H238">
        <v>3966</v>
      </c>
      <c r="I238">
        <v>587</v>
      </c>
      <c r="J238" t="b">
        <v>1</v>
      </c>
      <c r="K238" s="10">
        <v>3117.63</v>
      </c>
      <c r="L238" s="6">
        <f t="shared" si="21"/>
        <v>4.404464434449442E-2</v>
      </c>
      <c r="M238">
        <f t="shared" si="22"/>
        <v>0.78608925869894097</v>
      </c>
      <c r="N238">
        <f t="shared" si="23"/>
        <v>5.3111243611584333</v>
      </c>
      <c r="O238">
        <f t="shared" si="24"/>
        <v>26232.37</v>
      </c>
      <c r="P238">
        <f t="shared" si="25"/>
        <v>0.14800806858295512</v>
      </c>
      <c r="Q238" t="s">
        <v>4138</v>
      </c>
      <c r="R238" t="s">
        <v>4139</v>
      </c>
      <c r="S238">
        <f>YEAR(marketing_data[[#This Row],[Start_date]])</f>
        <v>2023</v>
      </c>
      <c r="T238" t="str">
        <f>TEXT(marketing_data[[#This Row],[Start_date]],"ddd")</f>
        <v>Wed</v>
      </c>
      <c r="U238">
        <f>marketing_data[[#This Row],[Cleaned End_date]]-marketing_data[[#This Row],[Start_date]]</f>
        <v>10</v>
      </c>
    </row>
    <row r="239" spans="1:21" x14ac:dyDescent="0.2">
      <c r="A239" t="s">
        <v>514</v>
      </c>
      <c r="B239" t="s">
        <v>515</v>
      </c>
      <c r="C239" s="2">
        <v>45174</v>
      </c>
      <c r="D239" t="str">
        <f t="shared" si="20"/>
        <v>Sep</v>
      </c>
      <c r="E239" s="2">
        <v>45180</v>
      </c>
      <c r="F239" t="str">
        <f t="shared" si="26"/>
        <v>Facebook</v>
      </c>
      <c r="G239">
        <v>35698</v>
      </c>
      <c r="H239">
        <v>1315</v>
      </c>
      <c r="I239">
        <v>262</v>
      </c>
      <c r="J239" t="b">
        <v>0</v>
      </c>
      <c r="K239" s="10">
        <v>1342.08</v>
      </c>
      <c r="L239" s="6">
        <f t="shared" si="21"/>
        <v>3.6836797579696344E-2</v>
      </c>
      <c r="M239">
        <f t="shared" si="22"/>
        <v>1.0205931558935362</v>
      </c>
      <c r="N239">
        <f t="shared" si="23"/>
        <v>5.1224427480916024</v>
      </c>
      <c r="O239">
        <f t="shared" si="24"/>
        <v>11757.92</v>
      </c>
      <c r="P239">
        <f t="shared" si="25"/>
        <v>0.19923954372623573</v>
      </c>
      <c r="Q239" t="s">
        <v>4136</v>
      </c>
      <c r="R239" t="s">
        <v>4141</v>
      </c>
      <c r="S239">
        <f>YEAR(marketing_data[[#This Row],[Start_date]])</f>
        <v>2023</v>
      </c>
      <c r="T239" t="str">
        <f>TEXT(marketing_data[[#This Row],[Start_date]],"ddd")</f>
        <v>Tue</v>
      </c>
      <c r="U239">
        <f>marketing_data[[#This Row],[Cleaned End_date]]-marketing_data[[#This Row],[Start_date]]</f>
        <v>6</v>
      </c>
    </row>
    <row r="240" spans="1:21" x14ac:dyDescent="0.2">
      <c r="A240" t="s">
        <v>516</v>
      </c>
      <c r="B240" t="s">
        <v>517</v>
      </c>
      <c r="C240" s="2">
        <v>45195</v>
      </c>
      <c r="D240" t="str">
        <f t="shared" si="20"/>
        <v>Sep</v>
      </c>
      <c r="E240" s="2">
        <v>45214</v>
      </c>
      <c r="F240" t="str">
        <f t="shared" si="26"/>
        <v>Facebook</v>
      </c>
      <c r="G240">
        <v>81623</v>
      </c>
      <c r="H240">
        <v>3459</v>
      </c>
      <c r="I240">
        <v>211</v>
      </c>
      <c r="J240" t="b">
        <v>0</v>
      </c>
      <c r="K240" s="10">
        <v>3631.7599999999998</v>
      </c>
      <c r="L240" s="6">
        <f t="shared" si="21"/>
        <v>4.2377761170258384E-2</v>
      </c>
      <c r="M240">
        <f t="shared" si="22"/>
        <v>1.0499450708297196</v>
      </c>
      <c r="N240">
        <f t="shared" si="23"/>
        <v>17.212132701421801</v>
      </c>
      <c r="O240">
        <f t="shared" si="24"/>
        <v>6918.24</v>
      </c>
      <c r="P240">
        <f t="shared" si="25"/>
        <v>6.1000289100896214E-2</v>
      </c>
      <c r="Q240" t="s">
        <v>4136</v>
      </c>
      <c r="R240" t="s">
        <v>4138</v>
      </c>
      <c r="S240">
        <f>YEAR(marketing_data[[#This Row],[Start_date]])</f>
        <v>2023</v>
      </c>
      <c r="T240" t="str">
        <f>TEXT(marketing_data[[#This Row],[Start_date]],"ddd")</f>
        <v>Tue</v>
      </c>
      <c r="U240">
        <f>marketing_data[[#This Row],[Cleaned End_date]]-marketing_data[[#This Row],[Start_date]]</f>
        <v>19</v>
      </c>
    </row>
    <row r="241" spans="1:21" x14ac:dyDescent="0.2">
      <c r="A241" t="s">
        <v>518</v>
      </c>
      <c r="B241" t="s">
        <v>519</v>
      </c>
      <c r="C241" s="2">
        <v>45026</v>
      </c>
      <c r="D241" t="str">
        <f t="shared" si="20"/>
        <v>Apr</v>
      </c>
      <c r="E241" s="2">
        <v>45031</v>
      </c>
      <c r="F241" t="s">
        <v>14</v>
      </c>
      <c r="G241">
        <v>23671</v>
      </c>
      <c r="H241">
        <v>962</v>
      </c>
      <c r="I241">
        <v>80</v>
      </c>
      <c r="J241" t="b">
        <v>1</v>
      </c>
      <c r="K241" s="10">
        <v>1912.13</v>
      </c>
      <c r="L241" s="6">
        <f t="shared" si="21"/>
        <v>4.0640446115499981E-2</v>
      </c>
      <c r="M241">
        <f t="shared" si="22"/>
        <v>1.9876611226611227</v>
      </c>
      <c r="N241">
        <f t="shared" si="23"/>
        <v>23.901625000000003</v>
      </c>
      <c r="O241">
        <f t="shared" si="24"/>
        <v>2087.87</v>
      </c>
      <c r="P241">
        <f t="shared" si="25"/>
        <v>8.3160083160083165E-2</v>
      </c>
      <c r="Q241" t="s">
        <v>4137</v>
      </c>
      <c r="R241" t="s">
        <v>4139</v>
      </c>
      <c r="S241">
        <f>YEAR(marketing_data[[#This Row],[Start_date]])</f>
        <v>2023</v>
      </c>
      <c r="T241" t="str">
        <f>TEXT(marketing_data[[#This Row],[Start_date]],"ddd")</f>
        <v>Mon</v>
      </c>
      <c r="U241">
        <f>marketing_data[[#This Row],[Cleaned End_date]]-marketing_data[[#This Row],[Start_date]]</f>
        <v>5</v>
      </c>
    </row>
    <row r="242" spans="1:21" x14ac:dyDescent="0.2">
      <c r="A242" t="s">
        <v>520</v>
      </c>
      <c r="B242" t="s">
        <v>521</v>
      </c>
      <c r="C242" s="2">
        <v>45022</v>
      </c>
      <c r="D242" t="str">
        <f t="shared" si="20"/>
        <v>Apr</v>
      </c>
      <c r="E242" s="2">
        <v>45092</v>
      </c>
      <c r="F242" t="s">
        <v>19</v>
      </c>
      <c r="G242">
        <v>26184</v>
      </c>
      <c r="H242">
        <v>418</v>
      </c>
      <c r="I242">
        <v>46</v>
      </c>
      <c r="J242" t="b">
        <v>1</v>
      </c>
      <c r="K242" s="10">
        <v>625.45000000000005</v>
      </c>
      <c r="L242" s="6">
        <f t="shared" si="21"/>
        <v>1.596394744882371E-2</v>
      </c>
      <c r="M242">
        <f t="shared" si="22"/>
        <v>1.4962918660287083</v>
      </c>
      <c r="N242">
        <f t="shared" si="23"/>
        <v>13.596739130434784</v>
      </c>
      <c r="O242">
        <f t="shared" si="24"/>
        <v>1674.55</v>
      </c>
      <c r="P242">
        <f t="shared" si="25"/>
        <v>0.11004784688995216</v>
      </c>
      <c r="Q242" t="s">
        <v>4137</v>
      </c>
      <c r="R242" t="s">
        <v>4139</v>
      </c>
      <c r="S242">
        <f>YEAR(marketing_data[[#This Row],[Start_date]])</f>
        <v>2023</v>
      </c>
      <c r="T242" t="str">
        <f>TEXT(marketing_data[[#This Row],[Start_date]],"ddd")</f>
        <v>Thu</v>
      </c>
      <c r="U242">
        <f>marketing_data[[#This Row],[Cleaned End_date]]-marketing_data[[#This Row],[Start_date]]</f>
        <v>70</v>
      </c>
    </row>
    <row r="243" spans="1:21" x14ac:dyDescent="0.2">
      <c r="A243" t="s">
        <v>522</v>
      </c>
      <c r="B243" t="s">
        <v>523</v>
      </c>
      <c r="C243" s="2">
        <v>45200</v>
      </c>
      <c r="D243" t="str">
        <f t="shared" si="20"/>
        <v>Oct</v>
      </c>
      <c r="E243" s="2">
        <v>45230</v>
      </c>
      <c r="F243" t="s">
        <v>33</v>
      </c>
      <c r="G243">
        <v>94384</v>
      </c>
      <c r="H243">
        <v>2544</v>
      </c>
      <c r="I243">
        <v>259</v>
      </c>
      <c r="J243" t="b">
        <v>1</v>
      </c>
      <c r="K243" s="10">
        <v>2032.32</v>
      </c>
      <c r="L243" s="6">
        <f t="shared" si="21"/>
        <v>2.6953720969655873E-2</v>
      </c>
      <c r="M243">
        <f t="shared" si="22"/>
        <v>0.79886792452830191</v>
      </c>
      <c r="N243">
        <f t="shared" si="23"/>
        <v>7.8467953667953667</v>
      </c>
      <c r="O243">
        <f t="shared" si="24"/>
        <v>10917.68</v>
      </c>
      <c r="P243">
        <f t="shared" si="25"/>
        <v>0.10180817610062894</v>
      </c>
      <c r="Q243" t="s">
        <v>4136</v>
      </c>
      <c r="R243" t="s">
        <v>4139</v>
      </c>
      <c r="S243">
        <f>YEAR(marketing_data[[#This Row],[Start_date]])</f>
        <v>2023</v>
      </c>
      <c r="T243" t="str">
        <f>TEXT(marketing_data[[#This Row],[Start_date]],"ddd")</f>
        <v>Sun</v>
      </c>
      <c r="U243">
        <f>marketing_data[[#This Row],[Cleaned End_date]]-marketing_data[[#This Row],[Start_date]]</f>
        <v>30</v>
      </c>
    </row>
    <row r="244" spans="1:21" x14ac:dyDescent="0.2">
      <c r="A244" t="s">
        <v>524</v>
      </c>
      <c r="B244" t="s">
        <v>525</v>
      </c>
      <c r="C244" s="2">
        <v>44954</v>
      </c>
      <c r="D244" t="str">
        <f t="shared" si="20"/>
        <v>Jan</v>
      </c>
      <c r="E244" s="2">
        <v>44958</v>
      </c>
      <c r="F244" t="s">
        <v>19</v>
      </c>
      <c r="G244">
        <v>43107</v>
      </c>
      <c r="H244">
        <v>694</v>
      </c>
      <c r="I244">
        <v>36</v>
      </c>
      <c r="J244" t="b">
        <v>0</v>
      </c>
      <c r="K244" s="10">
        <v>393.8</v>
      </c>
      <c r="L244" s="6">
        <f t="shared" si="21"/>
        <v>1.6099473403391559E-2</v>
      </c>
      <c r="M244">
        <f t="shared" si="22"/>
        <v>0.56743515850144088</v>
      </c>
      <c r="N244">
        <f t="shared" si="23"/>
        <v>10.93888888888889</v>
      </c>
      <c r="O244">
        <f t="shared" si="24"/>
        <v>1406.2</v>
      </c>
      <c r="P244">
        <f t="shared" si="25"/>
        <v>5.1873198847262249E-2</v>
      </c>
      <c r="Q244" t="s">
        <v>4138</v>
      </c>
      <c r="R244" t="s">
        <v>4139</v>
      </c>
      <c r="S244">
        <f>YEAR(marketing_data[[#This Row],[Start_date]])</f>
        <v>2023</v>
      </c>
      <c r="T244" t="str">
        <f>TEXT(marketing_data[[#This Row],[Start_date]],"ddd")</f>
        <v>Sat</v>
      </c>
      <c r="U244">
        <f>marketing_data[[#This Row],[Cleaned End_date]]-marketing_data[[#This Row],[Start_date]]</f>
        <v>4</v>
      </c>
    </row>
    <row r="245" spans="1:21" x14ac:dyDescent="0.2">
      <c r="A245" t="s">
        <v>526</v>
      </c>
      <c r="B245" t="s">
        <v>527</v>
      </c>
      <c r="C245" s="2">
        <v>44991</v>
      </c>
      <c r="D245" t="str">
        <f t="shared" si="20"/>
        <v>Mar</v>
      </c>
      <c r="E245" s="2">
        <v>44993</v>
      </c>
      <c r="F245" t="s">
        <v>19</v>
      </c>
      <c r="G245">
        <v>87202</v>
      </c>
      <c r="H245">
        <v>1692</v>
      </c>
      <c r="I245">
        <v>107</v>
      </c>
      <c r="J245" t="b">
        <v>1</v>
      </c>
      <c r="K245" s="10">
        <v>1166.69</v>
      </c>
      <c r="L245" s="6">
        <f t="shared" si="21"/>
        <v>1.9403224696681268E-2</v>
      </c>
      <c r="M245">
        <f t="shared" si="22"/>
        <v>0.68953309692671394</v>
      </c>
      <c r="N245">
        <f t="shared" si="23"/>
        <v>10.903644859813085</v>
      </c>
      <c r="O245">
        <f t="shared" si="24"/>
        <v>4183.3099999999995</v>
      </c>
      <c r="P245">
        <f t="shared" si="25"/>
        <v>6.323877068557919E-2</v>
      </c>
      <c r="Q245" t="s">
        <v>4137</v>
      </c>
      <c r="R245" t="s">
        <v>4141</v>
      </c>
      <c r="S245">
        <f>YEAR(marketing_data[[#This Row],[Start_date]])</f>
        <v>2023</v>
      </c>
      <c r="T245" t="str">
        <f>TEXT(marketing_data[[#This Row],[Start_date]],"ddd")</f>
        <v>Mon</v>
      </c>
      <c r="U245">
        <f>marketing_data[[#This Row],[Cleaned End_date]]-marketing_data[[#This Row],[Start_date]]</f>
        <v>2</v>
      </c>
    </row>
    <row r="246" spans="1:21" x14ac:dyDescent="0.2">
      <c r="A246" t="s">
        <v>528</v>
      </c>
      <c r="B246" t="s">
        <v>529</v>
      </c>
      <c r="C246" s="2">
        <v>44979</v>
      </c>
      <c r="D246" t="str">
        <f t="shared" si="20"/>
        <v>Feb</v>
      </c>
      <c r="E246" s="2">
        <v>45007</v>
      </c>
      <c r="F246" t="s">
        <v>33</v>
      </c>
      <c r="G246">
        <v>52663</v>
      </c>
      <c r="H246">
        <v>2357</v>
      </c>
      <c r="I246">
        <v>358</v>
      </c>
      <c r="J246" t="b">
        <v>1</v>
      </c>
      <c r="K246" s="10">
        <v>3167.41</v>
      </c>
      <c r="L246" s="6">
        <f t="shared" si="21"/>
        <v>4.4756280500541173E-2</v>
      </c>
      <c r="M246">
        <f t="shared" si="22"/>
        <v>1.3438311412812898</v>
      </c>
      <c r="N246">
        <f t="shared" si="23"/>
        <v>8.847513966480447</v>
      </c>
      <c r="O246">
        <f t="shared" si="24"/>
        <v>14732.59</v>
      </c>
      <c r="P246">
        <f t="shared" si="25"/>
        <v>0.15188799321170979</v>
      </c>
      <c r="Q246" t="s">
        <v>4138</v>
      </c>
      <c r="R246" t="s">
        <v>4142</v>
      </c>
      <c r="S246">
        <f>YEAR(marketing_data[[#This Row],[Start_date]])</f>
        <v>2023</v>
      </c>
      <c r="T246" t="str">
        <f>TEXT(marketing_data[[#This Row],[Start_date]],"ddd")</f>
        <v>Wed</v>
      </c>
      <c r="U246">
        <f>marketing_data[[#This Row],[Cleaned End_date]]-marketing_data[[#This Row],[Start_date]]</f>
        <v>28</v>
      </c>
    </row>
    <row r="247" spans="1:21" x14ac:dyDescent="0.2">
      <c r="A247" t="s">
        <v>530</v>
      </c>
      <c r="B247" t="s">
        <v>531</v>
      </c>
      <c r="C247" s="2">
        <v>45167</v>
      </c>
      <c r="D247" t="str">
        <f t="shared" si="20"/>
        <v>Aug</v>
      </c>
      <c r="E247" s="2">
        <v>45178</v>
      </c>
      <c r="F247" t="s">
        <v>23</v>
      </c>
      <c r="G247">
        <v>16708</v>
      </c>
      <c r="H247">
        <v>483</v>
      </c>
      <c r="I247">
        <v>87</v>
      </c>
      <c r="J247" t="b">
        <v>1</v>
      </c>
      <c r="K247" s="10">
        <v>795.86</v>
      </c>
      <c r="L247" s="6">
        <f t="shared" si="21"/>
        <v>2.8908307397653817E-2</v>
      </c>
      <c r="M247">
        <f t="shared" si="22"/>
        <v>1.6477432712215321</v>
      </c>
      <c r="N247">
        <f t="shared" si="23"/>
        <v>9.1478160919540237</v>
      </c>
      <c r="O247">
        <f t="shared" si="24"/>
        <v>3554.14</v>
      </c>
      <c r="P247">
        <f t="shared" si="25"/>
        <v>0.18012422360248448</v>
      </c>
      <c r="Q247" t="s">
        <v>4139</v>
      </c>
      <c r="R247" t="s">
        <v>4138</v>
      </c>
      <c r="S247">
        <f>YEAR(marketing_data[[#This Row],[Start_date]])</f>
        <v>2023</v>
      </c>
      <c r="T247" t="str">
        <f>TEXT(marketing_data[[#This Row],[Start_date]],"ddd")</f>
        <v>Tue</v>
      </c>
      <c r="U247">
        <f>marketing_data[[#This Row],[Cleaned End_date]]-marketing_data[[#This Row],[Start_date]]</f>
        <v>11</v>
      </c>
    </row>
    <row r="248" spans="1:21" x14ac:dyDescent="0.2">
      <c r="A248" t="s">
        <v>532</v>
      </c>
      <c r="B248" t="s">
        <v>533</v>
      </c>
      <c r="C248" s="2">
        <v>44953</v>
      </c>
      <c r="D248" t="str">
        <f t="shared" si="20"/>
        <v>Jan</v>
      </c>
      <c r="E248" s="2">
        <v>44971</v>
      </c>
      <c r="F248" t="s">
        <v>14</v>
      </c>
      <c r="G248">
        <v>92906</v>
      </c>
      <c r="H248">
        <v>2918</v>
      </c>
      <c r="J248" t="b">
        <v>0</v>
      </c>
      <c r="K248" s="10">
        <v>3631.7599999999998</v>
      </c>
      <c r="L248" s="6">
        <f t="shared" si="21"/>
        <v>3.1408089897315569E-2</v>
      </c>
      <c r="M248">
        <f t="shared" si="22"/>
        <v>1.2446058944482521</v>
      </c>
      <c r="N248">
        <f t="shared" si="23"/>
        <v>0</v>
      </c>
      <c r="O248">
        <f t="shared" si="24"/>
        <v>-3631.7599999999998</v>
      </c>
      <c r="P248">
        <f t="shared" si="25"/>
        <v>0</v>
      </c>
      <c r="Q248" t="s">
        <v>4138</v>
      </c>
      <c r="R248" t="s">
        <v>4142</v>
      </c>
      <c r="S248">
        <f>YEAR(marketing_data[[#This Row],[Start_date]])</f>
        <v>2023</v>
      </c>
      <c r="T248" t="str">
        <f>TEXT(marketing_data[[#This Row],[Start_date]],"ddd")</f>
        <v>Fri</v>
      </c>
      <c r="U248">
        <f>marketing_data[[#This Row],[Cleaned End_date]]-marketing_data[[#This Row],[Start_date]]</f>
        <v>18</v>
      </c>
    </row>
    <row r="249" spans="1:21" x14ac:dyDescent="0.2">
      <c r="A249" t="s">
        <v>534</v>
      </c>
      <c r="B249" t="s">
        <v>535</v>
      </c>
      <c r="C249" s="2">
        <v>44985</v>
      </c>
      <c r="D249" t="str">
        <f t="shared" si="20"/>
        <v>Feb</v>
      </c>
      <c r="E249" s="2">
        <v>45001</v>
      </c>
      <c r="F249" t="s">
        <v>41</v>
      </c>
      <c r="G249">
        <v>50811</v>
      </c>
      <c r="H249">
        <v>870</v>
      </c>
      <c r="J249" t="b">
        <v>1</v>
      </c>
      <c r="K249" s="10">
        <v>455.65</v>
      </c>
      <c r="L249" s="6">
        <f t="shared" si="21"/>
        <v>1.7122276672374093E-2</v>
      </c>
      <c r="M249">
        <f t="shared" si="22"/>
        <v>0.52373563218390806</v>
      </c>
      <c r="N249">
        <f t="shared" si="23"/>
        <v>0</v>
      </c>
      <c r="O249">
        <f t="shared" si="24"/>
        <v>-455.65</v>
      </c>
      <c r="P249">
        <f t="shared" si="25"/>
        <v>0</v>
      </c>
      <c r="Q249" t="s">
        <v>4138</v>
      </c>
      <c r="R249" t="s">
        <v>4138</v>
      </c>
      <c r="S249">
        <f>YEAR(marketing_data[[#This Row],[Start_date]])</f>
        <v>2023</v>
      </c>
      <c r="T249" t="str">
        <f>TEXT(marketing_data[[#This Row],[Start_date]],"ddd")</f>
        <v>Tue</v>
      </c>
      <c r="U249">
        <f>marketing_data[[#This Row],[Cleaned End_date]]-marketing_data[[#This Row],[Start_date]]</f>
        <v>16</v>
      </c>
    </row>
    <row r="250" spans="1:21" x14ac:dyDescent="0.2">
      <c r="A250" t="s">
        <v>536</v>
      </c>
      <c r="B250" t="s">
        <v>537</v>
      </c>
      <c r="C250" s="2">
        <v>44964</v>
      </c>
      <c r="D250" t="str">
        <f t="shared" si="20"/>
        <v>Feb</v>
      </c>
      <c r="E250" s="2">
        <v>44976</v>
      </c>
      <c r="F250" t="s">
        <v>19</v>
      </c>
      <c r="G250">
        <v>3811</v>
      </c>
      <c r="H250">
        <v>85</v>
      </c>
      <c r="I250">
        <v>7</v>
      </c>
      <c r="J250" t="b">
        <v>1</v>
      </c>
      <c r="K250" s="10">
        <v>329.13249999999999</v>
      </c>
      <c r="L250" s="6">
        <f t="shared" si="21"/>
        <v>2.2303857255313565E-2</v>
      </c>
      <c r="M250">
        <f t="shared" si="22"/>
        <v>3.8721470588235292</v>
      </c>
      <c r="N250">
        <f t="shared" si="23"/>
        <v>47.018928571428567</v>
      </c>
      <c r="O250">
        <f t="shared" si="24"/>
        <v>20.867500000000007</v>
      </c>
      <c r="P250">
        <f t="shared" si="25"/>
        <v>8.2352941176470587E-2</v>
      </c>
      <c r="Q250" t="s">
        <v>4138</v>
      </c>
      <c r="R250" t="s">
        <v>4139</v>
      </c>
      <c r="S250">
        <f>YEAR(marketing_data[[#This Row],[Start_date]])</f>
        <v>2023</v>
      </c>
      <c r="T250" t="str">
        <f>TEXT(marketing_data[[#This Row],[Start_date]],"ddd")</f>
        <v>Tue</v>
      </c>
      <c r="U250">
        <f>marketing_data[[#This Row],[Cleaned End_date]]-marketing_data[[#This Row],[Start_date]]</f>
        <v>12</v>
      </c>
    </row>
    <row r="251" spans="1:21" x14ac:dyDescent="0.2">
      <c r="A251" t="s">
        <v>538</v>
      </c>
      <c r="B251" t="s">
        <v>539</v>
      </c>
      <c r="C251" s="2">
        <v>45004</v>
      </c>
      <c r="D251" t="str">
        <f t="shared" si="20"/>
        <v>Mar</v>
      </c>
      <c r="E251" s="2">
        <v>45009</v>
      </c>
      <c r="F251" t="s">
        <v>19</v>
      </c>
      <c r="G251">
        <v>57250</v>
      </c>
      <c r="H251">
        <v>1099</v>
      </c>
      <c r="I251">
        <v>181</v>
      </c>
      <c r="J251" t="b">
        <v>0</v>
      </c>
      <c r="K251" s="10">
        <v>1325.72</v>
      </c>
      <c r="L251" s="6">
        <f t="shared" si="21"/>
        <v>1.9196506550218342E-2</v>
      </c>
      <c r="M251">
        <f t="shared" si="22"/>
        <v>1.2062966333030027</v>
      </c>
      <c r="N251">
        <f t="shared" si="23"/>
        <v>7.3244198895027628</v>
      </c>
      <c r="O251">
        <f t="shared" si="24"/>
        <v>7724.28</v>
      </c>
      <c r="P251">
        <f t="shared" si="25"/>
        <v>0.16469517743403095</v>
      </c>
      <c r="Q251" t="s">
        <v>4137</v>
      </c>
      <c r="R251" t="s">
        <v>4142</v>
      </c>
      <c r="S251">
        <f>YEAR(marketing_data[[#This Row],[Start_date]])</f>
        <v>2023</v>
      </c>
      <c r="T251" t="str">
        <f>TEXT(marketing_data[[#This Row],[Start_date]],"ddd")</f>
        <v>Sun</v>
      </c>
      <c r="U251">
        <f>marketing_data[[#This Row],[Cleaned End_date]]-marketing_data[[#This Row],[Start_date]]</f>
        <v>5</v>
      </c>
    </row>
    <row r="252" spans="1:21" x14ac:dyDescent="0.2">
      <c r="A252" t="s">
        <v>540</v>
      </c>
      <c r="B252" t="s">
        <v>541</v>
      </c>
      <c r="C252" s="2">
        <v>45052</v>
      </c>
      <c r="D252" t="str">
        <f t="shared" si="20"/>
        <v>May</v>
      </c>
      <c r="E252" s="2">
        <v>45093</v>
      </c>
      <c r="F252" t="s">
        <v>14</v>
      </c>
      <c r="G252">
        <v>73082</v>
      </c>
      <c r="H252">
        <v>1333</v>
      </c>
      <c r="J252" t="b">
        <v>1</v>
      </c>
      <c r="K252" s="10">
        <v>1978.28</v>
      </c>
      <c r="L252" s="6">
        <f t="shared" si="21"/>
        <v>1.8239785446484771E-2</v>
      </c>
      <c r="M252">
        <f t="shared" si="22"/>
        <v>1.4840810202550638</v>
      </c>
      <c r="N252">
        <f t="shared" si="23"/>
        <v>0</v>
      </c>
      <c r="O252">
        <f t="shared" si="24"/>
        <v>-1978.28</v>
      </c>
      <c r="P252">
        <f t="shared" si="25"/>
        <v>0</v>
      </c>
      <c r="Q252" t="s">
        <v>4137</v>
      </c>
      <c r="R252" t="s">
        <v>4139</v>
      </c>
      <c r="S252">
        <f>YEAR(marketing_data[[#This Row],[Start_date]])</f>
        <v>2023</v>
      </c>
      <c r="T252" t="str">
        <f>TEXT(marketing_data[[#This Row],[Start_date]],"ddd")</f>
        <v>Sat</v>
      </c>
      <c r="U252">
        <f>marketing_data[[#This Row],[Cleaned End_date]]-marketing_data[[#This Row],[Start_date]]</f>
        <v>41</v>
      </c>
    </row>
    <row r="253" spans="1:21" x14ac:dyDescent="0.2">
      <c r="A253" t="s">
        <v>542</v>
      </c>
      <c r="B253" t="s">
        <v>543</v>
      </c>
      <c r="C253" s="2">
        <v>45054</v>
      </c>
      <c r="D253" t="str">
        <f t="shared" si="20"/>
        <v>May</v>
      </c>
      <c r="E253" s="2">
        <v>45081</v>
      </c>
      <c r="F253" t="s">
        <v>14</v>
      </c>
      <c r="G253">
        <v>35754</v>
      </c>
      <c r="H253">
        <v>1269</v>
      </c>
      <c r="I253">
        <v>175</v>
      </c>
      <c r="J253" t="b">
        <v>0</v>
      </c>
      <c r="K253" s="10">
        <v>1699.66</v>
      </c>
      <c r="L253" s="6">
        <f t="shared" si="21"/>
        <v>3.5492532304077867E-2</v>
      </c>
      <c r="M253">
        <f t="shared" si="22"/>
        <v>1.3393695823483058</v>
      </c>
      <c r="N253">
        <f t="shared" si="23"/>
        <v>9.7123428571428576</v>
      </c>
      <c r="O253">
        <f t="shared" si="24"/>
        <v>7050.34</v>
      </c>
      <c r="P253">
        <f t="shared" si="25"/>
        <v>0.13790386130811663</v>
      </c>
      <c r="Q253" t="s">
        <v>4137</v>
      </c>
      <c r="R253" t="s">
        <v>4142</v>
      </c>
      <c r="S253">
        <f>YEAR(marketing_data[[#This Row],[Start_date]])</f>
        <v>2023</v>
      </c>
      <c r="T253" t="str">
        <f>TEXT(marketing_data[[#This Row],[Start_date]],"ddd")</f>
        <v>Mon</v>
      </c>
      <c r="U253">
        <f>marketing_data[[#This Row],[Cleaned End_date]]-marketing_data[[#This Row],[Start_date]]</f>
        <v>27</v>
      </c>
    </row>
    <row r="254" spans="1:21" x14ac:dyDescent="0.2">
      <c r="A254" t="s">
        <v>544</v>
      </c>
      <c r="B254" t="s">
        <v>545</v>
      </c>
      <c r="C254" s="2">
        <v>45237</v>
      </c>
      <c r="D254" t="str">
        <f t="shared" si="20"/>
        <v>Nov</v>
      </c>
      <c r="E254" s="2">
        <v>45261</v>
      </c>
      <c r="F254" t="s">
        <v>19</v>
      </c>
      <c r="G254">
        <v>96742</v>
      </c>
      <c r="H254">
        <v>1961</v>
      </c>
      <c r="I254">
        <v>160</v>
      </c>
      <c r="J254" t="b">
        <v>0</v>
      </c>
      <c r="K254" s="10">
        <v>3001.43</v>
      </c>
      <c r="L254" s="6">
        <f t="shared" si="21"/>
        <v>2.0270409956378823E-2</v>
      </c>
      <c r="M254">
        <f t="shared" si="22"/>
        <v>1.5305609382967873</v>
      </c>
      <c r="N254">
        <f t="shared" si="23"/>
        <v>18.758937499999998</v>
      </c>
      <c r="O254">
        <f t="shared" si="24"/>
        <v>4998.57</v>
      </c>
      <c r="P254">
        <f t="shared" si="25"/>
        <v>8.1591024987251404E-2</v>
      </c>
      <c r="Q254" t="s">
        <v>4136</v>
      </c>
      <c r="R254" t="s">
        <v>4138</v>
      </c>
      <c r="S254">
        <f>YEAR(marketing_data[[#This Row],[Start_date]])</f>
        <v>2023</v>
      </c>
      <c r="T254" t="str">
        <f>TEXT(marketing_data[[#This Row],[Start_date]],"ddd")</f>
        <v>Tue</v>
      </c>
      <c r="U254">
        <f>marketing_data[[#This Row],[Cleaned End_date]]-marketing_data[[#This Row],[Start_date]]</f>
        <v>24</v>
      </c>
    </row>
    <row r="255" spans="1:21" x14ac:dyDescent="0.2">
      <c r="A255" t="s">
        <v>546</v>
      </c>
      <c r="B255" t="s">
        <v>547</v>
      </c>
      <c r="C255" s="2">
        <v>45194</v>
      </c>
      <c r="D255" t="str">
        <f t="shared" si="20"/>
        <v>Sep</v>
      </c>
      <c r="E255" s="2">
        <v>45207</v>
      </c>
      <c r="F255" t="s">
        <v>14</v>
      </c>
      <c r="G255">
        <v>12411</v>
      </c>
      <c r="H255">
        <v>437</v>
      </c>
      <c r="I255">
        <v>28</v>
      </c>
      <c r="J255" t="b">
        <v>1</v>
      </c>
      <c r="K255" s="10">
        <v>649.87</v>
      </c>
      <c r="L255" s="6">
        <f t="shared" si="21"/>
        <v>3.5210700185319473E-2</v>
      </c>
      <c r="M255">
        <f t="shared" si="22"/>
        <v>1.4871167048054921</v>
      </c>
      <c r="N255">
        <f t="shared" si="23"/>
        <v>23.209642857142857</v>
      </c>
      <c r="O255">
        <f t="shared" si="24"/>
        <v>750.13</v>
      </c>
      <c r="P255">
        <f t="shared" si="25"/>
        <v>6.4073226544622428E-2</v>
      </c>
      <c r="Q255" t="s">
        <v>4136</v>
      </c>
      <c r="R255" t="s">
        <v>4139</v>
      </c>
      <c r="S255">
        <f>YEAR(marketing_data[[#This Row],[Start_date]])</f>
        <v>2023</v>
      </c>
      <c r="T255" t="str">
        <f>TEXT(marketing_data[[#This Row],[Start_date]],"ddd")</f>
        <v>Mon</v>
      </c>
      <c r="U255">
        <f>marketing_data[[#This Row],[Cleaned End_date]]-marketing_data[[#This Row],[Start_date]]</f>
        <v>13</v>
      </c>
    </row>
    <row r="256" spans="1:21" x14ac:dyDescent="0.2">
      <c r="A256" t="s">
        <v>548</v>
      </c>
      <c r="B256" t="s">
        <v>549</v>
      </c>
      <c r="C256" s="2">
        <v>45079</v>
      </c>
      <c r="D256" t="str">
        <f t="shared" si="20"/>
        <v>Jun</v>
      </c>
      <c r="E256" s="2">
        <v>45097</v>
      </c>
      <c r="F256" t="s">
        <v>14</v>
      </c>
      <c r="G256">
        <v>3911</v>
      </c>
      <c r="H256">
        <v>48</v>
      </c>
      <c r="I256">
        <v>2</v>
      </c>
      <c r="J256" t="b">
        <v>1</v>
      </c>
      <c r="K256" s="10">
        <v>329.13249999999999</v>
      </c>
      <c r="L256" s="6">
        <f t="shared" si="21"/>
        <v>1.2273075939657376E-2</v>
      </c>
      <c r="M256">
        <f t="shared" si="22"/>
        <v>6.8569270833333329</v>
      </c>
      <c r="N256">
        <f t="shared" si="23"/>
        <v>164.56625</v>
      </c>
      <c r="O256">
        <f t="shared" si="24"/>
        <v>-229.13249999999999</v>
      </c>
      <c r="P256">
        <f t="shared" si="25"/>
        <v>4.1666666666666664E-2</v>
      </c>
      <c r="Q256" t="s">
        <v>4139</v>
      </c>
      <c r="R256" t="s">
        <v>4138</v>
      </c>
      <c r="S256">
        <f>YEAR(marketing_data[[#This Row],[Start_date]])</f>
        <v>2023</v>
      </c>
      <c r="T256" t="str">
        <f>TEXT(marketing_data[[#This Row],[Start_date]],"ddd")</f>
        <v>Fri</v>
      </c>
      <c r="U256">
        <f>marketing_data[[#This Row],[Cleaned End_date]]-marketing_data[[#This Row],[Start_date]]</f>
        <v>18</v>
      </c>
    </row>
    <row r="257" spans="1:21" x14ac:dyDescent="0.2">
      <c r="A257" t="s">
        <v>550</v>
      </c>
      <c r="B257" t="s">
        <v>551</v>
      </c>
      <c r="C257" s="2">
        <v>45083</v>
      </c>
      <c r="D257" t="str">
        <f t="shared" si="20"/>
        <v>Jun</v>
      </c>
      <c r="E257" s="2">
        <v>45084</v>
      </c>
      <c r="F257" t="s">
        <v>23</v>
      </c>
      <c r="G257">
        <v>68270</v>
      </c>
      <c r="H257">
        <v>1069</v>
      </c>
      <c r="J257" t="b">
        <v>1</v>
      </c>
      <c r="K257" s="10">
        <v>1816.85</v>
      </c>
      <c r="L257" s="6">
        <f t="shared" si="21"/>
        <v>1.5658415116449394E-2</v>
      </c>
      <c r="M257">
        <f t="shared" si="22"/>
        <v>1.6995790458372311</v>
      </c>
      <c r="N257">
        <f t="shared" si="23"/>
        <v>0</v>
      </c>
      <c r="O257">
        <f t="shared" si="24"/>
        <v>-1816.85</v>
      </c>
      <c r="P257">
        <f t="shared" si="25"/>
        <v>0</v>
      </c>
      <c r="Q257" t="s">
        <v>4139</v>
      </c>
      <c r="R257" t="s">
        <v>4139</v>
      </c>
      <c r="S257">
        <f>YEAR(marketing_data[[#This Row],[Start_date]])</f>
        <v>2023</v>
      </c>
      <c r="T257" t="str">
        <f>TEXT(marketing_data[[#This Row],[Start_date]],"ddd")</f>
        <v>Tue</v>
      </c>
      <c r="U257">
        <f>marketing_data[[#This Row],[Cleaned End_date]]-marketing_data[[#This Row],[Start_date]]</f>
        <v>1</v>
      </c>
    </row>
    <row r="258" spans="1:21" x14ac:dyDescent="0.2">
      <c r="A258" t="s">
        <v>552</v>
      </c>
      <c r="B258" t="s">
        <v>553</v>
      </c>
      <c r="C258" s="2">
        <v>44977</v>
      </c>
      <c r="D258" t="str">
        <f t="shared" si="20"/>
        <v>Feb</v>
      </c>
      <c r="E258" s="2">
        <v>44998</v>
      </c>
      <c r="F258" t="s">
        <v>14</v>
      </c>
      <c r="G258">
        <v>84763</v>
      </c>
      <c r="H258">
        <v>1778</v>
      </c>
      <c r="I258">
        <v>308</v>
      </c>
      <c r="J258" t="b">
        <v>1</v>
      </c>
      <c r="K258" s="10">
        <v>1217.6600000000001</v>
      </c>
      <c r="L258" s="6">
        <f t="shared" si="21"/>
        <v>2.0976133454455363E-2</v>
      </c>
      <c r="M258">
        <f t="shared" si="22"/>
        <v>0.68484814398200233</v>
      </c>
      <c r="N258">
        <f t="shared" si="23"/>
        <v>3.9534415584415585</v>
      </c>
      <c r="O258">
        <f t="shared" si="24"/>
        <v>14182.34</v>
      </c>
      <c r="P258">
        <f t="shared" si="25"/>
        <v>0.17322834645669291</v>
      </c>
      <c r="Q258" t="s">
        <v>4138</v>
      </c>
      <c r="R258" t="s">
        <v>4139</v>
      </c>
      <c r="S258">
        <f>YEAR(marketing_data[[#This Row],[Start_date]])</f>
        <v>2023</v>
      </c>
      <c r="T258" t="str">
        <f>TEXT(marketing_data[[#This Row],[Start_date]],"ddd")</f>
        <v>Mon</v>
      </c>
      <c r="U258">
        <f>marketing_data[[#This Row],[Cleaned End_date]]-marketing_data[[#This Row],[Start_date]]</f>
        <v>21</v>
      </c>
    </row>
    <row r="259" spans="1:21" x14ac:dyDescent="0.2">
      <c r="A259" t="s">
        <v>554</v>
      </c>
      <c r="B259" t="s">
        <v>555</v>
      </c>
      <c r="C259" s="2">
        <v>45035</v>
      </c>
      <c r="D259" t="str">
        <f t="shared" ref="D259:D322" si="27">TEXT(C259,"mmm")</f>
        <v>Apr</v>
      </c>
      <c r="E259" s="2">
        <v>45049</v>
      </c>
      <c r="F259" t="s">
        <v>14</v>
      </c>
      <c r="G259">
        <v>9680</v>
      </c>
      <c r="H259">
        <v>327</v>
      </c>
      <c r="I259">
        <v>58</v>
      </c>
      <c r="J259" t="b">
        <v>0</v>
      </c>
      <c r="K259" s="10">
        <v>506.13</v>
      </c>
      <c r="L259" s="6">
        <f t="shared" ref="L259:L322" si="28">H259/G259</f>
        <v>3.378099173553719E-2</v>
      </c>
      <c r="M259">
        <f t="shared" ref="M259:M322" si="29">K259/H259</f>
        <v>1.5477981651376147</v>
      </c>
      <c r="N259">
        <f t="shared" ref="N259:N322" si="30">IFERROR(K259/I259,0)</f>
        <v>8.7263793103448268</v>
      </c>
      <c r="O259">
        <f t="shared" ref="O259:O322" si="31">(50*I259)-K259</f>
        <v>2393.87</v>
      </c>
      <c r="P259">
        <f t="shared" ref="P259:P322" si="32">I259/H259</f>
        <v>0.17737003058103976</v>
      </c>
      <c r="Q259" t="s">
        <v>4137</v>
      </c>
      <c r="R259" t="s">
        <v>4138</v>
      </c>
      <c r="S259">
        <f>YEAR(marketing_data[[#This Row],[Start_date]])</f>
        <v>2023</v>
      </c>
      <c r="T259" t="str">
        <f>TEXT(marketing_data[[#This Row],[Start_date]],"ddd")</f>
        <v>Wed</v>
      </c>
      <c r="U259">
        <f>marketing_data[[#This Row],[Cleaned End_date]]-marketing_data[[#This Row],[Start_date]]</f>
        <v>14</v>
      </c>
    </row>
    <row r="260" spans="1:21" x14ac:dyDescent="0.2">
      <c r="A260" t="s">
        <v>556</v>
      </c>
      <c r="B260" t="s">
        <v>557</v>
      </c>
      <c r="C260" s="2">
        <v>45049</v>
      </c>
      <c r="D260" t="str">
        <f t="shared" si="27"/>
        <v>May</v>
      </c>
      <c r="E260" s="2">
        <v>45079</v>
      </c>
      <c r="F260" t="s">
        <v>41</v>
      </c>
      <c r="G260">
        <v>85896</v>
      </c>
      <c r="H260">
        <v>3181</v>
      </c>
      <c r="I260">
        <v>380</v>
      </c>
      <c r="J260" t="b">
        <v>0</v>
      </c>
      <c r="K260" s="10">
        <v>3576.14</v>
      </c>
      <c r="L260" s="6">
        <f t="shared" si="28"/>
        <v>3.7033156375151345E-2</v>
      </c>
      <c r="M260">
        <f t="shared" si="29"/>
        <v>1.1242187991197736</v>
      </c>
      <c r="N260">
        <f t="shared" si="30"/>
        <v>9.4108947368421045</v>
      </c>
      <c r="O260">
        <f t="shared" si="31"/>
        <v>15423.86</v>
      </c>
      <c r="P260">
        <f t="shared" si="32"/>
        <v>0.11945928953159383</v>
      </c>
      <c r="Q260" t="s">
        <v>4137</v>
      </c>
      <c r="R260" t="s">
        <v>4139</v>
      </c>
      <c r="S260">
        <f>YEAR(marketing_data[[#This Row],[Start_date]])</f>
        <v>2023</v>
      </c>
      <c r="T260" t="str">
        <f>TEXT(marketing_data[[#This Row],[Start_date]],"ddd")</f>
        <v>Wed</v>
      </c>
      <c r="U260">
        <f>marketing_data[[#This Row],[Cleaned End_date]]-marketing_data[[#This Row],[Start_date]]</f>
        <v>30</v>
      </c>
    </row>
    <row r="261" spans="1:21" x14ac:dyDescent="0.2">
      <c r="A261" t="s">
        <v>558</v>
      </c>
      <c r="B261" t="s">
        <v>559</v>
      </c>
      <c r="C261" s="2">
        <v>44928</v>
      </c>
      <c r="D261" t="str">
        <f t="shared" si="27"/>
        <v>Jan</v>
      </c>
      <c r="E261" s="2">
        <v>44939</v>
      </c>
      <c r="F261" t="s">
        <v>33</v>
      </c>
      <c r="G261">
        <v>84879</v>
      </c>
      <c r="H261">
        <v>2351</v>
      </c>
      <c r="J261" t="b">
        <v>0</v>
      </c>
      <c r="K261" s="10">
        <v>2987.59</v>
      </c>
      <c r="L261" s="6">
        <f t="shared" si="28"/>
        <v>2.7698252806936934E-2</v>
      </c>
      <c r="M261">
        <f t="shared" si="29"/>
        <v>1.2707741386643983</v>
      </c>
      <c r="N261">
        <f t="shared" si="30"/>
        <v>0</v>
      </c>
      <c r="O261">
        <f t="shared" si="31"/>
        <v>-2987.59</v>
      </c>
      <c r="P261">
        <f t="shared" si="32"/>
        <v>0</v>
      </c>
      <c r="Q261" t="s">
        <v>4138</v>
      </c>
      <c r="R261" t="s">
        <v>4142</v>
      </c>
      <c r="S261">
        <f>YEAR(marketing_data[[#This Row],[Start_date]])</f>
        <v>2023</v>
      </c>
      <c r="T261" t="str">
        <f>TEXT(marketing_data[[#This Row],[Start_date]],"ddd")</f>
        <v>Mon</v>
      </c>
      <c r="U261">
        <f>marketing_data[[#This Row],[Cleaned End_date]]-marketing_data[[#This Row],[Start_date]]</f>
        <v>11</v>
      </c>
    </row>
    <row r="262" spans="1:21" x14ac:dyDescent="0.2">
      <c r="A262" t="s">
        <v>560</v>
      </c>
      <c r="B262" t="s">
        <v>561</v>
      </c>
      <c r="C262" s="2">
        <v>45167</v>
      </c>
      <c r="D262" t="str">
        <f t="shared" si="27"/>
        <v>Aug</v>
      </c>
      <c r="E262" s="2">
        <v>45180</v>
      </c>
      <c r="F262" t="s">
        <v>19</v>
      </c>
      <c r="G262">
        <v>72295</v>
      </c>
      <c r="H262">
        <v>2012</v>
      </c>
      <c r="I262">
        <v>386</v>
      </c>
      <c r="J262" t="b">
        <v>1</v>
      </c>
      <c r="K262" s="10">
        <v>3631.7599999999998</v>
      </c>
      <c r="L262" s="6">
        <f t="shared" si="28"/>
        <v>2.7830417041289163E-2</v>
      </c>
      <c r="M262">
        <f t="shared" si="29"/>
        <v>1.8050497017892644</v>
      </c>
      <c r="N262">
        <f t="shared" si="30"/>
        <v>9.4087046632124345</v>
      </c>
      <c r="O262">
        <f t="shared" si="31"/>
        <v>15668.24</v>
      </c>
      <c r="P262">
        <f t="shared" si="32"/>
        <v>0.19184890656063619</v>
      </c>
      <c r="Q262" t="s">
        <v>4139</v>
      </c>
      <c r="R262" t="s">
        <v>4141</v>
      </c>
      <c r="S262">
        <f>YEAR(marketing_data[[#This Row],[Start_date]])</f>
        <v>2023</v>
      </c>
      <c r="T262" t="str">
        <f>TEXT(marketing_data[[#This Row],[Start_date]],"ddd")</f>
        <v>Tue</v>
      </c>
      <c r="U262">
        <f>marketing_data[[#This Row],[Cleaned End_date]]-marketing_data[[#This Row],[Start_date]]</f>
        <v>13</v>
      </c>
    </row>
    <row r="263" spans="1:21" x14ac:dyDescent="0.2">
      <c r="A263" t="s">
        <v>562</v>
      </c>
      <c r="B263" t="s">
        <v>563</v>
      </c>
      <c r="C263" s="2">
        <v>45288</v>
      </c>
      <c r="D263" t="str">
        <f t="shared" si="27"/>
        <v>Dec</v>
      </c>
      <c r="E263" s="2">
        <v>45294</v>
      </c>
      <c r="F263" t="s">
        <v>19</v>
      </c>
      <c r="G263">
        <v>89614</v>
      </c>
      <c r="H263">
        <v>3493</v>
      </c>
      <c r="I263">
        <v>318</v>
      </c>
      <c r="J263" t="b">
        <v>0</v>
      </c>
      <c r="K263" s="10">
        <v>3631.7599999999998</v>
      </c>
      <c r="L263" s="6">
        <f t="shared" si="28"/>
        <v>3.8978284643024524E-2</v>
      </c>
      <c r="M263">
        <f t="shared" si="29"/>
        <v>1.0397251646149441</v>
      </c>
      <c r="N263">
        <f t="shared" si="30"/>
        <v>11.420628930817609</v>
      </c>
      <c r="O263">
        <f t="shared" si="31"/>
        <v>12268.24</v>
      </c>
      <c r="P263">
        <f t="shared" si="32"/>
        <v>9.1039221299742346E-2</v>
      </c>
      <c r="Q263" t="s">
        <v>4138</v>
      </c>
      <c r="R263" t="s">
        <v>4139</v>
      </c>
      <c r="S263">
        <f>YEAR(marketing_data[[#This Row],[Start_date]])</f>
        <v>2023</v>
      </c>
      <c r="T263" t="str">
        <f>TEXT(marketing_data[[#This Row],[Start_date]],"ddd")</f>
        <v>Thu</v>
      </c>
      <c r="U263">
        <f>marketing_data[[#This Row],[Cleaned End_date]]-marketing_data[[#This Row],[Start_date]]</f>
        <v>6</v>
      </c>
    </row>
    <row r="264" spans="1:21" x14ac:dyDescent="0.2">
      <c r="A264" t="s">
        <v>564</v>
      </c>
      <c r="B264" t="s">
        <v>565</v>
      </c>
      <c r="C264" s="2">
        <v>44963</v>
      </c>
      <c r="D264" t="str">
        <f t="shared" si="27"/>
        <v>Feb</v>
      </c>
      <c r="E264" s="2">
        <v>44974</v>
      </c>
      <c r="F264" t="s">
        <v>19</v>
      </c>
      <c r="G264">
        <v>12111</v>
      </c>
      <c r="H264">
        <v>128</v>
      </c>
      <c r="J264" t="b">
        <v>1</v>
      </c>
      <c r="K264" s="10">
        <v>329.13249999999999</v>
      </c>
      <c r="L264" s="6">
        <f t="shared" si="28"/>
        <v>1.056890430187433E-2</v>
      </c>
      <c r="M264">
        <f t="shared" si="29"/>
        <v>2.5713476562499999</v>
      </c>
      <c r="N264">
        <f t="shared" si="30"/>
        <v>0</v>
      </c>
      <c r="O264">
        <f t="shared" si="31"/>
        <v>-329.13249999999999</v>
      </c>
      <c r="P264">
        <f t="shared" si="32"/>
        <v>0</v>
      </c>
      <c r="Q264" t="s">
        <v>4138</v>
      </c>
      <c r="R264" t="s">
        <v>4142</v>
      </c>
      <c r="S264">
        <f>YEAR(marketing_data[[#This Row],[Start_date]])</f>
        <v>2023</v>
      </c>
      <c r="T264" t="str">
        <f>TEXT(marketing_data[[#This Row],[Start_date]],"ddd")</f>
        <v>Mon</v>
      </c>
      <c r="U264">
        <f>marketing_data[[#This Row],[Cleaned End_date]]-marketing_data[[#This Row],[Start_date]]</f>
        <v>11</v>
      </c>
    </row>
    <row r="265" spans="1:21" x14ac:dyDescent="0.2">
      <c r="A265" t="s">
        <v>566</v>
      </c>
      <c r="B265" t="s">
        <v>567</v>
      </c>
      <c r="C265" s="2">
        <v>45247</v>
      </c>
      <c r="D265" t="str">
        <f t="shared" si="27"/>
        <v>Nov</v>
      </c>
      <c r="E265" s="2">
        <v>45267</v>
      </c>
      <c r="F265" t="s">
        <v>14</v>
      </c>
      <c r="G265">
        <v>38504</v>
      </c>
      <c r="H265">
        <v>910</v>
      </c>
      <c r="I265">
        <v>172</v>
      </c>
      <c r="J265" t="b">
        <v>1</v>
      </c>
      <c r="K265" s="10">
        <v>1151.3499999999999</v>
      </c>
      <c r="L265" s="6">
        <f t="shared" si="28"/>
        <v>2.3633908165385416E-2</v>
      </c>
      <c r="M265">
        <f t="shared" si="29"/>
        <v>1.2652197802197802</v>
      </c>
      <c r="N265">
        <f t="shared" si="30"/>
        <v>6.6938953488372084</v>
      </c>
      <c r="O265">
        <f t="shared" si="31"/>
        <v>7448.65</v>
      </c>
      <c r="P265">
        <f t="shared" si="32"/>
        <v>0.18901098901098901</v>
      </c>
      <c r="Q265" t="s">
        <v>4136</v>
      </c>
      <c r="R265" t="s">
        <v>4141</v>
      </c>
      <c r="S265">
        <f>YEAR(marketing_data[[#This Row],[Start_date]])</f>
        <v>2023</v>
      </c>
      <c r="T265" t="str">
        <f>TEXT(marketing_data[[#This Row],[Start_date]],"ddd")</f>
        <v>Fri</v>
      </c>
      <c r="U265">
        <f>marketing_data[[#This Row],[Cleaned End_date]]-marketing_data[[#This Row],[Start_date]]</f>
        <v>20</v>
      </c>
    </row>
    <row r="266" spans="1:21" x14ac:dyDescent="0.2">
      <c r="A266" t="s">
        <v>568</v>
      </c>
      <c r="B266" t="s">
        <v>569</v>
      </c>
      <c r="C266" s="2">
        <v>45028</v>
      </c>
      <c r="D266" t="str">
        <f t="shared" si="27"/>
        <v>Apr</v>
      </c>
      <c r="E266" s="2">
        <v>45055</v>
      </c>
      <c r="F266" t="s">
        <v>41</v>
      </c>
      <c r="G266">
        <v>2802</v>
      </c>
      <c r="H266">
        <v>119</v>
      </c>
      <c r="I266">
        <v>11</v>
      </c>
      <c r="J266" t="b">
        <v>1</v>
      </c>
      <c r="K266" s="10">
        <v>329.13249999999999</v>
      </c>
      <c r="L266" s="6">
        <f t="shared" si="28"/>
        <v>4.246966452533904E-2</v>
      </c>
      <c r="M266">
        <f t="shared" si="29"/>
        <v>2.7658193277310925</v>
      </c>
      <c r="N266">
        <f t="shared" si="30"/>
        <v>29.921136363636364</v>
      </c>
      <c r="O266">
        <f t="shared" si="31"/>
        <v>220.86750000000001</v>
      </c>
      <c r="P266">
        <f t="shared" si="32"/>
        <v>9.2436974789915971E-2</v>
      </c>
      <c r="Q266" t="s">
        <v>4137</v>
      </c>
      <c r="R266" t="s">
        <v>4141</v>
      </c>
      <c r="S266">
        <f>YEAR(marketing_data[[#This Row],[Start_date]])</f>
        <v>2023</v>
      </c>
      <c r="T266" t="str">
        <f>TEXT(marketing_data[[#This Row],[Start_date]],"ddd")</f>
        <v>Wed</v>
      </c>
      <c r="U266">
        <f>marketing_data[[#This Row],[Cleaned End_date]]-marketing_data[[#This Row],[Start_date]]</f>
        <v>27</v>
      </c>
    </row>
    <row r="267" spans="1:21" x14ac:dyDescent="0.2">
      <c r="A267" t="s">
        <v>570</v>
      </c>
      <c r="B267" t="s">
        <v>571</v>
      </c>
      <c r="C267" s="2">
        <v>45258</v>
      </c>
      <c r="D267" t="str">
        <f t="shared" si="27"/>
        <v>Nov</v>
      </c>
      <c r="E267" s="2">
        <v>45283</v>
      </c>
      <c r="F267" t="s">
        <v>41</v>
      </c>
      <c r="G267">
        <v>9155</v>
      </c>
      <c r="H267">
        <v>312</v>
      </c>
      <c r="I267">
        <v>58</v>
      </c>
      <c r="J267" t="b">
        <v>0</v>
      </c>
      <c r="K267" s="10">
        <v>396.04</v>
      </c>
      <c r="L267" s="6">
        <f t="shared" si="28"/>
        <v>3.4079737848170401E-2</v>
      </c>
      <c r="M267">
        <f t="shared" si="29"/>
        <v>1.2693589743589744</v>
      </c>
      <c r="N267">
        <f t="shared" si="30"/>
        <v>6.8282758620689661</v>
      </c>
      <c r="O267">
        <f t="shared" si="31"/>
        <v>2503.96</v>
      </c>
      <c r="P267">
        <f t="shared" si="32"/>
        <v>0.1858974358974359</v>
      </c>
      <c r="Q267" t="s">
        <v>4136</v>
      </c>
      <c r="R267" t="s">
        <v>4142</v>
      </c>
      <c r="S267">
        <f>YEAR(marketing_data[[#This Row],[Start_date]])</f>
        <v>2023</v>
      </c>
      <c r="T267" t="str">
        <f>TEXT(marketing_data[[#This Row],[Start_date]],"ddd")</f>
        <v>Tue</v>
      </c>
      <c r="U267">
        <f>marketing_data[[#This Row],[Cleaned End_date]]-marketing_data[[#This Row],[Start_date]]</f>
        <v>25</v>
      </c>
    </row>
    <row r="268" spans="1:21" x14ac:dyDescent="0.2">
      <c r="A268" t="s">
        <v>572</v>
      </c>
      <c r="B268" t="s">
        <v>573</v>
      </c>
      <c r="C268" s="2">
        <v>44999</v>
      </c>
      <c r="D268" t="str">
        <f t="shared" si="27"/>
        <v>Mar</v>
      </c>
      <c r="E268" s="2">
        <v>45001</v>
      </c>
      <c r="F268" t="s">
        <v>23</v>
      </c>
      <c r="G268">
        <v>74656</v>
      </c>
      <c r="H268">
        <v>1753</v>
      </c>
      <c r="I268">
        <v>345</v>
      </c>
      <c r="J268" t="b">
        <v>0</v>
      </c>
      <c r="K268" s="10">
        <v>3163.13</v>
      </c>
      <c r="L268" s="6">
        <f t="shared" si="28"/>
        <v>2.3481033004714959E-2</v>
      </c>
      <c r="M268">
        <f t="shared" si="29"/>
        <v>1.8044095835710212</v>
      </c>
      <c r="N268">
        <f t="shared" si="30"/>
        <v>9.1684927536231893</v>
      </c>
      <c r="O268">
        <f t="shared" si="31"/>
        <v>14086.869999999999</v>
      </c>
      <c r="P268">
        <f t="shared" si="32"/>
        <v>0.19680547632629777</v>
      </c>
      <c r="Q268" t="s">
        <v>4137</v>
      </c>
      <c r="R268" t="s">
        <v>4138</v>
      </c>
      <c r="S268">
        <f>YEAR(marketing_data[[#This Row],[Start_date]])</f>
        <v>2023</v>
      </c>
      <c r="T268" t="str">
        <f>TEXT(marketing_data[[#This Row],[Start_date]],"ddd")</f>
        <v>Tue</v>
      </c>
      <c r="U268">
        <f>marketing_data[[#This Row],[Cleaned End_date]]-marketing_data[[#This Row],[Start_date]]</f>
        <v>2</v>
      </c>
    </row>
    <row r="269" spans="1:21" x14ac:dyDescent="0.2">
      <c r="A269" t="s">
        <v>575</v>
      </c>
      <c r="B269" t="s">
        <v>576</v>
      </c>
      <c r="C269" s="2">
        <v>45011</v>
      </c>
      <c r="D269" t="str">
        <f t="shared" si="27"/>
        <v>Mar</v>
      </c>
      <c r="E269" s="2">
        <v>45032</v>
      </c>
      <c r="F269" t="s">
        <v>23</v>
      </c>
      <c r="G269">
        <v>40384</v>
      </c>
      <c r="H269">
        <v>1866</v>
      </c>
      <c r="I269">
        <v>278</v>
      </c>
      <c r="J269" t="b">
        <v>1</v>
      </c>
      <c r="K269" s="10">
        <v>2060.37</v>
      </c>
      <c r="L269" s="6">
        <f t="shared" si="28"/>
        <v>4.6206418383518223E-2</v>
      </c>
      <c r="M269">
        <f t="shared" si="29"/>
        <v>1.1041639871382636</v>
      </c>
      <c r="N269">
        <f t="shared" si="30"/>
        <v>7.4114028776978413</v>
      </c>
      <c r="O269">
        <f t="shared" si="31"/>
        <v>11839.630000000001</v>
      </c>
      <c r="P269">
        <f t="shared" si="32"/>
        <v>0.14898177920685959</v>
      </c>
      <c r="Q269" t="s">
        <v>4137</v>
      </c>
      <c r="R269" t="s">
        <v>4141</v>
      </c>
      <c r="S269">
        <f>YEAR(marketing_data[[#This Row],[Start_date]])</f>
        <v>2023</v>
      </c>
      <c r="T269" t="str">
        <f>TEXT(marketing_data[[#This Row],[Start_date]],"ddd")</f>
        <v>Sun</v>
      </c>
      <c r="U269">
        <f>marketing_data[[#This Row],[Cleaned End_date]]-marketing_data[[#This Row],[Start_date]]</f>
        <v>21</v>
      </c>
    </row>
    <row r="270" spans="1:21" x14ac:dyDescent="0.2">
      <c r="A270" t="s">
        <v>577</v>
      </c>
      <c r="B270" t="s">
        <v>578</v>
      </c>
      <c r="C270" s="2">
        <v>45218</v>
      </c>
      <c r="D270" t="str">
        <f t="shared" si="27"/>
        <v>Oct</v>
      </c>
      <c r="E270" s="2">
        <v>45228</v>
      </c>
      <c r="F270" t="s">
        <v>33</v>
      </c>
      <c r="G270">
        <v>48254</v>
      </c>
      <c r="H270">
        <v>1973</v>
      </c>
      <c r="I270">
        <v>340</v>
      </c>
      <c r="J270" t="b">
        <v>0</v>
      </c>
      <c r="K270" s="10">
        <v>3631.7599999999998</v>
      </c>
      <c r="L270" s="6">
        <f t="shared" si="28"/>
        <v>4.0887802047498652E-2</v>
      </c>
      <c r="M270">
        <f t="shared" si="29"/>
        <v>1.8407298530157119</v>
      </c>
      <c r="N270">
        <f t="shared" si="30"/>
        <v>10.681647058823529</v>
      </c>
      <c r="O270">
        <f t="shared" si="31"/>
        <v>13368.24</v>
      </c>
      <c r="P270">
        <f t="shared" si="32"/>
        <v>0.17232640648758235</v>
      </c>
      <c r="Q270" t="s">
        <v>4136</v>
      </c>
      <c r="R270" t="s">
        <v>4142</v>
      </c>
      <c r="S270">
        <f>YEAR(marketing_data[[#This Row],[Start_date]])</f>
        <v>2023</v>
      </c>
      <c r="T270" t="str">
        <f>TEXT(marketing_data[[#This Row],[Start_date]],"ddd")</f>
        <v>Thu</v>
      </c>
      <c r="U270">
        <f>marketing_data[[#This Row],[Cleaned End_date]]-marketing_data[[#This Row],[Start_date]]</f>
        <v>10</v>
      </c>
    </row>
    <row r="271" spans="1:21" x14ac:dyDescent="0.2">
      <c r="A271" t="s">
        <v>579</v>
      </c>
      <c r="B271" t="s">
        <v>580</v>
      </c>
      <c r="C271" s="2">
        <v>45166</v>
      </c>
      <c r="D271" t="str">
        <f t="shared" si="27"/>
        <v>Aug</v>
      </c>
      <c r="E271" s="2">
        <v>45177</v>
      </c>
      <c r="F271" t="s">
        <v>23</v>
      </c>
      <c r="G271">
        <v>22918</v>
      </c>
      <c r="H271">
        <v>472</v>
      </c>
      <c r="I271">
        <v>76</v>
      </c>
      <c r="J271" t="b">
        <v>1</v>
      </c>
      <c r="K271" s="10">
        <v>896.08</v>
      </c>
      <c r="L271" s="6">
        <f t="shared" si="28"/>
        <v>2.0595165372196526E-2</v>
      </c>
      <c r="M271">
        <f t="shared" si="29"/>
        <v>1.8984745762711865</v>
      </c>
      <c r="N271">
        <f t="shared" si="30"/>
        <v>11.790526315789474</v>
      </c>
      <c r="O271">
        <f t="shared" si="31"/>
        <v>2903.92</v>
      </c>
      <c r="P271">
        <f t="shared" si="32"/>
        <v>0.16101694915254236</v>
      </c>
      <c r="Q271" t="s">
        <v>4139</v>
      </c>
      <c r="R271" t="s">
        <v>4138</v>
      </c>
      <c r="S271">
        <f>YEAR(marketing_data[[#This Row],[Start_date]])</f>
        <v>2023</v>
      </c>
      <c r="T271" t="str">
        <f>TEXT(marketing_data[[#This Row],[Start_date]],"ddd")</f>
        <v>Mon</v>
      </c>
      <c r="U271">
        <f>marketing_data[[#This Row],[Cleaned End_date]]-marketing_data[[#This Row],[Start_date]]</f>
        <v>11</v>
      </c>
    </row>
    <row r="272" spans="1:21" x14ac:dyDescent="0.2">
      <c r="A272" t="s">
        <v>581</v>
      </c>
      <c r="B272" t="s">
        <v>582</v>
      </c>
      <c r="C272" s="2">
        <v>45066</v>
      </c>
      <c r="D272" t="str">
        <f t="shared" si="27"/>
        <v>May</v>
      </c>
      <c r="E272" s="2">
        <v>45085</v>
      </c>
      <c r="F272" t="s">
        <v>33</v>
      </c>
      <c r="G272">
        <v>86981</v>
      </c>
      <c r="H272">
        <v>3114</v>
      </c>
      <c r="I272">
        <v>482</v>
      </c>
      <c r="J272" t="b">
        <v>1</v>
      </c>
      <c r="K272" s="10">
        <v>3631.7599999999998</v>
      </c>
      <c r="L272" s="6">
        <f t="shared" si="28"/>
        <v>3.5800922040445618E-2</v>
      </c>
      <c r="M272">
        <f t="shared" si="29"/>
        <v>1.1662684649967887</v>
      </c>
      <c r="N272">
        <f t="shared" si="30"/>
        <v>7.5347717842323645</v>
      </c>
      <c r="O272">
        <f t="shared" si="31"/>
        <v>20468.240000000002</v>
      </c>
      <c r="P272">
        <f t="shared" si="32"/>
        <v>0.15478484264611433</v>
      </c>
      <c r="Q272" t="s">
        <v>4137</v>
      </c>
      <c r="R272" t="s">
        <v>4141</v>
      </c>
      <c r="S272">
        <f>YEAR(marketing_data[[#This Row],[Start_date]])</f>
        <v>2023</v>
      </c>
      <c r="T272" t="str">
        <f>TEXT(marketing_data[[#This Row],[Start_date]],"ddd")</f>
        <v>Sat</v>
      </c>
      <c r="U272">
        <f>marketing_data[[#This Row],[Cleaned End_date]]-marketing_data[[#This Row],[Start_date]]</f>
        <v>19</v>
      </c>
    </row>
    <row r="273" spans="1:21" x14ac:dyDescent="0.2">
      <c r="A273" t="s">
        <v>583</v>
      </c>
      <c r="B273" t="s">
        <v>584</v>
      </c>
      <c r="C273" s="2">
        <v>44968</v>
      </c>
      <c r="D273" t="str">
        <f t="shared" si="27"/>
        <v>Feb</v>
      </c>
      <c r="E273" s="2">
        <v>44993</v>
      </c>
      <c r="F273" t="s">
        <v>14</v>
      </c>
      <c r="G273">
        <v>61713</v>
      </c>
      <c r="H273">
        <v>2087</v>
      </c>
      <c r="I273">
        <v>200</v>
      </c>
      <c r="J273" t="b">
        <v>1</v>
      </c>
      <c r="K273" s="10">
        <v>1918.21</v>
      </c>
      <c r="L273" s="6">
        <f t="shared" si="28"/>
        <v>3.3817834167841461E-2</v>
      </c>
      <c r="M273">
        <f t="shared" si="29"/>
        <v>0.91912314326784861</v>
      </c>
      <c r="N273">
        <f t="shared" si="30"/>
        <v>9.591050000000001</v>
      </c>
      <c r="O273">
        <f t="shared" si="31"/>
        <v>8081.79</v>
      </c>
      <c r="P273">
        <f t="shared" si="32"/>
        <v>9.5831336847149021E-2</v>
      </c>
      <c r="Q273" t="s">
        <v>4138</v>
      </c>
      <c r="R273" t="s">
        <v>4141</v>
      </c>
      <c r="S273">
        <f>YEAR(marketing_data[[#This Row],[Start_date]])</f>
        <v>2023</v>
      </c>
      <c r="T273" t="str">
        <f>TEXT(marketing_data[[#This Row],[Start_date]],"ddd")</f>
        <v>Sat</v>
      </c>
      <c r="U273">
        <f>marketing_data[[#This Row],[Cleaned End_date]]-marketing_data[[#This Row],[Start_date]]</f>
        <v>25</v>
      </c>
    </row>
    <row r="274" spans="1:21" x14ac:dyDescent="0.2">
      <c r="A274" t="s">
        <v>585</v>
      </c>
      <c r="B274" t="s">
        <v>586</v>
      </c>
      <c r="C274" s="2">
        <v>45092</v>
      </c>
      <c r="D274" t="str">
        <f t="shared" si="27"/>
        <v>Jun</v>
      </c>
      <c r="E274" s="2">
        <v>45111</v>
      </c>
      <c r="F274" t="s">
        <v>14</v>
      </c>
      <c r="G274">
        <v>31306</v>
      </c>
      <c r="H274">
        <v>815</v>
      </c>
      <c r="I274">
        <v>47</v>
      </c>
      <c r="J274" t="b">
        <v>0</v>
      </c>
      <c r="K274" s="10">
        <v>568.45000000000005</v>
      </c>
      <c r="L274" s="6">
        <f t="shared" si="28"/>
        <v>2.6033348239954002E-2</v>
      </c>
      <c r="M274">
        <f t="shared" si="29"/>
        <v>0.69748466257668718</v>
      </c>
      <c r="N274">
        <f t="shared" si="30"/>
        <v>12.094680851063831</v>
      </c>
      <c r="O274">
        <f t="shared" si="31"/>
        <v>1781.55</v>
      </c>
      <c r="P274">
        <f t="shared" si="32"/>
        <v>5.7668711656441718E-2</v>
      </c>
      <c r="Q274" t="s">
        <v>4139</v>
      </c>
      <c r="R274" t="s">
        <v>4142</v>
      </c>
      <c r="S274">
        <f>YEAR(marketing_data[[#This Row],[Start_date]])</f>
        <v>2023</v>
      </c>
      <c r="T274" t="str">
        <f>TEXT(marketing_data[[#This Row],[Start_date]],"ddd")</f>
        <v>Thu</v>
      </c>
      <c r="U274">
        <f>marketing_data[[#This Row],[Cleaned End_date]]-marketing_data[[#This Row],[Start_date]]</f>
        <v>19</v>
      </c>
    </row>
    <row r="275" spans="1:21" x14ac:dyDescent="0.2">
      <c r="A275" t="s">
        <v>587</v>
      </c>
      <c r="B275" t="s">
        <v>588</v>
      </c>
      <c r="C275" s="2">
        <v>45044</v>
      </c>
      <c r="D275" t="str">
        <f t="shared" si="27"/>
        <v>Apr</v>
      </c>
      <c r="E275" s="2">
        <v>45046</v>
      </c>
      <c r="F275" t="s">
        <v>33</v>
      </c>
      <c r="G275">
        <v>17646</v>
      </c>
      <c r="H275">
        <v>435</v>
      </c>
      <c r="I275">
        <v>44</v>
      </c>
      <c r="J275" t="b">
        <v>1</v>
      </c>
      <c r="K275" s="10">
        <v>775.19</v>
      </c>
      <c r="L275" s="6">
        <f t="shared" si="28"/>
        <v>2.4651479088745324E-2</v>
      </c>
      <c r="M275">
        <f t="shared" si="29"/>
        <v>1.7820459770114945</v>
      </c>
      <c r="N275">
        <f t="shared" si="30"/>
        <v>17.617954545454548</v>
      </c>
      <c r="O275">
        <f t="shared" si="31"/>
        <v>1424.81</v>
      </c>
      <c r="P275">
        <f t="shared" si="32"/>
        <v>0.10114942528735632</v>
      </c>
      <c r="Q275" t="s">
        <v>4137</v>
      </c>
      <c r="R275" t="s">
        <v>4141</v>
      </c>
      <c r="S275">
        <f>YEAR(marketing_data[[#This Row],[Start_date]])</f>
        <v>2023</v>
      </c>
      <c r="T275" t="str">
        <f>TEXT(marketing_data[[#This Row],[Start_date]],"ddd")</f>
        <v>Fri</v>
      </c>
      <c r="U275">
        <f>marketing_data[[#This Row],[Cleaned End_date]]-marketing_data[[#This Row],[Start_date]]</f>
        <v>2</v>
      </c>
    </row>
    <row r="276" spans="1:21" x14ac:dyDescent="0.2">
      <c r="A276" t="s">
        <v>589</v>
      </c>
      <c r="B276" t="s">
        <v>590</v>
      </c>
      <c r="C276" s="2">
        <v>45221</v>
      </c>
      <c r="D276" t="str">
        <f t="shared" si="27"/>
        <v>Oct</v>
      </c>
      <c r="E276" s="2">
        <v>45250</v>
      </c>
      <c r="F276" t="s">
        <v>14</v>
      </c>
      <c r="G276">
        <v>47843</v>
      </c>
      <c r="H276">
        <v>1135</v>
      </c>
      <c r="J276" t="b">
        <v>0</v>
      </c>
      <c r="K276" s="10">
        <v>848.93</v>
      </c>
      <c r="L276" s="6">
        <f t="shared" si="28"/>
        <v>2.372342871475451E-2</v>
      </c>
      <c r="M276">
        <f t="shared" si="29"/>
        <v>0.74795594713656388</v>
      </c>
      <c r="N276">
        <f t="shared" si="30"/>
        <v>0</v>
      </c>
      <c r="O276">
        <f t="shared" si="31"/>
        <v>-848.93</v>
      </c>
      <c r="P276">
        <f t="shared" si="32"/>
        <v>0</v>
      </c>
      <c r="Q276" t="s">
        <v>4136</v>
      </c>
      <c r="R276" t="s">
        <v>4138</v>
      </c>
      <c r="S276">
        <f>YEAR(marketing_data[[#This Row],[Start_date]])</f>
        <v>2023</v>
      </c>
      <c r="T276" t="str">
        <f>TEXT(marketing_data[[#This Row],[Start_date]],"ddd")</f>
        <v>Sun</v>
      </c>
      <c r="U276">
        <f>marketing_data[[#This Row],[Cleaned End_date]]-marketing_data[[#This Row],[Start_date]]</f>
        <v>29</v>
      </c>
    </row>
    <row r="277" spans="1:21" x14ac:dyDescent="0.2">
      <c r="A277" t="s">
        <v>591</v>
      </c>
      <c r="B277" t="s">
        <v>592</v>
      </c>
      <c r="C277" s="2">
        <v>45271</v>
      </c>
      <c r="D277" t="str">
        <f t="shared" si="27"/>
        <v>Dec</v>
      </c>
      <c r="E277" s="2">
        <v>45288</v>
      </c>
      <c r="F277" t="s">
        <v>23</v>
      </c>
      <c r="G277">
        <v>97601</v>
      </c>
      <c r="H277">
        <v>3385</v>
      </c>
      <c r="I277">
        <v>221</v>
      </c>
      <c r="J277" t="b">
        <v>1</v>
      </c>
      <c r="K277" s="10">
        <v>3631.7599999999998</v>
      </c>
      <c r="L277" s="6">
        <f t="shared" si="28"/>
        <v>3.4682021700597331E-2</v>
      </c>
      <c r="M277">
        <f t="shared" si="29"/>
        <v>1.0728980797636631</v>
      </c>
      <c r="N277">
        <f t="shared" si="30"/>
        <v>16.433303167420814</v>
      </c>
      <c r="O277">
        <f t="shared" si="31"/>
        <v>7418.24</v>
      </c>
      <c r="P277">
        <f t="shared" si="32"/>
        <v>6.5288035450516993E-2</v>
      </c>
      <c r="Q277" t="s">
        <v>4138</v>
      </c>
      <c r="R277" t="s">
        <v>4142</v>
      </c>
      <c r="S277">
        <f>YEAR(marketing_data[[#This Row],[Start_date]])</f>
        <v>2023</v>
      </c>
      <c r="T277" t="str">
        <f>TEXT(marketing_data[[#This Row],[Start_date]],"ddd")</f>
        <v>Mon</v>
      </c>
      <c r="U277">
        <f>marketing_data[[#This Row],[Cleaned End_date]]-marketing_data[[#This Row],[Start_date]]</f>
        <v>17</v>
      </c>
    </row>
    <row r="278" spans="1:21" x14ac:dyDescent="0.2">
      <c r="A278" t="s">
        <v>593</v>
      </c>
      <c r="B278" t="s">
        <v>594</v>
      </c>
      <c r="C278" s="2">
        <v>45016</v>
      </c>
      <c r="D278" t="str">
        <f t="shared" si="27"/>
        <v>Mar</v>
      </c>
      <c r="E278" s="2">
        <v>45018</v>
      </c>
      <c r="F278" t="s">
        <v>23</v>
      </c>
      <c r="G278">
        <v>91735</v>
      </c>
      <c r="H278">
        <v>2540</v>
      </c>
      <c r="I278">
        <v>131</v>
      </c>
      <c r="J278" t="b">
        <v>1</v>
      </c>
      <c r="K278" s="10">
        <v>3139.81</v>
      </c>
      <c r="L278" s="6">
        <f t="shared" si="28"/>
        <v>2.7688450427862867E-2</v>
      </c>
      <c r="M278">
        <f t="shared" si="29"/>
        <v>1.2361456692913386</v>
      </c>
      <c r="N278">
        <f t="shared" si="30"/>
        <v>23.968015267175574</v>
      </c>
      <c r="O278">
        <f t="shared" si="31"/>
        <v>3410.19</v>
      </c>
      <c r="P278">
        <f t="shared" si="32"/>
        <v>5.1574803149606302E-2</v>
      </c>
      <c r="Q278" t="s">
        <v>4137</v>
      </c>
      <c r="R278" t="s">
        <v>4141</v>
      </c>
      <c r="S278">
        <f>YEAR(marketing_data[[#This Row],[Start_date]])</f>
        <v>2023</v>
      </c>
      <c r="T278" t="str">
        <f>TEXT(marketing_data[[#This Row],[Start_date]],"ddd")</f>
        <v>Fri</v>
      </c>
      <c r="U278">
        <f>marketing_data[[#This Row],[Cleaned End_date]]-marketing_data[[#This Row],[Start_date]]</f>
        <v>2</v>
      </c>
    </row>
    <row r="279" spans="1:21" x14ac:dyDescent="0.2">
      <c r="A279" t="s">
        <v>595</v>
      </c>
      <c r="B279" t="s">
        <v>596</v>
      </c>
      <c r="C279" s="2">
        <v>45069</v>
      </c>
      <c r="D279" t="str">
        <f t="shared" si="27"/>
        <v>May</v>
      </c>
      <c r="E279" s="2">
        <v>45093</v>
      </c>
      <c r="F279" t="s">
        <v>14</v>
      </c>
      <c r="G279">
        <v>17371</v>
      </c>
      <c r="H279">
        <v>751</v>
      </c>
      <c r="I279">
        <v>53</v>
      </c>
      <c r="J279" t="b">
        <v>1</v>
      </c>
      <c r="K279" s="10">
        <v>833.49</v>
      </c>
      <c r="L279" s="6">
        <f t="shared" si="28"/>
        <v>4.3232974497726097E-2</v>
      </c>
      <c r="M279">
        <f t="shared" si="29"/>
        <v>1.1098402130492677</v>
      </c>
      <c r="N279">
        <f t="shared" si="30"/>
        <v>15.72622641509434</v>
      </c>
      <c r="O279">
        <f t="shared" si="31"/>
        <v>1816.51</v>
      </c>
      <c r="P279">
        <f t="shared" si="32"/>
        <v>7.057256990679095E-2</v>
      </c>
      <c r="Q279" t="s">
        <v>4137</v>
      </c>
      <c r="R279" t="s">
        <v>4139</v>
      </c>
      <c r="S279">
        <f>YEAR(marketing_data[[#This Row],[Start_date]])</f>
        <v>2023</v>
      </c>
      <c r="T279" t="str">
        <f>TEXT(marketing_data[[#This Row],[Start_date]],"ddd")</f>
        <v>Tue</v>
      </c>
      <c r="U279">
        <f>marketing_data[[#This Row],[Cleaned End_date]]-marketing_data[[#This Row],[Start_date]]</f>
        <v>24</v>
      </c>
    </row>
    <row r="280" spans="1:21" x14ac:dyDescent="0.2">
      <c r="A280" t="s">
        <v>597</v>
      </c>
      <c r="B280" t="s">
        <v>598</v>
      </c>
      <c r="C280" s="2">
        <v>45252</v>
      </c>
      <c r="D280" t="str">
        <f t="shared" si="27"/>
        <v>Nov</v>
      </c>
      <c r="E280" s="2">
        <v>45275</v>
      </c>
      <c r="F280" t="s">
        <v>19</v>
      </c>
      <c r="G280">
        <v>78371</v>
      </c>
      <c r="H280">
        <v>2882</v>
      </c>
      <c r="I280">
        <v>453</v>
      </c>
      <c r="J280" t="b">
        <v>0</v>
      </c>
      <c r="K280" s="10">
        <v>3631.7599999999998</v>
      </c>
      <c r="L280" s="6">
        <f t="shared" si="28"/>
        <v>3.6773806637659341E-2</v>
      </c>
      <c r="M280">
        <f t="shared" si="29"/>
        <v>1.2601526717557252</v>
      </c>
      <c r="N280">
        <f t="shared" si="30"/>
        <v>8.0171302428256066</v>
      </c>
      <c r="O280">
        <f t="shared" si="31"/>
        <v>19018.240000000002</v>
      </c>
      <c r="P280">
        <f t="shared" si="32"/>
        <v>0.1571825121443442</v>
      </c>
      <c r="Q280" t="s">
        <v>4136</v>
      </c>
      <c r="R280" t="s">
        <v>4141</v>
      </c>
      <c r="S280">
        <f>YEAR(marketing_data[[#This Row],[Start_date]])</f>
        <v>2023</v>
      </c>
      <c r="T280" t="str">
        <f>TEXT(marketing_data[[#This Row],[Start_date]],"ddd")</f>
        <v>Wed</v>
      </c>
      <c r="U280">
        <f>marketing_data[[#This Row],[Cleaned End_date]]-marketing_data[[#This Row],[Start_date]]</f>
        <v>23</v>
      </c>
    </row>
    <row r="281" spans="1:21" x14ac:dyDescent="0.2">
      <c r="A281" t="s">
        <v>599</v>
      </c>
      <c r="B281" t="s">
        <v>600</v>
      </c>
      <c r="C281" s="2">
        <v>45167</v>
      </c>
      <c r="D281" t="str">
        <f t="shared" si="27"/>
        <v>Aug</v>
      </c>
      <c r="E281" s="2">
        <v>45190</v>
      </c>
      <c r="F281" t="s">
        <v>23</v>
      </c>
      <c r="G281">
        <v>3049</v>
      </c>
      <c r="H281">
        <v>39</v>
      </c>
      <c r="I281">
        <v>7</v>
      </c>
      <c r="J281" t="b">
        <v>1</v>
      </c>
      <c r="K281" s="10">
        <v>329.13249999999999</v>
      </c>
      <c r="L281" s="6">
        <f t="shared" si="28"/>
        <v>1.2791079042308954E-2</v>
      </c>
      <c r="M281">
        <f t="shared" si="29"/>
        <v>8.4392948717948713</v>
      </c>
      <c r="N281">
        <f t="shared" si="30"/>
        <v>47.018928571428567</v>
      </c>
      <c r="O281">
        <f t="shared" si="31"/>
        <v>20.867500000000007</v>
      </c>
      <c r="P281">
        <f t="shared" si="32"/>
        <v>0.17948717948717949</v>
      </c>
      <c r="Q281" t="s">
        <v>4139</v>
      </c>
      <c r="R281" t="s">
        <v>4142</v>
      </c>
      <c r="S281">
        <f>YEAR(marketing_data[[#This Row],[Start_date]])</f>
        <v>2023</v>
      </c>
      <c r="T281" t="str">
        <f>TEXT(marketing_data[[#This Row],[Start_date]],"ddd")</f>
        <v>Tue</v>
      </c>
      <c r="U281">
        <f>marketing_data[[#This Row],[Cleaned End_date]]-marketing_data[[#This Row],[Start_date]]</f>
        <v>23</v>
      </c>
    </row>
    <row r="282" spans="1:21" x14ac:dyDescent="0.2">
      <c r="A282" t="s">
        <v>601</v>
      </c>
      <c r="B282" t="s">
        <v>602</v>
      </c>
      <c r="C282" s="2">
        <v>45270</v>
      </c>
      <c r="D282" t="str">
        <f t="shared" si="27"/>
        <v>Dec</v>
      </c>
      <c r="E282" s="2">
        <v>45300</v>
      </c>
      <c r="F282" t="s">
        <v>23</v>
      </c>
      <c r="G282">
        <v>32616</v>
      </c>
      <c r="H282">
        <v>1161</v>
      </c>
      <c r="I282">
        <v>229</v>
      </c>
      <c r="J282" t="b">
        <v>1</v>
      </c>
      <c r="K282" s="10">
        <v>1584.67</v>
      </c>
      <c r="L282" s="6">
        <f t="shared" si="28"/>
        <v>3.5596026490066227E-2</v>
      </c>
      <c r="M282">
        <f t="shared" si="29"/>
        <v>1.3649181739879415</v>
      </c>
      <c r="N282">
        <f t="shared" si="30"/>
        <v>6.9199563318777297</v>
      </c>
      <c r="O282">
        <f t="shared" si="31"/>
        <v>9865.33</v>
      </c>
      <c r="P282">
        <f t="shared" si="32"/>
        <v>0.19724375538329025</v>
      </c>
      <c r="Q282" t="s">
        <v>4138</v>
      </c>
      <c r="R282" t="s">
        <v>4139</v>
      </c>
      <c r="S282">
        <f>YEAR(marketing_data[[#This Row],[Start_date]])</f>
        <v>2023</v>
      </c>
      <c r="T282" t="str">
        <f>TEXT(marketing_data[[#This Row],[Start_date]],"ddd")</f>
        <v>Sun</v>
      </c>
      <c r="U282">
        <f>marketing_data[[#This Row],[Cleaned End_date]]-marketing_data[[#This Row],[Start_date]]</f>
        <v>30</v>
      </c>
    </row>
    <row r="283" spans="1:21" x14ac:dyDescent="0.2">
      <c r="A283" t="s">
        <v>603</v>
      </c>
      <c r="B283" t="s">
        <v>604</v>
      </c>
      <c r="C283" s="2">
        <v>45137</v>
      </c>
      <c r="D283" t="str">
        <f t="shared" si="27"/>
        <v>Jul</v>
      </c>
      <c r="E283" s="2">
        <v>45153</v>
      </c>
      <c r="F283" t="s">
        <v>19</v>
      </c>
      <c r="G283">
        <v>21932</v>
      </c>
      <c r="H283">
        <v>457</v>
      </c>
      <c r="I283">
        <v>56</v>
      </c>
      <c r="J283" t="b">
        <v>1</v>
      </c>
      <c r="K283" s="10">
        <v>611.53</v>
      </c>
      <c r="L283" s="6">
        <f t="shared" si="28"/>
        <v>2.0837132956410723E-2</v>
      </c>
      <c r="M283">
        <f t="shared" si="29"/>
        <v>1.3381400437636761</v>
      </c>
      <c r="N283">
        <f t="shared" si="30"/>
        <v>10.92017857142857</v>
      </c>
      <c r="O283">
        <f t="shared" si="31"/>
        <v>2188.4700000000003</v>
      </c>
      <c r="P283">
        <f t="shared" si="32"/>
        <v>0.12253829321663019</v>
      </c>
      <c r="Q283" t="s">
        <v>4139</v>
      </c>
      <c r="R283" t="s">
        <v>4138</v>
      </c>
      <c r="S283">
        <f>YEAR(marketing_data[[#This Row],[Start_date]])</f>
        <v>2023</v>
      </c>
      <c r="T283" t="str">
        <f>TEXT(marketing_data[[#This Row],[Start_date]],"ddd")</f>
        <v>Sun</v>
      </c>
      <c r="U283">
        <f>marketing_data[[#This Row],[Cleaned End_date]]-marketing_data[[#This Row],[Start_date]]</f>
        <v>16</v>
      </c>
    </row>
    <row r="284" spans="1:21" x14ac:dyDescent="0.2">
      <c r="A284" t="s">
        <v>605</v>
      </c>
      <c r="B284" t="s">
        <v>606</v>
      </c>
      <c r="C284" s="2">
        <v>45132</v>
      </c>
      <c r="D284" t="str">
        <f t="shared" si="27"/>
        <v>Jul</v>
      </c>
      <c r="E284" s="2">
        <v>45135</v>
      </c>
      <c r="F284" t="s">
        <v>33</v>
      </c>
      <c r="G284">
        <v>30855</v>
      </c>
      <c r="H284">
        <v>1040</v>
      </c>
      <c r="J284" t="b">
        <v>0</v>
      </c>
      <c r="K284" s="10">
        <v>1099.02</v>
      </c>
      <c r="L284" s="6">
        <f t="shared" si="28"/>
        <v>3.3706044401231566E-2</v>
      </c>
      <c r="M284">
        <f t="shared" si="29"/>
        <v>1.0567500000000001</v>
      </c>
      <c r="N284">
        <f t="shared" si="30"/>
        <v>0</v>
      </c>
      <c r="O284">
        <f t="shared" si="31"/>
        <v>-1099.02</v>
      </c>
      <c r="P284">
        <f t="shared" si="32"/>
        <v>0</v>
      </c>
      <c r="Q284" t="s">
        <v>4139</v>
      </c>
      <c r="R284" t="s">
        <v>4141</v>
      </c>
      <c r="S284">
        <f>YEAR(marketing_data[[#This Row],[Start_date]])</f>
        <v>2023</v>
      </c>
      <c r="T284" t="str">
        <f>TEXT(marketing_data[[#This Row],[Start_date]],"ddd")</f>
        <v>Tue</v>
      </c>
      <c r="U284">
        <f>marketing_data[[#This Row],[Cleaned End_date]]-marketing_data[[#This Row],[Start_date]]</f>
        <v>3</v>
      </c>
    </row>
    <row r="285" spans="1:21" x14ac:dyDescent="0.2">
      <c r="A285" t="s">
        <v>607</v>
      </c>
      <c r="B285" t="s">
        <v>608</v>
      </c>
      <c r="C285" s="2">
        <v>45159</v>
      </c>
      <c r="D285" t="str">
        <f t="shared" si="27"/>
        <v>Aug</v>
      </c>
      <c r="E285" s="2">
        <v>45189</v>
      </c>
      <c r="F285" t="s">
        <v>19</v>
      </c>
      <c r="G285">
        <v>62434</v>
      </c>
      <c r="H285">
        <v>2322</v>
      </c>
      <c r="I285">
        <v>372</v>
      </c>
      <c r="J285" t="b">
        <v>1</v>
      </c>
      <c r="K285" s="10">
        <v>3631.7599999999998</v>
      </c>
      <c r="L285" s="6">
        <f t="shared" si="28"/>
        <v>3.719127398532851E-2</v>
      </c>
      <c r="M285">
        <f t="shared" si="29"/>
        <v>1.5640654608096467</v>
      </c>
      <c r="N285">
        <f t="shared" si="30"/>
        <v>9.7627956989247302</v>
      </c>
      <c r="O285">
        <f t="shared" si="31"/>
        <v>14968.24</v>
      </c>
      <c r="P285">
        <f t="shared" si="32"/>
        <v>0.16020671834625322</v>
      </c>
      <c r="Q285" t="s">
        <v>4139</v>
      </c>
      <c r="R285" t="s">
        <v>4142</v>
      </c>
      <c r="S285">
        <f>YEAR(marketing_data[[#This Row],[Start_date]])</f>
        <v>2023</v>
      </c>
      <c r="T285" t="str">
        <f>TEXT(marketing_data[[#This Row],[Start_date]],"ddd")</f>
        <v>Mon</v>
      </c>
      <c r="U285">
        <f>marketing_data[[#This Row],[Cleaned End_date]]-marketing_data[[#This Row],[Start_date]]</f>
        <v>30</v>
      </c>
    </row>
    <row r="286" spans="1:21" x14ac:dyDescent="0.2">
      <c r="A286" t="s">
        <v>609</v>
      </c>
      <c r="B286" t="s">
        <v>610</v>
      </c>
      <c r="C286" s="2">
        <v>45056</v>
      </c>
      <c r="D286" t="str">
        <f t="shared" si="27"/>
        <v>May</v>
      </c>
      <c r="E286" s="2">
        <v>45059</v>
      </c>
      <c r="F286" t="str">
        <f>F285</f>
        <v>Facebook</v>
      </c>
      <c r="G286">
        <v>73694</v>
      </c>
      <c r="H286">
        <v>1417</v>
      </c>
      <c r="I286">
        <v>177</v>
      </c>
      <c r="J286" t="b">
        <v>1</v>
      </c>
      <c r="K286" s="10">
        <v>1245.82</v>
      </c>
      <c r="L286" s="6">
        <f t="shared" si="28"/>
        <v>1.9228159687355823E-2</v>
      </c>
      <c r="M286">
        <f t="shared" si="29"/>
        <v>0.87919548341566689</v>
      </c>
      <c r="N286">
        <f t="shared" si="30"/>
        <v>7.0385310734463271</v>
      </c>
      <c r="O286">
        <f t="shared" si="31"/>
        <v>7604.18</v>
      </c>
      <c r="P286">
        <f t="shared" si="32"/>
        <v>0.12491178546224418</v>
      </c>
      <c r="Q286" t="s">
        <v>4137</v>
      </c>
      <c r="R286" t="s">
        <v>4139</v>
      </c>
      <c r="S286">
        <f>YEAR(marketing_data[[#This Row],[Start_date]])</f>
        <v>2023</v>
      </c>
      <c r="T286" t="str">
        <f>TEXT(marketing_data[[#This Row],[Start_date]],"ddd")</f>
        <v>Wed</v>
      </c>
      <c r="U286">
        <f>marketing_data[[#This Row],[Cleaned End_date]]-marketing_data[[#This Row],[Start_date]]</f>
        <v>3</v>
      </c>
    </row>
    <row r="287" spans="1:21" x14ac:dyDescent="0.2">
      <c r="A287" t="s">
        <v>611</v>
      </c>
      <c r="B287" t="s">
        <v>612</v>
      </c>
      <c r="C287" s="2">
        <v>45133</v>
      </c>
      <c r="D287" t="str">
        <f t="shared" si="27"/>
        <v>Jul</v>
      </c>
      <c r="E287" s="2">
        <v>45138</v>
      </c>
      <c r="F287" t="s">
        <v>33</v>
      </c>
      <c r="G287">
        <v>44016</v>
      </c>
      <c r="H287">
        <v>1244</v>
      </c>
      <c r="J287" t="b">
        <v>1</v>
      </c>
      <c r="K287" s="10">
        <v>2373.98</v>
      </c>
      <c r="L287" s="6">
        <f t="shared" si="28"/>
        <v>2.8262450018175209E-2</v>
      </c>
      <c r="M287">
        <f t="shared" si="29"/>
        <v>1.9083440514469454</v>
      </c>
      <c r="N287">
        <f t="shared" si="30"/>
        <v>0</v>
      </c>
      <c r="O287">
        <f t="shared" si="31"/>
        <v>-2373.98</v>
      </c>
      <c r="P287">
        <f t="shared" si="32"/>
        <v>0</v>
      </c>
      <c r="Q287" t="s">
        <v>4139</v>
      </c>
      <c r="R287" t="s">
        <v>4142</v>
      </c>
      <c r="S287">
        <f>YEAR(marketing_data[[#This Row],[Start_date]])</f>
        <v>2023</v>
      </c>
      <c r="T287" t="str">
        <f>TEXT(marketing_data[[#This Row],[Start_date]],"ddd")</f>
        <v>Wed</v>
      </c>
      <c r="U287">
        <f>marketing_data[[#This Row],[Cleaned End_date]]-marketing_data[[#This Row],[Start_date]]</f>
        <v>5</v>
      </c>
    </row>
    <row r="288" spans="1:21" x14ac:dyDescent="0.2">
      <c r="A288" t="s">
        <v>613</v>
      </c>
      <c r="B288" t="s">
        <v>614</v>
      </c>
      <c r="C288" s="2">
        <v>44927</v>
      </c>
      <c r="D288" t="str">
        <f t="shared" si="27"/>
        <v>Jan</v>
      </c>
      <c r="E288" s="2">
        <v>44932</v>
      </c>
      <c r="F288" t="s">
        <v>33</v>
      </c>
      <c r="G288">
        <v>8400</v>
      </c>
      <c r="H288">
        <v>147</v>
      </c>
      <c r="I288">
        <v>10</v>
      </c>
      <c r="J288" t="b">
        <v>1</v>
      </c>
      <c r="K288" s="10">
        <v>329.13249999999999</v>
      </c>
      <c r="L288" s="6">
        <f t="shared" si="28"/>
        <v>1.7500000000000002E-2</v>
      </c>
      <c r="M288">
        <f t="shared" si="29"/>
        <v>2.2389965986394555</v>
      </c>
      <c r="N288">
        <f t="shared" si="30"/>
        <v>32.913249999999998</v>
      </c>
      <c r="O288">
        <f t="shared" si="31"/>
        <v>170.86750000000001</v>
      </c>
      <c r="P288">
        <f t="shared" si="32"/>
        <v>6.8027210884353748E-2</v>
      </c>
      <c r="Q288" t="s">
        <v>4138</v>
      </c>
      <c r="R288" t="s">
        <v>4138</v>
      </c>
      <c r="S288">
        <f>YEAR(marketing_data[[#This Row],[Start_date]])</f>
        <v>2023</v>
      </c>
      <c r="T288" t="str">
        <f>TEXT(marketing_data[[#This Row],[Start_date]],"ddd")</f>
        <v>Sun</v>
      </c>
      <c r="U288">
        <f>marketing_data[[#This Row],[Cleaned End_date]]-marketing_data[[#This Row],[Start_date]]</f>
        <v>5</v>
      </c>
    </row>
    <row r="289" spans="1:21" x14ac:dyDescent="0.2">
      <c r="A289" t="s">
        <v>615</v>
      </c>
      <c r="B289" t="s">
        <v>616</v>
      </c>
      <c r="C289" s="2">
        <v>45138</v>
      </c>
      <c r="D289" t="str">
        <f t="shared" si="27"/>
        <v>Jul</v>
      </c>
      <c r="E289" s="2">
        <v>45142</v>
      </c>
      <c r="F289" t="s">
        <v>19</v>
      </c>
      <c r="G289">
        <v>43642</v>
      </c>
      <c r="H289">
        <v>527</v>
      </c>
      <c r="I289">
        <v>100</v>
      </c>
      <c r="J289" t="b">
        <v>1</v>
      </c>
      <c r="K289" s="10">
        <v>530.28</v>
      </c>
      <c r="L289" s="6">
        <f t="shared" si="28"/>
        <v>1.2075523578204482E-2</v>
      </c>
      <c r="M289">
        <f t="shared" si="29"/>
        <v>1.006223908918406</v>
      </c>
      <c r="N289">
        <f t="shared" si="30"/>
        <v>5.3027999999999995</v>
      </c>
      <c r="O289">
        <f t="shared" si="31"/>
        <v>4469.72</v>
      </c>
      <c r="P289">
        <f t="shared" si="32"/>
        <v>0.18975332068311196</v>
      </c>
      <c r="Q289" t="s">
        <v>4139</v>
      </c>
      <c r="R289" t="s">
        <v>4139</v>
      </c>
      <c r="S289">
        <f>YEAR(marketing_data[[#This Row],[Start_date]])</f>
        <v>2023</v>
      </c>
      <c r="T289" t="str">
        <f>TEXT(marketing_data[[#This Row],[Start_date]],"ddd")</f>
        <v>Mon</v>
      </c>
      <c r="U289">
        <f>marketing_data[[#This Row],[Cleaned End_date]]-marketing_data[[#This Row],[Start_date]]</f>
        <v>4</v>
      </c>
    </row>
    <row r="290" spans="1:21" x14ac:dyDescent="0.2">
      <c r="A290" t="s">
        <v>618</v>
      </c>
      <c r="B290" t="s">
        <v>619</v>
      </c>
      <c r="C290" s="2">
        <v>45192</v>
      </c>
      <c r="D290" t="str">
        <f t="shared" si="27"/>
        <v>Sep</v>
      </c>
      <c r="E290" s="2">
        <v>45209</v>
      </c>
      <c r="F290" t="s">
        <v>41</v>
      </c>
      <c r="G290">
        <v>16151</v>
      </c>
      <c r="H290">
        <v>406</v>
      </c>
      <c r="I290">
        <v>41</v>
      </c>
      <c r="J290" t="b">
        <v>0</v>
      </c>
      <c r="K290" s="10">
        <v>647.24</v>
      </c>
      <c r="L290" s="6">
        <f t="shared" si="28"/>
        <v>2.5137762367655254E-2</v>
      </c>
      <c r="M290">
        <f t="shared" si="29"/>
        <v>1.5941871921182267</v>
      </c>
      <c r="N290">
        <f t="shared" si="30"/>
        <v>15.786341463414635</v>
      </c>
      <c r="O290">
        <f t="shared" si="31"/>
        <v>1402.76</v>
      </c>
      <c r="P290">
        <f t="shared" si="32"/>
        <v>0.10098522167487685</v>
      </c>
      <c r="Q290" t="s">
        <v>4136</v>
      </c>
      <c r="R290" t="s">
        <v>4142</v>
      </c>
      <c r="S290">
        <f>YEAR(marketing_data[[#This Row],[Start_date]])</f>
        <v>2023</v>
      </c>
      <c r="T290" t="str">
        <f>TEXT(marketing_data[[#This Row],[Start_date]],"ddd")</f>
        <v>Sat</v>
      </c>
      <c r="U290">
        <f>marketing_data[[#This Row],[Cleaned End_date]]-marketing_data[[#This Row],[Start_date]]</f>
        <v>17</v>
      </c>
    </row>
    <row r="291" spans="1:21" x14ac:dyDescent="0.2">
      <c r="A291" t="s">
        <v>620</v>
      </c>
      <c r="B291" t="s">
        <v>621</v>
      </c>
      <c r="C291" s="2">
        <v>45247</v>
      </c>
      <c r="D291" t="str">
        <f t="shared" si="27"/>
        <v>Nov</v>
      </c>
      <c r="E291" s="2">
        <v>45253</v>
      </c>
      <c r="F291" t="s">
        <v>14</v>
      </c>
      <c r="G291">
        <v>52407</v>
      </c>
      <c r="H291">
        <v>1284</v>
      </c>
      <c r="I291">
        <v>150</v>
      </c>
      <c r="J291" t="b">
        <v>0</v>
      </c>
      <c r="K291" s="10">
        <v>1746.03</v>
      </c>
      <c r="L291" s="6">
        <f t="shared" si="28"/>
        <v>2.4500543820481998E-2</v>
      </c>
      <c r="M291">
        <f t="shared" si="29"/>
        <v>1.3598364485981309</v>
      </c>
      <c r="N291">
        <f t="shared" si="30"/>
        <v>11.6402</v>
      </c>
      <c r="O291">
        <f t="shared" si="31"/>
        <v>5753.97</v>
      </c>
      <c r="P291">
        <f t="shared" si="32"/>
        <v>0.11682242990654206</v>
      </c>
      <c r="Q291" t="s">
        <v>4136</v>
      </c>
      <c r="R291" t="s">
        <v>4142</v>
      </c>
      <c r="S291">
        <f>YEAR(marketing_data[[#This Row],[Start_date]])</f>
        <v>2023</v>
      </c>
      <c r="T291" t="str">
        <f>TEXT(marketing_data[[#This Row],[Start_date]],"ddd")</f>
        <v>Fri</v>
      </c>
      <c r="U291">
        <f>marketing_data[[#This Row],[Cleaned End_date]]-marketing_data[[#This Row],[Start_date]]</f>
        <v>6</v>
      </c>
    </row>
    <row r="292" spans="1:21" x14ac:dyDescent="0.2">
      <c r="A292" t="s">
        <v>622</v>
      </c>
      <c r="B292" t="s">
        <v>623</v>
      </c>
      <c r="C292" s="2">
        <v>45063</v>
      </c>
      <c r="D292" t="str">
        <f t="shared" si="27"/>
        <v>May</v>
      </c>
      <c r="E292" s="2">
        <v>45086</v>
      </c>
      <c r="F292" t="s">
        <v>23</v>
      </c>
      <c r="G292">
        <v>67690</v>
      </c>
      <c r="H292">
        <v>3372</v>
      </c>
      <c r="J292" t="b">
        <v>0</v>
      </c>
      <c r="K292" s="10">
        <v>3393.83</v>
      </c>
      <c r="L292" s="6">
        <f t="shared" si="28"/>
        <v>4.9815334613680012E-2</v>
      </c>
      <c r="M292">
        <f t="shared" si="29"/>
        <v>1.0064739027283511</v>
      </c>
      <c r="N292">
        <f t="shared" si="30"/>
        <v>0</v>
      </c>
      <c r="O292">
        <f t="shared" si="31"/>
        <v>-3393.83</v>
      </c>
      <c r="P292">
        <f t="shared" si="32"/>
        <v>0</v>
      </c>
      <c r="Q292" t="s">
        <v>4137</v>
      </c>
      <c r="R292" t="s">
        <v>4141</v>
      </c>
      <c r="S292">
        <f>YEAR(marketing_data[[#This Row],[Start_date]])</f>
        <v>2023</v>
      </c>
      <c r="T292" t="str">
        <f>TEXT(marketing_data[[#This Row],[Start_date]],"ddd")</f>
        <v>Wed</v>
      </c>
      <c r="U292">
        <f>marketing_data[[#This Row],[Cleaned End_date]]-marketing_data[[#This Row],[Start_date]]</f>
        <v>23</v>
      </c>
    </row>
    <row r="293" spans="1:21" x14ac:dyDescent="0.2">
      <c r="A293" t="s">
        <v>624</v>
      </c>
      <c r="B293" t="s">
        <v>625</v>
      </c>
      <c r="C293" s="2">
        <v>45151</v>
      </c>
      <c r="D293" t="str">
        <f t="shared" si="27"/>
        <v>Aug</v>
      </c>
      <c r="E293" s="2">
        <v>45159</v>
      </c>
      <c r="F293" t="s">
        <v>14</v>
      </c>
      <c r="G293">
        <v>5499</v>
      </c>
      <c r="H293">
        <v>153</v>
      </c>
      <c r="I293">
        <v>15</v>
      </c>
      <c r="J293" t="b">
        <v>1</v>
      </c>
      <c r="K293" s="10">
        <v>329.13249999999999</v>
      </c>
      <c r="L293" s="6">
        <f t="shared" si="28"/>
        <v>2.7823240589198037E-2</v>
      </c>
      <c r="M293">
        <f t="shared" si="29"/>
        <v>2.1511928104575162</v>
      </c>
      <c r="N293">
        <f t="shared" si="30"/>
        <v>21.942166666666665</v>
      </c>
      <c r="O293">
        <f t="shared" si="31"/>
        <v>420.86750000000001</v>
      </c>
      <c r="P293">
        <f t="shared" si="32"/>
        <v>9.8039215686274508E-2</v>
      </c>
      <c r="Q293" t="s">
        <v>4139</v>
      </c>
      <c r="R293" t="s">
        <v>4138</v>
      </c>
      <c r="S293">
        <f>YEAR(marketing_data[[#This Row],[Start_date]])</f>
        <v>2023</v>
      </c>
      <c r="T293" t="str">
        <f>TEXT(marketing_data[[#This Row],[Start_date]],"ddd")</f>
        <v>Sun</v>
      </c>
      <c r="U293">
        <f>marketing_data[[#This Row],[Cleaned End_date]]-marketing_data[[#This Row],[Start_date]]</f>
        <v>8</v>
      </c>
    </row>
    <row r="294" spans="1:21" x14ac:dyDescent="0.2">
      <c r="A294" t="s">
        <v>626</v>
      </c>
      <c r="B294" t="s">
        <v>627</v>
      </c>
      <c r="C294" s="2">
        <v>44941</v>
      </c>
      <c r="D294" t="str">
        <f t="shared" si="27"/>
        <v>Jan</v>
      </c>
      <c r="E294" s="2">
        <v>44944</v>
      </c>
      <c r="F294" t="s">
        <v>33</v>
      </c>
      <c r="G294">
        <v>7295</v>
      </c>
      <c r="H294">
        <v>170</v>
      </c>
      <c r="I294">
        <v>14</v>
      </c>
      <c r="J294" t="b">
        <v>1</v>
      </c>
      <c r="K294" s="10">
        <v>329.13249999999999</v>
      </c>
      <c r="L294" s="6">
        <f t="shared" si="28"/>
        <v>2.3303632625085675E-2</v>
      </c>
      <c r="M294">
        <f t="shared" si="29"/>
        <v>1.9360735294117646</v>
      </c>
      <c r="N294">
        <f t="shared" si="30"/>
        <v>23.509464285714284</v>
      </c>
      <c r="O294">
        <f t="shared" si="31"/>
        <v>370.86750000000001</v>
      </c>
      <c r="P294">
        <f t="shared" si="32"/>
        <v>8.2352941176470587E-2</v>
      </c>
      <c r="Q294" t="s">
        <v>4138</v>
      </c>
      <c r="R294" t="s">
        <v>4141</v>
      </c>
      <c r="S294">
        <f>YEAR(marketing_data[[#This Row],[Start_date]])</f>
        <v>2023</v>
      </c>
      <c r="T294" t="str">
        <f>TEXT(marketing_data[[#This Row],[Start_date]],"ddd")</f>
        <v>Sun</v>
      </c>
      <c r="U294">
        <f>marketing_data[[#This Row],[Cleaned End_date]]-marketing_data[[#This Row],[Start_date]]</f>
        <v>3</v>
      </c>
    </row>
    <row r="295" spans="1:21" x14ac:dyDescent="0.2">
      <c r="A295" t="s">
        <v>628</v>
      </c>
      <c r="B295" t="s">
        <v>629</v>
      </c>
      <c r="C295" s="2">
        <v>45049</v>
      </c>
      <c r="D295" t="str">
        <f t="shared" si="27"/>
        <v>May</v>
      </c>
      <c r="E295" s="2">
        <v>45074</v>
      </c>
      <c r="F295" t="s">
        <v>14</v>
      </c>
      <c r="G295">
        <v>60040</v>
      </c>
      <c r="H295">
        <v>1994</v>
      </c>
      <c r="I295">
        <v>288</v>
      </c>
      <c r="J295" t="b">
        <v>0</v>
      </c>
      <c r="K295" s="10">
        <v>1752.66</v>
      </c>
      <c r="L295" s="6">
        <f t="shared" si="28"/>
        <v>3.3211192538307795E-2</v>
      </c>
      <c r="M295">
        <f t="shared" si="29"/>
        <v>0.87896690070210637</v>
      </c>
      <c r="N295">
        <f t="shared" si="30"/>
        <v>6.0856250000000003</v>
      </c>
      <c r="O295">
        <f t="shared" si="31"/>
        <v>12647.34</v>
      </c>
      <c r="P295">
        <f t="shared" si="32"/>
        <v>0.14443329989969911</v>
      </c>
      <c r="Q295" t="s">
        <v>4137</v>
      </c>
      <c r="R295" t="s">
        <v>4138</v>
      </c>
      <c r="S295">
        <f>YEAR(marketing_data[[#This Row],[Start_date]])</f>
        <v>2023</v>
      </c>
      <c r="T295" t="str">
        <f>TEXT(marketing_data[[#This Row],[Start_date]],"ddd")</f>
        <v>Wed</v>
      </c>
      <c r="U295">
        <f>marketing_data[[#This Row],[Cleaned End_date]]-marketing_data[[#This Row],[Start_date]]</f>
        <v>25</v>
      </c>
    </row>
    <row r="296" spans="1:21" x14ac:dyDescent="0.2">
      <c r="A296" t="s">
        <v>630</v>
      </c>
      <c r="B296" t="s">
        <v>631</v>
      </c>
      <c r="C296" s="2">
        <v>44934</v>
      </c>
      <c r="D296" t="str">
        <f t="shared" si="27"/>
        <v>Jan</v>
      </c>
      <c r="E296" s="2">
        <v>45151</v>
      </c>
      <c r="F296" t="s">
        <v>41</v>
      </c>
      <c r="G296">
        <v>13183</v>
      </c>
      <c r="H296">
        <v>178</v>
      </c>
      <c r="I296">
        <v>9</v>
      </c>
      <c r="J296" t="b">
        <v>0</v>
      </c>
      <c r="K296" s="10">
        <v>329.13249999999999</v>
      </c>
      <c r="L296" s="6">
        <f t="shared" si="28"/>
        <v>1.3502237730410377E-2</v>
      </c>
      <c r="M296">
        <f t="shared" si="29"/>
        <v>1.849058988764045</v>
      </c>
      <c r="N296">
        <f t="shared" si="30"/>
        <v>36.570277777777775</v>
      </c>
      <c r="O296">
        <f t="shared" si="31"/>
        <v>120.86750000000001</v>
      </c>
      <c r="P296">
        <f t="shared" si="32"/>
        <v>5.0561797752808987E-2</v>
      </c>
      <c r="Q296" t="s">
        <v>4138</v>
      </c>
      <c r="R296" t="s">
        <v>4139</v>
      </c>
      <c r="S296">
        <f>YEAR(marketing_data[[#This Row],[Start_date]])</f>
        <v>2023</v>
      </c>
      <c r="T296" t="str">
        <f>TEXT(marketing_data[[#This Row],[Start_date]],"ddd")</f>
        <v>Sun</v>
      </c>
      <c r="U296">
        <f>marketing_data[[#This Row],[Cleaned End_date]]-marketing_data[[#This Row],[Start_date]]</f>
        <v>217</v>
      </c>
    </row>
    <row r="297" spans="1:21" x14ac:dyDescent="0.2">
      <c r="A297" t="s">
        <v>632</v>
      </c>
      <c r="B297" t="s">
        <v>633</v>
      </c>
      <c r="C297" s="2">
        <v>44985</v>
      </c>
      <c r="D297" t="str">
        <f t="shared" si="27"/>
        <v>Feb</v>
      </c>
      <c r="E297" s="2">
        <v>44997</v>
      </c>
      <c r="F297" t="s">
        <v>19</v>
      </c>
      <c r="G297">
        <v>30299</v>
      </c>
      <c r="H297">
        <v>1468</v>
      </c>
      <c r="I297">
        <v>232</v>
      </c>
      <c r="J297" t="b">
        <v>1</v>
      </c>
      <c r="K297" s="10">
        <v>1883.34</v>
      </c>
      <c r="L297" s="6">
        <f t="shared" si="28"/>
        <v>4.8450443909039902E-2</v>
      </c>
      <c r="M297">
        <f t="shared" si="29"/>
        <v>1.2829291553133515</v>
      </c>
      <c r="N297">
        <f t="shared" si="30"/>
        <v>8.1178448275862074</v>
      </c>
      <c r="O297">
        <f t="shared" si="31"/>
        <v>9716.66</v>
      </c>
      <c r="P297">
        <f t="shared" si="32"/>
        <v>0.15803814713896458</v>
      </c>
      <c r="Q297" t="s">
        <v>4138</v>
      </c>
      <c r="R297" t="s">
        <v>4139</v>
      </c>
      <c r="S297">
        <f>YEAR(marketing_data[[#This Row],[Start_date]])</f>
        <v>2023</v>
      </c>
      <c r="T297" t="str">
        <f>TEXT(marketing_data[[#This Row],[Start_date]],"ddd")</f>
        <v>Tue</v>
      </c>
      <c r="U297">
        <f>marketing_data[[#This Row],[Cleaned End_date]]-marketing_data[[#This Row],[Start_date]]</f>
        <v>12</v>
      </c>
    </row>
    <row r="298" spans="1:21" x14ac:dyDescent="0.2">
      <c r="A298" t="s">
        <v>634</v>
      </c>
      <c r="B298" t="s">
        <v>635</v>
      </c>
      <c r="C298" s="2">
        <v>45005</v>
      </c>
      <c r="D298" t="str">
        <f t="shared" si="27"/>
        <v>Mar</v>
      </c>
      <c r="E298" s="2">
        <v>45016</v>
      </c>
      <c r="F298" t="s">
        <v>19</v>
      </c>
      <c r="G298">
        <v>13874</v>
      </c>
      <c r="H298">
        <v>491</v>
      </c>
      <c r="I298">
        <v>62</v>
      </c>
      <c r="J298" t="b">
        <v>0</v>
      </c>
      <c r="K298" s="10">
        <v>679.25</v>
      </c>
      <c r="L298" s="6">
        <f t="shared" si="28"/>
        <v>3.5389938013550525E-2</v>
      </c>
      <c r="M298">
        <f t="shared" si="29"/>
        <v>1.3834012219959266</v>
      </c>
      <c r="N298">
        <f t="shared" si="30"/>
        <v>10.955645161290322</v>
      </c>
      <c r="O298">
        <f t="shared" si="31"/>
        <v>2420.75</v>
      </c>
      <c r="P298">
        <f t="shared" si="32"/>
        <v>0.12627291242362526</v>
      </c>
      <c r="Q298" t="s">
        <v>4137</v>
      </c>
      <c r="R298" t="s">
        <v>4141</v>
      </c>
      <c r="S298">
        <f>YEAR(marketing_data[[#This Row],[Start_date]])</f>
        <v>2023</v>
      </c>
      <c r="T298" t="str">
        <f>TEXT(marketing_data[[#This Row],[Start_date]],"ddd")</f>
        <v>Mon</v>
      </c>
      <c r="U298">
        <f>marketing_data[[#This Row],[Cleaned End_date]]-marketing_data[[#This Row],[Start_date]]</f>
        <v>11</v>
      </c>
    </row>
    <row r="299" spans="1:21" x14ac:dyDescent="0.2">
      <c r="A299" t="s">
        <v>636</v>
      </c>
      <c r="B299" t="s">
        <v>637</v>
      </c>
      <c r="C299" s="2">
        <v>45187</v>
      </c>
      <c r="D299" t="str">
        <f t="shared" si="27"/>
        <v>Sep</v>
      </c>
      <c r="E299" s="2">
        <v>45190</v>
      </c>
      <c r="F299" t="s">
        <v>41</v>
      </c>
      <c r="G299">
        <v>33711</v>
      </c>
      <c r="H299">
        <v>1354</v>
      </c>
      <c r="I299">
        <v>190</v>
      </c>
      <c r="J299" t="b">
        <v>1</v>
      </c>
      <c r="K299" s="10">
        <v>2203.65</v>
      </c>
      <c r="L299" s="6">
        <f t="shared" si="28"/>
        <v>4.0164931328053155E-2</v>
      </c>
      <c r="M299">
        <f t="shared" si="29"/>
        <v>1.6275110782865585</v>
      </c>
      <c r="N299">
        <f t="shared" si="30"/>
        <v>11.598157894736843</v>
      </c>
      <c r="O299">
        <f t="shared" si="31"/>
        <v>7296.35</v>
      </c>
      <c r="P299">
        <f t="shared" si="32"/>
        <v>0.14032496307237813</v>
      </c>
      <c r="Q299" t="s">
        <v>4136</v>
      </c>
      <c r="R299" t="s">
        <v>4142</v>
      </c>
      <c r="S299">
        <f>YEAR(marketing_data[[#This Row],[Start_date]])</f>
        <v>2023</v>
      </c>
      <c r="T299" t="str">
        <f>TEXT(marketing_data[[#This Row],[Start_date]],"ddd")</f>
        <v>Mon</v>
      </c>
      <c r="U299">
        <f>marketing_data[[#This Row],[Cleaned End_date]]-marketing_data[[#This Row],[Start_date]]</f>
        <v>3</v>
      </c>
    </row>
    <row r="300" spans="1:21" x14ac:dyDescent="0.2">
      <c r="A300" t="s">
        <v>638</v>
      </c>
      <c r="B300" t="s">
        <v>639</v>
      </c>
      <c r="C300" s="2">
        <v>45174</v>
      </c>
      <c r="D300" t="str">
        <f t="shared" si="27"/>
        <v>Sep</v>
      </c>
      <c r="E300" s="2">
        <v>45188</v>
      </c>
      <c r="F300" t="str">
        <f>F299</f>
        <v>Google Ads</v>
      </c>
      <c r="G300">
        <v>6539</v>
      </c>
      <c r="H300">
        <v>109</v>
      </c>
      <c r="I300">
        <v>15</v>
      </c>
      <c r="J300" t="b">
        <v>0</v>
      </c>
      <c r="K300" s="10">
        <v>329.13249999999999</v>
      </c>
      <c r="L300" s="6">
        <f t="shared" si="28"/>
        <v>1.6669215476372533E-2</v>
      </c>
      <c r="M300">
        <f t="shared" si="29"/>
        <v>3.019564220183486</v>
      </c>
      <c r="N300">
        <f t="shared" si="30"/>
        <v>21.942166666666665</v>
      </c>
      <c r="O300">
        <f t="shared" si="31"/>
        <v>420.86750000000001</v>
      </c>
      <c r="P300">
        <f t="shared" si="32"/>
        <v>0.13761467889908258</v>
      </c>
      <c r="Q300" t="s">
        <v>4136</v>
      </c>
      <c r="R300" t="s">
        <v>4138</v>
      </c>
      <c r="S300">
        <f>YEAR(marketing_data[[#This Row],[Start_date]])</f>
        <v>2023</v>
      </c>
      <c r="T300" t="str">
        <f>TEXT(marketing_data[[#This Row],[Start_date]],"ddd")</f>
        <v>Tue</v>
      </c>
      <c r="U300">
        <f>marketing_data[[#This Row],[Cleaned End_date]]-marketing_data[[#This Row],[Start_date]]</f>
        <v>14</v>
      </c>
    </row>
    <row r="301" spans="1:21" x14ac:dyDescent="0.2">
      <c r="A301" t="s">
        <v>640</v>
      </c>
      <c r="B301" t="s">
        <v>641</v>
      </c>
      <c r="C301" s="2">
        <v>45209</v>
      </c>
      <c r="D301" t="str">
        <f t="shared" si="27"/>
        <v>Oct</v>
      </c>
      <c r="E301" s="2">
        <v>45220</v>
      </c>
      <c r="F301" t="s">
        <v>41</v>
      </c>
      <c r="G301">
        <v>54351</v>
      </c>
      <c r="H301">
        <v>1433</v>
      </c>
      <c r="I301">
        <v>184</v>
      </c>
      <c r="J301" t="b">
        <v>1</v>
      </c>
      <c r="K301" s="10">
        <v>2006.8</v>
      </c>
      <c r="L301" s="6">
        <f t="shared" si="28"/>
        <v>2.6365660245441666E-2</v>
      </c>
      <c r="M301">
        <f t="shared" si="29"/>
        <v>1.4004187020237264</v>
      </c>
      <c r="N301">
        <f t="shared" si="30"/>
        <v>10.906521739130435</v>
      </c>
      <c r="O301">
        <f t="shared" si="31"/>
        <v>7193.2</v>
      </c>
      <c r="P301">
        <f t="shared" si="32"/>
        <v>0.1284019539427774</v>
      </c>
      <c r="Q301" t="s">
        <v>4136</v>
      </c>
      <c r="R301" t="s">
        <v>4141</v>
      </c>
      <c r="S301">
        <f>YEAR(marketing_data[[#This Row],[Start_date]])</f>
        <v>2023</v>
      </c>
      <c r="T301" t="str">
        <f>TEXT(marketing_data[[#This Row],[Start_date]],"ddd")</f>
        <v>Tue</v>
      </c>
      <c r="U301">
        <f>marketing_data[[#This Row],[Cleaned End_date]]-marketing_data[[#This Row],[Start_date]]</f>
        <v>11</v>
      </c>
    </row>
    <row r="302" spans="1:21" x14ac:dyDescent="0.2">
      <c r="A302" t="s">
        <v>642</v>
      </c>
      <c r="B302" t="s">
        <v>643</v>
      </c>
      <c r="C302" s="2">
        <v>45233</v>
      </c>
      <c r="D302" t="str">
        <f t="shared" si="27"/>
        <v>Nov</v>
      </c>
      <c r="E302" s="2">
        <v>45258</v>
      </c>
      <c r="F302" t="s">
        <v>23</v>
      </c>
      <c r="G302">
        <v>62267</v>
      </c>
      <c r="H302">
        <v>1675</v>
      </c>
      <c r="I302">
        <v>230</v>
      </c>
      <c r="J302" t="b">
        <v>1</v>
      </c>
      <c r="K302" s="10">
        <v>971.96</v>
      </c>
      <c r="L302" s="6">
        <f t="shared" si="28"/>
        <v>2.6900284259720238E-2</v>
      </c>
      <c r="M302">
        <f t="shared" si="29"/>
        <v>0.58027462686567166</v>
      </c>
      <c r="N302">
        <f t="shared" si="30"/>
        <v>4.2259130434782612</v>
      </c>
      <c r="O302">
        <f t="shared" si="31"/>
        <v>10528.04</v>
      </c>
      <c r="P302">
        <f t="shared" si="32"/>
        <v>0.1373134328358209</v>
      </c>
      <c r="Q302" t="s">
        <v>4136</v>
      </c>
      <c r="R302" t="s">
        <v>4139</v>
      </c>
      <c r="S302">
        <f>YEAR(marketing_data[[#This Row],[Start_date]])</f>
        <v>2023</v>
      </c>
      <c r="T302" t="str">
        <f>TEXT(marketing_data[[#This Row],[Start_date]],"ddd")</f>
        <v>Fri</v>
      </c>
      <c r="U302">
        <f>marketing_data[[#This Row],[Cleaned End_date]]-marketing_data[[#This Row],[Start_date]]</f>
        <v>25</v>
      </c>
    </row>
    <row r="303" spans="1:21" x14ac:dyDescent="0.2">
      <c r="A303" t="s">
        <v>644</v>
      </c>
      <c r="B303" t="s">
        <v>645</v>
      </c>
      <c r="C303" s="2">
        <v>44962</v>
      </c>
      <c r="D303" t="str">
        <f t="shared" si="27"/>
        <v>Feb</v>
      </c>
      <c r="E303" s="2">
        <v>44965</v>
      </c>
      <c r="F303" t="s">
        <v>33</v>
      </c>
      <c r="G303">
        <v>49354</v>
      </c>
      <c r="H303">
        <v>2115</v>
      </c>
      <c r="I303">
        <v>322</v>
      </c>
      <c r="J303" t="b">
        <v>1</v>
      </c>
      <c r="K303" s="10">
        <v>2252.04</v>
      </c>
      <c r="L303" s="6">
        <f t="shared" si="28"/>
        <v>4.2853669408761196E-2</v>
      </c>
      <c r="M303">
        <f t="shared" si="29"/>
        <v>1.0647943262411348</v>
      </c>
      <c r="N303">
        <f t="shared" si="30"/>
        <v>6.993913043478261</v>
      </c>
      <c r="O303">
        <f t="shared" si="31"/>
        <v>13847.96</v>
      </c>
      <c r="P303">
        <f t="shared" si="32"/>
        <v>0.15224586288416075</v>
      </c>
      <c r="Q303" t="s">
        <v>4138</v>
      </c>
      <c r="R303" t="s">
        <v>4141</v>
      </c>
      <c r="S303">
        <f>YEAR(marketing_data[[#This Row],[Start_date]])</f>
        <v>2023</v>
      </c>
      <c r="T303" t="str">
        <f>TEXT(marketing_data[[#This Row],[Start_date]],"ddd")</f>
        <v>Sun</v>
      </c>
      <c r="U303">
        <f>marketing_data[[#This Row],[Cleaned End_date]]-marketing_data[[#This Row],[Start_date]]</f>
        <v>3</v>
      </c>
    </row>
    <row r="304" spans="1:21" x14ac:dyDescent="0.2">
      <c r="A304" t="s">
        <v>646</v>
      </c>
      <c r="B304" t="s">
        <v>647</v>
      </c>
      <c r="C304" s="2">
        <v>45139</v>
      </c>
      <c r="D304" t="str">
        <f t="shared" si="27"/>
        <v>Aug</v>
      </c>
      <c r="E304" s="2">
        <v>45155</v>
      </c>
      <c r="F304" t="s">
        <v>19</v>
      </c>
      <c r="G304">
        <v>3557</v>
      </c>
      <c r="H304">
        <v>35</v>
      </c>
      <c r="I304">
        <v>5</v>
      </c>
      <c r="J304" t="b">
        <v>1</v>
      </c>
      <c r="K304" s="10">
        <v>329.13249999999999</v>
      </c>
      <c r="L304" s="6">
        <f t="shared" si="28"/>
        <v>9.8397526005060444E-3</v>
      </c>
      <c r="M304">
        <f t="shared" si="29"/>
        <v>9.4037857142857142</v>
      </c>
      <c r="N304">
        <f t="shared" si="30"/>
        <v>65.826499999999996</v>
      </c>
      <c r="O304">
        <f t="shared" si="31"/>
        <v>-79.132499999999993</v>
      </c>
      <c r="P304">
        <f t="shared" si="32"/>
        <v>0.14285714285714285</v>
      </c>
      <c r="Q304" t="s">
        <v>4139</v>
      </c>
      <c r="R304" t="s">
        <v>4139</v>
      </c>
      <c r="S304">
        <f>YEAR(marketing_data[[#This Row],[Start_date]])</f>
        <v>2023</v>
      </c>
      <c r="T304" t="str">
        <f>TEXT(marketing_data[[#This Row],[Start_date]],"ddd")</f>
        <v>Tue</v>
      </c>
      <c r="U304">
        <f>marketing_data[[#This Row],[Cleaned End_date]]-marketing_data[[#This Row],[Start_date]]</f>
        <v>16</v>
      </c>
    </row>
    <row r="305" spans="1:21" x14ac:dyDescent="0.2">
      <c r="A305" t="s">
        <v>648</v>
      </c>
      <c r="B305" t="s">
        <v>649</v>
      </c>
      <c r="C305" s="2">
        <v>45063</v>
      </c>
      <c r="D305" t="str">
        <f t="shared" si="27"/>
        <v>May</v>
      </c>
      <c r="E305" s="2">
        <v>45093</v>
      </c>
      <c r="F305" t="s">
        <v>41</v>
      </c>
      <c r="G305">
        <v>39360</v>
      </c>
      <c r="H305">
        <v>867</v>
      </c>
      <c r="I305">
        <v>137</v>
      </c>
      <c r="J305" t="b">
        <v>1</v>
      </c>
      <c r="K305" s="10">
        <v>778.61</v>
      </c>
      <c r="L305" s="6">
        <f t="shared" si="28"/>
        <v>2.2027439024390243E-2</v>
      </c>
      <c r="M305">
        <f t="shared" si="29"/>
        <v>0.89805074971164933</v>
      </c>
      <c r="N305">
        <f t="shared" si="30"/>
        <v>5.6832846715328467</v>
      </c>
      <c r="O305">
        <f t="shared" si="31"/>
        <v>6071.39</v>
      </c>
      <c r="P305">
        <f t="shared" si="32"/>
        <v>0.1580161476355248</v>
      </c>
      <c r="Q305" t="s">
        <v>4137</v>
      </c>
      <c r="R305" t="s">
        <v>4138</v>
      </c>
      <c r="S305">
        <f>YEAR(marketing_data[[#This Row],[Start_date]])</f>
        <v>2023</v>
      </c>
      <c r="T305" t="str">
        <f>TEXT(marketing_data[[#This Row],[Start_date]],"ddd")</f>
        <v>Wed</v>
      </c>
      <c r="U305">
        <f>marketing_data[[#This Row],[Cleaned End_date]]-marketing_data[[#This Row],[Start_date]]</f>
        <v>30</v>
      </c>
    </row>
    <row r="306" spans="1:21" x14ac:dyDescent="0.2">
      <c r="A306" t="s">
        <v>650</v>
      </c>
      <c r="B306" t="s">
        <v>651</v>
      </c>
      <c r="C306" s="2">
        <v>45079</v>
      </c>
      <c r="D306" t="str">
        <f t="shared" si="27"/>
        <v>Jun</v>
      </c>
      <c r="E306" s="2">
        <v>45097</v>
      </c>
      <c r="F306" t="s">
        <v>19</v>
      </c>
      <c r="G306">
        <v>83018</v>
      </c>
      <c r="H306">
        <v>4088</v>
      </c>
      <c r="I306">
        <v>737</v>
      </c>
      <c r="J306" t="b">
        <v>0</v>
      </c>
      <c r="K306" s="10">
        <v>3631.7599999999998</v>
      </c>
      <c r="L306" s="6">
        <f t="shared" si="28"/>
        <v>4.9242332988026695E-2</v>
      </c>
      <c r="M306">
        <f t="shared" si="29"/>
        <v>0.88839530332681016</v>
      </c>
      <c r="N306">
        <f t="shared" si="30"/>
        <v>4.9277611940298502</v>
      </c>
      <c r="O306">
        <f t="shared" si="31"/>
        <v>33218.239999999998</v>
      </c>
      <c r="P306">
        <f t="shared" si="32"/>
        <v>0.18028375733855187</v>
      </c>
      <c r="Q306" t="s">
        <v>4139</v>
      </c>
      <c r="R306" t="s">
        <v>4141</v>
      </c>
      <c r="S306">
        <f>YEAR(marketing_data[[#This Row],[Start_date]])</f>
        <v>2023</v>
      </c>
      <c r="T306" t="str">
        <f>TEXT(marketing_data[[#This Row],[Start_date]],"ddd")</f>
        <v>Fri</v>
      </c>
      <c r="U306">
        <f>marketing_data[[#This Row],[Cleaned End_date]]-marketing_data[[#This Row],[Start_date]]</f>
        <v>18</v>
      </c>
    </row>
    <row r="307" spans="1:21" x14ac:dyDescent="0.2">
      <c r="A307" t="s">
        <v>652</v>
      </c>
      <c r="B307" t="s">
        <v>653</v>
      </c>
      <c r="C307" s="2">
        <v>45264</v>
      </c>
      <c r="D307" t="str">
        <f t="shared" si="27"/>
        <v>Dec</v>
      </c>
      <c r="E307" s="2">
        <v>45266</v>
      </c>
      <c r="F307" t="s">
        <v>41</v>
      </c>
      <c r="G307">
        <v>3200</v>
      </c>
      <c r="H307">
        <v>92</v>
      </c>
      <c r="I307">
        <v>7</v>
      </c>
      <c r="J307" t="b">
        <v>1</v>
      </c>
      <c r="K307" s="10">
        <v>329.13249999999999</v>
      </c>
      <c r="L307" s="6">
        <f t="shared" si="28"/>
        <v>2.8750000000000001E-2</v>
      </c>
      <c r="M307">
        <f t="shared" si="29"/>
        <v>3.5775271739130434</v>
      </c>
      <c r="N307">
        <f t="shared" si="30"/>
        <v>47.018928571428567</v>
      </c>
      <c r="O307">
        <f t="shared" si="31"/>
        <v>20.867500000000007</v>
      </c>
      <c r="P307">
        <f t="shared" si="32"/>
        <v>7.6086956521739135E-2</v>
      </c>
      <c r="Q307" t="s">
        <v>4138</v>
      </c>
      <c r="R307" t="s">
        <v>4139</v>
      </c>
      <c r="S307">
        <f>YEAR(marketing_data[[#This Row],[Start_date]])</f>
        <v>2023</v>
      </c>
      <c r="T307" t="str">
        <f>TEXT(marketing_data[[#This Row],[Start_date]],"ddd")</f>
        <v>Mon</v>
      </c>
      <c r="U307">
        <f>marketing_data[[#This Row],[Cleaned End_date]]-marketing_data[[#This Row],[Start_date]]</f>
        <v>2</v>
      </c>
    </row>
    <row r="308" spans="1:21" x14ac:dyDescent="0.2">
      <c r="A308" t="s">
        <v>654</v>
      </c>
      <c r="B308" t="s">
        <v>655</v>
      </c>
      <c r="C308" s="2">
        <v>45202</v>
      </c>
      <c r="D308" t="str">
        <f t="shared" si="27"/>
        <v>Oct</v>
      </c>
      <c r="E308" s="2">
        <v>45219</v>
      </c>
      <c r="F308" t="s">
        <v>19</v>
      </c>
      <c r="G308">
        <v>69497</v>
      </c>
      <c r="H308">
        <v>1758</v>
      </c>
      <c r="I308">
        <v>193</v>
      </c>
      <c r="J308" t="b">
        <v>1</v>
      </c>
      <c r="K308" s="10">
        <v>1654.14</v>
      </c>
      <c r="L308" s="6">
        <f t="shared" si="28"/>
        <v>2.529605594486093E-2</v>
      </c>
      <c r="M308">
        <f t="shared" si="29"/>
        <v>0.9409215017064847</v>
      </c>
      <c r="N308">
        <f t="shared" si="30"/>
        <v>8.5706735751295344</v>
      </c>
      <c r="O308">
        <f t="shared" si="31"/>
        <v>7995.86</v>
      </c>
      <c r="P308">
        <f t="shared" si="32"/>
        <v>0.10978384527872583</v>
      </c>
      <c r="Q308" t="s">
        <v>4136</v>
      </c>
      <c r="R308" t="s">
        <v>4139</v>
      </c>
      <c r="S308">
        <f>YEAR(marketing_data[[#This Row],[Start_date]])</f>
        <v>2023</v>
      </c>
      <c r="T308" t="str">
        <f>TEXT(marketing_data[[#This Row],[Start_date]],"ddd")</f>
        <v>Tue</v>
      </c>
      <c r="U308">
        <f>marketing_data[[#This Row],[Cleaned End_date]]-marketing_data[[#This Row],[Start_date]]</f>
        <v>17</v>
      </c>
    </row>
    <row r="309" spans="1:21" x14ac:dyDescent="0.2">
      <c r="A309" t="s">
        <v>656</v>
      </c>
      <c r="B309" t="s">
        <v>657</v>
      </c>
      <c r="C309" s="2">
        <v>45205</v>
      </c>
      <c r="D309" t="str">
        <f t="shared" si="27"/>
        <v>Oct</v>
      </c>
      <c r="E309" s="2">
        <v>45219</v>
      </c>
      <c r="F309" t="s">
        <v>14</v>
      </c>
      <c r="G309">
        <v>47975</v>
      </c>
      <c r="H309">
        <v>709</v>
      </c>
      <c r="I309">
        <v>136</v>
      </c>
      <c r="J309" t="b">
        <v>0</v>
      </c>
      <c r="K309" s="10">
        <v>606.64</v>
      </c>
      <c r="L309" s="6">
        <f t="shared" si="28"/>
        <v>1.4778530484627411E-2</v>
      </c>
      <c r="M309">
        <f t="shared" si="29"/>
        <v>0.85562764456981666</v>
      </c>
      <c r="N309">
        <f t="shared" si="30"/>
        <v>4.460588235294118</v>
      </c>
      <c r="O309">
        <f t="shared" si="31"/>
        <v>6193.36</v>
      </c>
      <c r="P309">
        <f t="shared" si="32"/>
        <v>0.1918194640338505</v>
      </c>
      <c r="Q309" t="s">
        <v>4136</v>
      </c>
      <c r="R309" t="s">
        <v>4141</v>
      </c>
      <c r="S309">
        <f>YEAR(marketing_data[[#This Row],[Start_date]])</f>
        <v>2023</v>
      </c>
      <c r="T309" t="str">
        <f>TEXT(marketing_data[[#This Row],[Start_date]],"ddd")</f>
        <v>Fri</v>
      </c>
      <c r="U309">
        <f>marketing_data[[#This Row],[Cleaned End_date]]-marketing_data[[#This Row],[Start_date]]</f>
        <v>14</v>
      </c>
    </row>
    <row r="310" spans="1:21" x14ac:dyDescent="0.2">
      <c r="A310" t="s">
        <v>658</v>
      </c>
      <c r="B310" t="s">
        <v>659</v>
      </c>
      <c r="C310" s="2">
        <v>45023</v>
      </c>
      <c r="D310" t="str">
        <f t="shared" si="27"/>
        <v>Apr</v>
      </c>
      <c r="E310" s="2">
        <v>45044</v>
      </c>
      <c r="F310" t="s">
        <v>41</v>
      </c>
      <c r="G310">
        <v>22357</v>
      </c>
      <c r="H310">
        <v>1094</v>
      </c>
      <c r="I310">
        <v>119</v>
      </c>
      <c r="J310" t="b">
        <v>1</v>
      </c>
      <c r="K310" s="10">
        <v>2103.4899999999998</v>
      </c>
      <c r="L310" s="6">
        <f t="shared" si="28"/>
        <v>4.8933220020575215E-2</v>
      </c>
      <c r="M310">
        <f t="shared" si="29"/>
        <v>1.9227513711151736</v>
      </c>
      <c r="N310">
        <f t="shared" si="30"/>
        <v>17.676386554621846</v>
      </c>
      <c r="O310">
        <f t="shared" si="31"/>
        <v>3846.51</v>
      </c>
      <c r="P310">
        <f t="shared" si="32"/>
        <v>0.10877513711151737</v>
      </c>
      <c r="Q310" t="s">
        <v>4137</v>
      </c>
      <c r="R310" t="s">
        <v>4138</v>
      </c>
      <c r="S310">
        <f>YEAR(marketing_data[[#This Row],[Start_date]])</f>
        <v>2023</v>
      </c>
      <c r="T310" t="str">
        <f>TEXT(marketing_data[[#This Row],[Start_date]],"ddd")</f>
        <v>Fri</v>
      </c>
      <c r="U310">
        <f>marketing_data[[#This Row],[Cleaned End_date]]-marketing_data[[#This Row],[Start_date]]</f>
        <v>21</v>
      </c>
    </row>
    <row r="311" spans="1:21" x14ac:dyDescent="0.2">
      <c r="A311" t="s">
        <v>660</v>
      </c>
      <c r="B311" t="s">
        <v>661</v>
      </c>
      <c r="C311" s="2">
        <v>45123</v>
      </c>
      <c r="D311" t="str">
        <f t="shared" si="27"/>
        <v>Jul</v>
      </c>
      <c r="E311" s="2">
        <v>45149</v>
      </c>
      <c r="F311" t="s">
        <v>23</v>
      </c>
      <c r="G311">
        <v>78505</v>
      </c>
      <c r="H311">
        <v>847</v>
      </c>
      <c r="I311">
        <v>58</v>
      </c>
      <c r="J311" t="b">
        <v>1</v>
      </c>
      <c r="K311" s="10">
        <v>1623.7</v>
      </c>
      <c r="L311" s="6">
        <f t="shared" si="28"/>
        <v>1.0789121711992866E-2</v>
      </c>
      <c r="M311">
        <f t="shared" si="29"/>
        <v>1.9170011806375444</v>
      </c>
      <c r="N311">
        <f t="shared" si="30"/>
        <v>27.994827586206899</v>
      </c>
      <c r="O311">
        <f t="shared" si="31"/>
        <v>1276.3</v>
      </c>
      <c r="P311">
        <f t="shared" si="32"/>
        <v>6.8476977567886663E-2</v>
      </c>
      <c r="Q311" t="s">
        <v>4139</v>
      </c>
      <c r="R311" t="s">
        <v>4139</v>
      </c>
      <c r="S311">
        <f>YEAR(marketing_data[[#This Row],[Start_date]])</f>
        <v>2023</v>
      </c>
      <c r="T311" t="str">
        <f>TEXT(marketing_data[[#This Row],[Start_date]],"ddd")</f>
        <v>Sun</v>
      </c>
      <c r="U311">
        <f>marketing_data[[#This Row],[Cleaned End_date]]-marketing_data[[#This Row],[Start_date]]</f>
        <v>26</v>
      </c>
    </row>
    <row r="312" spans="1:21" x14ac:dyDescent="0.2">
      <c r="A312" t="s">
        <v>662</v>
      </c>
      <c r="B312" t="s">
        <v>663</v>
      </c>
      <c r="C312" s="2">
        <v>44949</v>
      </c>
      <c r="D312" t="str">
        <f t="shared" si="27"/>
        <v>Jan</v>
      </c>
      <c r="E312" s="2">
        <v>44962</v>
      </c>
      <c r="F312" t="s">
        <v>23</v>
      </c>
      <c r="G312">
        <v>3869</v>
      </c>
      <c r="H312">
        <v>152</v>
      </c>
      <c r="I312">
        <v>19</v>
      </c>
      <c r="J312" t="b">
        <v>1</v>
      </c>
      <c r="K312" s="10">
        <v>329.13249999999999</v>
      </c>
      <c r="L312" s="6">
        <f t="shared" si="28"/>
        <v>3.928663737399845E-2</v>
      </c>
      <c r="M312">
        <f t="shared" si="29"/>
        <v>2.1653453947368422</v>
      </c>
      <c r="N312">
        <f t="shared" si="30"/>
        <v>17.322763157894737</v>
      </c>
      <c r="O312">
        <f t="shared" si="31"/>
        <v>620.86750000000006</v>
      </c>
      <c r="P312">
        <f t="shared" si="32"/>
        <v>0.125</v>
      </c>
      <c r="Q312" t="s">
        <v>4138</v>
      </c>
      <c r="R312" t="s">
        <v>4142</v>
      </c>
      <c r="S312">
        <f>YEAR(marketing_data[[#This Row],[Start_date]])</f>
        <v>2023</v>
      </c>
      <c r="T312" t="str">
        <f>TEXT(marketing_data[[#This Row],[Start_date]],"ddd")</f>
        <v>Mon</v>
      </c>
      <c r="U312">
        <f>marketing_data[[#This Row],[Cleaned End_date]]-marketing_data[[#This Row],[Start_date]]</f>
        <v>13</v>
      </c>
    </row>
    <row r="313" spans="1:21" x14ac:dyDescent="0.2">
      <c r="A313" t="s">
        <v>664</v>
      </c>
      <c r="B313" t="s">
        <v>665</v>
      </c>
      <c r="C313" s="2">
        <v>45122</v>
      </c>
      <c r="D313" t="str">
        <f t="shared" si="27"/>
        <v>Jul</v>
      </c>
      <c r="E313" s="2">
        <v>45145</v>
      </c>
      <c r="F313" t="s">
        <v>33</v>
      </c>
      <c r="G313">
        <v>62135</v>
      </c>
      <c r="H313">
        <v>2531</v>
      </c>
      <c r="I313">
        <v>168</v>
      </c>
      <c r="J313" t="b">
        <v>1</v>
      </c>
      <c r="K313" s="10">
        <v>3631.7599999999998</v>
      </c>
      <c r="L313" s="6">
        <f t="shared" si="28"/>
        <v>4.0733885893618732E-2</v>
      </c>
      <c r="M313">
        <f t="shared" si="29"/>
        <v>1.4349111023310943</v>
      </c>
      <c r="N313">
        <f t="shared" si="30"/>
        <v>21.617619047619048</v>
      </c>
      <c r="O313">
        <f t="shared" si="31"/>
        <v>4768.24</v>
      </c>
      <c r="P313">
        <f t="shared" si="32"/>
        <v>6.6376926116159626E-2</v>
      </c>
      <c r="Q313" t="s">
        <v>4139</v>
      </c>
      <c r="R313" t="s">
        <v>4139</v>
      </c>
      <c r="S313">
        <f>YEAR(marketing_data[[#This Row],[Start_date]])</f>
        <v>2023</v>
      </c>
      <c r="T313" t="str">
        <f>TEXT(marketing_data[[#This Row],[Start_date]],"ddd")</f>
        <v>Sat</v>
      </c>
      <c r="U313">
        <f>marketing_data[[#This Row],[Cleaned End_date]]-marketing_data[[#This Row],[Start_date]]</f>
        <v>23</v>
      </c>
    </row>
    <row r="314" spans="1:21" x14ac:dyDescent="0.2">
      <c r="A314" t="s">
        <v>666</v>
      </c>
      <c r="B314" t="s">
        <v>667</v>
      </c>
      <c r="C314" s="2">
        <v>45260</v>
      </c>
      <c r="D314" t="str">
        <f t="shared" si="27"/>
        <v>Nov</v>
      </c>
      <c r="E314" s="2">
        <v>45265</v>
      </c>
      <c r="F314" t="s">
        <v>41</v>
      </c>
      <c r="G314">
        <v>51108</v>
      </c>
      <c r="H314">
        <v>1009</v>
      </c>
      <c r="I314">
        <v>81</v>
      </c>
      <c r="J314" t="b">
        <v>0</v>
      </c>
      <c r="K314" s="10">
        <v>1693.83</v>
      </c>
      <c r="L314" s="6">
        <f t="shared" si="28"/>
        <v>1.9742506065586602E-2</v>
      </c>
      <c r="M314">
        <f t="shared" si="29"/>
        <v>1.6787215064420218</v>
      </c>
      <c r="N314">
        <f t="shared" si="30"/>
        <v>20.911481481481481</v>
      </c>
      <c r="O314">
        <f t="shared" si="31"/>
        <v>2356.17</v>
      </c>
      <c r="P314">
        <f t="shared" si="32"/>
        <v>8.0277502477700699E-2</v>
      </c>
      <c r="Q314" t="s">
        <v>4136</v>
      </c>
      <c r="R314" t="s">
        <v>4139</v>
      </c>
      <c r="S314">
        <f>YEAR(marketing_data[[#This Row],[Start_date]])</f>
        <v>2023</v>
      </c>
      <c r="T314" t="str">
        <f>TEXT(marketing_data[[#This Row],[Start_date]],"ddd")</f>
        <v>Thu</v>
      </c>
      <c r="U314">
        <f>marketing_data[[#This Row],[Cleaned End_date]]-marketing_data[[#This Row],[Start_date]]</f>
        <v>5</v>
      </c>
    </row>
    <row r="315" spans="1:21" x14ac:dyDescent="0.2">
      <c r="A315" t="s">
        <v>668</v>
      </c>
      <c r="B315" t="s">
        <v>669</v>
      </c>
      <c r="C315" s="2">
        <v>44945</v>
      </c>
      <c r="D315" t="str">
        <f t="shared" si="27"/>
        <v>Jan</v>
      </c>
      <c r="E315" s="2">
        <v>44963</v>
      </c>
      <c r="F315" t="s">
        <v>19</v>
      </c>
      <c r="G315">
        <v>95179</v>
      </c>
      <c r="H315">
        <v>3508</v>
      </c>
      <c r="I315">
        <v>700</v>
      </c>
      <c r="J315" t="b">
        <v>0</v>
      </c>
      <c r="K315" s="10">
        <v>3631.7599999999998</v>
      </c>
      <c r="L315" s="6">
        <f t="shared" si="28"/>
        <v>3.6856869687641181E-2</v>
      </c>
      <c r="M315">
        <f t="shared" si="29"/>
        <v>1.035279361459521</v>
      </c>
      <c r="N315">
        <f t="shared" si="30"/>
        <v>5.1882285714285707</v>
      </c>
      <c r="O315">
        <f t="shared" si="31"/>
        <v>31368.240000000002</v>
      </c>
      <c r="P315">
        <f t="shared" si="32"/>
        <v>0.19954389965792474</v>
      </c>
      <c r="Q315" t="s">
        <v>4138</v>
      </c>
      <c r="R315" t="s">
        <v>4142</v>
      </c>
      <c r="S315">
        <f>YEAR(marketing_data[[#This Row],[Start_date]])</f>
        <v>2023</v>
      </c>
      <c r="T315" t="str">
        <f>TEXT(marketing_data[[#This Row],[Start_date]],"ddd")</f>
        <v>Thu</v>
      </c>
      <c r="U315">
        <f>marketing_data[[#This Row],[Cleaned End_date]]-marketing_data[[#This Row],[Start_date]]</f>
        <v>18</v>
      </c>
    </row>
    <row r="316" spans="1:21" x14ac:dyDescent="0.2">
      <c r="A316" t="s">
        <v>670</v>
      </c>
      <c r="B316" t="s">
        <v>671</v>
      </c>
      <c r="C316" s="2">
        <v>45096</v>
      </c>
      <c r="D316" t="str">
        <f t="shared" si="27"/>
        <v>Jun</v>
      </c>
      <c r="E316" s="2">
        <v>45123</v>
      </c>
      <c r="F316" t="s">
        <v>23</v>
      </c>
      <c r="G316">
        <v>91272</v>
      </c>
      <c r="H316">
        <v>1251</v>
      </c>
      <c r="I316">
        <v>164</v>
      </c>
      <c r="J316" t="b">
        <v>0</v>
      </c>
      <c r="K316" s="10">
        <v>637.58000000000004</v>
      </c>
      <c r="L316" s="6">
        <f t="shared" si="28"/>
        <v>1.3706284512227189E-2</v>
      </c>
      <c r="M316">
        <f t="shared" si="29"/>
        <v>0.50965627498001598</v>
      </c>
      <c r="N316">
        <f t="shared" si="30"/>
        <v>3.8876829268292687</v>
      </c>
      <c r="O316">
        <f t="shared" si="31"/>
        <v>7562.42</v>
      </c>
      <c r="P316">
        <f t="shared" si="32"/>
        <v>0.1310951239008793</v>
      </c>
      <c r="Q316" t="s">
        <v>4139</v>
      </c>
      <c r="R316" t="s">
        <v>4142</v>
      </c>
      <c r="S316">
        <f>YEAR(marketing_data[[#This Row],[Start_date]])</f>
        <v>2023</v>
      </c>
      <c r="T316" t="str">
        <f>TEXT(marketing_data[[#This Row],[Start_date]],"ddd")</f>
        <v>Mon</v>
      </c>
      <c r="U316">
        <f>marketing_data[[#This Row],[Cleaned End_date]]-marketing_data[[#This Row],[Start_date]]</f>
        <v>27</v>
      </c>
    </row>
    <row r="317" spans="1:21" x14ac:dyDescent="0.2">
      <c r="A317" t="s">
        <v>672</v>
      </c>
      <c r="B317" t="s">
        <v>673</v>
      </c>
      <c r="C317" s="2">
        <v>45152</v>
      </c>
      <c r="D317" t="str">
        <f t="shared" si="27"/>
        <v>Aug</v>
      </c>
      <c r="E317" s="2">
        <v>45155</v>
      </c>
      <c r="F317" t="s">
        <v>33</v>
      </c>
      <c r="G317">
        <v>39467</v>
      </c>
      <c r="H317">
        <v>800</v>
      </c>
      <c r="J317" t="b">
        <v>0</v>
      </c>
      <c r="K317" s="10">
        <v>1327.02</v>
      </c>
      <c r="L317" s="6">
        <f t="shared" si="28"/>
        <v>2.0270099070109206E-2</v>
      </c>
      <c r="M317">
        <f t="shared" si="29"/>
        <v>1.6587749999999999</v>
      </c>
      <c r="N317">
        <f t="shared" si="30"/>
        <v>0</v>
      </c>
      <c r="O317">
        <f t="shared" si="31"/>
        <v>-1327.02</v>
      </c>
      <c r="P317">
        <f t="shared" si="32"/>
        <v>0</v>
      </c>
      <c r="Q317" t="s">
        <v>4139</v>
      </c>
      <c r="R317" t="s">
        <v>4141</v>
      </c>
      <c r="S317">
        <f>YEAR(marketing_data[[#This Row],[Start_date]])</f>
        <v>2023</v>
      </c>
      <c r="T317" t="str">
        <f>TEXT(marketing_data[[#This Row],[Start_date]],"ddd")</f>
        <v>Mon</v>
      </c>
      <c r="U317">
        <f>marketing_data[[#This Row],[Cleaned End_date]]-marketing_data[[#This Row],[Start_date]]</f>
        <v>3</v>
      </c>
    </row>
    <row r="318" spans="1:21" x14ac:dyDescent="0.2">
      <c r="A318" t="s">
        <v>675</v>
      </c>
      <c r="B318" t="s">
        <v>676</v>
      </c>
      <c r="C318" s="2">
        <v>45160</v>
      </c>
      <c r="D318" t="str">
        <f t="shared" si="27"/>
        <v>Aug</v>
      </c>
      <c r="E318" s="2">
        <v>45187</v>
      </c>
      <c r="F318" t="s">
        <v>33</v>
      </c>
      <c r="G318">
        <v>24328</v>
      </c>
      <c r="H318">
        <v>1010</v>
      </c>
      <c r="I318">
        <v>201</v>
      </c>
      <c r="J318" t="b">
        <v>1</v>
      </c>
      <c r="K318" s="10">
        <v>1569.27</v>
      </c>
      <c r="L318" s="6">
        <f t="shared" si="28"/>
        <v>4.1515948701085166E-2</v>
      </c>
      <c r="M318">
        <f t="shared" si="29"/>
        <v>1.5537326732673267</v>
      </c>
      <c r="N318">
        <f t="shared" si="30"/>
        <v>7.8073134328358211</v>
      </c>
      <c r="O318">
        <f t="shared" si="31"/>
        <v>8480.73</v>
      </c>
      <c r="P318">
        <f t="shared" si="32"/>
        <v>0.19900990099009902</v>
      </c>
      <c r="Q318" t="s">
        <v>4139</v>
      </c>
      <c r="R318" t="s">
        <v>4142</v>
      </c>
      <c r="S318">
        <f>YEAR(marketing_data[[#This Row],[Start_date]])</f>
        <v>2023</v>
      </c>
      <c r="T318" t="str">
        <f>TEXT(marketing_data[[#This Row],[Start_date]],"ddd")</f>
        <v>Tue</v>
      </c>
      <c r="U318">
        <f>marketing_data[[#This Row],[Cleaned End_date]]-marketing_data[[#This Row],[Start_date]]</f>
        <v>27</v>
      </c>
    </row>
    <row r="319" spans="1:21" x14ac:dyDescent="0.2">
      <c r="A319" t="s">
        <v>678</v>
      </c>
      <c r="B319" t="s">
        <v>679</v>
      </c>
      <c r="C319" s="2">
        <v>45000</v>
      </c>
      <c r="D319" t="str">
        <f t="shared" si="27"/>
        <v>Mar</v>
      </c>
      <c r="E319" s="2">
        <v>45007</v>
      </c>
      <c r="F319" t="s">
        <v>41</v>
      </c>
      <c r="G319">
        <v>92412</v>
      </c>
      <c r="H319">
        <v>4120</v>
      </c>
      <c r="I319">
        <v>803</v>
      </c>
      <c r="J319" t="b">
        <v>1</v>
      </c>
      <c r="K319" s="10">
        <v>3631.7599999999998</v>
      </c>
      <c r="L319" s="6">
        <f t="shared" si="28"/>
        <v>4.4582954594641386E-2</v>
      </c>
      <c r="M319">
        <f t="shared" si="29"/>
        <v>0.8814951456310679</v>
      </c>
      <c r="N319">
        <f t="shared" si="30"/>
        <v>4.5227397260273969</v>
      </c>
      <c r="O319">
        <f t="shared" si="31"/>
        <v>36518.239999999998</v>
      </c>
      <c r="P319">
        <f t="shared" si="32"/>
        <v>0.19490291262135923</v>
      </c>
      <c r="Q319" t="s">
        <v>4137</v>
      </c>
      <c r="R319" t="s">
        <v>4139</v>
      </c>
      <c r="S319">
        <f>YEAR(marketing_data[[#This Row],[Start_date]])</f>
        <v>2023</v>
      </c>
      <c r="T319" t="str">
        <f>TEXT(marketing_data[[#This Row],[Start_date]],"ddd")</f>
        <v>Wed</v>
      </c>
      <c r="U319">
        <f>marketing_data[[#This Row],[Cleaned End_date]]-marketing_data[[#This Row],[Start_date]]</f>
        <v>7</v>
      </c>
    </row>
    <row r="320" spans="1:21" x14ac:dyDescent="0.2">
      <c r="A320" t="s">
        <v>680</v>
      </c>
      <c r="B320" t="s">
        <v>681</v>
      </c>
      <c r="C320" s="2">
        <v>45006</v>
      </c>
      <c r="D320" t="str">
        <f t="shared" si="27"/>
        <v>Mar</v>
      </c>
      <c r="E320" s="2">
        <v>45021</v>
      </c>
      <c r="F320" t="s">
        <v>14</v>
      </c>
      <c r="G320">
        <v>87831</v>
      </c>
      <c r="H320">
        <v>3016</v>
      </c>
      <c r="I320">
        <v>350</v>
      </c>
      <c r="J320" t="b">
        <v>0</v>
      </c>
      <c r="K320" s="10">
        <v>3631.7599999999998</v>
      </c>
      <c r="L320" s="6">
        <f t="shared" si="28"/>
        <v>3.4338673133631634E-2</v>
      </c>
      <c r="M320">
        <f t="shared" si="29"/>
        <v>1.2041644562334217</v>
      </c>
      <c r="N320">
        <f t="shared" si="30"/>
        <v>10.376457142857141</v>
      </c>
      <c r="O320">
        <f t="shared" si="31"/>
        <v>13868.24</v>
      </c>
      <c r="P320">
        <f t="shared" si="32"/>
        <v>0.11604774535809019</v>
      </c>
      <c r="Q320" t="s">
        <v>4137</v>
      </c>
      <c r="R320" t="s">
        <v>4142</v>
      </c>
      <c r="S320">
        <f>YEAR(marketing_data[[#This Row],[Start_date]])</f>
        <v>2023</v>
      </c>
      <c r="T320" t="str">
        <f>TEXT(marketing_data[[#This Row],[Start_date]],"ddd")</f>
        <v>Tue</v>
      </c>
      <c r="U320">
        <f>marketing_data[[#This Row],[Cleaned End_date]]-marketing_data[[#This Row],[Start_date]]</f>
        <v>15</v>
      </c>
    </row>
    <row r="321" spans="1:21" x14ac:dyDescent="0.2">
      <c r="A321" t="s">
        <v>683</v>
      </c>
      <c r="B321" t="s">
        <v>684</v>
      </c>
      <c r="C321" s="2">
        <v>45062</v>
      </c>
      <c r="D321" t="str">
        <f t="shared" si="27"/>
        <v>May</v>
      </c>
      <c r="E321" s="2">
        <v>45068</v>
      </c>
      <c r="F321" t="s">
        <v>19</v>
      </c>
      <c r="G321">
        <v>4987</v>
      </c>
      <c r="H321">
        <v>150</v>
      </c>
      <c r="I321">
        <v>13</v>
      </c>
      <c r="J321" t="b">
        <v>0</v>
      </c>
      <c r="K321" s="10">
        <v>329.13249999999999</v>
      </c>
      <c r="L321" s="6">
        <f t="shared" si="28"/>
        <v>3.0078203328654501E-2</v>
      </c>
      <c r="M321">
        <f t="shared" si="29"/>
        <v>2.1942166666666667</v>
      </c>
      <c r="N321">
        <f t="shared" si="30"/>
        <v>25.317884615384614</v>
      </c>
      <c r="O321">
        <f t="shared" si="31"/>
        <v>320.86750000000001</v>
      </c>
      <c r="P321">
        <f t="shared" si="32"/>
        <v>8.666666666666667E-2</v>
      </c>
      <c r="Q321" t="s">
        <v>4137</v>
      </c>
      <c r="R321" t="s">
        <v>4141</v>
      </c>
      <c r="S321">
        <f>YEAR(marketing_data[[#This Row],[Start_date]])</f>
        <v>2023</v>
      </c>
      <c r="T321" t="str">
        <f>TEXT(marketing_data[[#This Row],[Start_date]],"ddd")</f>
        <v>Tue</v>
      </c>
      <c r="U321">
        <f>marketing_data[[#This Row],[Cleaned End_date]]-marketing_data[[#This Row],[Start_date]]</f>
        <v>6</v>
      </c>
    </row>
    <row r="322" spans="1:21" x14ac:dyDescent="0.2">
      <c r="A322" t="s">
        <v>685</v>
      </c>
      <c r="B322" t="s">
        <v>686</v>
      </c>
      <c r="C322" s="2">
        <v>45259</v>
      </c>
      <c r="D322" t="str">
        <f t="shared" si="27"/>
        <v>Nov</v>
      </c>
      <c r="E322" s="2">
        <v>45263</v>
      </c>
      <c r="F322" t="s">
        <v>14</v>
      </c>
      <c r="G322">
        <v>59871</v>
      </c>
      <c r="H322">
        <v>980</v>
      </c>
      <c r="I322">
        <v>172</v>
      </c>
      <c r="J322" t="b">
        <v>0</v>
      </c>
      <c r="K322" s="10">
        <v>1525</v>
      </c>
      <c r="L322" s="6">
        <f t="shared" si="28"/>
        <v>1.6368525663509881E-2</v>
      </c>
      <c r="M322">
        <f t="shared" si="29"/>
        <v>1.5561224489795917</v>
      </c>
      <c r="N322">
        <f t="shared" si="30"/>
        <v>8.8662790697674421</v>
      </c>
      <c r="O322">
        <f t="shared" si="31"/>
        <v>7075</v>
      </c>
      <c r="P322">
        <f t="shared" si="32"/>
        <v>0.17551020408163265</v>
      </c>
      <c r="Q322" t="s">
        <v>4136</v>
      </c>
      <c r="R322" t="s">
        <v>4142</v>
      </c>
      <c r="S322">
        <f>YEAR(marketing_data[[#This Row],[Start_date]])</f>
        <v>2023</v>
      </c>
      <c r="T322" t="str">
        <f>TEXT(marketing_data[[#This Row],[Start_date]],"ddd")</f>
        <v>Wed</v>
      </c>
      <c r="U322">
        <f>marketing_data[[#This Row],[Cleaned End_date]]-marketing_data[[#This Row],[Start_date]]</f>
        <v>4</v>
      </c>
    </row>
    <row r="323" spans="1:21" x14ac:dyDescent="0.2">
      <c r="A323" t="s">
        <v>688</v>
      </c>
      <c r="B323" t="s">
        <v>689</v>
      </c>
      <c r="C323" s="2">
        <v>45095</v>
      </c>
      <c r="D323" t="str">
        <f t="shared" ref="D323:D386" si="33">TEXT(C323,"mmm")</f>
        <v>Jun</v>
      </c>
      <c r="E323" s="2">
        <v>45120</v>
      </c>
      <c r="F323" t="s">
        <v>23</v>
      </c>
      <c r="G323">
        <v>23399</v>
      </c>
      <c r="H323">
        <v>293</v>
      </c>
      <c r="I323">
        <v>46</v>
      </c>
      <c r="J323" t="b">
        <v>1</v>
      </c>
      <c r="K323" s="10">
        <v>557.51</v>
      </c>
      <c r="L323" s="6">
        <f t="shared" ref="L323:L386" si="34">H323/G323</f>
        <v>1.2521902645412197E-2</v>
      </c>
      <c r="M323">
        <f t="shared" ref="M323:M386" si="35">K323/H323</f>
        <v>1.9027645051194539</v>
      </c>
      <c r="N323">
        <f t="shared" ref="N323:N386" si="36">IFERROR(K323/I323,0)</f>
        <v>12.119782608695653</v>
      </c>
      <c r="O323">
        <f t="shared" ref="O323:O386" si="37">(50*I323)-K323</f>
        <v>1742.49</v>
      </c>
      <c r="P323">
        <f t="shared" ref="P323:P386" si="38">I323/H323</f>
        <v>0.15699658703071673</v>
      </c>
      <c r="Q323" t="s">
        <v>4139</v>
      </c>
      <c r="R323" t="s">
        <v>4139</v>
      </c>
      <c r="S323">
        <f>YEAR(marketing_data[[#This Row],[Start_date]])</f>
        <v>2023</v>
      </c>
      <c r="T323" t="str">
        <f>TEXT(marketing_data[[#This Row],[Start_date]],"ddd")</f>
        <v>Sun</v>
      </c>
      <c r="U323">
        <f>marketing_data[[#This Row],[Cleaned End_date]]-marketing_data[[#This Row],[Start_date]]</f>
        <v>25</v>
      </c>
    </row>
    <row r="324" spans="1:21" x14ac:dyDescent="0.2">
      <c r="A324" t="s">
        <v>690</v>
      </c>
      <c r="B324" t="s">
        <v>691</v>
      </c>
      <c r="C324" s="2">
        <v>45121</v>
      </c>
      <c r="D324" t="str">
        <f t="shared" si="33"/>
        <v>Jul</v>
      </c>
      <c r="E324" s="2">
        <v>45151</v>
      </c>
      <c r="F324" t="str">
        <f>F323</f>
        <v>Email</v>
      </c>
      <c r="G324">
        <v>47214</v>
      </c>
      <c r="H324">
        <v>694</v>
      </c>
      <c r="I324">
        <v>106</v>
      </c>
      <c r="J324" t="b">
        <v>1</v>
      </c>
      <c r="K324" s="10">
        <v>738.21</v>
      </c>
      <c r="L324" s="6">
        <f t="shared" si="34"/>
        <v>1.4699029948744016E-2</v>
      </c>
      <c r="M324">
        <f t="shared" si="35"/>
        <v>1.0637031700288184</v>
      </c>
      <c r="N324">
        <f t="shared" si="36"/>
        <v>6.9642452830188679</v>
      </c>
      <c r="O324">
        <f t="shared" si="37"/>
        <v>4561.79</v>
      </c>
      <c r="P324">
        <f t="shared" si="38"/>
        <v>0.15273775216138327</v>
      </c>
      <c r="Q324" t="s">
        <v>4139</v>
      </c>
      <c r="R324" t="s">
        <v>4139</v>
      </c>
      <c r="S324">
        <f>YEAR(marketing_data[[#This Row],[Start_date]])</f>
        <v>2023</v>
      </c>
      <c r="T324" t="str">
        <f>TEXT(marketing_data[[#This Row],[Start_date]],"ddd")</f>
        <v>Fri</v>
      </c>
      <c r="U324">
        <f>marketing_data[[#This Row],[Cleaned End_date]]-marketing_data[[#This Row],[Start_date]]</f>
        <v>30</v>
      </c>
    </row>
    <row r="325" spans="1:21" x14ac:dyDescent="0.2">
      <c r="A325" t="s">
        <v>692</v>
      </c>
      <c r="B325" t="s">
        <v>693</v>
      </c>
      <c r="C325" s="2">
        <v>45176</v>
      </c>
      <c r="D325" t="str">
        <f t="shared" si="33"/>
        <v>Sep</v>
      </c>
      <c r="E325" s="2">
        <v>45206</v>
      </c>
      <c r="F325" t="s">
        <v>23</v>
      </c>
      <c r="G325">
        <v>87416</v>
      </c>
      <c r="H325">
        <v>1669</v>
      </c>
      <c r="I325">
        <v>307</v>
      </c>
      <c r="J325" t="b">
        <v>1</v>
      </c>
      <c r="K325" s="10">
        <v>2607.2800000000002</v>
      </c>
      <c r="L325" s="6">
        <f t="shared" si="34"/>
        <v>1.9092614624325065E-2</v>
      </c>
      <c r="M325">
        <f t="shared" si="35"/>
        <v>1.5621809466746557</v>
      </c>
      <c r="N325">
        <f t="shared" si="36"/>
        <v>8.4927687296416945</v>
      </c>
      <c r="O325">
        <f t="shared" si="37"/>
        <v>12742.72</v>
      </c>
      <c r="P325">
        <f t="shared" si="38"/>
        <v>0.18394248052726184</v>
      </c>
      <c r="Q325" t="s">
        <v>4136</v>
      </c>
      <c r="R325" t="s">
        <v>4138</v>
      </c>
      <c r="S325">
        <f>YEAR(marketing_data[[#This Row],[Start_date]])</f>
        <v>2023</v>
      </c>
      <c r="T325" t="str">
        <f>TEXT(marketing_data[[#This Row],[Start_date]],"ddd")</f>
        <v>Thu</v>
      </c>
      <c r="U325">
        <f>marketing_data[[#This Row],[Cleaned End_date]]-marketing_data[[#This Row],[Start_date]]</f>
        <v>30</v>
      </c>
    </row>
    <row r="326" spans="1:21" x14ac:dyDescent="0.2">
      <c r="A326" t="s">
        <v>694</v>
      </c>
      <c r="B326" t="s">
        <v>695</v>
      </c>
      <c r="C326" s="2">
        <v>44962</v>
      </c>
      <c r="D326" t="str">
        <f t="shared" si="33"/>
        <v>Feb</v>
      </c>
      <c r="E326" s="2">
        <v>44971</v>
      </c>
      <c r="F326" t="s">
        <v>14</v>
      </c>
      <c r="G326">
        <v>71271</v>
      </c>
      <c r="H326">
        <v>1686</v>
      </c>
      <c r="I326">
        <v>258</v>
      </c>
      <c r="J326" t="b">
        <v>1</v>
      </c>
      <c r="K326" s="10">
        <v>2046.01</v>
      </c>
      <c r="L326" s="6">
        <f t="shared" si="34"/>
        <v>2.3656185545312961E-2</v>
      </c>
      <c r="M326">
        <f t="shared" si="35"/>
        <v>1.2135290628706998</v>
      </c>
      <c r="N326">
        <f t="shared" si="36"/>
        <v>7.9302713178294573</v>
      </c>
      <c r="O326">
        <f t="shared" si="37"/>
        <v>10853.99</v>
      </c>
      <c r="P326">
        <f t="shared" si="38"/>
        <v>0.15302491103202848</v>
      </c>
      <c r="Q326" t="s">
        <v>4138</v>
      </c>
      <c r="R326" t="s">
        <v>4142</v>
      </c>
      <c r="S326">
        <f>YEAR(marketing_data[[#This Row],[Start_date]])</f>
        <v>2023</v>
      </c>
      <c r="T326" t="str">
        <f>TEXT(marketing_data[[#This Row],[Start_date]],"ddd")</f>
        <v>Sun</v>
      </c>
      <c r="U326">
        <f>marketing_data[[#This Row],[Cleaned End_date]]-marketing_data[[#This Row],[Start_date]]</f>
        <v>9</v>
      </c>
    </row>
    <row r="327" spans="1:21" x14ac:dyDescent="0.2">
      <c r="A327" t="s">
        <v>696</v>
      </c>
      <c r="B327" t="s">
        <v>697</v>
      </c>
      <c r="C327" s="2">
        <v>45074</v>
      </c>
      <c r="D327" t="str">
        <f t="shared" si="33"/>
        <v>May</v>
      </c>
      <c r="E327" s="2">
        <v>45082</v>
      </c>
      <c r="F327" t="s">
        <v>19</v>
      </c>
      <c r="G327">
        <v>45064</v>
      </c>
      <c r="H327">
        <v>1137</v>
      </c>
      <c r="I327">
        <v>105</v>
      </c>
      <c r="J327" t="b">
        <v>1</v>
      </c>
      <c r="K327" s="10">
        <v>1718.69</v>
      </c>
      <c r="L327" s="6">
        <f t="shared" si="34"/>
        <v>2.5230782886561335E-2</v>
      </c>
      <c r="M327">
        <f t="shared" si="35"/>
        <v>1.5116007036059806</v>
      </c>
      <c r="N327">
        <f t="shared" si="36"/>
        <v>16.368476190476191</v>
      </c>
      <c r="O327">
        <f t="shared" si="37"/>
        <v>3531.31</v>
      </c>
      <c r="P327">
        <f t="shared" si="38"/>
        <v>9.2348284960422161E-2</v>
      </c>
      <c r="Q327" t="s">
        <v>4137</v>
      </c>
      <c r="R327" t="s">
        <v>4138</v>
      </c>
      <c r="S327">
        <f>YEAR(marketing_data[[#This Row],[Start_date]])</f>
        <v>2023</v>
      </c>
      <c r="T327" t="str">
        <f>TEXT(marketing_data[[#This Row],[Start_date]],"ddd")</f>
        <v>Sun</v>
      </c>
      <c r="U327">
        <f>marketing_data[[#This Row],[Cleaned End_date]]-marketing_data[[#This Row],[Start_date]]</f>
        <v>8</v>
      </c>
    </row>
    <row r="328" spans="1:21" x14ac:dyDescent="0.2">
      <c r="A328" t="s">
        <v>698</v>
      </c>
      <c r="B328" t="s">
        <v>699</v>
      </c>
      <c r="C328" s="2">
        <v>45149</v>
      </c>
      <c r="D328" t="str">
        <f t="shared" si="33"/>
        <v>Aug</v>
      </c>
      <c r="E328" s="2">
        <v>45157</v>
      </c>
      <c r="F328" t="str">
        <f>F327</f>
        <v>Facebook</v>
      </c>
      <c r="G328">
        <v>71091</v>
      </c>
      <c r="H328">
        <v>1695</v>
      </c>
      <c r="I328">
        <v>261</v>
      </c>
      <c r="J328" t="b">
        <v>0</v>
      </c>
      <c r="K328" s="10">
        <v>2787.16</v>
      </c>
      <c r="L328" s="6">
        <f t="shared" si="34"/>
        <v>2.3842680508081193E-2</v>
      </c>
      <c r="M328">
        <f t="shared" si="35"/>
        <v>1.6443421828908553</v>
      </c>
      <c r="N328">
        <f t="shared" si="36"/>
        <v>10.678773946360153</v>
      </c>
      <c r="O328">
        <f t="shared" si="37"/>
        <v>10262.84</v>
      </c>
      <c r="P328">
        <f t="shared" si="38"/>
        <v>0.15398230088495576</v>
      </c>
      <c r="Q328" t="s">
        <v>4139</v>
      </c>
      <c r="R328" t="s">
        <v>4139</v>
      </c>
      <c r="S328">
        <f>YEAR(marketing_data[[#This Row],[Start_date]])</f>
        <v>2023</v>
      </c>
      <c r="T328" t="str">
        <f>TEXT(marketing_data[[#This Row],[Start_date]],"ddd")</f>
        <v>Fri</v>
      </c>
      <c r="U328">
        <f>marketing_data[[#This Row],[Cleaned End_date]]-marketing_data[[#This Row],[Start_date]]</f>
        <v>8</v>
      </c>
    </row>
    <row r="329" spans="1:21" x14ac:dyDescent="0.2">
      <c r="A329" t="s">
        <v>700</v>
      </c>
      <c r="B329" t="s">
        <v>701</v>
      </c>
      <c r="C329" s="2">
        <v>45287</v>
      </c>
      <c r="D329" t="str">
        <f t="shared" si="33"/>
        <v>Dec</v>
      </c>
      <c r="E329" s="2">
        <v>45289</v>
      </c>
      <c r="F329" t="s">
        <v>14</v>
      </c>
      <c r="G329">
        <v>41818</v>
      </c>
      <c r="H329">
        <v>818</v>
      </c>
      <c r="I329">
        <v>78</v>
      </c>
      <c r="J329" t="b">
        <v>0</v>
      </c>
      <c r="K329" s="10">
        <v>464.77</v>
      </c>
      <c r="L329" s="6">
        <f t="shared" si="34"/>
        <v>1.9560954612846144E-2</v>
      </c>
      <c r="M329">
        <f t="shared" si="35"/>
        <v>0.56817848410757943</v>
      </c>
      <c r="N329">
        <f t="shared" si="36"/>
        <v>5.9585897435897435</v>
      </c>
      <c r="O329">
        <f t="shared" si="37"/>
        <v>3435.23</v>
      </c>
      <c r="P329">
        <f t="shared" si="38"/>
        <v>9.5354523227383858E-2</v>
      </c>
      <c r="Q329" t="s">
        <v>4138</v>
      </c>
      <c r="R329" t="s">
        <v>4142</v>
      </c>
      <c r="S329">
        <f>YEAR(marketing_data[[#This Row],[Start_date]])</f>
        <v>2023</v>
      </c>
      <c r="T329" t="str">
        <f>TEXT(marketing_data[[#This Row],[Start_date]],"ddd")</f>
        <v>Wed</v>
      </c>
      <c r="U329">
        <f>marketing_data[[#This Row],[Cleaned End_date]]-marketing_data[[#This Row],[Start_date]]</f>
        <v>2</v>
      </c>
    </row>
    <row r="330" spans="1:21" x14ac:dyDescent="0.2">
      <c r="A330" t="s">
        <v>702</v>
      </c>
      <c r="B330" t="s">
        <v>703</v>
      </c>
      <c r="C330" s="2">
        <v>45282</v>
      </c>
      <c r="D330" t="str">
        <f t="shared" si="33"/>
        <v>Dec</v>
      </c>
      <c r="E330" s="2">
        <v>45303</v>
      </c>
      <c r="F330" t="s">
        <v>41</v>
      </c>
      <c r="G330">
        <v>46525</v>
      </c>
      <c r="H330">
        <v>1413</v>
      </c>
      <c r="I330">
        <v>231</v>
      </c>
      <c r="J330" t="b">
        <v>0</v>
      </c>
      <c r="K330" s="10">
        <v>2076.9699999999998</v>
      </c>
      <c r="L330" s="6">
        <f t="shared" si="34"/>
        <v>3.0370768404083825E-2</v>
      </c>
      <c r="M330">
        <f t="shared" si="35"/>
        <v>1.4699009200283084</v>
      </c>
      <c r="N330">
        <f t="shared" si="36"/>
        <v>8.9912121212121203</v>
      </c>
      <c r="O330">
        <f t="shared" si="37"/>
        <v>9473.0300000000007</v>
      </c>
      <c r="P330">
        <f t="shared" si="38"/>
        <v>0.16348195329087048</v>
      </c>
      <c r="Q330" t="s">
        <v>4138</v>
      </c>
      <c r="R330" t="s">
        <v>4139</v>
      </c>
      <c r="S330">
        <f>YEAR(marketing_data[[#This Row],[Start_date]])</f>
        <v>2023</v>
      </c>
      <c r="T330" t="str">
        <f>TEXT(marketing_data[[#This Row],[Start_date]],"ddd")</f>
        <v>Fri</v>
      </c>
      <c r="U330">
        <f>marketing_data[[#This Row],[Cleaned End_date]]-marketing_data[[#This Row],[Start_date]]</f>
        <v>21</v>
      </c>
    </row>
    <row r="331" spans="1:21" x14ac:dyDescent="0.2">
      <c r="A331" t="s">
        <v>704</v>
      </c>
      <c r="B331" t="s">
        <v>705</v>
      </c>
      <c r="C331" s="2">
        <v>45093</v>
      </c>
      <c r="D331" t="str">
        <f t="shared" si="33"/>
        <v>Jun</v>
      </c>
      <c r="E331" s="2">
        <v>45115</v>
      </c>
      <c r="F331" t="s">
        <v>19</v>
      </c>
      <c r="G331">
        <v>20830</v>
      </c>
      <c r="H331">
        <v>895</v>
      </c>
      <c r="I331">
        <v>127</v>
      </c>
      <c r="J331" t="b">
        <v>0</v>
      </c>
      <c r="K331" s="10">
        <v>751.9</v>
      </c>
      <c r="L331" s="6">
        <f t="shared" si="34"/>
        <v>4.2966874699951994E-2</v>
      </c>
      <c r="M331">
        <f t="shared" si="35"/>
        <v>0.84011173184357535</v>
      </c>
      <c r="N331">
        <f t="shared" si="36"/>
        <v>5.9204724409448817</v>
      </c>
      <c r="O331">
        <f t="shared" si="37"/>
        <v>5598.1</v>
      </c>
      <c r="P331">
        <f t="shared" si="38"/>
        <v>0.14189944134078211</v>
      </c>
      <c r="Q331" t="s">
        <v>4139</v>
      </c>
      <c r="R331" t="s">
        <v>4139</v>
      </c>
      <c r="S331">
        <f>YEAR(marketing_data[[#This Row],[Start_date]])</f>
        <v>2023</v>
      </c>
      <c r="T331" t="str">
        <f>TEXT(marketing_data[[#This Row],[Start_date]],"ddd")</f>
        <v>Fri</v>
      </c>
      <c r="U331">
        <f>marketing_data[[#This Row],[Cleaned End_date]]-marketing_data[[#This Row],[Start_date]]</f>
        <v>22</v>
      </c>
    </row>
    <row r="332" spans="1:21" x14ac:dyDescent="0.2">
      <c r="A332" t="s">
        <v>706</v>
      </c>
      <c r="B332" t="s">
        <v>707</v>
      </c>
      <c r="C332" s="2">
        <v>45118</v>
      </c>
      <c r="D332" t="str">
        <f t="shared" si="33"/>
        <v>Jul</v>
      </c>
      <c r="E332" s="2">
        <v>45136</v>
      </c>
      <c r="F332" t="s">
        <v>41</v>
      </c>
      <c r="G332">
        <v>18429</v>
      </c>
      <c r="H332">
        <v>390</v>
      </c>
      <c r="I332">
        <v>24</v>
      </c>
      <c r="J332" t="b">
        <v>0</v>
      </c>
      <c r="K332" s="10">
        <v>586.97</v>
      </c>
      <c r="L332" s="6">
        <f t="shared" si="34"/>
        <v>2.1162298551196484E-2</v>
      </c>
      <c r="M332">
        <f t="shared" si="35"/>
        <v>1.505051282051282</v>
      </c>
      <c r="N332">
        <f t="shared" si="36"/>
        <v>24.457083333333333</v>
      </c>
      <c r="O332">
        <f t="shared" si="37"/>
        <v>613.03</v>
      </c>
      <c r="P332">
        <f t="shared" si="38"/>
        <v>6.1538461538461542E-2</v>
      </c>
      <c r="Q332" t="s">
        <v>4139</v>
      </c>
      <c r="R332" t="s">
        <v>4139</v>
      </c>
      <c r="S332">
        <f>YEAR(marketing_data[[#This Row],[Start_date]])</f>
        <v>2023</v>
      </c>
      <c r="T332" t="str">
        <f>TEXT(marketing_data[[#This Row],[Start_date]],"ddd")</f>
        <v>Tue</v>
      </c>
      <c r="U332">
        <f>marketing_data[[#This Row],[Cleaned End_date]]-marketing_data[[#This Row],[Start_date]]</f>
        <v>18</v>
      </c>
    </row>
    <row r="333" spans="1:21" x14ac:dyDescent="0.2">
      <c r="A333" t="s">
        <v>708</v>
      </c>
      <c r="B333" t="s">
        <v>709</v>
      </c>
      <c r="C333" s="2">
        <v>45137</v>
      </c>
      <c r="D333" t="str">
        <f t="shared" si="33"/>
        <v>Jul</v>
      </c>
      <c r="E333" s="2">
        <v>45138</v>
      </c>
      <c r="F333" t="s">
        <v>33</v>
      </c>
      <c r="G333">
        <v>7893</v>
      </c>
      <c r="H333">
        <v>376</v>
      </c>
      <c r="I333">
        <v>47</v>
      </c>
      <c r="J333" t="b">
        <v>0</v>
      </c>
      <c r="K333" s="10">
        <v>452.14</v>
      </c>
      <c r="L333" s="6">
        <f t="shared" si="34"/>
        <v>4.7637146838971238E-2</v>
      </c>
      <c r="M333">
        <f t="shared" si="35"/>
        <v>1.2024999999999999</v>
      </c>
      <c r="N333">
        <f t="shared" si="36"/>
        <v>9.6199999999999992</v>
      </c>
      <c r="O333">
        <f t="shared" si="37"/>
        <v>1897.8600000000001</v>
      </c>
      <c r="P333">
        <f t="shared" si="38"/>
        <v>0.125</v>
      </c>
      <c r="Q333" t="s">
        <v>4139</v>
      </c>
      <c r="R333" t="s">
        <v>4139</v>
      </c>
      <c r="S333">
        <f>YEAR(marketing_data[[#This Row],[Start_date]])</f>
        <v>2023</v>
      </c>
      <c r="T333" t="str">
        <f>TEXT(marketing_data[[#This Row],[Start_date]],"ddd")</f>
        <v>Sun</v>
      </c>
      <c r="U333">
        <f>marketing_data[[#This Row],[Cleaned End_date]]-marketing_data[[#This Row],[Start_date]]</f>
        <v>1</v>
      </c>
    </row>
    <row r="334" spans="1:21" x14ac:dyDescent="0.2">
      <c r="A334" t="s">
        <v>710</v>
      </c>
      <c r="B334" t="s">
        <v>711</v>
      </c>
      <c r="C334" s="2">
        <v>45014</v>
      </c>
      <c r="D334" t="str">
        <f t="shared" si="33"/>
        <v>Mar</v>
      </c>
      <c r="E334" s="2">
        <v>45016</v>
      </c>
      <c r="F334" t="s">
        <v>33</v>
      </c>
      <c r="G334">
        <v>80909</v>
      </c>
      <c r="H334">
        <v>3635</v>
      </c>
      <c r="I334">
        <v>368</v>
      </c>
      <c r="J334" t="b">
        <v>0</v>
      </c>
      <c r="K334" s="10">
        <v>3631.7599999999998</v>
      </c>
      <c r="L334" s="6">
        <f t="shared" si="34"/>
        <v>4.4927016771928958E-2</v>
      </c>
      <c r="M334">
        <f t="shared" si="35"/>
        <v>0.99910866574965607</v>
      </c>
      <c r="N334">
        <f t="shared" si="36"/>
        <v>9.8689130434782601</v>
      </c>
      <c r="O334">
        <f t="shared" si="37"/>
        <v>14768.24</v>
      </c>
      <c r="P334">
        <f t="shared" si="38"/>
        <v>0.10123796423658872</v>
      </c>
      <c r="Q334" t="s">
        <v>4137</v>
      </c>
      <c r="R334" t="s">
        <v>4142</v>
      </c>
      <c r="S334">
        <f>YEAR(marketing_data[[#This Row],[Start_date]])</f>
        <v>2023</v>
      </c>
      <c r="T334" t="str">
        <f>TEXT(marketing_data[[#This Row],[Start_date]],"ddd")</f>
        <v>Wed</v>
      </c>
      <c r="U334">
        <f>marketing_data[[#This Row],[Cleaned End_date]]-marketing_data[[#This Row],[Start_date]]</f>
        <v>2</v>
      </c>
    </row>
    <row r="335" spans="1:21" x14ac:dyDescent="0.2">
      <c r="A335" t="s">
        <v>712</v>
      </c>
      <c r="B335" t="s">
        <v>713</v>
      </c>
      <c r="C335" s="2">
        <v>45122</v>
      </c>
      <c r="D335" t="str">
        <f t="shared" si="33"/>
        <v>Jul</v>
      </c>
      <c r="E335" s="2">
        <v>45143</v>
      </c>
      <c r="F335" t="s">
        <v>19</v>
      </c>
      <c r="G335">
        <v>48333</v>
      </c>
      <c r="H335">
        <v>796</v>
      </c>
      <c r="I335">
        <v>79</v>
      </c>
      <c r="J335" t="b">
        <v>1</v>
      </c>
      <c r="K335" s="10">
        <v>545.34</v>
      </c>
      <c r="L335" s="6">
        <f t="shared" si="34"/>
        <v>1.646907909709722E-2</v>
      </c>
      <c r="M335">
        <f t="shared" si="35"/>
        <v>0.68510050251256283</v>
      </c>
      <c r="N335">
        <f t="shared" si="36"/>
        <v>6.9030379746835449</v>
      </c>
      <c r="O335">
        <f t="shared" si="37"/>
        <v>3404.66</v>
      </c>
      <c r="P335">
        <f t="shared" si="38"/>
        <v>9.9246231155778894E-2</v>
      </c>
      <c r="Q335" t="s">
        <v>4139</v>
      </c>
      <c r="R335" t="s">
        <v>4142</v>
      </c>
      <c r="S335">
        <f>YEAR(marketing_data[[#This Row],[Start_date]])</f>
        <v>2023</v>
      </c>
      <c r="T335" t="str">
        <f>TEXT(marketing_data[[#This Row],[Start_date]],"ddd")</f>
        <v>Sat</v>
      </c>
      <c r="U335">
        <f>marketing_data[[#This Row],[Cleaned End_date]]-marketing_data[[#This Row],[Start_date]]</f>
        <v>21</v>
      </c>
    </row>
    <row r="336" spans="1:21" x14ac:dyDescent="0.2">
      <c r="A336" t="s">
        <v>714</v>
      </c>
      <c r="B336" t="s">
        <v>715</v>
      </c>
      <c r="C336" s="2">
        <v>45225</v>
      </c>
      <c r="D336" t="str">
        <f t="shared" si="33"/>
        <v>Oct</v>
      </c>
      <c r="E336" s="2">
        <v>45252</v>
      </c>
      <c r="F336" t="s">
        <v>23</v>
      </c>
      <c r="G336">
        <v>4436</v>
      </c>
      <c r="H336">
        <v>183</v>
      </c>
      <c r="I336">
        <v>25</v>
      </c>
      <c r="J336" t="b">
        <v>0</v>
      </c>
      <c r="K336" s="10">
        <v>329.13249999999999</v>
      </c>
      <c r="L336" s="6">
        <f t="shared" si="34"/>
        <v>4.1253381424706942E-2</v>
      </c>
      <c r="M336">
        <f t="shared" si="35"/>
        <v>1.7985382513661201</v>
      </c>
      <c r="N336">
        <f t="shared" si="36"/>
        <v>13.1653</v>
      </c>
      <c r="O336">
        <f t="shared" si="37"/>
        <v>920.86750000000006</v>
      </c>
      <c r="P336">
        <f t="shared" si="38"/>
        <v>0.13661202185792351</v>
      </c>
      <c r="Q336" t="s">
        <v>4136</v>
      </c>
      <c r="R336" t="s">
        <v>4138</v>
      </c>
      <c r="S336">
        <f>YEAR(marketing_data[[#This Row],[Start_date]])</f>
        <v>2023</v>
      </c>
      <c r="T336" t="str">
        <f>TEXT(marketing_data[[#This Row],[Start_date]],"ddd")</f>
        <v>Thu</v>
      </c>
      <c r="U336">
        <f>marketing_data[[#This Row],[Cleaned End_date]]-marketing_data[[#This Row],[Start_date]]</f>
        <v>27</v>
      </c>
    </row>
    <row r="337" spans="1:21" x14ac:dyDescent="0.2">
      <c r="A337" t="s">
        <v>716</v>
      </c>
      <c r="B337" t="s">
        <v>717</v>
      </c>
      <c r="C337" s="2">
        <v>45057</v>
      </c>
      <c r="D337" t="str">
        <f t="shared" si="33"/>
        <v>May</v>
      </c>
      <c r="E337" s="2">
        <v>45080</v>
      </c>
      <c r="F337" t="s">
        <v>14</v>
      </c>
      <c r="G337">
        <v>75290</v>
      </c>
      <c r="H337">
        <v>2483</v>
      </c>
      <c r="I337">
        <v>244</v>
      </c>
      <c r="J337" t="b">
        <v>1</v>
      </c>
      <c r="K337" s="10">
        <v>2278.66</v>
      </c>
      <c r="L337" s="6">
        <f t="shared" si="34"/>
        <v>3.297914729711781E-2</v>
      </c>
      <c r="M337">
        <f t="shared" si="35"/>
        <v>0.91770438985098668</v>
      </c>
      <c r="N337">
        <f t="shared" si="36"/>
        <v>9.3387704918032775</v>
      </c>
      <c r="O337">
        <f t="shared" si="37"/>
        <v>9921.34</v>
      </c>
      <c r="P337">
        <f t="shared" si="38"/>
        <v>9.8268223922674189E-2</v>
      </c>
      <c r="Q337" t="s">
        <v>4137</v>
      </c>
      <c r="R337" t="s">
        <v>4139</v>
      </c>
      <c r="S337">
        <f>YEAR(marketing_data[[#This Row],[Start_date]])</f>
        <v>2023</v>
      </c>
      <c r="T337" t="str">
        <f>TEXT(marketing_data[[#This Row],[Start_date]],"ddd")</f>
        <v>Thu</v>
      </c>
      <c r="U337">
        <f>marketing_data[[#This Row],[Cleaned End_date]]-marketing_data[[#This Row],[Start_date]]</f>
        <v>23</v>
      </c>
    </row>
    <row r="338" spans="1:21" x14ac:dyDescent="0.2">
      <c r="A338" t="s">
        <v>718</v>
      </c>
      <c r="B338" t="s">
        <v>719</v>
      </c>
      <c r="C338" s="2">
        <v>45165</v>
      </c>
      <c r="D338" t="str">
        <f t="shared" si="33"/>
        <v>Aug</v>
      </c>
      <c r="E338" s="2">
        <v>45173</v>
      </c>
      <c r="F338" t="s">
        <v>14</v>
      </c>
      <c r="G338">
        <v>77213</v>
      </c>
      <c r="H338">
        <v>2522</v>
      </c>
      <c r="I338">
        <v>419</v>
      </c>
      <c r="J338" t="b">
        <v>1</v>
      </c>
      <c r="K338" s="10">
        <v>3631.7599999999998</v>
      </c>
      <c r="L338" s="6">
        <f t="shared" si="34"/>
        <v>3.2662893554194244E-2</v>
      </c>
      <c r="M338">
        <f t="shared" si="35"/>
        <v>1.440031720856463</v>
      </c>
      <c r="N338">
        <f t="shared" si="36"/>
        <v>8.6676849642004772</v>
      </c>
      <c r="O338">
        <f t="shared" si="37"/>
        <v>17318.240000000002</v>
      </c>
      <c r="P338">
        <f t="shared" si="38"/>
        <v>0.16613798572561458</v>
      </c>
      <c r="Q338" t="s">
        <v>4139</v>
      </c>
      <c r="R338" t="s">
        <v>4142</v>
      </c>
      <c r="S338">
        <f>YEAR(marketing_data[[#This Row],[Start_date]])</f>
        <v>2023</v>
      </c>
      <c r="T338" t="str">
        <f>TEXT(marketing_data[[#This Row],[Start_date]],"ddd")</f>
        <v>Sun</v>
      </c>
      <c r="U338">
        <f>marketing_data[[#This Row],[Cleaned End_date]]-marketing_data[[#This Row],[Start_date]]</f>
        <v>8</v>
      </c>
    </row>
    <row r="339" spans="1:21" x14ac:dyDescent="0.2">
      <c r="A339" t="s">
        <v>720</v>
      </c>
      <c r="B339" t="s">
        <v>721</v>
      </c>
      <c r="C339" s="2">
        <v>45007</v>
      </c>
      <c r="D339" t="str">
        <f t="shared" si="33"/>
        <v>Mar</v>
      </c>
      <c r="E339" s="2">
        <v>45023</v>
      </c>
      <c r="F339" t="s">
        <v>19</v>
      </c>
      <c r="G339">
        <v>6895</v>
      </c>
      <c r="H339">
        <v>176</v>
      </c>
      <c r="I339">
        <v>10</v>
      </c>
      <c r="J339" t="b">
        <v>0</v>
      </c>
      <c r="K339" s="10">
        <v>333.09</v>
      </c>
      <c r="L339" s="6">
        <f t="shared" si="34"/>
        <v>2.5525743292240752E-2</v>
      </c>
      <c r="M339">
        <f t="shared" si="35"/>
        <v>1.892556818181818</v>
      </c>
      <c r="N339">
        <f t="shared" si="36"/>
        <v>33.308999999999997</v>
      </c>
      <c r="O339">
        <f t="shared" si="37"/>
        <v>166.91000000000003</v>
      </c>
      <c r="P339">
        <f t="shared" si="38"/>
        <v>5.6818181818181816E-2</v>
      </c>
      <c r="Q339" t="s">
        <v>4137</v>
      </c>
      <c r="R339" t="s">
        <v>4141</v>
      </c>
      <c r="S339">
        <f>YEAR(marketing_data[[#This Row],[Start_date]])</f>
        <v>2023</v>
      </c>
      <c r="T339" t="str">
        <f>TEXT(marketing_data[[#This Row],[Start_date]],"ddd")</f>
        <v>Wed</v>
      </c>
      <c r="U339">
        <f>marketing_data[[#This Row],[Cleaned End_date]]-marketing_data[[#This Row],[Start_date]]</f>
        <v>16</v>
      </c>
    </row>
    <row r="340" spans="1:21" x14ac:dyDescent="0.2">
      <c r="A340" t="s">
        <v>723</v>
      </c>
      <c r="B340" t="s">
        <v>724</v>
      </c>
      <c r="C340" s="2">
        <v>45103</v>
      </c>
      <c r="D340" t="str">
        <f t="shared" si="33"/>
        <v>Jun</v>
      </c>
      <c r="E340" s="2">
        <v>45105</v>
      </c>
      <c r="F340" t="s">
        <v>19</v>
      </c>
      <c r="G340">
        <v>20738</v>
      </c>
      <c r="H340">
        <v>623</v>
      </c>
      <c r="I340">
        <v>92</v>
      </c>
      <c r="J340" t="b">
        <v>1</v>
      </c>
      <c r="K340" s="10">
        <v>1242.6300000000001</v>
      </c>
      <c r="L340" s="6">
        <f t="shared" si="34"/>
        <v>3.0041469765647602E-2</v>
      </c>
      <c r="M340">
        <f t="shared" si="35"/>
        <v>1.9945906902086679</v>
      </c>
      <c r="N340">
        <f t="shared" si="36"/>
        <v>13.506847826086958</v>
      </c>
      <c r="O340">
        <f t="shared" si="37"/>
        <v>3357.37</v>
      </c>
      <c r="P340">
        <f t="shared" si="38"/>
        <v>0.1476725521669342</v>
      </c>
      <c r="Q340" t="s">
        <v>4139</v>
      </c>
      <c r="R340" t="s">
        <v>4139</v>
      </c>
      <c r="S340">
        <f>YEAR(marketing_data[[#This Row],[Start_date]])</f>
        <v>2023</v>
      </c>
      <c r="T340" t="str">
        <f>TEXT(marketing_data[[#This Row],[Start_date]],"ddd")</f>
        <v>Mon</v>
      </c>
      <c r="U340">
        <f>marketing_data[[#This Row],[Cleaned End_date]]-marketing_data[[#This Row],[Start_date]]</f>
        <v>2</v>
      </c>
    </row>
    <row r="341" spans="1:21" x14ac:dyDescent="0.2">
      <c r="A341" t="s">
        <v>725</v>
      </c>
      <c r="B341" t="s">
        <v>726</v>
      </c>
      <c r="C341" s="2">
        <v>45144</v>
      </c>
      <c r="D341" t="str">
        <f t="shared" si="33"/>
        <v>Aug</v>
      </c>
      <c r="E341" s="2">
        <v>45146</v>
      </c>
      <c r="F341" t="s">
        <v>33</v>
      </c>
      <c r="G341">
        <v>31746</v>
      </c>
      <c r="H341">
        <v>821</v>
      </c>
      <c r="I341">
        <v>140</v>
      </c>
      <c r="J341" t="b">
        <v>1</v>
      </c>
      <c r="K341" s="10">
        <v>1390.78</v>
      </c>
      <c r="L341" s="6">
        <f t="shared" si="34"/>
        <v>2.5861525861525861E-2</v>
      </c>
      <c r="M341">
        <f t="shared" si="35"/>
        <v>1.6940073081607796</v>
      </c>
      <c r="N341">
        <f t="shared" si="36"/>
        <v>9.9341428571428576</v>
      </c>
      <c r="O341">
        <f t="shared" si="37"/>
        <v>5609.22</v>
      </c>
      <c r="P341">
        <f t="shared" si="38"/>
        <v>0.17052375152253349</v>
      </c>
      <c r="Q341" t="s">
        <v>4139</v>
      </c>
      <c r="R341" t="s">
        <v>4141</v>
      </c>
      <c r="S341">
        <f>YEAR(marketing_data[[#This Row],[Start_date]])</f>
        <v>2023</v>
      </c>
      <c r="T341" t="str">
        <f>TEXT(marketing_data[[#This Row],[Start_date]],"ddd")</f>
        <v>Sun</v>
      </c>
      <c r="U341">
        <f>marketing_data[[#This Row],[Cleaned End_date]]-marketing_data[[#This Row],[Start_date]]</f>
        <v>2</v>
      </c>
    </row>
    <row r="342" spans="1:21" x14ac:dyDescent="0.2">
      <c r="A342" t="s">
        <v>727</v>
      </c>
      <c r="B342" t="s">
        <v>728</v>
      </c>
      <c r="C342" s="2">
        <v>45081</v>
      </c>
      <c r="D342" t="str">
        <f t="shared" si="33"/>
        <v>Jun</v>
      </c>
      <c r="E342" s="2">
        <v>45089</v>
      </c>
      <c r="F342" t="s">
        <v>23</v>
      </c>
      <c r="G342">
        <v>50377</v>
      </c>
      <c r="H342">
        <v>1591</v>
      </c>
      <c r="I342">
        <v>240</v>
      </c>
      <c r="J342" t="b">
        <v>1</v>
      </c>
      <c r="K342" s="10">
        <v>2594.29</v>
      </c>
      <c r="L342" s="6">
        <f t="shared" si="34"/>
        <v>3.1581872679992851E-2</v>
      </c>
      <c r="M342">
        <f t="shared" si="35"/>
        <v>1.6306033940917661</v>
      </c>
      <c r="N342">
        <f t="shared" si="36"/>
        <v>10.809541666666666</v>
      </c>
      <c r="O342">
        <f t="shared" si="37"/>
        <v>9405.7099999999991</v>
      </c>
      <c r="P342">
        <f t="shared" si="38"/>
        <v>0.15084852294154619</v>
      </c>
      <c r="Q342" t="s">
        <v>4139</v>
      </c>
      <c r="R342" t="s">
        <v>4142</v>
      </c>
      <c r="S342">
        <f>YEAR(marketing_data[[#This Row],[Start_date]])</f>
        <v>2023</v>
      </c>
      <c r="T342" t="str">
        <f>TEXT(marketing_data[[#This Row],[Start_date]],"ddd")</f>
        <v>Sun</v>
      </c>
      <c r="U342">
        <f>marketing_data[[#This Row],[Cleaned End_date]]-marketing_data[[#This Row],[Start_date]]</f>
        <v>8</v>
      </c>
    </row>
    <row r="343" spans="1:21" x14ac:dyDescent="0.2">
      <c r="A343" t="s">
        <v>729</v>
      </c>
      <c r="B343" t="s">
        <v>730</v>
      </c>
      <c r="C343" s="2">
        <v>45174</v>
      </c>
      <c r="D343" t="str">
        <f t="shared" si="33"/>
        <v>Sep</v>
      </c>
      <c r="E343" s="2">
        <v>45199</v>
      </c>
      <c r="F343" t="s">
        <v>14</v>
      </c>
      <c r="G343">
        <v>49404</v>
      </c>
      <c r="H343">
        <v>1734</v>
      </c>
      <c r="I343">
        <v>216</v>
      </c>
      <c r="J343" t="b">
        <v>1</v>
      </c>
      <c r="K343" s="10">
        <v>1427.52</v>
      </c>
      <c r="L343" s="6">
        <f t="shared" si="34"/>
        <v>3.5098372601408794E-2</v>
      </c>
      <c r="M343">
        <f t="shared" si="35"/>
        <v>0.82325259515570937</v>
      </c>
      <c r="N343">
        <f t="shared" si="36"/>
        <v>6.608888888888889</v>
      </c>
      <c r="O343">
        <f t="shared" si="37"/>
        <v>9372.48</v>
      </c>
      <c r="P343">
        <f t="shared" si="38"/>
        <v>0.1245674740484429</v>
      </c>
      <c r="Q343" t="s">
        <v>4136</v>
      </c>
      <c r="R343" t="s">
        <v>4141</v>
      </c>
      <c r="S343">
        <f>YEAR(marketing_data[[#This Row],[Start_date]])</f>
        <v>2023</v>
      </c>
      <c r="T343" t="str">
        <f>TEXT(marketing_data[[#This Row],[Start_date]],"ddd")</f>
        <v>Tue</v>
      </c>
      <c r="U343">
        <f>marketing_data[[#This Row],[Cleaned End_date]]-marketing_data[[#This Row],[Start_date]]</f>
        <v>25</v>
      </c>
    </row>
    <row r="344" spans="1:21" x14ac:dyDescent="0.2">
      <c r="A344" t="s">
        <v>731</v>
      </c>
      <c r="B344" t="s">
        <v>732</v>
      </c>
      <c r="C344" s="2">
        <v>45110</v>
      </c>
      <c r="D344" t="str">
        <f t="shared" si="33"/>
        <v>Jul</v>
      </c>
      <c r="E344" s="2">
        <v>45118</v>
      </c>
      <c r="F344" t="s">
        <v>41</v>
      </c>
      <c r="G344">
        <v>55045</v>
      </c>
      <c r="H344">
        <v>2035</v>
      </c>
      <c r="I344">
        <v>391</v>
      </c>
      <c r="J344" t="b">
        <v>0</v>
      </c>
      <c r="K344" s="10">
        <v>2043.16</v>
      </c>
      <c r="L344" s="6">
        <f t="shared" si="34"/>
        <v>3.6969752021073665E-2</v>
      </c>
      <c r="M344">
        <f t="shared" si="35"/>
        <v>1.004009828009828</v>
      </c>
      <c r="N344">
        <f t="shared" si="36"/>
        <v>5.2254731457800512</v>
      </c>
      <c r="O344">
        <f t="shared" si="37"/>
        <v>17506.84</v>
      </c>
      <c r="P344">
        <f t="shared" si="38"/>
        <v>0.19213759213759213</v>
      </c>
      <c r="Q344" t="s">
        <v>4139</v>
      </c>
      <c r="R344" t="s">
        <v>4139</v>
      </c>
      <c r="S344">
        <f>YEAR(marketing_data[[#This Row],[Start_date]])</f>
        <v>2023</v>
      </c>
      <c r="T344" t="str">
        <f>TEXT(marketing_data[[#This Row],[Start_date]],"ddd")</f>
        <v>Mon</v>
      </c>
      <c r="U344">
        <f>marketing_data[[#This Row],[Cleaned End_date]]-marketing_data[[#This Row],[Start_date]]</f>
        <v>8</v>
      </c>
    </row>
    <row r="345" spans="1:21" x14ac:dyDescent="0.2">
      <c r="A345" t="s">
        <v>733</v>
      </c>
      <c r="B345" t="s">
        <v>734</v>
      </c>
      <c r="C345" s="2">
        <v>44932</v>
      </c>
      <c r="D345" t="str">
        <f t="shared" si="33"/>
        <v>Jan</v>
      </c>
      <c r="E345" s="2">
        <v>45083</v>
      </c>
      <c r="F345" t="s">
        <v>23</v>
      </c>
      <c r="G345">
        <v>98888</v>
      </c>
      <c r="H345">
        <v>3095</v>
      </c>
      <c r="I345">
        <v>293</v>
      </c>
      <c r="J345" t="b">
        <v>1</v>
      </c>
      <c r="K345" s="10">
        <v>3631.7599999999998</v>
      </c>
      <c r="L345" s="6">
        <f t="shared" si="34"/>
        <v>3.1298034139632717E-2</v>
      </c>
      <c r="M345">
        <f t="shared" si="35"/>
        <v>1.1734281098546042</v>
      </c>
      <c r="N345">
        <f t="shared" si="36"/>
        <v>12.395085324232081</v>
      </c>
      <c r="O345">
        <f t="shared" si="37"/>
        <v>11018.24</v>
      </c>
      <c r="P345">
        <f t="shared" si="38"/>
        <v>9.4668820678513732E-2</v>
      </c>
      <c r="Q345" t="s">
        <v>4138</v>
      </c>
      <c r="R345" t="s">
        <v>4142</v>
      </c>
      <c r="S345">
        <f>YEAR(marketing_data[[#This Row],[Start_date]])</f>
        <v>2023</v>
      </c>
      <c r="T345" t="str">
        <f>TEXT(marketing_data[[#This Row],[Start_date]],"ddd")</f>
        <v>Fri</v>
      </c>
      <c r="U345">
        <f>marketing_data[[#This Row],[Cleaned End_date]]-marketing_data[[#This Row],[Start_date]]</f>
        <v>151</v>
      </c>
    </row>
    <row r="346" spans="1:21" x14ac:dyDescent="0.2">
      <c r="A346" t="s">
        <v>735</v>
      </c>
      <c r="B346" t="s">
        <v>736</v>
      </c>
      <c r="C346" s="2">
        <v>45264</v>
      </c>
      <c r="D346" t="str">
        <f t="shared" si="33"/>
        <v>Dec</v>
      </c>
      <c r="E346" s="2">
        <v>45294</v>
      </c>
      <c r="F346" t="s">
        <v>14</v>
      </c>
      <c r="G346">
        <v>40790</v>
      </c>
      <c r="H346">
        <v>1584</v>
      </c>
      <c r="I346">
        <v>83</v>
      </c>
      <c r="J346" t="b">
        <v>0</v>
      </c>
      <c r="K346" s="10">
        <v>2629.55</v>
      </c>
      <c r="L346" s="6">
        <f t="shared" si="34"/>
        <v>3.883304731551851E-2</v>
      </c>
      <c r="M346">
        <f t="shared" si="35"/>
        <v>1.6600694444444446</v>
      </c>
      <c r="N346">
        <f t="shared" si="36"/>
        <v>31.681325301204822</v>
      </c>
      <c r="O346">
        <f t="shared" si="37"/>
        <v>1520.4499999999998</v>
      </c>
      <c r="P346">
        <f t="shared" si="38"/>
        <v>5.2398989898989896E-2</v>
      </c>
      <c r="Q346" t="s">
        <v>4138</v>
      </c>
      <c r="R346" t="s">
        <v>4142</v>
      </c>
      <c r="S346">
        <f>YEAR(marketing_data[[#This Row],[Start_date]])</f>
        <v>2023</v>
      </c>
      <c r="T346" t="str">
        <f>TEXT(marketing_data[[#This Row],[Start_date]],"ddd")</f>
        <v>Mon</v>
      </c>
      <c r="U346">
        <f>marketing_data[[#This Row],[Cleaned End_date]]-marketing_data[[#This Row],[Start_date]]</f>
        <v>30</v>
      </c>
    </row>
    <row r="347" spans="1:21" x14ac:dyDescent="0.2">
      <c r="A347" t="s">
        <v>737</v>
      </c>
      <c r="B347" t="s">
        <v>738</v>
      </c>
      <c r="C347" s="2">
        <v>45278</v>
      </c>
      <c r="D347" t="str">
        <f t="shared" si="33"/>
        <v>Dec</v>
      </c>
      <c r="E347" s="2">
        <v>45283</v>
      </c>
      <c r="F347" t="s">
        <v>23</v>
      </c>
      <c r="G347">
        <v>6600</v>
      </c>
      <c r="H347">
        <v>103</v>
      </c>
      <c r="I347">
        <v>11</v>
      </c>
      <c r="J347" t="b">
        <v>1</v>
      </c>
      <c r="K347" s="10">
        <v>329.13249999999999</v>
      </c>
      <c r="L347" s="6">
        <f t="shared" si="34"/>
        <v>1.5606060606060606E-2</v>
      </c>
      <c r="M347">
        <f t="shared" si="35"/>
        <v>3.1954611650485436</v>
      </c>
      <c r="N347">
        <f t="shared" si="36"/>
        <v>29.921136363636364</v>
      </c>
      <c r="O347">
        <f t="shared" si="37"/>
        <v>220.86750000000001</v>
      </c>
      <c r="P347">
        <f t="shared" si="38"/>
        <v>0.10679611650485436</v>
      </c>
      <c r="Q347" t="s">
        <v>4138</v>
      </c>
      <c r="R347" t="s">
        <v>4138</v>
      </c>
      <c r="S347">
        <f>YEAR(marketing_data[[#This Row],[Start_date]])</f>
        <v>2023</v>
      </c>
      <c r="T347" t="str">
        <f>TEXT(marketing_data[[#This Row],[Start_date]],"ddd")</f>
        <v>Mon</v>
      </c>
      <c r="U347">
        <f>marketing_data[[#This Row],[Cleaned End_date]]-marketing_data[[#This Row],[Start_date]]</f>
        <v>5</v>
      </c>
    </row>
    <row r="348" spans="1:21" x14ac:dyDescent="0.2">
      <c r="A348" t="s">
        <v>739</v>
      </c>
      <c r="B348" t="s">
        <v>740</v>
      </c>
      <c r="C348" s="2">
        <v>45237</v>
      </c>
      <c r="D348" t="str">
        <f t="shared" si="33"/>
        <v>Nov</v>
      </c>
      <c r="E348" s="2">
        <v>45267</v>
      </c>
      <c r="F348" t="s">
        <v>41</v>
      </c>
      <c r="G348">
        <v>95660</v>
      </c>
      <c r="H348">
        <v>1767</v>
      </c>
      <c r="J348" t="b">
        <v>0</v>
      </c>
      <c r="K348" s="10">
        <v>1384.81</v>
      </c>
      <c r="L348" s="6">
        <f t="shared" si="34"/>
        <v>1.8471670499686389E-2</v>
      </c>
      <c r="M348">
        <f t="shared" si="35"/>
        <v>0.78370684776457267</v>
      </c>
      <c r="N348">
        <f t="shared" si="36"/>
        <v>0</v>
      </c>
      <c r="O348">
        <f t="shared" si="37"/>
        <v>-1384.81</v>
      </c>
      <c r="P348">
        <f t="shared" si="38"/>
        <v>0</v>
      </c>
      <c r="Q348" t="s">
        <v>4136</v>
      </c>
      <c r="R348" t="s">
        <v>4139</v>
      </c>
      <c r="S348">
        <f>YEAR(marketing_data[[#This Row],[Start_date]])</f>
        <v>2023</v>
      </c>
      <c r="T348" t="str">
        <f>TEXT(marketing_data[[#This Row],[Start_date]],"ddd")</f>
        <v>Tue</v>
      </c>
      <c r="U348">
        <f>marketing_data[[#This Row],[Cleaned End_date]]-marketing_data[[#This Row],[Start_date]]</f>
        <v>30</v>
      </c>
    </row>
    <row r="349" spans="1:21" x14ac:dyDescent="0.2">
      <c r="A349" t="s">
        <v>741</v>
      </c>
      <c r="B349" t="s">
        <v>742</v>
      </c>
      <c r="C349" s="2">
        <v>45073</v>
      </c>
      <c r="D349" t="str">
        <f t="shared" si="33"/>
        <v>May</v>
      </c>
      <c r="E349" s="2">
        <v>45084</v>
      </c>
      <c r="F349" t="s">
        <v>41</v>
      </c>
      <c r="G349">
        <v>94179</v>
      </c>
      <c r="H349">
        <v>4026</v>
      </c>
      <c r="I349">
        <v>777</v>
      </c>
      <c r="J349" t="b">
        <v>0</v>
      </c>
      <c r="K349" s="10">
        <v>3631.7599999999998</v>
      </c>
      <c r="L349" s="6">
        <f t="shared" si="34"/>
        <v>4.2748383397572705E-2</v>
      </c>
      <c r="M349">
        <f t="shared" si="35"/>
        <v>0.90207650273224038</v>
      </c>
      <c r="N349">
        <f t="shared" si="36"/>
        <v>4.6740797940797938</v>
      </c>
      <c r="O349">
        <f t="shared" si="37"/>
        <v>35218.239999999998</v>
      </c>
      <c r="P349">
        <f t="shared" si="38"/>
        <v>0.19299552906110284</v>
      </c>
      <c r="Q349" t="s">
        <v>4137</v>
      </c>
      <c r="R349" t="s">
        <v>4139</v>
      </c>
      <c r="S349">
        <f>YEAR(marketing_data[[#This Row],[Start_date]])</f>
        <v>2023</v>
      </c>
      <c r="T349" t="str">
        <f>TEXT(marketing_data[[#This Row],[Start_date]],"ddd")</f>
        <v>Sat</v>
      </c>
      <c r="U349">
        <f>marketing_data[[#This Row],[Cleaned End_date]]-marketing_data[[#This Row],[Start_date]]</f>
        <v>11</v>
      </c>
    </row>
    <row r="350" spans="1:21" x14ac:dyDescent="0.2">
      <c r="A350" t="s">
        <v>743</v>
      </c>
      <c r="B350" t="s">
        <v>744</v>
      </c>
      <c r="C350" s="2">
        <v>45107</v>
      </c>
      <c r="D350" t="str">
        <f t="shared" si="33"/>
        <v>Jun</v>
      </c>
      <c r="E350" s="2">
        <v>45118</v>
      </c>
      <c r="F350" t="s">
        <v>41</v>
      </c>
      <c r="G350">
        <v>41764</v>
      </c>
      <c r="H350">
        <v>956</v>
      </c>
      <c r="I350">
        <v>77</v>
      </c>
      <c r="J350" t="b">
        <v>1</v>
      </c>
      <c r="K350" s="10">
        <v>1475.53</v>
      </c>
      <c r="L350" s="6">
        <f t="shared" si="34"/>
        <v>2.2890527727229194E-2</v>
      </c>
      <c r="M350">
        <f t="shared" si="35"/>
        <v>1.5434414225941422</v>
      </c>
      <c r="N350">
        <f t="shared" si="36"/>
        <v>19.162727272727274</v>
      </c>
      <c r="O350">
        <f t="shared" si="37"/>
        <v>2374.4700000000003</v>
      </c>
      <c r="P350">
        <f t="shared" si="38"/>
        <v>8.0543933054393307E-2</v>
      </c>
      <c r="Q350" t="s">
        <v>4139</v>
      </c>
      <c r="R350" t="s">
        <v>4139</v>
      </c>
      <c r="S350">
        <f>YEAR(marketing_data[[#This Row],[Start_date]])</f>
        <v>2023</v>
      </c>
      <c r="T350" t="str">
        <f>TEXT(marketing_data[[#This Row],[Start_date]],"ddd")</f>
        <v>Fri</v>
      </c>
      <c r="U350">
        <f>marketing_data[[#This Row],[Cleaned End_date]]-marketing_data[[#This Row],[Start_date]]</f>
        <v>11</v>
      </c>
    </row>
    <row r="351" spans="1:21" x14ac:dyDescent="0.2">
      <c r="A351" t="s">
        <v>745</v>
      </c>
      <c r="B351" t="s">
        <v>746</v>
      </c>
      <c r="C351" s="2">
        <v>45055</v>
      </c>
      <c r="D351" t="str">
        <f t="shared" si="33"/>
        <v>May</v>
      </c>
      <c r="E351" s="2">
        <v>45068</v>
      </c>
      <c r="F351" t="s">
        <v>19</v>
      </c>
      <c r="G351">
        <v>75543</v>
      </c>
      <c r="H351">
        <v>824</v>
      </c>
      <c r="I351">
        <v>138</v>
      </c>
      <c r="J351" t="b">
        <v>1</v>
      </c>
      <c r="K351" s="10">
        <v>1166.9100000000001</v>
      </c>
      <c r="L351" s="6">
        <f t="shared" si="34"/>
        <v>1.0907694955191083E-2</v>
      </c>
      <c r="M351">
        <f t="shared" si="35"/>
        <v>1.4161529126213592</v>
      </c>
      <c r="N351">
        <f t="shared" si="36"/>
        <v>8.4558695652173927</v>
      </c>
      <c r="O351">
        <f t="shared" si="37"/>
        <v>5733.09</v>
      </c>
      <c r="P351">
        <f t="shared" si="38"/>
        <v>0.16747572815533981</v>
      </c>
      <c r="Q351" t="s">
        <v>4137</v>
      </c>
      <c r="R351" t="s">
        <v>4141</v>
      </c>
      <c r="S351">
        <f>YEAR(marketing_data[[#This Row],[Start_date]])</f>
        <v>2023</v>
      </c>
      <c r="T351" t="str">
        <f>TEXT(marketing_data[[#This Row],[Start_date]],"ddd")</f>
        <v>Tue</v>
      </c>
      <c r="U351">
        <f>marketing_data[[#This Row],[Cleaned End_date]]-marketing_data[[#This Row],[Start_date]]</f>
        <v>13</v>
      </c>
    </row>
    <row r="352" spans="1:21" x14ac:dyDescent="0.2">
      <c r="A352" t="s">
        <v>747</v>
      </c>
      <c r="B352" t="s">
        <v>748</v>
      </c>
      <c r="C352" s="2">
        <v>45264</v>
      </c>
      <c r="D352" t="str">
        <f t="shared" si="33"/>
        <v>Dec</v>
      </c>
      <c r="E352" s="2">
        <v>45289</v>
      </c>
      <c r="F352" t="s">
        <v>41</v>
      </c>
      <c r="G352">
        <v>46714</v>
      </c>
      <c r="H352">
        <v>754</v>
      </c>
      <c r="I352">
        <v>125</v>
      </c>
      <c r="J352" t="b">
        <v>0</v>
      </c>
      <c r="K352" s="10">
        <v>603.02</v>
      </c>
      <c r="L352" s="6">
        <f t="shared" si="34"/>
        <v>1.6140771503189624E-2</v>
      </c>
      <c r="M352">
        <f t="shared" si="35"/>
        <v>0.79976127320954904</v>
      </c>
      <c r="N352">
        <f t="shared" si="36"/>
        <v>4.82416</v>
      </c>
      <c r="O352">
        <f t="shared" si="37"/>
        <v>5646.98</v>
      </c>
      <c r="P352">
        <f t="shared" si="38"/>
        <v>0.16578249336870027</v>
      </c>
      <c r="Q352" t="s">
        <v>4138</v>
      </c>
      <c r="R352" t="s">
        <v>4138</v>
      </c>
      <c r="S352">
        <f>YEAR(marketing_data[[#This Row],[Start_date]])</f>
        <v>2023</v>
      </c>
      <c r="T352" t="str">
        <f>TEXT(marketing_data[[#This Row],[Start_date]],"ddd")</f>
        <v>Mon</v>
      </c>
      <c r="U352">
        <f>marketing_data[[#This Row],[Cleaned End_date]]-marketing_data[[#This Row],[Start_date]]</f>
        <v>25</v>
      </c>
    </row>
    <row r="353" spans="1:21" x14ac:dyDescent="0.2">
      <c r="A353" t="s">
        <v>749</v>
      </c>
      <c r="B353" t="s">
        <v>750</v>
      </c>
      <c r="C353" s="2">
        <v>44976</v>
      </c>
      <c r="D353" t="str">
        <f t="shared" si="33"/>
        <v>Feb</v>
      </c>
      <c r="E353" s="2">
        <v>44997</v>
      </c>
      <c r="F353" t="s">
        <v>33</v>
      </c>
      <c r="G353">
        <v>57835</v>
      </c>
      <c r="H353">
        <v>1095</v>
      </c>
      <c r="I353">
        <v>90</v>
      </c>
      <c r="J353" t="b">
        <v>1</v>
      </c>
      <c r="K353" s="10">
        <v>638.70000000000005</v>
      </c>
      <c r="L353" s="6">
        <f t="shared" si="34"/>
        <v>1.8933171954698711E-2</v>
      </c>
      <c r="M353">
        <f t="shared" si="35"/>
        <v>0.58328767123287673</v>
      </c>
      <c r="N353">
        <f t="shared" si="36"/>
        <v>7.0966666666666676</v>
      </c>
      <c r="O353">
        <f t="shared" si="37"/>
        <v>3861.3</v>
      </c>
      <c r="P353">
        <f t="shared" si="38"/>
        <v>8.2191780821917804E-2</v>
      </c>
      <c r="Q353" t="s">
        <v>4138</v>
      </c>
      <c r="R353" t="s">
        <v>4139</v>
      </c>
      <c r="S353">
        <f>YEAR(marketing_data[[#This Row],[Start_date]])</f>
        <v>2023</v>
      </c>
      <c r="T353" t="str">
        <f>TEXT(marketing_data[[#This Row],[Start_date]],"ddd")</f>
        <v>Sun</v>
      </c>
      <c r="U353">
        <f>marketing_data[[#This Row],[Cleaned End_date]]-marketing_data[[#This Row],[Start_date]]</f>
        <v>21</v>
      </c>
    </row>
    <row r="354" spans="1:21" x14ac:dyDescent="0.2">
      <c r="A354" t="s">
        <v>751</v>
      </c>
      <c r="B354" t="s">
        <v>752</v>
      </c>
      <c r="C354" s="2">
        <v>45085</v>
      </c>
      <c r="D354" t="str">
        <f t="shared" si="33"/>
        <v>Jun</v>
      </c>
      <c r="E354" s="2">
        <v>45166</v>
      </c>
      <c r="F354" t="str">
        <f>F353</f>
        <v>Instagram</v>
      </c>
      <c r="G354">
        <v>74744</v>
      </c>
      <c r="H354">
        <v>3609</v>
      </c>
      <c r="I354">
        <v>516</v>
      </c>
      <c r="J354" t="b">
        <v>0</v>
      </c>
      <c r="K354" s="10">
        <v>3631.7599999999998</v>
      </c>
      <c r="L354" s="6">
        <f t="shared" si="34"/>
        <v>4.828481215883549E-2</v>
      </c>
      <c r="M354">
        <f t="shared" si="35"/>
        <v>1.0063064560820172</v>
      </c>
      <c r="N354">
        <f t="shared" si="36"/>
        <v>7.0382945736434106</v>
      </c>
      <c r="O354">
        <f t="shared" si="37"/>
        <v>22168.240000000002</v>
      </c>
      <c r="P354">
        <f t="shared" si="38"/>
        <v>0.14297589359933499</v>
      </c>
      <c r="Q354" t="s">
        <v>4139</v>
      </c>
      <c r="R354" t="s">
        <v>4138</v>
      </c>
      <c r="S354">
        <f>YEAR(marketing_data[[#This Row],[Start_date]])</f>
        <v>2023</v>
      </c>
      <c r="T354" t="str">
        <f>TEXT(marketing_data[[#This Row],[Start_date]],"ddd")</f>
        <v>Thu</v>
      </c>
      <c r="U354">
        <f>marketing_data[[#This Row],[Cleaned End_date]]-marketing_data[[#This Row],[Start_date]]</f>
        <v>81</v>
      </c>
    </row>
    <row r="355" spans="1:21" x14ac:dyDescent="0.2">
      <c r="A355" t="s">
        <v>753</v>
      </c>
      <c r="B355" t="s">
        <v>754</v>
      </c>
      <c r="C355" s="2">
        <v>45113</v>
      </c>
      <c r="D355" t="str">
        <f t="shared" si="33"/>
        <v>Jul</v>
      </c>
      <c r="E355" s="2">
        <v>45143</v>
      </c>
      <c r="F355" t="s">
        <v>41</v>
      </c>
      <c r="G355">
        <v>57491</v>
      </c>
      <c r="H355">
        <v>1892</v>
      </c>
      <c r="I355">
        <v>108</v>
      </c>
      <c r="J355" t="b">
        <v>1</v>
      </c>
      <c r="K355" s="10">
        <v>2795</v>
      </c>
      <c r="L355" s="6">
        <f t="shared" si="34"/>
        <v>3.2909498878085267E-2</v>
      </c>
      <c r="M355">
        <f t="shared" si="35"/>
        <v>1.4772727272727273</v>
      </c>
      <c r="N355">
        <f t="shared" si="36"/>
        <v>25.87962962962963</v>
      </c>
      <c r="O355">
        <f t="shared" si="37"/>
        <v>2605</v>
      </c>
      <c r="P355">
        <f t="shared" si="38"/>
        <v>5.7082452431289642E-2</v>
      </c>
      <c r="Q355" t="s">
        <v>4139</v>
      </c>
      <c r="R355" t="s">
        <v>4142</v>
      </c>
      <c r="S355">
        <f>YEAR(marketing_data[[#This Row],[Start_date]])</f>
        <v>2023</v>
      </c>
      <c r="T355" t="str">
        <f>TEXT(marketing_data[[#This Row],[Start_date]],"ddd")</f>
        <v>Thu</v>
      </c>
      <c r="U355">
        <f>marketing_data[[#This Row],[Cleaned End_date]]-marketing_data[[#This Row],[Start_date]]</f>
        <v>30</v>
      </c>
    </row>
    <row r="356" spans="1:21" x14ac:dyDescent="0.2">
      <c r="A356" t="s">
        <v>755</v>
      </c>
      <c r="B356" t="s">
        <v>756</v>
      </c>
      <c r="C356" s="2">
        <v>45078</v>
      </c>
      <c r="D356" t="str">
        <f t="shared" si="33"/>
        <v>Jun</v>
      </c>
      <c r="E356" s="2">
        <v>45079</v>
      </c>
      <c r="F356" t="s">
        <v>33</v>
      </c>
      <c r="G356">
        <v>19589</v>
      </c>
      <c r="H356">
        <v>926</v>
      </c>
      <c r="I356">
        <v>113</v>
      </c>
      <c r="J356" t="b">
        <v>1</v>
      </c>
      <c r="K356" s="10">
        <v>755.78</v>
      </c>
      <c r="L356" s="6">
        <f t="shared" si="34"/>
        <v>4.7271427842156315E-2</v>
      </c>
      <c r="M356">
        <f t="shared" si="35"/>
        <v>0.81617710583153347</v>
      </c>
      <c r="N356">
        <f t="shared" si="36"/>
        <v>6.6883185840707959</v>
      </c>
      <c r="O356">
        <f t="shared" si="37"/>
        <v>4894.22</v>
      </c>
      <c r="P356">
        <f t="shared" si="38"/>
        <v>0.12203023758099352</v>
      </c>
      <c r="Q356" t="s">
        <v>4139</v>
      </c>
      <c r="R356" t="s">
        <v>4138</v>
      </c>
      <c r="S356">
        <f>YEAR(marketing_data[[#This Row],[Start_date]])</f>
        <v>2023</v>
      </c>
      <c r="T356" t="str">
        <f>TEXT(marketing_data[[#This Row],[Start_date]],"ddd")</f>
        <v>Thu</v>
      </c>
      <c r="U356">
        <f>marketing_data[[#This Row],[Cleaned End_date]]-marketing_data[[#This Row],[Start_date]]</f>
        <v>1</v>
      </c>
    </row>
    <row r="357" spans="1:21" x14ac:dyDescent="0.2">
      <c r="A357" t="s">
        <v>757</v>
      </c>
      <c r="B357" t="s">
        <v>758</v>
      </c>
      <c r="C357" s="2">
        <v>45029</v>
      </c>
      <c r="D357" t="str">
        <f t="shared" si="33"/>
        <v>Apr</v>
      </c>
      <c r="E357" s="2">
        <v>45046</v>
      </c>
      <c r="F357" t="s">
        <v>33</v>
      </c>
      <c r="G357">
        <v>44484</v>
      </c>
      <c r="H357">
        <v>1468</v>
      </c>
      <c r="I357">
        <v>76</v>
      </c>
      <c r="J357" t="b">
        <v>0</v>
      </c>
      <c r="K357" s="10">
        <v>1959.32</v>
      </c>
      <c r="L357" s="6">
        <f t="shared" si="34"/>
        <v>3.3000629439798576E-2</v>
      </c>
      <c r="M357">
        <f t="shared" si="35"/>
        <v>1.3346866485013624</v>
      </c>
      <c r="N357">
        <f t="shared" si="36"/>
        <v>25.780526315789473</v>
      </c>
      <c r="O357">
        <f t="shared" si="37"/>
        <v>1840.68</v>
      </c>
      <c r="P357">
        <f t="shared" si="38"/>
        <v>5.1771117166212535E-2</v>
      </c>
      <c r="Q357" t="s">
        <v>4137</v>
      </c>
      <c r="R357" t="s">
        <v>4138</v>
      </c>
      <c r="S357">
        <f>YEAR(marketing_data[[#This Row],[Start_date]])</f>
        <v>2023</v>
      </c>
      <c r="T357" t="str">
        <f>TEXT(marketing_data[[#This Row],[Start_date]],"ddd")</f>
        <v>Thu</v>
      </c>
      <c r="U357">
        <f>marketing_data[[#This Row],[Cleaned End_date]]-marketing_data[[#This Row],[Start_date]]</f>
        <v>17</v>
      </c>
    </row>
    <row r="358" spans="1:21" x14ac:dyDescent="0.2">
      <c r="A358" t="s">
        <v>759</v>
      </c>
      <c r="B358" t="s">
        <v>760</v>
      </c>
      <c r="C358" s="2">
        <v>45114</v>
      </c>
      <c r="D358" t="str">
        <f t="shared" si="33"/>
        <v>Jul</v>
      </c>
      <c r="E358" s="2">
        <v>45139</v>
      </c>
      <c r="F358" t="s">
        <v>19</v>
      </c>
      <c r="G358">
        <v>83989</v>
      </c>
      <c r="H358">
        <v>2450</v>
      </c>
      <c r="I358">
        <v>461</v>
      </c>
      <c r="J358" t="b">
        <v>0</v>
      </c>
      <c r="K358" s="10">
        <v>3631.7599999999998</v>
      </c>
      <c r="L358" s="6">
        <f t="shared" si="34"/>
        <v>2.9170486611341962E-2</v>
      </c>
      <c r="M358">
        <f t="shared" si="35"/>
        <v>1.4823510204081631</v>
      </c>
      <c r="N358">
        <f t="shared" si="36"/>
        <v>7.8780043383947937</v>
      </c>
      <c r="O358">
        <f t="shared" si="37"/>
        <v>19418.240000000002</v>
      </c>
      <c r="P358">
        <f t="shared" si="38"/>
        <v>0.18816326530612246</v>
      </c>
      <c r="Q358" t="s">
        <v>4139</v>
      </c>
      <c r="R358" t="s">
        <v>4142</v>
      </c>
      <c r="S358">
        <f>YEAR(marketing_data[[#This Row],[Start_date]])</f>
        <v>2023</v>
      </c>
      <c r="T358" t="str">
        <f>TEXT(marketing_data[[#This Row],[Start_date]],"ddd")</f>
        <v>Fri</v>
      </c>
      <c r="U358">
        <f>marketing_data[[#This Row],[Cleaned End_date]]-marketing_data[[#This Row],[Start_date]]</f>
        <v>25</v>
      </c>
    </row>
    <row r="359" spans="1:21" x14ac:dyDescent="0.2">
      <c r="A359" t="s">
        <v>761</v>
      </c>
      <c r="B359" t="s">
        <v>762</v>
      </c>
      <c r="C359" s="2">
        <v>45011</v>
      </c>
      <c r="D359" t="str">
        <f t="shared" si="33"/>
        <v>Mar</v>
      </c>
      <c r="E359" s="2">
        <v>45021</v>
      </c>
      <c r="F359" t="s">
        <v>41</v>
      </c>
      <c r="G359">
        <v>37212</v>
      </c>
      <c r="H359">
        <v>839</v>
      </c>
      <c r="I359">
        <v>164</v>
      </c>
      <c r="J359" t="b">
        <v>0</v>
      </c>
      <c r="K359" s="10">
        <v>1470.43</v>
      </c>
      <c r="L359" s="6">
        <f t="shared" si="34"/>
        <v>2.254649037944749E-2</v>
      </c>
      <c r="M359">
        <f t="shared" si="35"/>
        <v>1.7525983313468416</v>
      </c>
      <c r="N359">
        <f t="shared" si="36"/>
        <v>8.9660365853658544</v>
      </c>
      <c r="O359">
        <f t="shared" si="37"/>
        <v>6729.57</v>
      </c>
      <c r="P359">
        <f t="shared" si="38"/>
        <v>0.19547079856972585</v>
      </c>
      <c r="Q359" t="s">
        <v>4137</v>
      </c>
      <c r="R359" t="s">
        <v>4141</v>
      </c>
      <c r="S359">
        <f>YEAR(marketing_data[[#This Row],[Start_date]])</f>
        <v>2023</v>
      </c>
      <c r="T359" t="str">
        <f>TEXT(marketing_data[[#This Row],[Start_date]],"ddd")</f>
        <v>Sun</v>
      </c>
      <c r="U359">
        <f>marketing_data[[#This Row],[Cleaned End_date]]-marketing_data[[#This Row],[Start_date]]</f>
        <v>10</v>
      </c>
    </row>
    <row r="360" spans="1:21" x14ac:dyDescent="0.2">
      <c r="A360" t="s">
        <v>763</v>
      </c>
      <c r="B360" t="s">
        <v>764</v>
      </c>
      <c r="C360" s="2">
        <v>45173</v>
      </c>
      <c r="D360" t="str">
        <f t="shared" si="33"/>
        <v>Sep</v>
      </c>
      <c r="E360" s="2">
        <v>45189</v>
      </c>
      <c r="F360" t="s">
        <v>14</v>
      </c>
      <c r="G360">
        <v>44525</v>
      </c>
      <c r="H360">
        <v>1525</v>
      </c>
      <c r="I360">
        <v>127</v>
      </c>
      <c r="J360" t="b">
        <v>1</v>
      </c>
      <c r="K360" s="10">
        <v>2883.82</v>
      </c>
      <c r="L360" s="6">
        <f t="shared" si="34"/>
        <v>3.4250421111734979E-2</v>
      </c>
      <c r="M360">
        <f t="shared" si="35"/>
        <v>1.8910295081967214</v>
      </c>
      <c r="N360">
        <f t="shared" si="36"/>
        <v>22.707244094488189</v>
      </c>
      <c r="O360">
        <f t="shared" si="37"/>
        <v>3466.18</v>
      </c>
      <c r="P360">
        <f t="shared" si="38"/>
        <v>8.3278688524590166E-2</v>
      </c>
      <c r="Q360" t="s">
        <v>4136</v>
      </c>
      <c r="R360" t="s">
        <v>4141</v>
      </c>
      <c r="S360">
        <f>YEAR(marketing_data[[#This Row],[Start_date]])</f>
        <v>2023</v>
      </c>
      <c r="T360" t="str">
        <f>TEXT(marketing_data[[#This Row],[Start_date]],"ddd")</f>
        <v>Mon</v>
      </c>
      <c r="U360">
        <f>marketing_data[[#This Row],[Cleaned End_date]]-marketing_data[[#This Row],[Start_date]]</f>
        <v>16</v>
      </c>
    </row>
    <row r="361" spans="1:21" x14ac:dyDescent="0.2">
      <c r="A361" t="s">
        <v>765</v>
      </c>
      <c r="B361" t="s">
        <v>766</v>
      </c>
      <c r="C361" s="2">
        <v>45100</v>
      </c>
      <c r="D361" t="str">
        <f t="shared" si="33"/>
        <v>Jun</v>
      </c>
      <c r="E361" s="2">
        <v>45101</v>
      </c>
      <c r="F361" t="s">
        <v>33</v>
      </c>
      <c r="G361">
        <v>48202</v>
      </c>
      <c r="H361">
        <v>750</v>
      </c>
      <c r="I361">
        <v>60</v>
      </c>
      <c r="J361" t="b">
        <v>1</v>
      </c>
      <c r="K361" s="10">
        <v>786.62</v>
      </c>
      <c r="L361" s="6">
        <f t="shared" si="34"/>
        <v>1.555952035185262E-2</v>
      </c>
      <c r="M361">
        <f t="shared" si="35"/>
        <v>1.0488266666666666</v>
      </c>
      <c r="N361">
        <f t="shared" si="36"/>
        <v>13.110333333333333</v>
      </c>
      <c r="O361">
        <f t="shared" si="37"/>
        <v>2213.38</v>
      </c>
      <c r="P361">
        <f t="shared" si="38"/>
        <v>0.08</v>
      </c>
      <c r="Q361" t="s">
        <v>4139</v>
      </c>
      <c r="R361" t="s">
        <v>4139</v>
      </c>
      <c r="S361">
        <f>YEAR(marketing_data[[#This Row],[Start_date]])</f>
        <v>2023</v>
      </c>
      <c r="T361" t="str">
        <f>TEXT(marketing_data[[#This Row],[Start_date]],"ddd")</f>
        <v>Fri</v>
      </c>
      <c r="U361">
        <f>marketing_data[[#This Row],[Cleaned End_date]]-marketing_data[[#This Row],[Start_date]]</f>
        <v>1</v>
      </c>
    </row>
    <row r="362" spans="1:21" x14ac:dyDescent="0.2">
      <c r="A362" t="s">
        <v>767</v>
      </c>
      <c r="B362" t="s">
        <v>768</v>
      </c>
      <c r="C362" s="2">
        <v>44965</v>
      </c>
      <c r="D362" t="str">
        <f t="shared" si="33"/>
        <v>Feb</v>
      </c>
      <c r="E362" s="2">
        <v>44987</v>
      </c>
      <c r="F362" t="s">
        <v>19</v>
      </c>
      <c r="G362">
        <v>33635</v>
      </c>
      <c r="H362">
        <v>1544</v>
      </c>
      <c r="J362" t="b">
        <v>1</v>
      </c>
      <c r="K362" s="10">
        <v>1508.6</v>
      </c>
      <c r="L362" s="6">
        <f t="shared" si="34"/>
        <v>4.5904563698528321E-2</v>
      </c>
      <c r="M362">
        <f t="shared" si="35"/>
        <v>0.97707253886010359</v>
      </c>
      <c r="N362">
        <f t="shared" si="36"/>
        <v>0</v>
      </c>
      <c r="O362">
        <f t="shared" si="37"/>
        <v>-1508.6</v>
      </c>
      <c r="P362">
        <f t="shared" si="38"/>
        <v>0</v>
      </c>
      <c r="Q362" t="s">
        <v>4138</v>
      </c>
      <c r="R362" t="s">
        <v>4141</v>
      </c>
      <c r="S362">
        <f>YEAR(marketing_data[[#This Row],[Start_date]])</f>
        <v>2023</v>
      </c>
      <c r="T362" t="str">
        <f>TEXT(marketing_data[[#This Row],[Start_date]],"ddd")</f>
        <v>Wed</v>
      </c>
      <c r="U362">
        <f>marketing_data[[#This Row],[Cleaned End_date]]-marketing_data[[#This Row],[Start_date]]</f>
        <v>22</v>
      </c>
    </row>
    <row r="363" spans="1:21" x14ac:dyDescent="0.2">
      <c r="A363" t="s">
        <v>769</v>
      </c>
      <c r="B363" t="s">
        <v>770</v>
      </c>
      <c r="C363" s="2">
        <v>45273</v>
      </c>
      <c r="D363" t="str">
        <f t="shared" si="33"/>
        <v>Dec</v>
      </c>
      <c r="E363" s="2">
        <v>45296</v>
      </c>
      <c r="F363" t="s">
        <v>41</v>
      </c>
      <c r="G363">
        <v>64208</v>
      </c>
      <c r="H363">
        <v>2772</v>
      </c>
      <c r="J363" t="b">
        <v>0</v>
      </c>
      <c r="K363" s="10">
        <v>3631.7599999999998</v>
      </c>
      <c r="L363" s="6">
        <f t="shared" si="34"/>
        <v>4.3172190381260904E-2</v>
      </c>
      <c r="M363">
        <f t="shared" si="35"/>
        <v>1.3101587301587301</v>
      </c>
      <c r="N363">
        <f t="shared" si="36"/>
        <v>0</v>
      </c>
      <c r="O363">
        <f t="shared" si="37"/>
        <v>-3631.7599999999998</v>
      </c>
      <c r="P363">
        <f t="shared" si="38"/>
        <v>0</v>
      </c>
      <c r="Q363" t="s">
        <v>4138</v>
      </c>
      <c r="R363" t="s">
        <v>4142</v>
      </c>
      <c r="S363">
        <f>YEAR(marketing_data[[#This Row],[Start_date]])</f>
        <v>2023</v>
      </c>
      <c r="T363" t="str">
        <f>TEXT(marketing_data[[#This Row],[Start_date]],"ddd")</f>
        <v>Wed</v>
      </c>
      <c r="U363">
        <f>marketing_data[[#This Row],[Cleaned End_date]]-marketing_data[[#This Row],[Start_date]]</f>
        <v>23</v>
      </c>
    </row>
    <row r="364" spans="1:21" x14ac:dyDescent="0.2">
      <c r="A364" t="s">
        <v>771</v>
      </c>
      <c r="B364" t="s">
        <v>772</v>
      </c>
      <c r="C364" s="2">
        <v>45212</v>
      </c>
      <c r="D364" t="str">
        <f t="shared" si="33"/>
        <v>Oct</v>
      </c>
      <c r="E364" s="2">
        <v>45235</v>
      </c>
      <c r="F364" t="s">
        <v>14</v>
      </c>
      <c r="G364">
        <v>34828</v>
      </c>
      <c r="H364">
        <v>790</v>
      </c>
      <c r="J364" t="b">
        <v>0</v>
      </c>
      <c r="K364" s="10">
        <v>905.87</v>
      </c>
      <c r="L364" s="6">
        <f t="shared" si="34"/>
        <v>2.2682898817043759E-2</v>
      </c>
      <c r="M364">
        <f t="shared" si="35"/>
        <v>1.1466708860759494</v>
      </c>
      <c r="N364">
        <f t="shared" si="36"/>
        <v>0</v>
      </c>
      <c r="O364">
        <f t="shared" si="37"/>
        <v>-905.87</v>
      </c>
      <c r="P364">
        <f t="shared" si="38"/>
        <v>0</v>
      </c>
      <c r="Q364" t="s">
        <v>4136</v>
      </c>
      <c r="R364" t="s">
        <v>4138</v>
      </c>
      <c r="S364">
        <f>YEAR(marketing_data[[#This Row],[Start_date]])</f>
        <v>2023</v>
      </c>
      <c r="T364" t="str">
        <f>TEXT(marketing_data[[#This Row],[Start_date]],"ddd")</f>
        <v>Fri</v>
      </c>
      <c r="U364">
        <f>marketing_data[[#This Row],[Cleaned End_date]]-marketing_data[[#This Row],[Start_date]]</f>
        <v>23</v>
      </c>
    </row>
    <row r="365" spans="1:21" x14ac:dyDescent="0.2">
      <c r="A365" t="s">
        <v>773</v>
      </c>
      <c r="B365" t="s">
        <v>774</v>
      </c>
      <c r="C365" s="2">
        <v>44934</v>
      </c>
      <c r="D365" t="str">
        <f t="shared" si="33"/>
        <v>Jan</v>
      </c>
      <c r="E365" s="2">
        <v>44948</v>
      </c>
      <c r="F365" t="s">
        <v>33</v>
      </c>
      <c r="G365">
        <v>19711</v>
      </c>
      <c r="H365">
        <v>948</v>
      </c>
      <c r="I365">
        <v>129</v>
      </c>
      <c r="J365" t="b">
        <v>1</v>
      </c>
      <c r="K365" s="10">
        <v>598.49</v>
      </c>
      <c r="L365" s="6">
        <f t="shared" si="34"/>
        <v>4.8094972350464206E-2</v>
      </c>
      <c r="M365">
        <f t="shared" si="35"/>
        <v>0.63131856540084386</v>
      </c>
      <c r="N365">
        <f t="shared" si="36"/>
        <v>4.6394573643410855</v>
      </c>
      <c r="O365">
        <f t="shared" si="37"/>
        <v>5851.51</v>
      </c>
      <c r="P365">
        <f t="shared" si="38"/>
        <v>0.13607594936708861</v>
      </c>
      <c r="Q365" t="s">
        <v>4138</v>
      </c>
      <c r="R365" t="s">
        <v>4139</v>
      </c>
      <c r="S365">
        <f>YEAR(marketing_data[[#This Row],[Start_date]])</f>
        <v>2023</v>
      </c>
      <c r="T365" t="str">
        <f>TEXT(marketing_data[[#This Row],[Start_date]],"ddd")</f>
        <v>Sun</v>
      </c>
      <c r="U365">
        <f>marketing_data[[#This Row],[Cleaned End_date]]-marketing_data[[#This Row],[Start_date]]</f>
        <v>14</v>
      </c>
    </row>
    <row r="366" spans="1:21" x14ac:dyDescent="0.2">
      <c r="A366" t="s">
        <v>775</v>
      </c>
      <c r="B366" t="s">
        <v>776</v>
      </c>
      <c r="C366" s="2">
        <v>45115</v>
      </c>
      <c r="D366" t="str">
        <f t="shared" si="33"/>
        <v>Jul</v>
      </c>
      <c r="E366" s="2">
        <v>45133</v>
      </c>
      <c r="F366" t="s">
        <v>19</v>
      </c>
      <c r="G366">
        <v>4420</v>
      </c>
      <c r="H366">
        <v>190</v>
      </c>
      <c r="I366">
        <v>19</v>
      </c>
      <c r="J366" t="b">
        <v>1</v>
      </c>
      <c r="K366" s="10">
        <v>329.13249999999999</v>
      </c>
      <c r="L366" s="6">
        <f t="shared" si="34"/>
        <v>4.2986425339366516E-2</v>
      </c>
      <c r="M366">
        <f t="shared" si="35"/>
        <v>1.7322763157894736</v>
      </c>
      <c r="N366">
        <f t="shared" si="36"/>
        <v>17.322763157894737</v>
      </c>
      <c r="O366">
        <f t="shared" si="37"/>
        <v>620.86750000000006</v>
      </c>
      <c r="P366">
        <f t="shared" si="38"/>
        <v>0.1</v>
      </c>
      <c r="Q366" t="s">
        <v>4139</v>
      </c>
      <c r="R366" t="s">
        <v>4138</v>
      </c>
      <c r="S366">
        <f>YEAR(marketing_data[[#This Row],[Start_date]])</f>
        <v>2023</v>
      </c>
      <c r="T366" t="str">
        <f>TEXT(marketing_data[[#This Row],[Start_date]],"ddd")</f>
        <v>Sat</v>
      </c>
      <c r="U366">
        <f>marketing_data[[#This Row],[Cleaned End_date]]-marketing_data[[#This Row],[Start_date]]</f>
        <v>18</v>
      </c>
    </row>
    <row r="367" spans="1:21" x14ac:dyDescent="0.2">
      <c r="A367" t="s">
        <v>777</v>
      </c>
      <c r="B367" t="s">
        <v>778</v>
      </c>
      <c r="C367" s="2">
        <v>45226</v>
      </c>
      <c r="D367" t="str">
        <f t="shared" si="33"/>
        <v>Oct</v>
      </c>
      <c r="E367" s="2">
        <v>45229</v>
      </c>
      <c r="F367" t="s">
        <v>14</v>
      </c>
      <c r="G367">
        <v>97752</v>
      </c>
      <c r="H367">
        <v>3582</v>
      </c>
      <c r="I367">
        <v>626</v>
      </c>
      <c r="J367" t="b">
        <v>1</v>
      </c>
      <c r="K367" s="10">
        <v>3631.7599999999998</v>
      </c>
      <c r="L367" s="6">
        <f t="shared" si="34"/>
        <v>3.6643751534495457E-2</v>
      </c>
      <c r="M367">
        <f t="shared" si="35"/>
        <v>1.0138916806253488</v>
      </c>
      <c r="N367">
        <f t="shared" si="36"/>
        <v>5.8015335463258779</v>
      </c>
      <c r="O367">
        <f t="shared" si="37"/>
        <v>27668.240000000002</v>
      </c>
      <c r="P367">
        <f t="shared" si="38"/>
        <v>0.17476270240089337</v>
      </c>
      <c r="Q367" t="s">
        <v>4136</v>
      </c>
      <c r="R367" t="s">
        <v>4141</v>
      </c>
      <c r="S367">
        <f>YEAR(marketing_data[[#This Row],[Start_date]])</f>
        <v>2023</v>
      </c>
      <c r="T367" t="str">
        <f>TEXT(marketing_data[[#This Row],[Start_date]],"ddd")</f>
        <v>Fri</v>
      </c>
      <c r="U367">
        <f>marketing_data[[#This Row],[Cleaned End_date]]-marketing_data[[#This Row],[Start_date]]</f>
        <v>3</v>
      </c>
    </row>
    <row r="368" spans="1:21" x14ac:dyDescent="0.2">
      <c r="A368" t="s">
        <v>779</v>
      </c>
      <c r="B368" t="s">
        <v>780</v>
      </c>
      <c r="C368" s="2">
        <v>45117</v>
      </c>
      <c r="D368" t="str">
        <f t="shared" si="33"/>
        <v>Jul</v>
      </c>
      <c r="E368" s="2">
        <v>45119</v>
      </c>
      <c r="F368" t="s">
        <v>33</v>
      </c>
      <c r="G368">
        <v>1301</v>
      </c>
      <c r="H368">
        <v>19</v>
      </c>
      <c r="I368">
        <v>2</v>
      </c>
      <c r="J368" t="b">
        <v>0</v>
      </c>
      <c r="K368" s="10">
        <v>329.13249999999999</v>
      </c>
      <c r="L368" s="6">
        <f t="shared" si="34"/>
        <v>1.4604150653343582E-2</v>
      </c>
      <c r="M368">
        <f t="shared" si="35"/>
        <v>17.322763157894737</v>
      </c>
      <c r="N368">
        <f t="shared" si="36"/>
        <v>164.56625</v>
      </c>
      <c r="O368">
        <f t="shared" si="37"/>
        <v>-229.13249999999999</v>
      </c>
      <c r="P368">
        <f t="shared" si="38"/>
        <v>0.10526315789473684</v>
      </c>
      <c r="Q368" t="s">
        <v>4139</v>
      </c>
      <c r="R368" t="s">
        <v>4142</v>
      </c>
      <c r="S368">
        <f>YEAR(marketing_data[[#This Row],[Start_date]])</f>
        <v>2023</v>
      </c>
      <c r="T368" t="str">
        <f>TEXT(marketing_data[[#This Row],[Start_date]],"ddd")</f>
        <v>Mon</v>
      </c>
      <c r="U368">
        <f>marketing_data[[#This Row],[Cleaned End_date]]-marketing_data[[#This Row],[Start_date]]</f>
        <v>2</v>
      </c>
    </row>
    <row r="369" spans="1:21" x14ac:dyDescent="0.2">
      <c r="A369" t="s">
        <v>781</v>
      </c>
      <c r="B369" t="s">
        <v>782</v>
      </c>
      <c r="C369" s="2">
        <v>44939</v>
      </c>
      <c r="D369" t="str">
        <f t="shared" si="33"/>
        <v>Jan</v>
      </c>
      <c r="E369" s="2">
        <v>44946</v>
      </c>
      <c r="F369" t="s">
        <v>41</v>
      </c>
      <c r="G369">
        <v>46236</v>
      </c>
      <c r="H369">
        <v>1346</v>
      </c>
      <c r="I369">
        <v>251</v>
      </c>
      <c r="J369" t="b">
        <v>1</v>
      </c>
      <c r="K369" s="10">
        <v>1343.72</v>
      </c>
      <c r="L369" s="6">
        <f t="shared" si="34"/>
        <v>2.9111514836923608E-2</v>
      </c>
      <c r="M369">
        <f t="shared" si="35"/>
        <v>0.99830609212481425</v>
      </c>
      <c r="N369">
        <f t="shared" si="36"/>
        <v>5.3534661354581674</v>
      </c>
      <c r="O369">
        <f t="shared" si="37"/>
        <v>11206.28</v>
      </c>
      <c r="P369">
        <f t="shared" si="38"/>
        <v>0.18647845468053492</v>
      </c>
      <c r="Q369" t="s">
        <v>4138</v>
      </c>
      <c r="R369" t="s">
        <v>4141</v>
      </c>
      <c r="S369">
        <f>YEAR(marketing_data[[#This Row],[Start_date]])</f>
        <v>2023</v>
      </c>
      <c r="T369" t="str">
        <f>TEXT(marketing_data[[#This Row],[Start_date]],"ddd")</f>
        <v>Fri</v>
      </c>
      <c r="U369">
        <f>marketing_data[[#This Row],[Cleaned End_date]]-marketing_data[[#This Row],[Start_date]]</f>
        <v>7</v>
      </c>
    </row>
    <row r="370" spans="1:21" x14ac:dyDescent="0.2">
      <c r="A370" t="s">
        <v>783</v>
      </c>
      <c r="B370" t="s">
        <v>784</v>
      </c>
      <c r="C370" s="2">
        <v>45094</v>
      </c>
      <c r="D370" t="str">
        <f t="shared" si="33"/>
        <v>Jun</v>
      </c>
      <c r="E370" s="2">
        <v>45113</v>
      </c>
      <c r="F370" t="s">
        <v>23</v>
      </c>
      <c r="G370">
        <v>67235</v>
      </c>
      <c r="H370">
        <v>2033</v>
      </c>
      <c r="I370">
        <v>384</v>
      </c>
      <c r="J370" t="b">
        <v>0</v>
      </c>
      <c r="K370" s="10">
        <v>1912.37</v>
      </c>
      <c r="L370" s="6">
        <f t="shared" si="34"/>
        <v>3.0237227634416598E-2</v>
      </c>
      <c r="M370">
        <f t="shared" si="35"/>
        <v>0.94066404328578446</v>
      </c>
      <c r="N370">
        <f t="shared" si="36"/>
        <v>4.9801302083333328</v>
      </c>
      <c r="O370">
        <f t="shared" si="37"/>
        <v>17287.63</v>
      </c>
      <c r="P370">
        <f t="shared" si="38"/>
        <v>0.18888342351205115</v>
      </c>
      <c r="Q370" t="s">
        <v>4139</v>
      </c>
      <c r="R370" t="s">
        <v>4142</v>
      </c>
      <c r="S370">
        <f>YEAR(marketing_data[[#This Row],[Start_date]])</f>
        <v>2023</v>
      </c>
      <c r="T370" t="str">
        <f>TEXT(marketing_data[[#This Row],[Start_date]],"ddd")</f>
        <v>Sat</v>
      </c>
      <c r="U370">
        <f>marketing_data[[#This Row],[Cleaned End_date]]-marketing_data[[#This Row],[Start_date]]</f>
        <v>19</v>
      </c>
    </row>
    <row r="371" spans="1:21" x14ac:dyDescent="0.2">
      <c r="A371" t="s">
        <v>785</v>
      </c>
      <c r="B371" t="s">
        <v>786</v>
      </c>
      <c r="C371" s="2">
        <v>44959</v>
      </c>
      <c r="D371" t="str">
        <f t="shared" si="33"/>
        <v>Feb</v>
      </c>
      <c r="E371" s="2">
        <v>44961</v>
      </c>
      <c r="F371" t="s">
        <v>41</v>
      </c>
      <c r="G371">
        <v>55240</v>
      </c>
      <c r="H371">
        <v>1066</v>
      </c>
      <c r="I371">
        <v>79</v>
      </c>
      <c r="J371" t="b">
        <v>1</v>
      </c>
      <c r="K371" s="10">
        <v>599.36</v>
      </c>
      <c r="L371" s="6">
        <f t="shared" si="34"/>
        <v>1.9297610427226646E-2</v>
      </c>
      <c r="M371">
        <f t="shared" si="35"/>
        <v>0.56225140712945587</v>
      </c>
      <c r="N371">
        <f t="shared" si="36"/>
        <v>7.586835443037975</v>
      </c>
      <c r="O371">
        <f t="shared" si="37"/>
        <v>3350.64</v>
      </c>
      <c r="P371">
        <f t="shared" si="38"/>
        <v>7.410881801125703E-2</v>
      </c>
      <c r="Q371" t="s">
        <v>4138</v>
      </c>
      <c r="R371" t="s">
        <v>4139</v>
      </c>
      <c r="S371">
        <f>YEAR(marketing_data[[#This Row],[Start_date]])</f>
        <v>2023</v>
      </c>
      <c r="T371" t="str">
        <f>TEXT(marketing_data[[#This Row],[Start_date]],"ddd")</f>
        <v>Thu</v>
      </c>
      <c r="U371">
        <f>marketing_data[[#This Row],[Cleaned End_date]]-marketing_data[[#This Row],[Start_date]]</f>
        <v>2</v>
      </c>
    </row>
    <row r="372" spans="1:21" x14ac:dyDescent="0.2">
      <c r="A372" t="s">
        <v>787</v>
      </c>
      <c r="B372" t="s">
        <v>788</v>
      </c>
      <c r="C372" s="2">
        <v>45285</v>
      </c>
      <c r="D372" t="str">
        <f t="shared" si="33"/>
        <v>Dec</v>
      </c>
      <c r="E372" s="2">
        <v>45292</v>
      </c>
      <c r="F372" t="s">
        <v>41</v>
      </c>
      <c r="G372">
        <v>66726</v>
      </c>
      <c r="H372">
        <v>880</v>
      </c>
      <c r="I372">
        <v>44</v>
      </c>
      <c r="J372" t="b">
        <v>1</v>
      </c>
      <c r="K372" s="10">
        <v>1280.97</v>
      </c>
      <c r="L372" s="6">
        <f t="shared" si="34"/>
        <v>1.3188262446422684E-2</v>
      </c>
      <c r="M372">
        <f t="shared" si="35"/>
        <v>1.4556477272727273</v>
      </c>
      <c r="N372">
        <f t="shared" si="36"/>
        <v>29.112954545454546</v>
      </c>
      <c r="O372">
        <f t="shared" si="37"/>
        <v>919.03</v>
      </c>
      <c r="P372">
        <f t="shared" si="38"/>
        <v>0.05</v>
      </c>
      <c r="Q372" t="s">
        <v>4138</v>
      </c>
      <c r="R372" t="s">
        <v>4142</v>
      </c>
      <c r="S372">
        <f>YEAR(marketing_data[[#This Row],[Start_date]])</f>
        <v>2023</v>
      </c>
      <c r="T372" t="str">
        <f>TEXT(marketing_data[[#This Row],[Start_date]],"ddd")</f>
        <v>Mon</v>
      </c>
      <c r="U372">
        <f>marketing_data[[#This Row],[Cleaned End_date]]-marketing_data[[#This Row],[Start_date]]</f>
        <v>7</v>
      </c>
    </row>
    <row r="373" spans="1:21" x14ac:dyDescent="0.2">
      <c r="A373" t="s">
        <v>789</v>
      </c>
      <c r="B373" t="s">
        <v>790</v>
      </c>
      <c r="C373" s="2">
        <v>44998</v>
      </c>
      <c r="D373" t="str">
        <f t="shared" si="33"/>
        <v>Mar</v>
      </c>
      <c r="E373" s="2">
        <v>45006</v>
      </c>
      <c r="F373" t="s">
        <v>41</v>
      </c>
      <c r="G373">
        <v>11492</v>
      </c>
      <c r="H373">
        <v>471</v>
      </c>
      <c r="I373">
        <v>93</v>
      </c>
      <c r="J373" t="b">
        <v>1</v>
      </c>
      <c r="K373" s="10">
        <v>657.49</v>
      </c>
      <c r="L373" s="6">
        <f t="shared" si="34"/>
        <v>4.0985033066481033E-2</v>
      </c>
      <c r="M373">
        <f t="shared" si="35"/>
        <v>1.3959447983014863</v>
      </c>
      <c r="N373">
        <f t="shared" si="36"/>
        <v>7.0697849462365596</v>
      </c>
      <c r="O373">
        <f t="shared" si="37"/>
        <v>3992.51</v>
      </c>
      <c r="P373">
        <f t="shared" si="38"/>
        <v>0.19745222929936307</v>
      </c>
      <c r="Q373" t="s">
        <v>4137</v>
      </c>
      <c r="R373" t="s">
        <v>4138</v>
      </c>
      <c r="S373">
        <f>YEAR(marketing_data[[#This Row],[Start_date]])</f>
        <v>2023</v>
      </c>
      <c r="T373" t="str">
        <f>TEXT(marketing_data[[#This Row],[Start_date]],"ddd")</f>
        <v>Mon</v>
      </c>
      <c r="U373">
        <f>marketing_data[[#This Row],[Cleaned End_date]]-marketing_data[[#This Row],[Start_date]]</f>
        <v>8</v>
      </c>
    </row>
    <row r="374" spans="1:21" x14ac:dyDescent="0.2">
      <c r="A374" t="s">
        <v>792</v>
      </c>
      <c r="B374" t="s">
        <v>793</v>
      </c>
      <c r="C374" s="2">
        <v>44946</v>
      </c>
      <c r="D374" t="str">
        <f t="shared" si="33"/>
        <v>Jan</v>
      </c>
      <c r="E374" s="2">
        <v>44965</v>
      </c>
      <c r="F374" t="s">
        <v>23</v>
      </c>
      <c r="G374">
        <v>7102</v>
      </c>
      <c r="H374">
        <v>105</v>
      </c>
      <c r="I374">
        <v>19</v>
      </c>
      <c r="J374" t="b">
        <v>1</v>
      </c>
      <c r="K374" s="10">
        <v>329.13249999999999</v>
      </c>
      <c r="L374" s="6">
        <f t="shared" si="34"/>
        <v>1.4784567727400732E-2</v>
      </c>
      <c r="M374">
        <f t="shared" si="35"/>
        <v>3.1345952380952382</v>
      </c>
      <c r="N374">
        <f t="shared" si="36"/>
        <v>17.322763157894737</v>
      </c>
      <c r="O374">
        <f t="shared" si="37"/>
        <v>620.86750000000006</v>
      </c>
      <c r="P374">
        <f t="shared" si="38"/>
        <v>0.18095238095238095</v>
      </c>
      <c r="Q374" t="s">
        <v>4138</v>
      </c>
      <c r="R374" t="s">
        <v>4141</v>
      </c>
      <c r="S374">
        <f>YEAR(marketing_data[[#This Row],[Start_date]])</f>
        <v>2023</v>
      </c>
      <c r="T374" t="str">
        <f>TEXT(marketing_data[[#This Row],[Start_date]],"ddd")</f>
        <v>Fri</v>
      </c>
      <c r="U374">
        <f>marketing_data[[#This Row],[Cleaned End_date]]-marketing_data[[#This Row],[Start_date]]</f>
        <v>19</v>
      </c>
    </row>
    <row r="375" spans="1:21" x14ac:dyDescent="0.2">
      <c r="A375" t="s">
        <v>794</v>
      </c>
      <c r="B375" t="s">
        <v>795</v>
      </c>
      <c r="C375" s="2">
        <v>44976</v>
      </c>
      <c r="D375" t="str">
        <f t="shared" si="33"/>
        <v>Feb</v>
      </c>
      <c r="E375" s="2">
        <v>44992</v>
      </c>
      <c r="F375" t="s">
        <v>23</v>
      </c>
      <c r="G375">
        <v>51336</v>
      </c>
      <c r="H375">
        <v>1733</v>
      </c>
      <c r="I375">
        <v>101</v>
      </c>
      <c r="J375" t="b">
        <v>1</v>
      </c>
      <c r="K375" s="10">
        <v>1366.41</v>
      </c>
      <c r="L375" s="6">
        <f t="shared" si="34"/>
        <v>3.3757986598098803E-2</v>
      </c>
      <c r="M375">
        <f t="shared" si="35"/>
        <v>0.78846508944027704</v>
      </c>
      <c r="N375">
        <f t="shared" si="36"/>
        <v>13.528811881188119</v>
      </c>
      <c r="O375">
        <f t="shared" si="37"/>
        <v>3683.59</v>
      </c>
      <c r="P375">
        <f t="shared" si="38"/>
        <v>5.8280438545874204E-2</v>
      </c>
      <c r="Q375" t="s">
        <v>4138</v>
      </c>
      <c r="R375" t="s">
        <v>4142</v>
      </c>
      <c r="S375">
        <f>YEAR(marketing_data[[#This Row],[Start_date]])</f>
        <v>2023</v>
      </c>
      <c r="T375" t="str">
        <f>TEXT(marketing_data[[#This Row],[Start_date]],"ddd")</f>
        <v>Sun</v>
      </c>
      <c r="U375">
        <f>marketing_data[[#This Row],[Cleaned End_date]]-marketing_data[[#This Row],[Start_date]]</f>
        <v>16</v>
      </c>
    </row>
    <row r="376" spans="1:21" x14ac:dyDescent="0.2">
      <c r="A376" t="s">
        <v>796</v>
      </c>
      <c r="B376" t="s">
        <v>797</v>
      </c>
      <c r="C376" s="2">
        <v>45125</v>
      </c>
      <c r="D376" t="str">
        <f t="shared" si="33"/>
        <v>Jul</v>
      </c>
      <c r="E376" s="2">
        <v>45126</v>
      </c>
      <c r="F376" t="str">
        <f>F375</f>
        <v>Email</v>
      </c>
      <c r="G376">
        <v>86314</v>
      </c>
      <c r="H376">
        <v>4096</v>
      </c>
      <c r="I376">
        <v>716</v>
      </c>
      <c r="J376" t="b">
        <v>0</v>
      </c>
      <c r="K376" s="10">
        <v>3631.7599999999998</v>
      </c>
      <c r="L376" s="6">
        <f t="shared" si="34"/>
        <v>4.7454642352341453E-2</v>
      </c>
      <c r="M376">
        <f t="shared" si="35"/>
        <v>0.88666015624999994</v>
      </c>
      <c r="N376">
        <f t="shared" si="36"/>
        <v>5.0722905027932956</v>
      </c>
      <c r="O376">
        <f t="shared" si="37"/>
        <v>32168.240000000002</v>
      </c>
      <c r="P376">
        <f t="shared" si="38"/>
        <v>0.1748046875</v>
      </c>
      <c r="Q376" t="s">
        <v>4139</v>
      </c>
      <c r="R376" t="s">
        <v>4141</v>
      </c>
      <c r="S376">
        <f>YEAR(marketing_data[[#This Row],[Start_date]])</f>
        <v>2023</v>
      </c>
      <c r="T376" t="str">
        <f>TEXT(marketing_data[[#This Row],[Start_date]],"ddd")</f>
        <v>Tue</v>
      </c>
      <c r="U376">
        <f>marketing_data[[#This Row],[Cleaned End_date]]-marketing_data[[#This Row],[Start_date]]</f>
        <v>1</v>
      </c>
    </row>
    <row r="377" spans="1:21" x14ac:dyDescent="0.2">
      <c r="A377" t="s">
        <v>798</v>
      </c>
      <c r="B377" t="s">
        <v>799</v>
      </c>
      <c r="C377" s="2">
        <v>45283</v>
      </c>
      <c r="D377" t="str">
        <f t="shared" si="33"/>
        <v>Dec</v>
      </c>
      <c r="E377" s="2">
        <v>45295</v>
      </c>
      <c r="F377" t="s">
        <v>19</v>
      </c>
      <c r="G377">
        <v>27641</v>
      </c>
      <c r="H377">
        <v>1245</v>
      </c>
      <c r="I377">
        <v>147</v>
      </c>
      <c r="J377" t="b">
        <v>1</v>
      </c>
      <c r="K377" s="10">
        <v>1779.63</v>
      </c>
      <c r="L377" s="6">
        <f t="shared" si="34"/>
        <v>4.5041785753048007E-2</v>
      </c>
      <c r="M377">
        <f t="shared" si="35"/>
        <v>1.429421686746988</v>
      </c>
      <c r="N377">
        <f t="shared" si="36"/>
        <v>12.106326530612245</v>
      </c>
      <c r="O377">
        <f t="shared" si="37"/>
        <v>5570.37</v>
      </c>
      <c r="P377">
        <f t="shared" si="38"/>
        <v>0.1180722891566265</v>
      </c>
      <c r="Q377" t="s">
        <v>4138</v>
      </c>
      <c r="R377" t="s">
        <v>4142</v>
      </c>
      <c r="S377">
        <f>YEAR(marketing_data[[#This Row],[Start_date]])</f>
        <v>2023</v>
      </c>
      <c r="T377" t="str">
        <f>TEXT(marketing_data[[#This Row],[Start_date]],"ddd")</f>
        <v>Sat</v>
      </c>
      <c r="U377">
        <f>marketing_data[[#This Row],[Cleaned End_date]]-marketing_data[[#This Row],[Start_date]]</f>
        <v>12</v>
      </c>
    </row>
    <row r="378" spans="1:21" x14ac:dyDescent="0.2">
      <c r="A378" t="s">
        <v>800</v>
      </c>
      <c r="B378" t="s">
        <v>801</v>
      </c>
      <c r="C378" s="2">
        <v>45006</v>
      </c>
      <c r="D378" t="str">
        <f t="shared" si="33"/>
        <v>Mar</v>
      </c>
      <c r="E378" s="2">
        <v>45029</v>
      </c>
      <c r="F378" t="s">
        <v>19</v>
      </c>
      <c r="G378">
        <v>35584</v>
      </c>
      <c r="H378">
        <v>751</v>
      </c>
      <c r="I378">
        <v>66</v>
      </c>
      <c r="J378" t="b">
        <v>0</v>
      </c>
      <c r="K378" s="10">
        <v>1050.98</v>
      </c>
      <c r="L378" s="6">
        <f t="shared" si="34"/>
        <v>2.1104991007194245E-2</v>
      </c>
      <c r="M378">
        <f t="shared" si="35"/>
        <v>1.3994407456724367</v>
      </c>
      <c r="N378">
        <f t="shared" si="36"/>
        <v>15.923939393939394</v>
      </c>
      <c r="O378">
        <f t="shared" si="37"/>
        <v>2249.02</v>
      </c>
      <c r="P378">
        <f t="shared" si="38"/>
        <v>8.7882822902796268E-2</v>
      </c>
      <c r="Q378" t="s">
        <v>4137</v>
      </c>
      <c r="R378" t="s">
        <v>4139</v>
      </c>
      <c r="S378">
        <f>YEAR(marketing_data[[#This Row],[Start_date]])</f>
        <v>2023</v>
      </c>
      <c r="T378" t="str">
        <f>TEXT(marketing_data[[#This Row],[Start_date]],"ddd")</f>
        <v>Tue</v>
      </c>
      <c r="U378">
        <f>marketing_data[[#This Row],[Cleaned End_date]]-marketing_data[[#This Row],[Start_date]]</f>
        <v>23</v>
      </c>
    </row>
    <row r="379" spans="1:21" x14ac:dyDescent="0.2">
      <c r="A379" t="s">
        <v>802</v>
      </c>
      <c r="B379" t="s">
        <v>803</v>
      </c>
      <c r="C379" s="2">
        <v>45177</v>
      </c>
      <c r="D379" t="str">
        <f t="shared" si="33"/>
        <v>Sep</v>
      </c>
      <c r="E379" s="2">
        <v>45180</v>
      </c>
      <c r="F379" t="s">
        <v>23</v>
      </c>
      <c r="G379">
        <v>33745</v>
      </c>
      <c r="H379">
        <v>1486</v>
      </c>
      <c r="I379">
        <v>270</v>
      </c>
      <c r="J379" t="b">
        <v>1</v>
      </c>
      <c r="K379" s="10">
        <v>1871.61</v>
      </c>
      <c r="L379" s="6">
        <f t="shared" si="34"/>
        <v>4.4036153504222846E-2</v>
      </c>
      <c r="M379">
        <f t="shared" si="35"/>
        <v>1.2594952893674294</v>
      </c>
      <c r="N379">
        <f t="shared" si="36"/>
        <v>6.9318888888888885</v>
      </c>
      <c r="O379">
        <f t="shared" si="37"/>
        <v>11628.39</v>
      </c>
      <c r="P379">
        <f t="shared" si="38"/>
        <v>0.18169582772543741</v>
      </c>
      <c r="Q379" t="s">
        <v>4136</v>
      </c>
      <c r="R379" t="s">
        <v>4141</v>
      </c>
      <c r="S379">
        <f>YEAR(marketing_data[[#This Row],[Start_date]])</f>
        <v>2023</v>
      </c>
      <c r="T379" t="str">
        <f>TEXT(marketing_data[[#This Row],[Start_date]],"ddd")</f>
        <v>Fri</v>
      </c>
      <c r="U379">
        <f>marketing_data[[#This Row],[Cleaned End_date]]-marketing_data[[#This Row],[Start_date]]</f>
        <v>3</v>
      </c>
    </row>
    <row r="380" spans="1:21" x14ac:dyDescent="0.2">
      <c r="A380" t="s">
        <v>804</v>
      </c>
      <c r="B380" t="s">
        <v>805</v>
      </c>
      <c r="C380" s="2">
        <v>45070</v>
      </c>
      <c r="D380" t="str">
        <f t="shared" si="33"/>
        <v>May</v>
      </c>
      <c r="E380" s="2">
        <v>45089</v>
      </c>
      <c r="F380" t="s">
        <v>19</v>
      </c>
      <c r="G380">
        <v>24093</v>
      </c>
      <c r="H380">
        <v>241</v>
      </c>
      <c r="I380">
        <v>19</v>
      </c>
      <c r="J380" t="b">
        <v>0</v>
      </c>
      <c r="K380" s="10">
        <v>329.13249999999999</v>
      </c>
      <c r="L380" s="6">
        <f t="shared" si="34"/>
        <v>1.0002905408209854E-2</v>
      </c>
      <c r="M380">
        <f t="shared" si="35"/>
        <v>1.3656950207468879</v>
      </c>
      <c r="N380">
        <f t="shared" si="36"/>
        <v>17.322763157894737</v>
      </c>
      <c r="O380">
        <f t="shared" si="37"/>
        <v>620.86750000000006</v>
      </c>
      <c r="P380">
        <f t="shared" si="38"/>
        <v>7.8838174273858919E-2</v>
      </c>
      <c r="Q380" t="s">
        <v>4137</v>
      </c>
      <c r="R380" t="s">
        <v>4142</v>
      </c>
      <c r="S380">
        <f>YEAR(marketing_data[[#This Row],[Start_date]])</f>
        <v>2023</v>
      </c>
      <c r="T380" t="str">
        <f>TEXT(marketing_data[[#This Row],[Start_date]],"ddd")</f>
        <v>Wed</v>
      </c>
      <c r="U380">
        <f>marketing_data[[#This Row],[Cleaned End_date]]-marketing_data[[#This Row],[Start_date]]</f>
        <v>19</v>
      </c>
    </row>
    <row r="381" spans="1:21" x14ac:dyDescent="0.2">
      <c r="A381" t="s">
        <v>807</v>
      </c>
      <c r="B381" t="s">
        <v>808</v>
      </c>
      <c r="C381" s="2">
        <v>45116</v>
      </c>
      <c r="D381" t="str">
        <f t="shared" si="33"/>
        <v>Jul</v>
      </c>
      <c r="E381" s="2">
        <v>45145</v>
      </c>
      <c r="F381" t="s">
        <v>33</v>
      </c>
      <c r="G381">
        <v>67105</v>
      </c>
      <c r="H381">
        <v>718</v>
      </c>
      <c r="I381">
        <v>137</v>
      </c>
      <c r="J381" t="b">
        <v>1</v>
      </c>
      <c r="K381" s="10">
        <v>1342.23</v>
      </c>
      <c r="L381" s="6">
        <f t="shared" si="34"/>
        <v>1.0699649802548245E-2</v>
      </c>
      <c r="M381">
        <f t="shared" si="35"/>
        <v>1.8694011142061282</v>
      </c>
      <c r="N381">
        <f t="shared" si="36"/>
        <v>9.7972992700729922</v>
      </c>
      <c r="O381">
        <f t="shared" si="37"/>
        <v>5507.77</v>
      </c>
      <c r="P381">
        <f t="shared" si="38"/>
        <v>0.19080779944289694</v>
      </c>
      <c r="Q381" t="s">
        <v>4139</v>
      </c>
      <c r="R381" t="s">
        <v>4141</v>
      </c>
      <c r="S381">
        <f>YEAR(marketing_data[[#This Row],[Start_date]])</f>
        <v>2023</v>
      </c>
      <c r="T381" t="str">
        <f>TEXT(marketing_data[[#This Row],[Start_date]],"ddd")</f>
        <v>Sun</v>
      </c>
      <c r="U381">
        <f>marketing_data[[#This Row],[Cleaned End_date]]-marketing_data[[#This Row],[Start_date]]</f>
        <v>29</v>
      </c>
    </row>
    <row r="382" spans="1:21" x14ac:dyDescent="0.2">
      <c r="A382" t="s">
        <v>809</v>
      </c>
      <c r="B382" t="s">
        <v>810</v>
      </c>
      <c r="C382" s="2">
        <v>45047</v>
      </c>
      <c r="D382" t="str">
        <f t="shared" si="33"/>
        <v>May</v>
      </c>
      <c r="E382" s="2">
        <v>45077</v>
      </c>
      <c r="F382" t="s">
        <v>19</v>
      </c>
      <c r="G382">
        <v>52885</v>
      </c>
      <c r="H382">
        <v>1803</v>
      </c>
      <c r="I382">
        <v>145</v>
      </c>
      <c r="J382" t="b">
        <v>0</v>
      </c>
      <c r="K382" s="10">
        <v>1820.41</v>
      </c>
      <c r="L382" s="6">
        <f t="shared" si="34"/>
        <v>3.4092842961142102E-2</v>
      </c>
      <c r="M382">
        <f t="shared" si="35"/>
        <v>1.0096561286744314</v>
      </c>
      <c r="N382">
        <f t="shared" si="36"/>
        <v>12.554551724137932</v>
      </c>
      <c r="O382">
        <f t="shared" si="37"/>
        <v>5429.59</v>
      </c>
      <c r="P382">
        <f t="shared" si="38"/>
        <v>8.0421519689406543E-2</v>
      </c>
      <c r="Q382" t="s">
        <v>4137</v>
      </c>
      <c r="R382" t="s">
        <v>4142</v>
      </c>
      <c r="S382">
        <f>YEAR(marketing_data[[#This Row],[Start_date]])</f>
        <v>2023</v>
      </c>
      <c r="T382" t="str">
        <f>TEXT(marketing_data[[#This Row],[Start_date]],"ddd")</f>
        <v>Mon</v>
      </c>
      <c r="U382">
        <f>marketing_data[[#This Row],[Cleaned End_date]]-marketing_data[[#This Row],[Start_date]]</f>
        <v>30</v>
      </c>
    </row>
    <row r="383" spans="1:21" x14ac:dyDescent="0.2">
      <c r="A383" t="s">
        <v>811</v>
      </c>
      <c r="B383" t="s">
        <v>812</v>
      </c>
      <c r="C383" s="2">
        <v>45278</v>
      </c>
      <c r="D383" t="str">
        <f t="shared" si="33"/>
        <v>Dec</v>
      </c>
      <c r="E383" s="2">
        <v>45295</v>
      </c>
      <c r="F383" t="str">
        <f>F382</f>
        <v>Facebook</v>
      </c>
      <c r="G383">
        <v>37631</v>
      </c>
      <c r="H383">
        <v>925</v>
      </c>
      <c r="J383" t="b">
        <v>1</v>
      </c>
      <c r="K383" s="10">
        <v>1094.67</v>
      </c>
      <c r="L383" s="6">
        <f t="shared" si="34"/>
        <v>2.4580797746538759E-2</v>
      </c>
      <c r="M383">
        <f t="shared" si="35"/>
        <v>1.1834270270270271</v>
      </c>
      <c r="N383">
        <f t="shared" si="36"/>
        <v>0</v>
      </c>
      <c r="O383">
        <f t="shared" si="37"/>
        <v>-1094.67</v>
      </c>
      <c r="P383">
        <f t="shared" si="38"/>
        <v>0</v>
      </c>
      <c r="Q383" t="s">
        <v>4138</v>
      </c>
      <c r="R383" t="s">
        <v>4141</v>
      </c>
      <c r="S383">
        <f>YEAR(marketing_data[[#This Row],[Start_date]])</f>
        <v>2023</v>
      </c>
      <c r="T383" t="str">
        <f>TEXT(marketing_data[[#This Row],[Start_date]],"ddd")</f>
        <v>Mon</v>
      </c>
      <c r="U383">
        <f>marketing_data[[#This Row],[Cleaned End_date]]-marketing_data[[#This Row],[Start_date]]</f>
        <v>17</v>
      </c>
    </row>
    <row r="384" spans="1:21" x14ac:dyDescent="0.2">
      <c r="A384" t="s">
        <v>813</v>
      </c>
      <c r="B384" t="s">
        <v>814</v>
      </c>
      <c r="C384" s="2">
        <v>45257</v>
      </c>
      <c r="D384" t="str">
        <f t="shared" si="33"/>
        <v>Nov</v>
      </c>
      <c r="E384" s="2">
        <v>45286</v>
      </c>
      <c r="F384" t="s">
        <v>23</v>
      </c>
      <c r="G384">
        <v>73991</v>
      </c>
      <c r="H384">
        <v>1883</v>
      </c>
      <c r="I384">
        <v>157</v>
      </c>
      <c r="J384" t="b">
        <v>0</v>
      </c>
      <c r="K384" s="10">
        <v>2856.83</v>
      </c>
      <c r="L384" s="6">
        <f t="shared" si="34"/>
        <v>2.5449041099593193E-2</v>
      </c>
      <c r="M384">
        <f t="shared" si="35"/>
        <v>1.5171694105151354</v>
      </c>
      <c r="N384">
        <f t="shared" si="36"/>
        <v>18.196369426751591</v>
      </c>
      <c r="O384">
        <f t="shared" si="37"/>
        <v>4993.17</v>
      </c>
      <c r="P384">
        <f t="shared" si="38"/>
        <v>8.3377588953797127E-2</v>
      </c>
      <c r="Q384" t="s">
        <v>4136</v>
      </c>
      <c r="R384" t="s">
        <v>4139</v>
      </c>
      <c r="S384">
        <f>YEAR(marketing_data[[#This Row],[Start_date]])</f>
        <v>2023</v>
      </c>
      <c r="T384" t="str">
        <f>TEXT(marketing_data[[#This Row],[Start_date]],"ddd")</f>
        <v>Mon</v>
      </c>
      <c r="U384">
        <f>marketing_data[[#This Row],[Cleaned End_date]]-marketing_data[[#This Row],[Start_date]]</f>
        <v>29</v>
      </c>
    </row>
    <row r="385" spans="1:21" x14ac:dyDescent="0.2">
      <c r="A385" t="s">
        <v>815</v>
      </c>
      <c r="B385" t="s">
        <v>816</v>
      </c>
      <c r="C385" s="2">
        <v>45024</v>
      </c>
      <c r="D385" t="str">
        <f t="shared" si="33"/>
        <v>Apr</v>
      </c>
      <c r="E385" s="2">
        <v>45051</v>
      </c>
      <c r="F385" t="str">
        <f>F384</f>
        <v>Email</v>
      </c>
      <c r="G385">
        <v>5014</v>
      </c>
      <c r="H385">
        <v>163</v>
      </c>
      <c r="I385">
        <v>21</v>
      </c>
      <c r="J385" t="b">
        <v>1</v>
      </c>
      <c r="K385" s="10">
        <v>329.13249999999999</v>
      </c>
      <c r="L385" s="6">
        <f t="shared" si="34"/>
        <v>3.2508974870362986E-2</v>
      </c>
      <c r="M385">
        <f t="shared" si="35"/>
        <v>2.0192177914110427</v>
      </c>
      <c r="N385">
        <f t="shared" si="36"/>
        <v>15.67297619047619</v>
      </c>
      <c r="O385">
        <f t="shared" si="37"/>
        <v>720.86750000000006</v>
      </c>
      <c r="P385">
        <f t="shared" si="38"/>
        <v>0.12883435582822086</v>
      </c>
      <c r="Q385" t="s">
        <v>4137</v>
      </c>
      <c r="R385" t="s">
        <v>4139</v>
      </c>
      <c r="S385">
        <f>YEAR(marketing_data[[#This Row],[Start_date]])</f>
        <v>2023</v>
      </c>
      <c r="T385" t="str">
        <f>TEXT(marketing_data[[#This Row],[Start_date]],"ddd")</f>
        <v>Sat</v>
      </c>
      <c r="U385">
        <f>marketing_data[[#This Row],[Cleaned End_date]]-marketing_data[[#This Row],[Start_date]]</f>
        <v>27</v>
      </c>
    </row>
    <row r="386" spans="1:21" x14ac:dyDescent="0.2">
      <c r="A386" t="s">
        <v>817</v>
      </c>
      <c r="B386" t="s">
        <v>818</v>
      </c>
      <c r="C386" s="2">
        <v>45159</v>
      </c>
      <c r="D386" t="str">
        <f t="shared" si="33"/>
        <v>Aug</v>
      </c>
      <c r="E386" s="2">
        <v>45165</v>
      </c>
      <c r="F386" t="s">
        <v>19</v>
      </c>
      <c r="G386">
        <v>12093</v>
      </c>
      <c r="H386">
        <v>213</v>
      </c>
      <c r="J386" t="b">
        <v>1</v>
      </c>
      <c r="K386" s="10">
        <v>329.13249999999999</v>
      </c>
      <c r="L386" s="6">
        <f t="shared" si="34"/>
        <v>1.7613495410568097E-2</v>
      </c>
      <c r="M386">
        <f t="shared" si="35"/>
        <v>1.5452230046948356</v>
      </c>
      <c r="N386">
        <f t="shared" si="36"/>
        <v>0</v>
      </c>
      <c r="O386">
        <f t="shared" si="37"/>
        <v>-329.13249999999999</v>
      </c>
      <c r="P386">
        <f t="shared" si="38"/>
        <v>0</v>
      </c>
      <c r="Q386" t="s">
        <v>4139</v>
      </c>
      <c r="R386" t="s">
        <v>4139</v>
      </c>
      <c r="S386">
        <f>YEAR(marketing_data[[#This Row],[Start_date]])</f>
        <v>2023</v>
      </c>
      <c r="T386" t="str">
        <f>TEXT(marketing_data[[#This Row],[Start_date]],"ddd")</f>
        <v>Mon</v>
      </c>
      <c r="U386">
        <f>marketing_data[[#This Row],[Cleaned End_date]]-marketing_data[[#This Row],[Start_date]]</f>
        <v>6</v>
      </c>
    </row>
    <row r="387" spans="1:21" x14ac:dyDescent="0.2">
      <c r="A387" t="s">
        <v>819</v>
      </c>
      <c r="B387" t="s">
        <v>820</v>
      </c>
      <c r="C387" s="2">
        <v>45035</v>
      </c>
      <c r="D387" t="str">
        <f t="shared" ref="D387:D450" si="39">TEXT(C387,"mmm")</f>
        <v>Apr</v>
      </c>
      <c r="E387" s="2">
        <v>45048</v>
      </c>
      <c r="F387" t="s">
        <v>14</v>
      </c>
      <c r="G387">
        <v>19070</v>
      </c>
      <c r="H387">
        <v>352</v>
      </c>
      <c r="I387">
        <v>27</v>
      </c>
      <c r="J387" t="b">
        <v>1</v>
      </c>
      <c r="K387" s="10">
        <v>406.02</v>
      </c>
      <c r="L387" s="6">
        <f t="shared" ref="L387:L450" si="40">H387/G387</f>
        <v>1.8458311484006291E-2</v>
      </c>
      <c r="M387">
        <f t="shared" ref="M387:M450" si="41">K387/H387</f>
        <v>1.153465909090909</v>
      </c>
      <c r="N387">
        <f t="shared" ref="N387:N450" si="42">IFERROR(K387/I387,0)</f>
        <v>15.037777777777777</v>
      </c>
      <c r="O387">
        <f t="shared" ref="O387:O450" si="43">(50*I387)-K387</f>
        <v>943.98</v>
      </c>
      <c r="P387">
        <f t="shared" ref="P387:P450" si="44">I387/H387</f>
        <v>7.6704545454545456E-2</v>
      </c>
      <c r="Q387" t="s">
        <v>4137</v>
      </c>
      <c r="R387" t="s">
        <v>4139</v>
      </c>
      <c r="S387">
        <f>YEAR(marketing_data[[#This Row],[Start_date]])</f>
        <v>2023</v>
      </c>
      <c r="T387" t="str">
        <f>TEXT(marketing_data[[#This Row],[Start_date]],"ddd")</f>
        <v>Wed</v>
      </c>
      <c r="U387">
        <f>marketing_data[[#This Row],[Cleaned End_date]]-marketing_data[[#This Row],[Start_date]]</f>
        <v>13</v>
      </c>
    </row>
    <row r="388" spans="1:21" x14ac:dyDescent="0.2">
      <c r="A388" t="s">
        <v>821</v>
      </c>
      <c r="B388" t="s">
        <v>822</v>
      </c>
      <c r="C388" s="2">
        <v>45231</v>
      </c>
      <c r="D388" t="str">
        <f t="shared" si="39"/>
        <v>Nov</v>
      </c>
      <c r="E388" s="2">
        <v>45261</v>
      </c>
      <c r="F388" t="s">
        <v>19</v>
      </c>
      <c r="G388">
        <v>36777</v>
      </c>
      <c r="H388">
        <v>1080</v>
      </c>
      <c r="I388">
        <v>138</v>
      </c>
      <c r="J388" t="b">
        <v>0</v>
      </c>
      <c r="K388" s="10">
        <v>1827.06</v>
      </c>
      <c r="L388" s="6">
        <f t="shared" si="40"/>
        <v>2.9366179949424913E-2</v>
      </c>
      <c r="M388">
        <f t="shared" si="41"/>
        <v>1.6917222222222221</v>
      </c>
      <c r="N388">
        <f t="shared" si="42"/>
        <v>13.239565217391304</v>
      </c>
      <c r="O388">
        <f t="shared" si="43"/>
        <v>5072.9400000000005</v>
      </c>
      <c r="P388">
        <f t="shared" si="44"/>
        <v>0.12777777777777777</v>
      </c>
      <c r="Q388" t="s">
        <v>4136</v>
      </c>
      <c r="R388" t="s">
        <v>4138</v>
      </c>
      <c r="S388">
        <f>YEAR(marketing_data[[#This Row],[Start_date]])</f>
        <v>2023</v>
      </c>
      <c r="T388" t="str">
        <f>TEXT(marketing_data[[#This Row],[Start_date]],"ddd")</f>
        <v>Wed</v>
      </c>
      <c r="U388">
        <f>marketing_data[[#This Row],[Cleaned End_date]]-marketing_data[[#This Row],[Start_date]]</f>
        <v>30</v>
      </c>
    </row>
    <row r="389" spans="1:21" x14ac:dyDescent="0.2">
      <c r="A389" t="s">
        <v>823</v>
      </c>
      <c r="B389" t="s">
        <v>824</v>
      </c>
      <c r="C389" s="2">
        <v>45097</v>
      </c>
      <c r="D389" t="str">
        <f t="shared" si="39"/>
        <v>Jun</v>
      </c>
      <c r="E389" s="2">
        <v>45102</v>
      </c>
      <c r="F389" t="s">
        <v>14</v>
      </c>
      <c r="G389">
        <v>57958</v>
      </c>
      <c r="H389">
        <v>2328</v>
      </c>
      <c r="I389">
        <v>280</v>
      </c>
      <c r="J389" t="b">
        <v>1</v>
      </c>
      <c r="K389" s="10">
        <v>2135.23</v>
      </c>
      <c r="L389" s="6">
        <f t="shared" si="40"/>
        <v>4.0167017495427726E-2</v>
      </c>
      <c r="M389">
        <f t="shared" si="41"/>
        <v>0.91719501718213059</v>
      </c>
      <c r="N389">
        <f t="shared" si="42"/>
        <v>7.6258214285714283</v>
      </c>
      <c r="O389">
        <f t="shared" si="43"/>
        <v>11864.77</v>
      </c>
      <c r="P389">
        <f t="shared" si="44"/>
        <v>0.12027491408934708</v>
      </c>
      <c r="Q389" t="s">
        <v>4139</v>
      </c>
      <c r="R389" t="s">
        <v>4139</v>
      </c>
      <c r="S389">
        <f>YEAR(marketing_data[[#This Row],[Start_date]])</f>
        <v>2023</v>
      </c>
      <c r="T389" t="str">
        <f>TEXT(marketing_data[[#This Row],[Start_date]],"ddd")</f>
        <v>Tue</v>
      </c>
      <c r="U389">
        <f>marketing_data[[#This Row],[Cleaned End_date]]-marketing_data[[#This Row],[Start_date]]</f>
        <v>5</v>
      </c>
    </row>
    <row r="390" spans="1:21" x14ac:dyDescent="0.2">
      <c r="A390" t="s">
        <v>825</v>
      </c>
      <c r="B390" t="s">
        <v>826</v>
      </c>
      <c r="C390" s="2">
        <v>45216</v>
      </c>
      <c r="D390" t="str">
        <f t="shared" si="39"/>
        <v>Oct</v>
      </c>
      <c r="E390" s="2">
        <v>45234</v>
      </c>
      <c r="F390" t="s">
        <v>41</v>
      </c>
      <c r="G390">
        <v>83074</v>
      </c>
      <c r="H390">
        <v>2889</v>
      </c>
      <c r="I390">
        <v>175</v>
      </c>
      <c r="J390" t="b">
        <v>0</v>
      </c>
      <c r="K390" s="10">
        <v>2060.96</v>
      </c>
      <c r="L390" s="6">
        <f t="shared" si="40"/>
        <v>3.4776223607867682E-2</v>
      </c>
      <c r="M390">
        <f t="shared" si="41"/>
        <v>0.71338179300796123</v>
      </c>
      <c r="N390">
        <f t="shared" si="42"/>
        <v>11.776914285714286</v>
      </c>
      <c r="O390">
        <f t="shared" si="43"/>
        <v>6689.04</v>
      </c>
      <c r="P390">
        <f t="shared" si="44"/>
        <v>6.0574593284873655E-2</v>
      </c>
      <c r="Q390" t="s">
        <v>4136</v>
      </c>
      <c r="R390" t="s">
        <v>4138</v>
      </c>
      <c r="S390">
        <f>YEAR(marketing_data[[#This Row],[Start_date]])</f>
        <v>2023</v>
      </c>
      <c r="T390" t="str">
        <f>TEXT(marketing_data[[#This Row],[Start_date]],"ddd")</f>
        <v>Tue</v>
      </c>
      <c r="U390">
        <f>marketing_data[[#This Row],[Cleaned End_date]]-marketing_data[[#This Row],[Start_date]]</f>
        <v>18</v>
      </c>
    </row>
    <row r="391" spans="1:21" x14ac:dyDescent="0.2">
      <c r="A391" t="s">
        <v>827</v>
      </c>
      <c r="B391" t="s">
        <v>828</v>
      </c>
      <c r="C391" s="2">
        <v>45210</v>
      </c>
      <c r="D391" t="str">
        <f t="shared" si="39"/>
        <v>Oct</v>
      </c>
      <c r="E391" s="2">
        <v>45211</v>
      </c>
      <c r="F391" t="s">
        <v>23</v>
      </c>
      <c r="G391">
        <v>11729</v>
      </c>
      <c r="H391">
        <v>256</v>
      </c>
      <c r="I391">
        <v>44</v>
      </c>
      <c r="J391" t="b">
        <v>1</v>
      </c>
      <c r="K391" s="10">
        <v>329.13249999999999</v>
      </c>
      <c r="L391" s="6">
        <f t="shared" si="40"/>
        <v>2.1826242646431921E-2</v>
      </c>
      <c r="M391">
        <f t="shared" si="41"/>
        <v>1.285673828125</v>
      </c>
      <c r="N391">
        <f t="shared" si="42"/>
        <v>7.4802840909090911</v>
      </c>
      <c r="O391">
        <f t="shared" si="43"/>
        <v>1870.8675000000001</v>
      </c>
      <c r="P391">
        <f t="shared" si="44"/>
        <v>0.171875</v>
      </c>
      <c r="Q391" t="s">
        <v>4136</v>
      </c>
      <c r="R391" t="s">
        <v>4141</v>
      </c>
      <c r="S391">
        <f>YEAR(marketing_data[[#This Row],[Start_date]])</f>
        <v>2023</v>
      </c>
      <c r="T391" t="str">
        <f>TEXT(marketing_data[[#This Row],[Start_date]],"ddd")</f>
        <v>Wed</v>
      </c>
      <c r="U391">
        <f>marketing_data[[#This Row],[Cleaned End_date]]-marketing_data[[#This Row],[Start_date]]</f>
        <v>1</v>
      </c>
    </row>
    <row r="392" spans="1:21" x14ac:dyDescent="0.2">
      <c r="A392" t="s">
        <v>829</v>
      </c>
      <c r="B392" t="s">
        <v>830</v>
      </c>
      <c r="C392" s="2">
        <v>45046</v>
      </c>
      <c r="D392" t="str">
        <f t="shared" si="39"/>
        <v>Apr</v>
      </c>
      <c r="E392" s="2">
        <v>45076</v>
      </c>
      <c r="F392" t="s">
        <v>41</v>
      </c>
      <c r="G392">
        <v>46017</v>
      </c>
      <c r="H392">
        <v>1252</v>
      </c>
      <c r="I392">
        <v>125</v>
      </c>
      <c r="J392" t="b">
        <v>1</v>
      </c>
      <c r="K392" s="10">
        <v>2221.4299999999998</v>
      </c>
      <c r="L392" s="6">
        <f t="shared" si="40"/>
        <v>2.7207336419149446E-2</v>
      </c>
      <c r="M392">
        <f t="shared" si="41"/>
        <v>1.7743051118210862</v>
      </c>
      <c r="N392">
        <f t="shared" si="42"/>
        <v>17.771439999999998</v>
      </c>
      <c r="O392">
        <f t="shared" si="43"/>
        <v>4028.57</v>
      </c>
      <c r="P392">
        <f t="shared" si="44"/>
        <v>9.9840255591054319E-2</v>
      </c>
      <c r="Q392" t="s">
        <v>4137</v>
      </c>
      <c r="R392" t="s">
        <v>4139</v>
      </c>
      <c r="S392">
        <f>YEAR(marketing_data[[#This Row],[Start_date]])</f>
        <v>2023</v>
      </c>
      <c r="T392" t="str">
        <f>TEXT(marketing_data[[#This Row],[Start_date]],"ddd")</f>
        <v>Sun</v>
      </c>
      <c r="U392">
        <f>marketing_data[[#This Row],[Cleaned End_date]]-marketing_data[[#This Row],[Start_date]]</f>
        <v>30</v>
      </c>
    </row>
    <row r="393" spans="1:21" x14ac:dyDescent="0.2">
      <c r="A393" t="s">
        <v>831</v>
      </c>
      <c r="B393" t="s">
        <v>832</v>
      </c>
      <c r="C393" s="2">
        <v>44968</v>
      </c>
      <c r="D393" t="str">
        <f t="shared" si="39"/>
        <v>Feb</v>
      </c>
      <c r="E393" s="2">
        <v>45253</v>
      </c>
      <c r="F393" t="s">
        <v>14</v>
      </c>
      <c r="G393">
        <v>67320</v>
      </c>
      <c r="H393">
        <v>1132</v>
      </c>
      <c r="I393">
        <v>154</v>
      </c>
      <c r="J393" t="b">
        <v>0</v>
      </c>
      <c r="K393" s="10">
        <v>717.1</v>
      </c>
      <c r="L393" s="6">
        <f t="shared" si="40"/>
        <v>1.6815210932857993E-2</v>
      </c>
      <c r="M393">
        <f t="shared" si="41"/>
        <v>0.63348056537102471</v>
      </c>
      <c r="N393">
        <f t="shared" si="42"/>
        <v>4.6564935064935069</v>
      </c>
      <c r="O393">
        <f t="shared" si="43"/>
        <v>6982.9</v>
      </c>
      <c r="P393">
        <f t="shared" si="44"/>
        <v>0.13604240282685512</v>
      </c>
      <c r="Q393" t="s">
        <v>4138</v>
      </c>
      <c r="R393" t="s">
        <v>4142</v>
      </c>
      <c r="S393">
        <f>YEAR(marketing_data[[#This Row],[Start_date]])</f>
        <v>2023</v>
      </c>
      <c r="T393" t="str">
        <f>TEXT(marketing_data[[#This Row],[Start_date]],"ddd")</f>
        <v>Sat</v>
      </c>
      <c r="U393">
        <f>marketing_data[[#This Row],[Cleaned End_date]]-marketing_data[[#This Row],[Start_date]]</f>
        <v>285</v>
      </c>
    </row>
    <row r="394" spans="1:21" x14ac:dyDescent="0.2">
      <c r="A394" t="s">
        <v>833</v>
      </c>
      <c r="B394" t="s">
        <v>834</v>
      </c>
      <c r="C394" s="2">
        <v>45001</v>
      </c>
      <c r="D394" t="str">
        <f t="shared" si="39"/>
        <v>Mar</v>
      </c>
      <c r="E394" s="2">
        <v>45025</v>
      </c>
      <c r="F394" t="s">
        <v>41</v>
      </c>
      <c r="G394">
        <v>28751</v>
      </c>
      <c r="H394">
        <v>373</v>
      </c>
      <c r="I394">
        <v>47</v>
      </c>
      <c r="J394" t="b">
        <v>1</v>
      </c>
      <c r="K394" s="10">
        <v>741.35</v>
      </c>
      <c r="L394" s="6">
        <f t="shared" si="40"/>
        <v>1.29734617926333E-2</v>
      </c>
      <c r="M394">
        <f t="shared" si="41"/>
        <v>1.9875335120643431</v>
      </c>
      <c r="N394">
        <f t="shared" si="42"/>
        <v>15.77340425531915</v>
      </c>
      <c r="O394">
        <f t="shared" si="43"/>
        <v>1608.65</v>
      </c>
      <c r="P394">
        <f t="shared" si="44"/>
        <v>0.12600536193029491</v>
      </c>
      <c r="Q394" t="s">
        <v>4137</v>
      </c>
      <c r="R394" t="s">
        <v>4138</v>
      </c>
      <c r="S394">
        <f>YEAR(marketing_data[[#This Row],[Start_date]])</f>
        <v>2023</v>
      </c>
      <c r="T394" t="str">
        <f>TEXT(marketing_data[[#This Row],[Start_date]],"ddd")</f>
        <v>Thu</v>
      </c>
      <c r="U394">
        <f>marketing_data[[#This Row],[Cleaned End_date]]-marketing_data[[#This Row],[Start_date]]</f>
        <v>24</v>
      </c>
    </row>
    <row r="395" spans="1:21" x14ac:dyDescent="0.2">
      <c r="A395" t="s">
        <v>835</v>
      </c>
      <c r="B395" t="s">
        <v>836</v>
      </c>
      <c r="C395" s="2">
        <v>45016</v>
      </c>
      <c r="D395" t="str">
        <f t="shared" si="39"/>
        <v>Mar</v>
      </c>
      <c r="E395" s="2">
        <v>45036</v>
      </c>
      <c r="F395" t="s">
        <v>41</v>
      </c>
      <c r="G395">
        <v>79069</v>
      </c>
      <c r="H395">
        <v>3266</v>
      </c>
      <c r="I395">
        <v>414</v>
      </c>
      <c r="J395" t="b">
        <v>0</v>
      </c>
      <c r="K395" s="10">
        <v>3631.7599999999998</v>
      </c>
      <c r="L395" s="6">
        <f t="shared" si="40"/>
        <v>4.1305695025863488E-2</v>
      </c>
      <c r="M395">
        <f t="shared" si="41"/>
        <v>1.1119902020820576</v>
      </c>
      <c r="N395">
        <f t="shared" si="42"/>
        <v>8.7723671497584537</v>
      </c>
      <c r="O395">
        <f t="shared" si="43"/>
        <v>17068.240000000002</v>
      </c>
      <c r="P395">
        <f t="shared" si="44"/>
        <v>0.12676056338028169</v>
      </c>
      <c r="Q395" t="s">
        <v>4137</v>
      </c>
      <c r="R395" t="s">
        <v>4138</v>
      </c>
      <c r="S395">
        <f>YEAR(marketing_data[[#This Row],[Start_date]])</f>
        <v>2023</v>
      </c>
      <c r="T395" t="str">
        <f>TEXT(marketing_data[[#This Row],[Start_date]],"ddd")</f>
        <v>Fri</v>
      </c>
      <c r="U395">
        <f>marketing_data[[#This Row],[Cleaned End_date]]-marketing_data[[#This Row],[Start_date]]</f>
        <v>20</v>
      </c>
    </row>
    <row r="396" spans="1:21" x14ac:dyDescent="0.2">
      <c r="A396" t="s">
        <v>837</v>
      </c>
      <c r="B396" t="s">
        <v>838</v>
      </c>
      <c r="C396" s="2">
        <v>45172</v>
      </c>
      <c r="D396" t="str">
        <f t="shared" si="39"/>
        <v>Sep</v>
      </c>
      <c r="E396" s="2">
        <v>45202</v>
      </c>
      <c r="F396" t="s">
        <v>14</v>
      </c>
      <c r="G396">
        <v>55748</v>
      </c>
      <c r="H396">
        <v>1149</v>
      </c>
      <c r="I396">
        <v>75</v>
      </c>
      <c r="J396" t="b">
        <v>0</v>
      </c>
      <c r="K396" s="10">
        <v>2271.88</v>
      </c>
      <c r="L396" s="6">
        <f t="shared" si="40"/>
        <v>2.061060486474851E-2</v>
      </c>
      <c r="M396">
        <f t="shared" si="41"/>
        <v>1.9772671888598783</v>
      </c>
      <c r="N396">
        <f t="shared" si="42"/>
        <v>30.291733333333333</v>
      </c>
      <c r="O396">
        <f t="shared" si="43"/>
        <v>1478.12</v>
      </c>
      <c r="P396">
        <f t="shared" si="44"/>
        <v>6.5274151436031339E-2</v>
      </c>
      <c r="Q396" t="s">
        <v>4136</v>
      </c>
      <c r="R396" t="s">
        <v>4142</v>
      </c>
      <c r="S396">
        <f>YEAR(marketing_data[[#This Row],[Start_date]])</f>
        <v>2023</v>
      </c>
      <c r="T396" t="str">
        <f>TEXT(marketing_data[[#This Row],[Start_date]],"ddd")</f>
        <v>Sun</v>
      </c>
      <c r="U396">
        <f>marketing_data[[#This Row],[Cleaned End_date]]-marketing_data[[#This Row],[Start_date]]</f>
        <v>30</v>
      </c>
    </row>
    <row r="397" spans="1:21" x14ac:dyDescent="0.2">
      <c r="A397" t="s">
        <v>839</v>
      </c>
      <c r="B397" t="s">
        <v>840</v>
      </c>
      <c r="C397" s="2">
        <v>45048</v>
      </c>
      <c r="D397" t="str">
        <f t="shared" si="39"/>
        <v>May</v>
      </c>
      <c r="E397" s="2">
        <v>45078</v>
      </c>
      <c r="F397" t="s">
        <v>19</v>
      </c>
      <c r="G397">
        <v>6801</v>
      </c>
      <c r="H397">
        <v>116</v>
      </c>
      <c r="I397">
        <v>13</v>
      </c>
      <c r="J397" t="b">
        <v>1</v>
      </c>
      <c r="K397" s="10">
        <v>329.13249999999999</v>
      </c>
      <c r="L397" s="6">
        <f t="shared" si="40"/>
        <v>1.7056315247757681E-2</v>
      </c>
      <c r="M397">
        <f t="shared" si="41"/>
        <v>2.8373491379310343</v>
      </c>
      <c r="N397">
        <f t="shared" si="42"/>
        <v>25.317884615384614</v>
      </c>
      <c r="O397">
        <f t="shared" si="43"/>
        <v>320.86750000000001</v>
      </c>
      <c r="P397">
        <f t="shared" si="44"/>
        <v>0.11206896551724138</v>
      </c>
      <c r="Q397" t="s">
        <v>4137</v>
      </c>
      <c r="R397" t="s">
        <v>4139</v>
      </c>
      <c r="S397">
        <f>YEAR(marketing_data[[#This Row],[Start_date]])</f>
        <v>2023</v>
      </c>
      <c r="T397" t="str">
        <f>TEXT(marketing_data[[#This Row],[Start_date]],"ddd")</f>
        <v>Tue</v>
      </c>
      <c r="U397">
        <f>marketing_data[[#This Row],[Cleaned End_date]]-marketing_data[[#This Row],[Start_date]]</f>
        <v>30</v>
      </c>
    </row>
    <row r="398" spans="1:21" x14ac:dyDescent="0.2">
      <c r="A398" t="s">
        <v>841</v>
      </c>
      <c r="B398" t="s">
        <v>842</v>
      </c>
      <c r="C398" s="2">
        <v>45062</v>
      </c>
      <c r="D398" t="str">
        <f t="shared" si="39"/>
        <v>May</v>
      </c>
      <c r="E398" s="2">
        <v>45080</v>
      </c>
      <c r="F398" t="s">
        <v>14</v>
      </c>
      <c r="G398">
        <v>20190</v>
      </c>
      <c r="H398">
        <v>760</v>
      </c>
      <c r="I398">
        <v>89</v>
      </c>
      <c r="J398" t="b">
        <v>1</v>
      </c>
      <c r="K398" s="10">
        <v>896.21</v>
      </c>
      <c r="L398" s="6">
        <f t="shared" si="40"/>
        <v>3.7642397226349676E-2</v>
      </c>
      <c r="M398">
        <f t="shared" si="41"/>
        <v>1.1792236842105264</v>
      </c>
      <c r="N398">
        <f t="shared" si="42"/>
        <v>10.069775280898877</v>
      </c>
      <c r="O398">
        <f t="shared" si="43"/>
        <v>3553.79</v>
      </c>
      <c r="P398">
        <f t="shared" si="44"/>
        <v>0.11710526315789474</v>
      </c>
      <c r="Q398" t="s">
        <v>4137</v>
      </c>
      <c r="R398" t="s">
        <v>4138</v>
      </c>
      <c r="S398">
        <f>YEAR(marketing_data[[#This Row],[Start_date]])</f>
        <v>2023</v>
      </c>
      <c r="T398" t="str">
        <f>TEXT(marketing_data[[#This Row],[Start_date]],"ddd")</f>
        <v>Tue</v>
      </c>
      <c r="U398">
        <f>marketing_data[[#This Row],[Cleaned End_date]]-marketing_data[[#This Row],[Start_date]]</f>
        <v>18</v>
      </c>
    </row>
    <row r="399" spans="1:21" x14ac:dyDescent="0.2">
      <c r="A399" t="s">
        <v>844</v>
      </c>
      <c r="B399" t="s">
        <v>845</v>
      </c>
      <c r="C399" s="2">
        <v>45142</v>
      </c>
      <c r="D399" t="str">
        <f t="shared" si="39"/>
        <v>Aug</v>
      </c>
      <c r="E399" s="2">
        <v>45154</v>
      </c>
      <c r="F399" t="s">
        <v>14</v>
      </c>
      <c r="G399">
        <v>50689</v>
      </c>
      <c r="H399">
        <v>1760</v>
      </c>
      <c r="J399" t="b">
        <v>0</v>
      </c>
      <c r="K399" s="10">
        <v>1404.02</v>
      </c>
      <c r="L399" s="6">
        <f t="shared" si="40"/>
        <v>3.4721537217147706E-2</v>
      </c>
      <c r="M399">
        <f t="shared" si="41"/>
        <v>0.7977386363636364</v>
      </c>
      <c r="N399">
        <f t="shared" si="42"/>
        <v>0</v>
      </c>
      <c r="O399">
        <f t="shared" si="43"/>
        <v>-1404.02</v>
      </c>
      <c r="P399">
        <f t="shared" si="44"/>
        <v>0</v>
      </c>
      <c r="Q399" t="s">
        <v>4139</v>
      </c>
      <c r="R399" t="s">
        <v>4142</v>
      </c>
      <c r="S399">
        <f>YEAR(marketing_data[[#This Row],[Start_date]])</f>
        <v>2023</v>
      </c>
      <c r="T399" t="str">
        <f>TEXT(marketing_data[[#This Row],[Start_date]],"ddd")</f>
        <v>Fri</v>
      </c>
      <c r="U399">
        <f>marketing_data[[#This Row],[Cleaned End_date]]-marketing_data[[#This Row],[Start_date]]</f>
        <v>12</v>
      </c>
    </row>
    <row r="400" spans="1:21" x14ac:dyDescent="0.2">
      <c r="A400" t="s">
        <v>846</v>
      </c>
      <c r="B400" t="s">
        <v>847</v>
      </c>
      <c r="C400" s="2">
        <v>45170</v>
      </c>
      <c r="D400" t="str">
        <f t="shared" si="39"/>
        <v>Sep</v>
      </c>
      <c r="E400" s="2">
        <v>45187</v>
      </c>
      <c r="F400" t="s">
        <v>41</v>
      </c>
      <c r="G400">
        <v>51993</v>
      </c>
      <c r="H400">
        <v>1836</v>
      </c>
      <c r="I400">
        <v>323</v>
      </c>
      <c r="J400" t="b">
        <v>1</v>
      </c>
      <c r="K400" s="10">
        <v>1372.09</v>
      </c>
      <c r="L400" s="6">
        <f t="shared" si="40"/>
        <v>3.5312445906179678E-2</v>
      </c>
      <c r="M400">
        <f t="shared" si="41"/>
        <v>0.74732570806100218</v>
      </c>
      <c r="N400">
        <f t="shared" si="42"/>
        <v>4.2479566563467488</v>
      </c>
      <c r="O400">
        <f t="shared" si="43"/>
        <v>14777.91</v>
      </c>
      <c r="P400">
        <f t="shared" si="44"/>
        <v>0.17592592592592593</v>
      </c>
      <c r="Q400" t="s">
        <v>4136</v>
      </c>
      <c r="R400" t="s">
        <v>4138</v>
      </c>
      <c r="S400">
        <f>YEAR(marketing_data[[#This Row],[Start_date]])</f>
        <v>2023</v>
      </c>
      <c r="T400" t="str">
        <f>TEXT(marketing_data[[#This Row],[Start_date]],"ddd")</f>
        <v>Fri</v>
      </c>
      <c r="U400">
        <f>marketing_data[[#This Row],[Cleaned End_date]]-marketing_data[[#This Row],[Start_date]]</f>
        <v>17</v>
      </c>
    </row>
    <row r="401" spans="1:21" x14ac:dyDescent="0.2">
      <c r="A401" t="s">
        <v>848</v>
      </c>
      <c r="B401" t="s">
        <v>849</v>
      </c>
      <c r="C401" s="2">
        <v>45230</v>
      </c>
      <c r="D401" t="str">
        <f t="shared" si="39"/>
        <v>Oct</v>
      </c>
      <c r="E401" s="2">
        <v>45243</v>
      </c>
      <c r="F401" t="s">
        <v>14</v>
      </c>
      <c r="G401">
        <v>30592</v>
      </c>
      <c r="H401">
        <v>586</v>
      </c>
      <c r="I401">
        <v>77</v>
      </c>
      <c r="J401" t="b">
        <v>1</v>
      </c>
      <c r="K401" s="10">
        <v>503.95</v>
      </c>
      <c r="L401" s="6">
        <f t="shared" si="40"/>
        <v>1.9155334728033473E-2</v>
      </c>
      <c r="M401">
        <f t="shared" si="41"/>
        <v>0.85998293515358359</v>
      </c>
      <c r="N401">
        <f t="shared" si="42"/>
        <v>6.5448051948051944</v>
      </c>
      <c r="O401">
        <f t="shared" si="43"/>
        <v>3346.05</v>
      </c>
      <c r="P401">
        <f t="shared" si="44"/>
        <v>0.13139931740614336</v>
      </c>
      <c r="Q401" t="s">
        <v>4136</v>
      </c>
      <c r="R401" t="s">
        <v>4139</v>
      </c>
      <c r="S401">
        <f>YEAR(marketing_data[[#This Row],[Start_date]])</f>
        <v>2023</v>
      </c>
      <c r="T401" t="str">
        <f>TEXT(marketing_data[[#This Row],[Start_date]],"ddd")</f>
        <v>Tue</v>
      </c>
      <c r="U401">
        <f>marketing_data[[#This Row],[Cleaned End_date]]-marketing_data[[#This Row],[Start_date]]</f>
        <v>13</v>
      </c>
    </row>
    <row r="402" spans="1:21" x14ac:dyDescent="0.2">
      <c r="A402" t="s">
        <v>850</v>
      </c>
      <c r="B402" t="s">
        <v>851</v>
      </c>
      <c r="C402" s="2">
        <v>45241</v>
      </c>
      <c r="D402" t="str">
        <f t="shared" si="39"/>
        <v>Nov</v>
      </c>
      <c r="E402" s="2">
        <v>45247</v>
      </c>
      <c r="F402" t="s">
        <v>14</v>
      </c>
      <c r="G402">
        <v>11647</v>
      </c>
      <c r="H402">
        <v>224</v>
      </c>
      <c r="I402">
        <v>14</v>
      </c>
      <c r="J402" t="b">
        <v>1</v>
      </c>
      <c r="K402" s="10">
        <v>350.6</v>
      </c>
      <c r="L402" s="6">
        <f t="shared" si="40"/>
        <v>1.9232420365759423E-2</v>
      </c>
      <c r="M402">
        <f t="shared" si="41"/>
        <v>1.5651785714285715</v>
      </c>
      <c r="N402">
        <f t="shared" si="42"/>
        <v>25.042857142857144</v>
      </c>
      <c r="O402">
        <f t="shared" si="43"/>
        <v>349.4</v>
      </c>
      <c r="P402">
        <f t="shared" si="44"/>
        <v>6.25E-2</v>
      </c>
      <c r="Q402" t="s">
        <v>4136</v>
      </c>
      <c r="R402" t="s">
        <v>4138</v>
      </c>
      <c r="S402">
        <f>YEAR(marketing_data[[#This Row],[Start_date]])</f>
        <v>2023</v>
      </c>
      <c r="T402" t="str">
        <f>TEXT(marketing_data[[#This Row],[Start_date]],"ddd")</f>
        <v>Sat</v>
      </c>
      <c r="U402">
        <f>marketing_data[[#This Row],[Cleaned End_date]]-marketing_data[[#This Row],[Start_date]]</f>
        <v>6</v>
      </c>
    </row>
    <row r="403" spans="1:21" x14ac:dyDescent="0.2">
      <c r="A403" t="s">
        <v>852</v>
      </c>
      <c r="B403" t="s">
        <v>853</v>
      </c>
      <c r="C403" s="2">
        <v>45264</v>
      </c>
      <c r="D403" t="str">
        <f t="shared" si="39"/>
        <v>Dec</v>
      </c>
      <c r="E403" s="2">
        <v>45291</v>
      </c>
      <c r="F403" t="s">
        <v>23</v>
      </c>
      <c r="G403">
        <v>9716</v>
      </c>
      <c r="H403">
        <v>182</v>
      </c>
      <c r="J403" t="b">
        <v>1</v>
      </c>
      <c r="K403" s="10">
        <v>329.13249999999999</v>
      </c>
      <c r="L403" s="6">
        <f t="shared" si="40"/>
        <v>1.8731988472622477E-2</v>
      </c>
      <c r="M403">
        <f t="shared" si="41"/>
        <v>1.8084203296703296</v>
      </c>
      <c r="N403">
        <f t="shared" si="42"/>
        <v>0</v>
      </c>
      <c r="O403">
        <f t="shared" si="43"/>
        <v>-329.13249999999999</v>
      </c>
      <c r="P403">
        <f t="shared" si="44"/>
        <v>0</v>
      </c>
      <c r="Q403" t="s">
        <v>4138</v>
      </c>
      <c r="R403" t="s">
        <v>4141</v>
      </c>
      <c r="S403">
        <f>YEAR(marketing_data[[#This Row],[Start_date]])</f>
        <v>2023</v>
      </c>
      <c r="T403" t="str">
        <f>TEXT(marketing_data[[#This Row],[Start_date]],"ddd")</f>
        <v>Mon</v>
      </c>
      <c r="U403">
        <f>marketing_data[[#This Row],[Cleaned End_date]]-marketing_data[[#This Row],[Start_date]]</f>
        <v>27</v>
      </c>
    </row>
    <row r="404" spans="1:21" x14ac:dyDescent="0.2">
      <c r="A404" t="s">
        <v>854</v>
      </c>
      <c r="B404" t="s">
        <v>855</v>
      </c>
      <c r="C404" s="2">
        <v>44942</v>
      </c>
      <c r="D404" t="str">
        <f t="shared" si="39"/>
        <v>Jan</v>
      </c>
      <c r="E404" s="2">
        <v>44949</v>
      </c>
      <c r="F404" t="s">
        <v>33</v>
      </c>
      <c r="G404">
        <v>89891</v>
      </c>
      <c r="H404">
        <v>1523</v>
      </c>
      <c r="I404">
        <v>113</v>
      </c>
      <c r="J404" t="b">
        <v>1</v>
      </c>
      <c r="K404" s="10">
        <v>1541.49</v>
      </c>
      <c r="L404" s="6">
        <f t="shared" si="40"/>
        <v>1.6942741765026532E-2</v>
      </c>
      <c r="M404">
        <f t="shared" si="41"/>
        <v>1.0121405121470781</v>
      </c>
      <c r="N404">
        <f t="shared" si="42"/>
        <v>13.641504424778761</v>
      </c>
      <c r="O404">
        <f t="shared" si="43"/>
        <v>4108.51</v>
      </c>
      <c r="P404">
        <f t="shared" si="44"/>
        <v>7.4195666447800387E-2</v>
      </c>
      <c r="Q404" t="s">
        <v>4138</v>
      </c>
      <c r="R404" t="s">
        <v>4139</v>
      </c>
      <c r="S404">
        <f>YEAR(marketing_data[[#This Row],[Start_date]])</f>
        <v>2023</v>
      </c>
      <c r="T404" t="str">
        <f>TEXT(marketing_data[[#This Row],[Start_date]],"ddd")</f>
        <v>Mon</v>
      </c>
      <c r="U404">
        <f>marketing_data[[#This Row],[Cleaned End_date]]-marketing_data[[#This Row],[Start_date]]</f>
        <v>7</v>
      </c>
    </row>
    <row r="405" spans="1:21" x14ac:dyDescent="0.2">
      <c r="A405" t="s">
        <v>857</v>
      </c>
      <c r="B405" t="s">
        <v>858</v>
      </c>
      <c r="C405" s="2">
        <v>45172</v>
      </c>
      <c r="D405" t="str">
        <f t="shared" si="39"/>
        <v>Sep</v>
      </c>
      <c r="E405" s="2">
        <v>45197</v>
      </c>
      <c r="F405" t="str">
        <f>F404</f>
        <v>Instagram</v>
      </c>
      <c r="G405">
        <v>88545</v>
      </c>
      <c r="H405">
        <v>3207</v>
      </c>
      <c r="J405" t="b">
        <v>1</v>
      </c>
      <c r="K405" s="10">
        <v>3631.7599999999998</v>
      </c>
      <c r="L405" s="6">
        <f t="shared" si="40"/>
        <v>3.6218871760121972E-2</v>
      </c>
      <c r="M405">
        <f t="shared" si="41"/>
        <v>1.1324477705020268</v>
      </c>
      <c r="N405">
        <f t="shared" si="42"/>
        <v>0</v>
      </c>
      <c r="O405">
        <f t="shared" si="43"/>
        <v>-3631.7599999999998</v>
      </c>
      <c r="P405">
        <f t="shared" si="44"/>
        <v>0</v>
      </c>
      <c r="Q405" t="s">
        <v>4136</v>
      </c>
      <c r="R405" t="s">
        <v>4141</v>
      </c>
      <c r="S405">
        <f>YEAR(marketing_data[[#This Row],[Start_date]])</f>
        <v>2023</v>
      </c>
      <c r="T405" t="str">
        <f>TEXT(marketing_data[[#This Row],[Start_date]],"ddd")</f>
        <v>Sun</v>
      </c>
      <c r="U405">
        <f>marketing_data[[#This Row],[Cleaned End_date]]-marketing_data[[#This Row],[Start_date]]</f>
        <v>25</v>
      </c>
    </row>
    <row r="406" spans="1:21" x14ac:dyDescent="0.2">
      <c r="A406" t="s">
        <v>859</v>
      </c>
      <c r="B406" t="s">
        <v>860</v>
      </c>
      <c r="C406" s="2">
        <v>44982</v>
      </c>
      <c r="D406" t="str">
        <f t="shared" si="39"/>
        <v>Feb</v>
      </c>
      <c r="E406" s="2">
        <v>45002</v>
      </c>
      <c r="F406" t="s">
        <v>23</v>
      </c>
      <c r="G406">
        <v>90912</v>
      </c>
      <c r="H406">
        <v>3992</v>
      </c>
      <c r="I406">
        <v>418</v>
      </c>
      <c r="J406" t="b">
        <v>1</v>
      </c>
      <c r="K406" s="10">
        <v>3631.7599999999998</v>
      </c>
      <c r="L406" s="6">
        <f t="shared" si="40"/>
        <v>4.391059486096445E-2</v>
      </c>
      <c r="M406">
        <f t="shared" si="41"/>
        <v>0.90975951903807606</v>
      </c>
      <c r="N406">
        <f t="shared" si="42"/>
        <v>8.688421052631579</v>
      </c>
      <c r="O406">
        <f t="shared" si="43"/>
        <v>17268.240000000002</v>
      </c>
      <c r="P406">
        <f t="shared" si="44"/>
        <v>0.10470941883767534</v>
      </c>
      <c r="Q406" t="s">
        <v>4138</v>
      </c>
      <c r="R406" t="s">
        <v>4139</v>
      </c>
      <c r="S406">
        <f>YEAR(marketing_data[[#This Row],[Start_date]])</f>
        <v>2023</v>
      </c>
      <c r="T406" t="str">
        <f>TEXT(marketing_data[[#This Row],[Start_date]],"ddd")</f>
        <v>Sat</v>
      </c>
      <c r="U406">
        <f>marketing_data[[#This Row],[Cleaned End_date]]-marketing_data[[#This Row],[Start_date]]</f>
        <v>20</v>
      </c>
    </row>
    <row r="407" spans="1:21" x14ac:dyDescent="0.2">
      <c r="A407" t="s">
        <v>861</v>
      </c>
      <c r="B407" t="s">
        <v>862</v>
      </c>
      <c r="C407" s="2">
        <v>44964</v>
      </c>
      <c r="D407" t="str">
        <f t="shared" si="39"/>
        <v>Feb</v>
      </c>
      <c r="E407" s="2">
        <v>44973</v>
      </c>
      <c r="F407" t="s">
        <v>19</v>
      </c>
      <c r="G407">
        <v>71316</v>
      </c>
      <c r="H407">
        <v>2779</v>
      </c>
      <c r="I407">
        <v>234</v>
      </c>
      <c r="J407" t="b">
        <v>0</v>
      </c>
      <c r="K407" s="10">
        <v>2178.9899999999998</v>
      </c>
      <c r="L407" s="6">
        <f t="shared" si="40"/>
        <v>3.8967412642324305E-2</v>
      </c>
      <c r="M407">
        <f t="shared" si="41"/>
        <v>0.78409139978409492</v>
      </c>
      <c r="N407">
        <f t="shared" si="42"/>
        <v>9.3119230769230761</v>
      </c>
      <c r="O407">
        <f t="shared" si="43"/>
        <v>9521.01</v>
      </c>
      <c r="P407">
        <f t="shared" si="44"/>
        <v>8.4202950701691259E-2</v>
      </c>
      <c r="Q407" t="s">
        <v>4138</v>
      </c>
      <c r="R407" t="s">
        <v>4142</v>
      </c>
      <c r="S407">
        <f>YEAR(marketing_data[[#This Row],[Start_date]])</f>
        <v>2023</v>
      </c>
      <c r="T407" t="str">
        <f>TEXT(marketing_data[[#This Row],[Start_date]],"ddd")</f>
        <v>Tue</v>
      </c>
      <c r="U407">
        <f>marketing_data[[#This Row],[Cleaned End_date]]-marketing_data[[#This Row],[Start_date]]</f>
        <v>9</v>
      </c>
    </row>
    <row r="408" spans="1:21" x14ac:dyDescent="0.2">
      <c r="A408" t="s">
        <v>863</v>
      </c>
      <c r="B408" t="s">
        <v>864</v>
      </c>
      <c r="C408" s="2">
        <v>45002</v>
      </c>
      <c r="D408" t="str">
        <f t="shared" si="39"/>
        <v>Mar</v>
      </c>
      <c r="E408" s="2">
        <v>45013</v>
      </c>
      <c r="F408" t="s">
        <v>23</v>
      </c>
      <c r="G408">
        <v>3368</v>
      </c>
      <c r="H408">
        <v>140</v>
      </c>
      <c r="I408">
        <v>11</v>
      </c>
      <c r="J408" t="b">
        <v>0</v>
      </c>
      <c r="K408" s="10">
        <v>329.13249999999999</v>
      </c>
      <c r="L408" s="6">
        <f t="shared" si="40"/>
        <v>4.1567695961995249E-2</v>
      </c>
      <c r="M408">
        <f t="shared" si="41"/>
        <v>2.3509464285714285</v>
      </c>
      <c r="N408">
        <f t="shared" si="42"/>
        <v>29.921136363636364</v>
      </c>
      <c r="O408">
        <f t="shared" si="43"/>
        <v>220.86750000000001</v>
      </c>
      <c r="P408">
        <f t="shared" si="44"/>
        <v>7.857142857142857E-2</v>
      </c>
      <c r="Q408" t="s">
        <v>4137</v>
      </c>
      <c r="R408" t="s">
        <v>4138</v>
      </c>
      <c r="S408">
        <f>YEAR(marketing_data[[#This Row],[Start_date]])</f>
        <v>2023</v>
      </c>
      <c r="T408" t="str">
        <f>TEXT(marketing_data[[#This Row],[Start_date]],"ddd")</f>
        <v>Fri</v>
      </c>
      <c r="U408">
        <f>marketing_data[[#This Row],[Cleaned End_date]]-marketing_data[[#This Row],[Start_date]]</f>
        <v>11</v>
      </c>
    </row>
    <row r="409" spans="1:21" x14ac:dyDescent="0.2">
      <c r="A409" t="s">
        <v>866</v>
      </c>
      <c r="B409" t="s">
        <v>867</v>
      </c>
      <c r="C409" s="2">
        <v>45067</v>
      </c>
      <c r="D409" t="str">
        <f t="shared" si="39"/>
        <v>May</v>
      </c>
      <c r="E409" s="2">
        <v>45074</v>
      </c>
      <c r="F409" t="s">
        <v>19</v>
      </c>
      <c r="G409">
        <v>78575</v>
      </c>
      <c r="H409">
        <v>2058</v>
      </c>
      <c r="I409">
        <v>119</v>
      </c>
      <c r="J409" t="b">
        <v>0</v>
      </c>
      <c r="K409" s="10">
        <v>1214.52</v>
      </c>
      <c r="L409" s="6">
        <f t="shared" si="40"/>
        <v>2.6191536748329622E-2</v>
      </c>
      <c r="M409">
        <f t="shared" si="41"/>
        <v>0.5901457725947522</v>
      </c>
      <c r="N409">
        <f t="shared" si="42"/>
        <v>10.206050420168067</v>
      </c>
      <c r="O409">
        <f t="shared" si="43"/>
        <v>4735.4799999999996</v>
      </c>
      <c r="P409">
        <f t="shared" si="44"/>
        <v>5.7823129251700682E-2</v>
      </c>
      <c r="Q409" t="s">
        <v>4137</v>
      </c>
      <c r="R409" t="s">
        <v>4142</v>
      </c>
      <c r="S409">
        <f>YEAR(marketing_data[[#This Row],[Start_date]])</f>
        <v>2023</v>
      </c>
      <c r="T409" t="str">
        <f>TEXT(marketing_data[[#This Row],[Start_date]],"ddd")</f>
        <v>Sun</v>
      </c>
      <c r="U409">
        <f>marketing_data[[#This Row],[Cleaned End_date]]-marketing_data[[#This Row],[Start_date]]</f>
        <v>7</v>
      </c>
    </row>
    <row r="410" spans="1:21" x14ac:dyDescent="0.2">
      <c r="A410" t="s">
        <v>868</v>
      </c>
      <c r="B410" t="s">
        <v>869</v>
      </c>
      <c r="C410" s="2">
        <v>45291</v>
      </c>
      <c r="D410" t="str">
        <f t="shared" si="39"/>
        <v>Dec</v>
      </c>
      <c r="E410" s="2">
        <v>45302</v>
      </c>
      <c r="F410" t="s">
        <v>41</v>
      </c>
      <c r="G410">
        <v>7655</v>
      </c>
      <c r="H410">
        <v>276</v>
      </c>
      <c r="I410">
        <v>14</v>
      </c>
      <c r="J410" t="b">
        <v>1</v>
      </c>
      <c r="K410" s="10">
        <v>512.57000000000005</v>
      </c>
      <c r="L410" s="6">
        <f t="shared" si="40"/>
        <v>3.6054866100587848E-2</v>
      </c>
      <c r="M410">
        <f t="shared" si="41"/>
        <v>1.8571376811594205</v>
      </c>
      <c r="N410">
        <f t="shared" si="42"/>
        <v>36.612142857142864</v>
      </c>
      <c r="O410">
        <f t="shared" si="43"/>
        <v>187.42999999999995</v>
      </c>
      <c r="P410">
        <f t="shared" si="44"/>
        <v>5.0724637681159424E-2</v>
      </c>
      <c r="Q410" t="s">
        <v>4138</v>
      </c>
      <c r="R410" t="s">
        <v>4139</v>
      </c>
      <c r="S410">
        <f>YEAR(marketing_data[[#This Row],[Start_date]])</f>
        <v>2023</v>
      </c>
      <c r="T410" t="str">
        <f>TEXT(marketing_data[[#This Row],[Start_date]],"ddd")</f>
        <v>Sun</v>
      </c>
      <c r="U410">
        <f>marketing_data[[#This Row],[Cleaned End_date]]-marketing_data[[#This Row],[Start_date]]</f>
        <v>11</v>
      </c>
    </row>
    <row r="411" spans="1:21" x14ac:dyDescent="0.2">
      <c r="A411" t="s">
        <v>870</v>
      </c>
      <c r="B411" t="s">
        <v>871</v>
      </c>
      <c r="C411" s="2">
        <v>45198</v>
      </c>
      <c r="D411" t="str">
        <f t="shared" si="39"/>
        <v>Sep</v>
      </c>
      <c r="E411" s="2">
        <v>45227</v>
      </c>
      <c r="F411" t="s">
        <v>23</v>
      </c>
      <c r="G411">
        <v>71031</v>
      </c>
      <c r="H411">
        <v>1716</v>
      </c>
      <c r="I411">
        <v>112</v>
      </c>
      <c r="J411" t="b">
        <v>1</v>
      </c>
      <c r="K411" s="10">
        <v>2524.71</v>
      </c>
      <c r="L411" s="6">
        <f t="shared" si="40"/>
        <v>2.415846602187777E-2</v>
      </c>
      <c r="M411">
        <f t="shared" si="41"/>
        <v>1.4712762237762238</v>
      </c>
      <c r="N411">
        <f t="shared" si="42"/>
        <v>22.542053571428571</v>
      </c>
      <c r="O411">
        <f t="shared" si="43"/>
        <v>3075.29</v>
      </c>
      <c r="P411">
        <f t="shared" si="44"/>
        <v>6.5268065268065265E-2</v>
      </c>
      <c r="Q411" t="s">
        <v>4136</v>
      </c>
      <c r="R411" t="s">
        <v>4138</v>
      </c>
      <c r="S411">
        <f>YEAR(marketing_data[[#This Row],[Start_date]])</f>
        <v>2023</v>
      </c>
      <c r="T411" t="str">
        <f>TEXT(marketing_data[[#This Row],[Start_date]],"ddd")</f>
        <v>Fri</v>
      </c>
      <c r="U411">
        <f>marketing_data[[#This Row],[Cleaned End_date]]-marketing_data[[#This Row],[Start_date]]</f>
        <v>29</v>
      </c>
    </row>
    <row r="412" spans="1:21" x14ac:dyDescent="0.2">
      <c r="A412" t="s">
        <v>872</v>
      </c>
      <c r="B412" t="s">
        <v>873</v>
      </c>
      <c r="C412" s="2">
        <v>45177</v>
      </c>
      <c r="D412" t="str">
        <f t="shared" si="39"/>
        <v>Sep</v>
      </c>
      <c r="E412" s="2">
        <v>45207</v>
      </c>
      <c r="F412" t="s">
        <v>23</v>
      </c>
      <c r="G412">
        <v>77429</v>
      </c>
      <c r="H412">
        <v>2401</v>
      </c>
      <c r="I412">
        <v>182</v>
      </c>
      <c r="J412" t="b">
        <v>0</v>
      </c>
      <c r="K412" s="10">
        <v>2183.86</v>
      </c>
      <c r="L412" s="6">
        <f t="shared" si="40"/>
        <v>3.100905345542368E-2</v>
      </c>
      <c r="M412">
        <f t="shared" si="41"/>
        <v>0.90956268221574355</v>
      </c>
      <c r="N412">
        <f t="shared" si="42"/>
        <v>11.99923076923077</v>
      </c>
      <c r="O412">
        <f t="shared" si="43"/>
        <v>6916.1399999999994</v>
      </c>
      <c r="P412">
        <f t="shared" si="44"/>
        <v>7.5801749271137031E-2</v>
      </c>
      <c r="Q412" t="s">
        <v>4136</v>
      </c>
      <c r="R412" t="s">
        <v>4139</v>
      </c>
      <c r="S412">
        <f>YEAR(marketing_data[[#This Row],[Start_date]])</f>
        <v>2023</v>
      </c>
      <c r="T412" t="str">
        <f>TEXT(marketing_data[[#This Row],[Start_date]],"ddd")</f>
        <v>Fri</v>
      </c>
      <c r="U412">
        <f>marketing_data[[#This Row],[Cleaned End_date]]-marketing_data[[#This Row],[Start_date]]</f>
        <v>30</v>
      </c>
    </row>
    <row r="413" spans="1:21" x14ac:dyDescent="0.2">
      <c r="A413" t="s">
        <v>874</v>
      </c>
      <c r="B413" t="s">
        <v>875</v>
      </c>
      <c r="C413" s="2">
        <v>45286</v>
      </c>
      <c r="D413" t="str">
        <f t="shared" si="39"/>
        <v>Dec</v>
      </c>
      <c r="E413" s="2">
        <v>45299</v>
      </c>
      <c r="F413" t="s">
        <v>33</v>
      </c>
      <c r="G413">
        <v>92083</v>
      </c>
      <c r="H413">
        <v>2694</v>
      </c>
      <c r="I413">
        <v>308</v>
      </c>
      <c r="J413" t="b">
        <v>1</v>
      </c>
      <c r="K413" s="10">
        <v>2063.0300000000002</v>
      </c>
      <c r="L413" s="6">
        <f t="shared" si="40"/>
        <v>2.9256214502133945E-2</v>
      </c>
      <c r="M413">
        <f t="shared" si="41"/>
        <v>0.76578693392724584</v>
      </c>
      <c r="N413">
        <f t="shared" si="42"/>
        <v>6.6981493506493512</v>
      </c>
      <c r="O413">
        <f t="shared" si="43"/>
        <v>13336.97</v>
      </c>
      <c r="P413">
        <f t="shared" si="44"/>
        <v>0.11432813659985153</v>
      </c>
      <c r="Q413" t="s">
        <v>4138</v>
      </c>
      <c r="R413" t="s">
        <v>4139</v>
      </c>
      <c r="S413">
        <f>YEAR(marketing_data[[#This Row],[Start_date]])</f>
        <v>2023</v>
      </c>
      <c r="T413" t="str">
        <f>TEXT(marketing_data[[#This Row],[Start_date]],"ddd")</f>
        <v>Tue</v>
      </c>
      <c r="U413">
        <f>marketing_data[[#This Row],[Cleaned End_date]]-marketing_data[[#This Row],[Start_date]]</f>
        <v>13</v>
      </c>
    </row>
    <row r="414" spans="1:21" x14ac:dyDescent="0.2">
      <c r="A414" t="s">
        <v>876</v>
      </c>
      <c r="B414" t="s">
        <v>877</v>
      </c>
      <c r="C414" s="2">
        <v>45209</v>
      </c>
      <c r="D414" t="str">
        <f t="shared" si="39"/>
        <v>Oct</v>
      </c>
      <c r="E414" s="2">
        <v>45213</v>
      </c>
      <c r="F414" t="s">
        <v>14</v>
      </c>
      <c r="G414">
        <v>88922</v>
      </c>
      <c r="H414">
        <v>1518</v>
      </c>
      <c r="J414" t="b">
        <v>0</v>
      </c>
      <c r="K414" s="10">
        <v>1429.05</v>
      </c>
      <c r="L414" s="6">
        <f t="shared" si="40"/>
        <v>1.7071140999977509E-2</v>
      </c>
      <c r="M414">
        <f t="shared" si="41"/>
        <v>0.94140316205533592</v>
      </c>
      <c r="N414">
        <f t="shared" si="42"/>
        <v>0</v>
      </c>
      <c r="O414">
        <f t="shared" si="43"/>
        <v>-1429.05</v>
      </c>
      <c r="P414">
        <f t="shared" si="44"/>
        <v>0</v>
      </c>
      <c r="Q414" t="s">
        <v>4136</v>
      </c>
      <c r="R414" t="s">
        <v>4138</v>
      </c>
      <c r="S414">
        <f>YEAR(marketing_data[[#This Row],[Start_date]])</f>
        <v>2023</v>
      </c>
      <c r="T414" t="str">
        <f>TEXT(marketing_data[[#This Row],[Start_date]],"ddd")</f>
        <v>Tue</v>
      </c>
      <c r="U414">
        <f>marketing_data[[#This Row],[Cleaned End_date]]-marketing_data[[#This Row],[Start_date]]</f>
        <v>4</v>
      </c>
    </row>
    <row r="415" spans="1:21" x14ac:dyDescent="0.2">
      <c r="A415" t="s">
        <v>878</v>
      </c>
      <c r="B415" t="s">
        <v>879</v>
      </c>
      <c r="C415" s="2">
        <v>45158</v>
      </c>
      <c r="D415" t="str">
        <f t="shared" si="39"/>
        <v>Aug</v>
      </c>
      <c r="E415" s="2">
        <v>45179</v>
      </c>
      <c r="F415" t="s">
        <v>14</v>
      </c>
      <c r="G415">
        <v>56766</v>
      </c>
      <c r="H415">
        <v>1446</v>
      </c>
      <c r="I415">
        <v>102</v>
      </c>
      <c r="J415" t="b">
        <v>0</v>
      </c>
      <c r="K415" s="10">
        <v>971.99</v>
      </c>
      <c r="L415" s="6">
        <f t="shared" si="40"/>
        <v>2.5472994398055174E-2</v>
      </c>
      <c r="M415">
        <f t="shared" si="41"/>
        <v>0.67219225449515907</v>
      </c>
      <c r="N415">
        <f t="shared" si="42"/>
        <v>9.5293137254901961</v>
      </c>
      <c r="O415">
        <f t="shared" si="43"/>
        <v>4128.01</v>
      </c>
      <c r="P415">
        <f t="shared" si="44"/>
        <v>7.0539419087136929E-2</v>
      </c>
      <c r="Q415" t="s">
        <v>4139</v>
      </c>
      <c r="R415" t="s">
        <v>4138</v>
      </c>
      <c r="S415">
        <f>YEAR(marketing_data[[#This Row],[Start_date]])</f>
        <v>2023</v>
      </c>
      <c r="T415" t="str">
        <f>TEXT(marketing_data[[#This Row],[Start_date]],"ddd")</f>
        <v>Sun</v>
      </c>
      <c r="U415">
        <f>marketing_data[[#This Row],[Cleaned End_date]]-marketing_data[[#This Row],[Start_date]]</f>
        <v>21</v>
      </c>
    </row>
    <row r="416" spans="1:21" x14ac:dyDescent="0.2">
      <c r="A416" t="s">
        <v>880</v>
      </c>
      <c r="B416" t="s">
        <v>881</v>
      </c>
      <c r="C416" s="2">
        <v>45159</v>
      </c>
      <c r="D416" t="str">
        <f t="shared" si="39"/>
        <v>Aug</v>
      </c>
      <c r="E416" s="2">
        <v>45169</v>
      </c>
      <c r="F416" t="s">
        <v>41</v>
      </c>
      <c r="G416">
        <v>14403</v>
      </c>
      <c r="H416">
        <v>699</v>
      </c>
      <c r="I416">
        <v>79</v>
      </c>
      <c r="J416" t="b">
        <v>1</v>
      </c>
      <c r="K416" s="10">
        <v>1336.7</v>
      </c>
      <c r="L416" s="6">
        <f t="shared" si="40"/>
        <v>4.8531555925848784E-2</v>
      </c>
      <c r="M416">
        <f t="shared" si="41"/>
        <v>1.9123032904148785</v>
      </c>
      <c r="N416">
        <f t="shared" si="42"/>
        <v>16.920253164556964</v>
      </c>
      <c r="O416">
        <f t="shared" si="43"/>
        <v>2613.3000000000002</v>
      </c>
      <c r="P416">
        <f t="shared" si="44"/>
        <v>0.11301859799713877</v>
      </c>
      <c r="Q416" t="s">
        <v>4139</v>
      </c>
      <c r="R416" t="s">
        <v>4139</v>
      </c>
      <c r="S416">
        <f>YEAR(marketing_data[[#This Row],[Start_date]])</f>
        <v>2023</v>
      </c>
      <c r="T416" t="str">
        <f>TEXT(marketing_data[[#This Row],[Start_date]],"ddd")</f>
        <v>Mon</v>
      </c>
      <c r="U416">
        <f>marketing_data[[#This Row],[Cleaned End_date]]-marketing_data[[#This Row],[Start_date]]</f>
        <v>10</v>
      </c>
    </row>
    <row r="417" spans="1:21" x14ac:dyDescent="0.2">
      <c r="A417" t="s">
        <v>882</v>
      </c>
      <c r="B417" t="s">
        <v>883</v>
      </c>
      <c r="C417" s="2">
        <v>45087</v>
      </c>
      <c r="D417" t="str">
        <f t="shared" si="39"/>
        <v>Jun</v>
      </c>
      <c r="E417" s="2">
        <v>45102</v>
      </c>
      <c r="F417" t="s">
        <v>41</v>
      </c>
      <c r="G417">
        <v>33097</v>
      </c>
      <c r="H417">
        <v>660</v>
      </c>
      <c r="I417">
        <v>66</v>
      </c>
      <c r="J417" t="b">
        <v>1</v>
      </c>
      <c r="K417" s="10">
        <v>1106.3599999999999</v>
      </c>
      <c r="L417" s="6">
        <f t="shared" si="40"/>
        <v>1.9941384415505938E-2</v>
      </c>
      <c r="M417">
        <f t="shared" si="41"/>
        <v>1.6763030303030302</v>
      </c>
      <c r="N417">
        <f t="shared" si="42"/>
        <v>16.763030303030302</v>
      </c>
      <c r="O417">
        <f t="shared" si="43"/>
        <v>2193.6400000000003</v>
      </c>
      <c r="P417">
        <f t="shared" si="44"/>
        <v>0.1</v>
      </c>
      <c r="Q417" t="s">
        <v>4139</v>
      </c>
      <c r="R417" t="s">
        <v>4142</v>
      </c>
      <c r="S417">
        <f>YEAR(marketing_data[[#This Row],[Start_date]])</f>
        <v>2023</v>
      </c>
      <c r="T417" t="str">
        <f>TEXT(marketing_data[[#This Row],[Start_date]],"ddd")</f>
        <v>Sat</v>
      </c>
      <c r="U417">
        <f>marketing_data[[#This Row],[Cleaned End_date]]-marketing_data[[#This Row],[Start_date]]</f>
        <v>15</v>
      </c>
    </row>
    <row r="418" spans="1:21" x14ac:dyDescent="0.2">
      <c r="A418" t="s">
        <v>884</v>
      </c>
      <c r="B418" t="s">
        <v>885</v>
      </c>
      <c r="C418" s="2">
        <v>45118</v>
      </c>
      <c r="D418" t="str">
        <f t="shared" si="39"/>
        <v>Jul</v>
      </c>
      <c r="E418" s="2">
        <v>45119</v>
      </c>
      <c r="F418" t="s">
        <v>14</v>
      </c>
      <c r="G418">
        <v>79657</v>
      </c>
      <c r="H418">
        <v>1222</v>
      </c>
      <c r="I418">
        <v>94</v>
      </c>
      <c r="J418" t="b">
        <v>1</v>
      </c>
      <c r="K418" s="10">
        <v>1458.56</v>
      </c>
      <c r="L418" s="6">
        <f t="shared" si="40"/>
        <v>1.5340773566667085E-2</v>
      </c>
      <c r="M418">
        <f t="shared" si="41"/>
        <v>1.193584288052373</v>
      </c>
      <c r="N418">
        <f t="shared" si="42"/>
        <v>15.516595744680851</v>
      </c>
      <c r="O418">
        <f t="shared" si="43"/>
        <v>3241.44</v>
      </c>
      <c r="P418">
        <f t="shared" si="44"/>
        <v>7.6923076923076927E-2</v>
      </c>
      <c r="Q418" t="s">
        <v>4139</v>
      </c>
      <c r="R418" t="s">
        <v>4141</v>
      </c>
      <c r="S418">
        <f>YEAR(marketing_data[[#This Row],[Start_date]])</f>
        <v>2023</v>
      </c>
      <c r="T418" t="str">
        <f>TEXT(marketing_data[[#This Row],[Start_date]],"ddd")</f>
        <v>Tue</v>
      </c>
      <c r="U418">
        <f>marketing_data[[#This Row],[Cleaned End_date]]-marketing_data[[#This Row],[Start_date]]</f>
        <v>1</v>
      </c>
    </row>
    <row r="419" spans="1:21" x14ac:dyDescent="0.2">
      <c r="A419" t="s">
        <v>886</v>
      </c>
      <c r="B419" t="s">
        <v>887</v>
      </c>
      <c r="C419" s="2">
        <v>45169</v>
      </c>
      <c r="D419" t="str">
        <f t="shared" si="39"/>
        <v>Aug</v>
      </c>
      <c r="E419" s="2">
        <v>45184</v>
      </c>
      <c r="F419" t="s">
        <v>19</v>
      </c>
      <c r="G419">
        <v>11966</v>
      </c>
      <c r="H419">
        <v>320</v>
      </c>
      <c r="I419">
        <v>16</v>
      </c>
      <c r="J419" t="b">
        <v>1</v>
      </c>
      <c r="K419" s="10">
        <v>575.17999999999995</v>
      </c>
      <c r="L419" s="6">
        <f t="shared" si="40"/>
        <v>2.6742436904562929E-2</v>
      </c>
      <c r="M419">
        <f t="shared" si="41"/>
        <v>1.7974374999999998</v>
      </c>
      <c r="N419">
        <f t="shared" si="42"/>
        <v>35.948749999999997</v>
      </c>
      <c r="O419">
        <f t="shared" si="43"/>
        <v>224.82000000000005</v>
      </c>
      <c r="P419">
        <f t="shared" si="44"/>
        <v>0.05</v>
      </c>
      <c r="Q419" t="s">
        <v>4139</v>
      </c>
      <c r="R419" t="s">
        <v>4142</v>
      </c>
      <c r="S419">
        <f>YEAR(marketing_data[[#This Row],[Start_date]])</f>
        <v>2023</v>
      </c>
      <c r="T419" t="str">
        <f>TEXT(marketing_data[[#This Row],[Start_date]],"ddd")</f>
        <v>Thu</v>
      </c>
      <c r="U419">
        <f>marketing_data[[#This Row],[Cleaned End_date]]-marketing_data[[#This Row],[Start_date]]</f>
        <v>15</v>
      </c>
    </row>
    <row r="420" spans="1:21" x14ac:dyDescent="0.2">
      <c r="A420" t="s">
        <v>889</v>
      </c>
      <c r="B420" t="s">
        <v>890</v>
      </c>
      <c r="C420" s="2">
        <v>44970</v>
      </c>
      <c r="D420" t="str">
        <f t="shared" si="39"/>
        <v>Feb</v>
      </c>
      <c r="E420" s="2">
        <v>44990</v>
      </c>
      <c r="F420" t="s">
        <v>41</v>
      </c>
      <c r="G420">
        <v>94848</v>
      </c>
      <c r="H420">
        <v>3946</v>
      </c>
      <c r="I420">
        <v>473</v>
      </c>
      <c r="J420" t="b">
        <v>0</v>
      </c>
      <c r="K420" s="10">
        <v>3449.54</v>
      </c>
      <c r="L420" s="6">
        <f t="shared" si="40"/>
        <v>4.1603407557354928E-2</v>
      </c>
      <c r="M420">
        <f t="shared" si="41"/>
        <v>0.87418651799290414</v>
      </c>
      <c r="N420">
        <f t="shared" si="42"/>
        <v>7.2928964059196613</v>
      </c>
      <c r="O420">
        <f t="shared" si="43"/>
        <v>20200.46</v>
      </c>
      <c r="P420">
        <f t="shared" si="44"/>
        <v>0.1198682209832742</v>
      </c>
      <c r="Q420" t="s">
        <v>4138</v>
      </c>
      <c r="R420" t="s">
        <v>4142</v>
      </c>
      <c r="S420">
        <f>YEAR(marketing_data[[#This Row],[Start_date]])</f>
        <v>2023</v>
      </c>
      <c r="T420" t="str">
        <f>TEXT(marketing_data[[#This Row],[Start_date]],"ddd")</f>
        <v>Mon</v>
      </c>
      <c r="U420">
        <f>marketing_data[[#This Row],[Cleaned End_date]]-marketing_data[[#This Row],[Start_date]]</f>
        <v>20</v>
      </c>
    </row>
    <row r="421" spans="1:21" x14ac:dyDescent="0.2">
      <c r="A421" t="s">
        <v>892</v>
      </c>
      <c r="B421" t="s">
        <v>893</v>
      </c>
      <c r="C421" s="2">
        <v>44976</v>
      </c>
      <c r="D421" t="str">
        <f t="shared" si="39"/>
        <v>Feb</v>
      </c>
      <c r="E421" s="2">
        <v>44997</v>
      </c>
      <c r="F421" t="s">
        <v>14</v>
      </c>
      <c r="G421">
        <v>53921</v>
      </c>
      <c r="H421">
        <v>1794</v>
      </c>
      <c r="I421">
        <v>274</v>
      </c>
      <c r="J421" t="b">
        <v>1</v>
      </c>
      <c r="K421" s="10">
        <v>2826.77</v>
      </c>
      <c r="L421" s="6">
        <f t="shared" si="40"/>
        <v>3.3270896311270191E-2</v>
      </c>
      <c r="M421">
        <f t="shared" si="41"/>
        <v>1.5756800445930881</v>
      </c>
      <c r="N421">
        <f t="shared" si="42"/>
        <v>10.316678832116787</v>
      </c>
      <c r="O421">
        <f t="shared" si="43"/>
        <v>10873.23</v>
      </c>
      <c r="P421">
        <f t="shared" si="44"/>
        <v>0.15273132664437011</v>
      </c>
      <c r="Q421" t="s">
        <v>4138</v>
      </c>
      <c r="R421" t="s">
        <v>4141</v>
      </c>
      <c r="S421">
        <f>YEAR(marketing_data[[#This Row],[Start_date]])</f>
        <v>2023</v>
      </c>
      <c r="T421" t="str">
        <f>TEXT(marketing_data[[#This Row],[Start_date]],"ddd")</f>
        <v>Sun</v>
      </c>
      <c r="U421">
        <f>marketing_data[[#This Row],[Cleaned End_date]]-marketing_data[[#This Row],[Start_date]]</f>
        <v>21</v>
      </c>
    </row>
    <row r="422" spans="1:21" x14ac:dyDescent="0.2">
      <c r="A422" t="s">
        <v>894</v>
      </c>
      <c r="B422" t="s">
        <v>895</v>
      </c>
      <c r="C422" s="2">
        <v>44993</v>
      </c>
      <c r="D422" t="str">
        <f t="shared" si="39"/>
        <v>Mar</v>
      </c>
      <c r="E422" s="2">
        <v>45015</v>
      </c>
      <c r="F422" t="s">
        <v>41</v>
      </c>
      <c r="G422">
        <v>50726</v>
      </c>
      <c r="H422">
        <v>1888</v>
      </c>
      <c r="I422">
        <v>158</v>
      </c>
      <c r="J422" t="b">
        <v>0</v>
      </c>
      <c r="K422" s="10">
        <v>3368.57</v>
      </c>
      <c r="L422" s="6">
        <f t="shared" si="40"/>
        <v>3.7219571817214053E-2</v>
      </c>
      <c r="M422">
        <f t="shared" si="41"/>
        <v>1.7842002118644069</v>
      </c>
      <c r="N422">
        <f t="shared" si="42"/>
        <v>21.320063291139242</v>
      </c>
      <c r="O422">
        <f t="shared" si="43"/>
        <v>4531.43</v>
      </c>
      <c r="P422">
        <f t="shared" si="44"/>
        <v>8.3686440677966101E-2</v>
      </c>
      <c r="Q422" t="s">
        <v>4137</v>
      </c>
      <c r="R422" t="s">
        <v>4142</v>
      </c>
      <c r="S422">
        <f>YEAR(marketing_data[[#This Row],[Start_date]])</f>
        <v>2023</v>
      </c>
      <c r="T422" t="str">
        <f>TEXT(marketing_data[[#This Row],[Start_date]],"ddd")</f>
        <v>Wed</v>
      </c>
      <c r="U422">
        <f>marketing_data[[#This Row],[Cleaned End_date]]-marketing_data[[#This Row],[Start_date]]</f>
        <v>22</v>
      </c>
    </row>
    <row r="423" spans="1:21" x14ac:dyDescent="0.2">
      <c r="A423" t="s">
        <v>896</v>
      </c>
      <c r="B423" t="s">
        <v>897</v>
      </c>
      <c r="C423" s="2">
        <v>45214</v>
      </c>
      <c r="D423" t="str">
        <f t="shared" si="39"/>
        <v>Oct</v>
      </c>
      <c r="E423" s="2">
        <v>45231</v>
      </c>
      <c r="F423" t="s">
        <v>14</v>
      </c>
      <c r="G423">
        <v>51300</v>
      </c>
      <c r="H423">
        <v>902</v>
      </c>
      <c r="I423">
        <v>62</v>
      </c>
      <c r="J423" t="b">
        <v>0</v>
      </c>
      <c r="K423" s="10">
        <v>933.71</v>
      </c>
      <c r="L423" s="6">
        <f t="shared" si="40"/>
        <v>1.7582846003898634E-2</v>
      </c>
      <c r="M423">
        <f t="shared" si="41"/>
        <v>1.0351552106430155</v>
      </c>
      <c r="N423">
        <f t="shared" si="42"/>
        <v>15.05983870967742</v>
      </c>
      <c r="O423">
        <f t="shared" si="43"/>
        <v>2166.29</v>
      </c>
      <c r="P423">
        <f t="shared" si="44"/>
        <v>6.8736141906873618E-2</v>
      </c>
      <c r="Q423" t="s">
        <v>4136</v>
      </c>
      <c r="R423" t="s">
        <v>4142</v>
      </c>
      <c r="S423">
        <f>YEAR(marketing_data[[#This Row],[Start_date]])</f>
        <v>2023</v>
      </c>
      <c r="T423" t="str">
        <f>TEXT(marketing_data[[#This Row],[Start_date]],"ddd")</f>
        <v>Sun</v>
      </c>
      <c r="U423">
        <f>marketing_data[[#This Row],[Cleaned End_date]]-marketing_data[[#This Row],[Start_date]]</f>
        <v>17</v>
      </c>
    </row>
    <row r="424" spans="1:21" x14ac:dyDescent="0.2">
      <c r="A424" t="s">
        <v>898</v>
      </c>
      <c r="B424" t="s">
        <v>899</v>
      </c>
      <c r="C424" s="2">
        <v>45137</v>
      </c>
      <c r="D424" t="str">
        <f t="shared" si="39"/>
        <v>Jul</v>
      </c>
      <c r="E424" s="2">
        <v>45162</v>
      </c>
      <c r="F424" t="s">
        <v>33</v>
      </c>
      <c r="G424">
        <v>23677</v>
      </c>
      <c r="H424">
        <v>822</v>
      </c>
      <c r="J424" t="b">
        <v>1</v>
      </c>
      <c r="K424" s="10">
        <v>1344.95</v>
      </c>
      <c r="L424" s="6">
        <f t="shared" si="40"/>
        <v>3.4717236136334838E-2</v>
      </c>
      <c r="M424">
        <f t="shared" si="41"/>
        <v>1.6361922141119223</v>
      </c>
      <c r="N424">
        <f t="shared" si="42"/>
        <v>0</v>
      </c>
      <c r="O424">
        <f t="shared" si="43"/>
        <v>-1344.95</v>
      </c>
      <c r="P424">
        <f t="shared" si="44"/>
        <v>0</v>
      </c>
      <c r="Q424" t="s">
        <v>4139</v>
      </c>
      <c r="R424" t="s">
        <v>4139</v>
      </c>
      <c r="S424">
        <f>YEAR(marketing_data[[#This Row],[Start_date]])</f>
        <v>2023</v>
      </c>
      <c r="T424" t="str">
        <f>TEXT(marketing_data[[#This Row],[Start_date]],"ddd")</f>
        <v>Sun</v>
      </c>
      <c r="U424">
        <f>marketing_data[[#This Row],[Cleaned End_date]]-marketing_data[[#This Row],[Start_date]]</f>
        <v>25</v>
      </c>
    </row>
    <row r="425" spans="1:21" x14ac:dyDescent="0.2">
      <c r="A425" t="s">
        <v>900</v>
      </c>
      <c r="B425" t="s">
        <v>901</v>
      </c>
      <c r="C425" s="2">
        <v>45143</v>
      </c>
      <c r="D425" t="str">
        <f t="shared" si="39"/>
        <v>Aug</v>
      </c>
      <c r="E425" s="2">
        <v>45156</v>
      </c>
      <c r="F425" t="s">
        <v>41</v>
      </c>
      <c r="G425">
        <v>56609</v>
      </c>
      <c r="H425">
        <v>1298</v>
      </c>
      <c r="I425">
        <v>118</v>
      </c>
      <c r="J425" t="b">
        <v>1</v>
      </c>
      <c r="K425" s="10">
        <v>1223.51</v>
      </c>
      <c r="L425" s="6">
        <f t="shared" si="40"/>
        <v>2.2929216202370647E-2</v>
      </c>
      <c r="M425">
        <f t="shared" si="41"/>
        <v>0.94261171032357471</v>
      </c>
      <c r="N425">
        <f t="shared" si="42"/>
        <v>10.368728813559322</v>
      </c>
      <c r="O425">
        <f t="shared" si="43"/>
        <v>4676.49</v>
      </c>
      <c r="P425">
        <f t="shared" si="44"/>
        <v>9.0909090909090912E-2</v>
      </c>
      <c r="Q425" t="s">
        <v>4139</v>
      </c>
      <c r="R425" t="s">
        <v>4139</v>
      </c>
      <c r="S425">
        <f>YEAR(marketing_data[[#This Row],[Start_date]])</f>
        <v>2023</v>
      </c>
      <c r="T425" t="str">
        <f>TEXT(marketing_data[[#This Row],[Start_date]],"ddd")</f>
        <v>Sat</v>
      </c>
      <c r="U425">
        <f>marketing_data[[#This Row],[Cleaned End_date]]-marketing_data[[#This Row],[Start_date]]</f>
        <v>13</v>
      </c>
    </row>
    <row r="426" spans="1:21" x14ac:dyDescent="0.2">
      <c r="A426" t="s">
        <v>902</v>
      </c>
      <c r="B426" t="s">
        <v>903</v>
      </c>
      <c r="C426" s="2">
        <v>45074</v>
      </c>
      <c r="D426" t="str">
        <f t="shared" si="39"/>
        <v>May</v>
      </c>
      <c r="E426" s="2">
        <v>45081</v>
      </c>
      <c r="F426" t="s">
        <v>19</v>
      </c>
      <c r="G426">
        <v>97825</v>
      </c>
      <c r="H426">
        <v>4242</v>
      </c>
      <c r="I426">
        <v>354</v>
      </c>
      <c r="J426" t="b">
        <v>1</v>
      </c>
      <c r="K426" s="10">
        <v>3631.7599999999998</v>
      </c>
      <c r="L426" s="6">
        <f t="shared" si="40"/>
        <v>4.336314847942755E-2</v>
      </c>
      <c r="M426">
        <f t="shared" si="41"/>
        <v>0.85614332861857612</v>
      </c>
      <c r="N426">
        <f t="shared" si="42"/>
        <v>10.259209039548022</v>
      </c>
      <c r="O426">
        <f t="shared" si="43"/>
        <v>14068.24</v>
      </c>
      <c r="P426">
        <f t="shared" si="44"/>
        <v>8.3451202263083446E-2</v>
      </c>
      <c r="Q426" t="s">
        <v>4137</v>
      </c>
      <c r="R426" t="s">
        <v>4141</v>
      </c>
      <c r="S426">
        <f>YEAR(marketing_data[[#This Row],[Start_date]])</f>
        <v>2023</v>
      </c>
      <c r="T426" t="str">
        <f>TEXT(marketing_data[[#This Row],[Start_date]],"ddd")</f>
        <v>Sun</v>
      </c>
      <c r="U426">
        <f>marketing_data[[#This Row],[Cleaned End_date]]-marketing_data[[#This Row],[Start_date]]</f>
        <v>7</v>
      </c>
    </row>
    <row r="427" spans="1:21" x14ac:dyDescent="0.2">
      <c r="A427" t="s">
        <v>904</v>
      </c>
      <c r="B427" t="s">
        <v>905</v>
      </c>
      <c r="C427" s="2">
        <v>45222</v>
      </c>
      <c r="D427" t="str">
        <f t="shared" si="39"/>
        <v>Oct</v>
      </c>
      <c r="E427" s="2">
        <v>45228</v>
      </c>
      <c r="F427" t="s">
        <v>41</v>
      </c>
      <c r="G427">
        <v>57661</v>
      </c>
      <c r="H427">
        <v>2028</v>
      </c>
      <c r="I427">
        <v>362</v>
      </c>
      <c r="J427" t="b">
        <v>0</v>
      </c>
      <c r="K427" s="10">
        <v>1339.67</v>
      </c>
      <c r="L427" s="6">
        <f t="shared" si="40"/>
        <v>3.517108617609823E-2</v>
      </c>
      <c r="M427">
        <f t="shared" si="41"/>
        <v>0.66058678500986201</v>
      </c>
      <c r="N427">
        <f t="shared" si="42"/>
        <v>3.7007458563535915</v>
      </c>
      <c r="O427">
        <f t="shared" si="43"/>
        <v>16760.330000000002</v>
      </c>
      <c r="P427">
        <f t="shared" si="44"/>
        <v>0.17850098619329388</v>
      </c>
      <c r="Q427" t="s">
        <v>4136</v>
      </c>
      <c r="R427" t="s">
        <v>4138</v>
      </c>
      <c r="S427">
        <f>YEAR(marketing_data[[#This Row],[Start_date]])</f>
        <v>2023</v>
      </c>
      <c r="T427" t="str">
        <f>TEXT(marketing_data[[#This Row],[Start_date]],"ddd")</f>
        <v>Mon</v>
      </c>
      <c r="U427">
        <f>marketing_data[[#This Row],[Cleaned End_date]]-marketing_data[[#This Row],[Start_date]]</f>
        <v>6</v>
      </c>
    </row>
    <row r="428" spans="1:21" x14ac:dyDescent="0.2">
      <c r="A428" t="s">
        <v>906</v>
      </c>
      <c r="B428" t="s">
        <v>907</v>
      </c>
      <c r="C428" s="2">
        <v>45173</v>
      </c>
      <c r="D428" t="str">
        <f t="shared" si="39"/>
        <v>Sep</v>
      </c>
      <c r="E428" s="2">
        <v>45177</v>
      </c>
      <c r="F428" t="s">
        <v>23</v>
      </c>
      <c r="G428">
        <v>32024</v>
      </c>
      <c r="H428">
        <v>574</v>
      </c>
      <c r="I428">
        <v>99</v>
      </c>
      <c r="J428" t="b">
        <v>1</v>
      </c>
      <c r="K428" s="10">
        <v>665.89</v>
      </c>
      <c r="L428" s="6">
        <f t="shared" si="40"/>
        <v>1.7924056957282039E-2</v>
      </c>
      <c r="M428">
        <f t="shared" si="41"/>
        <v>1.1600871080139372</v>
      </c>
      <c r="N428">
        <f t="shared" si="42"/>
        <v>6.7261616161616162</v>
      </c>
      <c r="O428">
        <f t="shared" si="43"/>
        <v>4284.1099999999997</v>
      </c>
      <c r="P428">
        <f t="shared" si="44"/>
        <v>0.17247386759581881</v>
      </c>
      <c r="Q428" t="s">
        <v>4136</v>
      </c>
      <c r="R428" t="s">
        <v>4141</v>
      </c>
      <c r="S428">
        <f>YEAR(marketing_data[[#This Row],[Start_date]])</f>
        <v>2023</v>
      </c>
      <c r="T428" t="str">
        <f>TEXT(marketing_data[[#This Row],[Start_date]],"ddd")</f>
        <v>Mon</v>
      </c>
      <c r="U428">
        <f>marketing_data[[#This Row],[Cleaned End_date]]-marketing_data[[#This Row],[Start_date]]</f>
        <v>4</v>
      </c>
    </row>
    <row r="429" spans="1:21" x14ac:dyDescent="0.2">
      <c r="A429" t="s">
        <v>908</v>
      </c>
      <c r="B429" t="s">
        <v>909</v>
      </c>
      <c r="C429" s="2">
        <v>45211</v>
      </c>
      <c r="D429" t="str">
        <f t="shared" si="39"/>
        <v>Oct</v>
      </c>
      <c r="E429" s="2">
        <v>45213</v>
      </c>
      <c r="F429" t="s">
        <v>41</v>
      </c>
      <c r="G429">
        <v>71313</v>
      </c>
      <c r="H429">
        <v>897</v>
      </c>
      <c r="I429">
        <v>105</v>
      </c>
      <c r="J429" t="b">
        <v>0</v>
      </c>
      <c r="K429" s="10">
        <v>1430.33</v>
      </c>
      <c r="L429" s="6">
        <f t="shared" si="40"/>
        <v>1.2578351773168987E-2</v>
      </c>
      <c r="M429">
        <f t="shared" si="41"/>
        <v>1.5945707915273133</v>
      </c>
      <c r="N429">
        <f t="shared" si="42"/>
        <v>13.622190476190475</v>
      </c>
      <c r="O429">
        <f t="shared" si="43"/>
        <v>3819.67</v>
      </c>
      <c r="P429">
        <f t="shared" si="44"/>
        <v>0.11705685618729098</v>
      </c>
      <c r="Q429" t="s">
        <v>4136</v>
      </c>
      <c r="R429" t="s">
        <v>4138</v>
      </c>
      <c r="S429">
        <f>YEAR(marketing_data[[#This Row],[Start_date]])</f>
        <v>2023</v>
      </c>
      <c r="T429" t="str">
        <f>TEXT(marketing_data[[#This Row],[Start_date]],"ddd")</f>
        <v>Thu</v>
      </c>
      <c r="U429">
        <f>marketing_data[[#This Row],[Cleaned End_date]]-marketing_data[[#This Row],[Start_date]]</f>
        <v>2</v>
      </c>
    </row>
    <row r="430" spans="1:21" x14ac:dyDescent="0.2">
      <c r="A430" t="s">
        <v>910</v>
      </c>
      <c r="B430" t="s">
        <v>911</v>
      </c>
      <c r="C430" s="2">
        <v>45220</v>
      </c>
      <c r="D430" t="str">
        <f t="shared" si="39"/>
        <v>Oct</v>
      </c>
      <c r="E430" s="2">
        <v>45233</v>
      </c>
      <c r="F430" t="s">
        <v>14</v>
      </c>
      <c r="G430">
        <v>54006</v>
      </c>
      <c r="H430">
        <v>632</v>
      </c>
      <c r="I430">
        <v>77</v>
      </c>
      <c r="J430" t="b">
        <v>0</v>
      </c>
      <c r="K430" s="10">
        <v>1207.33</v>
      </c>
      <c r="L430" s="6">
        <f t="shared" si="40"/>
        <v>1.1702403436655186E-2</v>
      </c>
      <c r="M430">
        <f t="shared" si="41"/>
        <v>1.9103322784810126</v>
      </c>
      <c r="N430">
        <f t="shared" si="42"/>
        <v>15.679610389610389</v>
      </c>
      <c r="O430">
        <f t="shared" si="43"/>
        <v>2642.67</v>
      </c>
      <c r="P430">
        <f t="shared" si="44"/>
        <v>0.12183544303797468</v>
      </c>
      <c r="Q430" t="s">
        <v>4136</v>
      </c>
      <c r="R430" t="s">
        <v>4142</v>
      </c>
      <c r="S430">
        <f>YEAR(marketing_data[[#This Row],[Start_date]])</f>
        <v>2023</v>
      </c>
      <c r="T430" t="str">
        <f>TEXT(marketing_data[[#This Row],[Start_date]],"ddd")</f>
        <v>Sat</v>
      </c>
      <c r="U430">
        <f>marketing_data[[#This Row],[Cleaned End_date]]-marketing_data[[#This Row],[Start_date]]</f>
        <v>13</v>
      </c>
    </row>
    <row r="431" spans="1:21" x14ac:dyDescent="0.2">
      <c r="A431" t="s">
        <v>912</v>
      </c>
      <c r="B431" t="s">
        <v>913</v>
      </c>
      <c r="C431" s="2">
        <v>45214</v>
      </c>
      <c r="D431" t="str">
        <f t="shared" si="39"/>
        <v>Oct</v>
      </c>
      <c r="E431" s="2">
        <v>45240</v>
      </c>
      <c r="F431" t="s">
        <v>19</v>
      </c>
      <c r="G431">
        <v>96285</v>
      </c>
      <c r="H431">
        <v>2393</v>
      </c>
      <c r="I431">
        <v>197</v>
      </c>
      <c r="J431" t="b">
        <v>1</v>
      </c>
      <c r="K431" s="10">
        <v>3363.83</v>
      </c>
      <c r="L431" s="6">
        <f t="shared" si="40"/>
        <v>2.4853300098665421E-2</v>
      </c>
      <c r="M431">
        <f t="shared" si="41"/>
        <v>1.4056957793564564</v>
      </c>
      <c r="N431">
        <f t="shared" si="42"/>
        <v>17.075279187817259</v>
      </c>
      <c r="O431">
        <f t="shared" si="43"/>
        <v>6486.17</v>
      </c>
      <c r="P431">
        <f t="shared" si="44"/>
        <v>8.2323443376514829E-2</v>
      </c>
      <c r="Q431" t="s">
        <v>4136</v>
      </c>
      <c r="R431" t="s">
        <v>4139</v>
      </c>
      <c r="S431">
        <f>YEAR(marketing_data[[#This Row],[Start_date]])</f>
        <v>2023</v>
      </c>
      <c r="T431" t="str">
        <f>TEXT(marketing_data[[#This Row],[Start_date]],"ddd")</f>
        <v>Sun</v>
      </c>
      <c r="U431">
        <f>marketing_data[[#This Row],[Cleaned End_date]]-marketing_data[[#This Row],[Start_date]]</f>
        <v>26</v>
      </c>
    </row>
    <row r="432" spans="1:21" x14ac:dyDescent="0.2">
      <c r="A432" t="s">
        <v>914</v>
      </c>
      <c r="B432" t="s">
        <v>915</v>
      </c>
      <c r="C432" s="2">
        <v>45241</v>
      </c>
      <c r="D432" t="str">
        <f t="shared" si="39"/>
        <v>Nov</v>
      </c>
      <c r="E432" s="2">
        <v>45245</v>
      </c>
      <c r="F432" t="s">
        <v>23</v>
      </c>
      <c r="G432">
        <v>16338</v>
      </c>
      <c r="H432">
        <v>337</v>
      </c>
      <c r="I432">
        <v>20</v>
      </c>
      <c r="J432" t="b">
        <v>1</v>
      </c>
      <c r="K432" s="10">
        <v>604.82000000000005</v>
      </c>
      <c r="L432" s="6">
        <f t="shared" si="40"/>
        <v>2.0626759701309831E-2</v>
      </c>
      <c r="M432">
        <f t="shared" si="41"/>
        <v>1.7947181008902078</v>
      </c>
      <c r="N432">
        <f t="shared" si="42"/>
        <v>30.241000000000003</v>
      </c>
      <c r="O432">
        <f t="shared" si="43"/>
        <v>395.17999999999995</v>
      </c>
      <c r="P432">
        <f t="shared" si="44"/>
        <v>5.9347181008902079E-2</v>
      </c>
      <c r="Q432" t="s">
        <v>4136</v>
      </c>
      <c r="R432" t="s">
        <v>4141</v>
      </c>
      <c r="S432">
        <f>YEAR(marketing_data[[#This Row],[Start_date]])</f>
        <v>2023</v>
      </c>
      <c r="T432" t="str">
        <f>TEXT(marketing_data[[#This Row],[Start_date]],"ddd")</f>
        <v>Sat</v>
      </c>
      <c r="U432">
        <f>marketing_data[[#This Row],[Cleaned End_date]]-marketing_data[[#This Row],[Start_date]]</f>
        <v>4</v>
      </c>
    </row>
    <row r="433" spans="1:21" x14ac:dyDescent="0.2">
      <c r="A433" t="s">
        <v>916</v>
      </c>
      <c r="B433" t="s">
        <v>917</v>
      </c>
      <c r="C433" s="2">
        <v>45238</v>
      </c>
      <c r="D433" t="str">
        <f t="shared" si="39"/>
        <v>Nov</v>
      </c>
      <c r="E433" s="2">
        <v>45262</v>
      </c>
      <c r="F433" t="s">
        <v>41</v>
      </c>
      <c r="G433">
        <v>69027</v>
      </c>
      <c r="H433">
        <v>2474</v>
      </c>
      <c r="I433">
        <v>336</v>
      </c>
      <c r="J433" t="b">
        <v>1</v>
      </c>
      <c r="K433" s="10">
        <v>3631.7599999999998</v>
      </c>
      <c r="L433" s="6">
        <f t="shared" si="40"/>
        <v>3.584104770597013E-2</v>
      </c>
      <c r="M433">
        <f t="shared" si="41"/>
        <v>1.4679708973322554</v>
      </c>
      <c r="N433">
        <f t="shared" si="42"/>
        <v>10.808809523809524</v>
      </c>
      <c r="O433">
        <f t="shared" si="43"/>
        <v>13168.24</v>
      </c>
      <c r="P433">
        <f t="shared" si="44"/>
        <v>0.13581244947453516</v>
      </c>
      <c r="Q433" t="s">
        <v>4136</v>
      </c>
      <c r="R433" t="s">
        <v>4142</v>
      </c>
      <c r="S433">
        <f>YEAR(marketing_data[[#This Row],[Start_date]])</f>
        <v>2023</v>
      </c>
      <c r="T433" t="str">
        <f>TEXT(marketing_data[[#This Row],[Start_date]],"ddd")</f>
        <v>Wed</v>
      </c>
      <c r="U433">
        <f>marketing_data[[#This Row],[Cleaned End_date]]-marketing_data[[#This Row],[Start_date]]</f>
        <v>24</v>
      </c>
    </row>
    <row r="434" spans="1:21" x14ac:dyDescent="0.2">
      <c r="A434" t="s">
        <v>918</v>
      </c>
      <c r="B434" t="s">
        <v>919</v>
      </c>
      <c r="C434" s="2">
        <v>45063</v>
      </c>
      <c r="D434" t="str">
        <f t="shared" si="39"/>
        <v>May</v>
      </c>
      <c r="E434" s="2">
        <v>45093</v>
      </c>
      <c r="F434" t="s">
        <v>19</v>
      </c>
      <c r="G434">
        <v>93772</v>
      </c>
      <c r="H434">
        <v>2810</v>
      </c>
      <c r="I434">
        <v>181</v>
      </c>
      <c r="J434" t="b">
        <v>1</v>
      </c>
      <c r="K434" s="10">
        <v>2135.64</v>
      </c>
      <c r="L434" s="6">
        <f t="shared" si="40"/>
        <v>2.9966301241308706E-2</v>
      </c>
      <c r="M434">
        <f t="shared" si="41"/>
        <v>0.76001423487544484</v>
      </c>
      <c r="N434">
        <f t="shared" si="42"/>
        <v>11.799116022099447</v>
      </c>
      <c r="O434">
        <f t="shared" si="43"/>
        <v>6914.3600000000006</v>
      </c>
      <c r="P434">
        <f t="shared" si="44"/>
        <v>6.4412811387900351E-2</v>
      </c>
      <c r="Q434" t="s">
        <v>4137</v>
      </c>
      <c r="R434" t="s">
        <v>4138</v>
      </c>
      <c r="S434">
        <f>YEAR(marketing_data[[#This Row],[Start_date]])</f>
        <v>2023</v>
      </c>
      <c r="T434" t="str">
        <f>TEXT(marketing_data[[#This Row],[Start_date]],"ddd")</f>
        <v>Wed</v>
      </c>
      <c r="U434">
        <f>marketing_data[[#This Row],[Cleaned End_date]]-marketing_data[[#This Row],[Start_date]]</f>
        <v>30</v>
      </c>
    </row>
    <row r="435" spans="1:21" x14ac:dyDescent="0.2">
      <c r="A435" t="s">
        <v>921</v>
      </c>
      <c r="B435" t="s">
        <v>922</v>
      </c>
      <c r="C435" s="2">
        <v>45066</v>
      </c>
      <c r="D435" t="str">
        <f t="shared" si="39"/>
        <v>May</v>
      </c>
      <c r="E435" s="2">
        <v>45094</v>
      </c>
      <c r="F435" t="s">
        <v>14</v>
      </c>
      <c r="G435">
        <v>81135</v>
      </c>
      <c r="H435">
        <v>1674</v>
      </c>
      <c r="I435">
        <v>196</v>
      </c>
      <c r="J435" t="b">
        <v>1</v>
      </c>
      <c r="K435" s="10">
        <v>2056.89</v>
      </c>
      <c r="L435" s="6">
        <f t="shared" si="40"/>
        <v>2.0632279534109815E-2</v>
      </c>
      <c r="M435">
        <f t="shared" si="41"/>
        <v>1.2287275985663082</v>
      </c>
      <c r="N435">
        <f t="shared" si="42"/>
        <v>10.494336734693876</v>
      </c>
      <c r="O435">
        <f t="shared" si="43"/>
        <v>7743.1100000000006</v>
      </c>
      <c r="P435">
        <f t="shared" si="44"/>
        <v>0.11708482676224612</v>
      </c>
      <c r="Q435" t="s">
        <v>4137</v>
      </c>
      <c r="R435" t="s">
        <v>4142</v>
      </c>
      <c r="S435">
        <f>YEAR(marketing_data[[#This Row],[Start_date]])</f>
        <v>2023</v>
      </c>
      <c r="T435" t="str">
        <f>TEXT(marketing_data[[#This Row],[Start_date]],"ddd")</f>
        <v>Sat</v>
      </c>
      <c r="U435">
        <f>marketing_data[[#This Row],[Cleaned End_date]]-marketing_data[[#This Row],[Start_date]]</f>
        <v>28</v>
      </c>
    </row>
    <row r="436" spans="1:21" x14ac:dyDescent="0.2">
      <c r="A436" t="s">
        <v>923</v>
      </c>
      <c r="B436" t="s">
        <v>924</v>
      </c>
      <c r="C436" s="2">
        <v>45100</v>
      </c>
      <c r="D436" t="str">
        <f t="shared" si="39"/>
        <v>Jun</v>
      </c>
      <c r="E436" s="2">
        <v>45107</v>
      </c>
      <c r="F436" t="s">
        <v>33</v>
      </c>
      <c r="G436">
        <v>20508</v>
      </c>
      <c r="H436">
        <v>327</v>
      </c>
      <c r="I436">
        <v>62</v>
      </c>
      <c r="J436" t="b">
        <v>1</v>
      </c>
      <c r="K436" s="10">
        <v>329.13249999999999</v>
      </c>
      <c r="L436" s="6">
        <f t="shared" si="40"/>
        <v>1.5944997074312465E-2</v>
      </c>
      <c r="M436">
        <f t="shared" si="41"/>
        <v>1.0065214067278287</v>
      </c>
      <c r="N436">
        <f t="shared" si="42"/>
        <v>5.3085887096774194</v>
      </c>
      <c r="O436">
        <f t="shared" si="43"/>
        <v>2770.8674999999998</v>
      </c>
      <c r="P436">
        <f t="shared" si="44"/>
        <v>0.18960244648318042</v>
      </c>
      <c r="Q436" t="s">
        <v>4139</v>
      </c>
      <c r="R436" t="s">
        <v>4141</v>
      </c>
      <c r="S436">
        <f>YEAR(marketing_data[[#This Row],[Start_date]])</f>
        <v>2023</v>
      </c>
      <c r="T436" t="str">
        <f>TEXT(marketing_data[[#This Row],[Start_date]],"ddd")</f>
        <v>Fri</v>
      </c>
      <c r="U436">
        <f>marketing_data[[#This Row],[Cleaned End_date]]-marketing_data[[#This Row],[Start_date]]</f>
        <v>7</v>
      </c>
    </row>
    <row r="437" spans="1:21" x14ac:dyDescent="0.2">
      <c r="A437" t="s">
        <v>925</v>
      </c>
      <c r="B437" t="s">
        <v>926</v>
      </c>
      <c r="C437" s="2">
        <v>45000</v>
      </c>
      <c r="D437" t="str">
        <f t="shared" si="39"/>
        <v>Mar</v>
      </c>
      <c r="E437" s="2">
        <v>45007</v>
      </c>
      <c r="F437" t="s">
        <v>19</v>
      </c>
      <c r="G437">
        <v>4051</v>
      </c>
      <c r="H437">
        <v>61</v>
      </c>
      <c r="I437">
        <v>11</v>
      </c>
      <c r="J437" t="b">
        <v>1</v>
      </c>
      <c r="K437" s="10">
        <v>329.13249999999999</v>
      </c>
      <c r="L437" s="6">
        <f t="shared" si="40"/>
        <v>1.5058010367810418E-2</v>
      </c>
      <c r="M437">
        <f t="shared" si="41"/>
        <v>5.3956147540983608</v>
      </c>
      <c r="N437">
        <f t="shared" si="42"/>
        <v>29.921136363636364</v>
      </c>
      <c r="O437">
        <f t="shared" si="43"/>
        <v>220.86750000000001</v>
      </c>
      <c r="P437">
        <f t="shared" si="44"/>
        <v>0.18032786885245902</v>
      </c>
      <c r="Q437" t="s">
        <v>4137</v>
      </c>
      <c r="R437" t="s">
        <v>4142</v>
      </c>
      <c r="S437">
        <f>YEAR(marketing_data[[#This Row],[Start_date]])</f>
        <v>2023</v>
      </c>
      <c r="T437" t="str">
        <f>TEXT(marketing_data[[#This Row],[Start_date]],"ddd")</f>
        <v>Wed</v>
      </c>
      <c r="U437">
        <f>marketing_data[[#This Row],[Cleaned End_date]]-marketing_data[[#This Row],[Start_date]]</f>
        <v>7</v>
      </c>
    </row>
    <row r="438" spans="1:21" x14ac:dyDescent="0.2">
      <c r="A438" t="s">
        <v>927</v>
      </c>
      <c r="B438" t="s">
        <v>928</v>
      </c>
      <c r="C438" s="2">
        <v>44999</v>
      </c>
      <c r="D438" t="str">
        <f t="shared" si="39"/>
        <v>Mar</v>
      </c>
      <c r="E438" s="2">
        <v>45024</v>
      </c>
      <c r="F438" t="s">
        <v>14</v>
      </c>
      <c r="G438">
        <v>49747</v>
      </c>
      <c r="H438">
        <v>2218</v>
      </c>
      <c r="I438">
        <v>190</v>
      </c>
      <c r="J438" t="b">
        <v>1</v>
      </c>
      <c r="K438" s="10">
        <v>3631.7599999999998</v>
      </c>
      <c r="L438" s="6">
        <f t="shared" si="40"/>
        <v>4.4585603151948865E-2</v>
      </c>
      <c r="M438">
        <f t="shared" si="41"/>
        <v>1.6374030658250676</v>
      </c>
      <c r="N438">
        <f t="shared" si="42"/>
        <v>19.114526315789472</v>
      </c>
      <c r="O438">
        <f t="shared" si="43"/>
        <v>5868.24</v>
      </c>
      <c r="P438">
        <f t="shared" si="44"/>
        <v>8.5662759242560865E-2</v>
      </c>
      <c r="Q438" t="s">
        <v>4137</v>
      </c>
      <c r="R438" t="s">
        <v>4138</v>
      </c>
      <c r="S438">
        <f>YEAR(marketing_data[[#This Row],[Start_date]])</f>
        <v>2023</v>
      </c>
      <c r="T438" t="str">
        <f>TEXT(marketing_data[[#This Row],[Start_date]],"ddd")</f>
        <v>Tue</v>
      </c>
      <c r="U438">
        <f>marketing_data[[#This Row],[Cleaned End_date]]-marketing_data[[#This Row],[Start_date]]</f>
        <v>25</v>
      </c>
    </row>
    <row r="439" spans="1:21" x14ac:dyDescent="0.2">
      <c r="A439" t="s">
        <v>929</v>
      </c>
      <c r="B439" t="s">
        <v>930</v>
      </c>
      <c r="C439" s="2">
        <v>44973</v>
      </c>
      <c r="D439" t="str">
        <f t="shared" si="39"/>
        <v>Feb</v>
      </c>
      <c r="E439" s="2">
        <v>44992</v>
      </c>
      <c r="F439" t="str">
        <f>F438</f>
        <v>TikTok</v>
      </c>
      <c r="G439">
        <v>88142</v>
      </c>
      <c r="H439">
        <v>1739</v>
      </c>
      <c r="I439">
        <v>249</v>
      </c>
      <c r="J439" t="b">
        <v>1</v>
      </c>
      <c r="K439" s="10">
        <v>1227.0999999999999</v>
      </c>
      <c r="L439" s="6">
        <f t="shared" si="40"/>
        <v>1.9729527353588527E-2</v>
      </c>
      <c r="M439">
        <f t="shared" si="41"/>
        <v>0.70563542265669921</v>
      </c>
      <c r="N439">
        <f t="shared" si="42"/>
        <v>4.9281124497991966</v>
      </c>
      <c r="O439">
        <f t="shared" si="43"/>
        <v>11222.9</v>
      </c>
      <c r="P439">
        <f t="shared" si="44"/>
        <v>0.14318573893041978</v>
      </c>
      <c r="Q439" t="s">
        <v>4138</v>
      </c>
      <c r="R439" t="s">
        <v>4142</v>
      </c>
      <c r="S439">
        <f>YEAR(marketing_data[[#This Row],[Start_date]])</f>
        <v>2023</v>
      </c>
      <c r="T439" t="str">
        <f>TEXT(marketing_data[[#This Row],[Start_date]],"ddd")</f>
        <v>Thu</v>
      </c>
      <c r="U439">
        <f>marketing_data[[#This Row],[Cleaned End_date]]-marketing_data[[#This Row],[Start_date]]</f>
        <v>19</v>
      </c>
    </row>
    <row r="440" spans="1:21" x14ac:dyDescent="0.2">
      <c r="A440" t="s">
        <v>931</v>
      </c>
      <c r="B440" t="s">
        <v>932</v>
      </c>
      <c r="C440" s="2">
        <v>45141</v>
      </c>
      <c r="D440" t="str">
        <f t="shared" si="39"/>
        <v>Aug</v>
      </c>
      <c r="E440" s="2">
        <v>45165</v>
      </c>
      <c r="F440" t="s">
        <v>41</v>
      </c>
      <c r="G440">
        <v>88235</v>
      </c>
      <c r="H440">
        <v>3182</v>
      </c>
      <c r="I440">
        <v>385</v>
      </c>
      <c r="J440" t="b">
        <v>1</v>
      </c>
      <c r="K440" s="10">
        <v>3631.7599999999998</v>
      </c>
      <c r="L440" s="6">
        <f t="shared" si="40"/>
        <v>3.6062786875956251E-2</v>
      </c>
      <c r="M440">
        <f t="shared" si="41"/>
        <v>1.1413450659962288</v>
      </c>
      <c r="N440">
        <f t="shared" si="42"/>
        <v>9.4331428571428564</v>
      </c>
      <c r="O440">
        <f t="shared" si="43"/>
        <v>15618.24</v>
      </c>
      <c r="P440">
        <f t="shared" si="44"/>
        <v>0.12099308610936518</v>
      </c>
      <c r="Q440" t="s">
        <v>4139</v>
      </c>
      <c r="R440" t="s">
        <v>4141</v>
      </c>
      <c r="S440">
        <f>YEAR(marketing_data[[#This Row],[Start_date]])</f>
        <v>2023</v>
      </c>
      <c r="T440" t="str">
        <f>TEXT(marketing_data[[#This Row],[Start_date]],"ddd")</f>
        <v>Thu</v>
      </c>
      <c r="U440">
        <f>marketing_data[[#This Row],[Cleaned End_date]]-marketing_data[[#This Row],[Start_date]]</f>
        <v>24</v>
      </c>
    </row>
    <row r="441" spans="1:21" x14ac:dyDescent="0.2">
      <c r="A441" t="s">
        <v>933</v>
      </c>
      <c r="B441" t="s">
        <v>934</v>
      </c>
      <c r="C441" s="2">
        <v>45086</v>
      </c>
      <c r="D441" t="str">
        <f t="shared" si="39"/>
        <v>Jun</v>
      </c>
      <c r="E441" s="2">
        <v>45110</v>
      </c>
      <c r="F441" t="s">
        <v>19</v>
      </c>
      <c r="G441">
        <v>55021</v>
      </c>
      <c r="H441">
        <v>2334</v>
      </c>
      <c r="I441">
        <v>423</v>
      </c>
      <c r="J441" t="b">
        <v>0</v>
      </c>
      <c r="K441" s="10">
        <v>3380.47</v>
      </c>
      <c r="L441" s="6">
        <f t="shared" si="40"/>
        <v>4.2420166845386305E-2</v>
      </c>
      <c r="M441">
        <f t="shared" si="41"/>
        <v>1.4483590402742073</v>
      </c>
      <c r="N441">
        <f t="shared" si="42"/>
        <v>7.9916548463356971</v>
      </c>
      <c r="O441">
        <f t="shared" si="43"/>
        <v>17769.53</v>
      </c>
      <c r="P441">
        <f t="shared" si="44"/>
        <v>0.18123393316195371</v>
      </c>
      <c r="Q441" t="s">
        <v>4139</v>
      </c>
      <c r="R441" t="s">
        <v>4142</v>
      </c>
      <c r="S441">
        <f>YEAR(marketing_data[[#This Row],[Start_date]])</f>
        <v>2023</v>
      </c>
      <c r="T441" t="str">
        <f>TEXT(marketing_data[[#This Row],[Start_date]],"ddd")</f>
        <v>Fri</v>
      </c>
      <c r="U441">
        <f>marketing_data[[#This Row],[Cleaned End_date]]-marketing_data[[#This Row],[Start_date]]</f>
        <v>24</v>
      </c>
    </row>
    <row r="442" spans="1:21" x14ac:dyDescent="0.2">
      <c r="A442" t="s">
        <v>935</v>
      </c>
      <c r="B442" t="s">
        <v>936</v>
      </c>
      <c r="C442" s="2">
        <v>45217</v>
      </c>
      <c r="D442" t="str">
        <f t="shared" si="39"/>
        <v>Oct</v>
      </c>
      <c r="E442" s="2">
        <v>45227</v>
      </c>
      <c r="F442" t="s">
        <v>33</v>
      </c>
      <c r="G442">
        <v>67412</v>
      </c>
      <c r="H442">
        <v>2329</v>
      </c>
      <c r="I442">
        <v>211</v>
      </c>
      <c r="J442" t="b">
        <v>1</v>
      </c>
      <c r="K442" s="10">
        <v>3203.32</v>
      </c>
      <c r="L442" s="6">
        <f t="shared" si="40"/>
        <v>3.454874503055836E-2</v>
      </c>
      <c r="M442">
        <f t="shared" si="41"/>
        <v>1.375405753542293</v>
      </c>
      <c r="N442">
        <f t="shared" si="42"/>
        <v>15.181611374407584</v>
      </c>
      <c r="O442">
        <f t="shared" si="43"/>
        <v>7346.68</v>
      </c>
      <c r="P442">
        <f t="shared" si="44"/>
        <v>9.0596822670674107E-2</v>
      </c>
      <c r="Q442" t="s">
        <v>4136</v>
      </c>
      <c r="R442" t="s">
        <v>4139</v>
      </c>
      <c r="S442">
        <f>YEAR(marketing_data[[#This Row],[Start_date]])</f>
        <v>2023</v>
      </c>
      <c r="T442" t="str">
        <f>TEXT(marketing_data[[#This Row],[Start_date]],"ddd")</f>
        <v>Wed</v>
      </c>
      <c r="U442">
        <f>marketing_data[[#This Row],[Cleaned End_date]]-marketing_data[[#This Row],[Start_date]]</f>
        <v>10</v>
      </c>
    </row>
    <row r="443" spans="1:21" x14ac:dyDescent="0.2">
      <c r="A443" t="s">
        <v>937</v>
      </c>
      <c r="B443" t="s">
        <v>938</v>
      </c>
      <c r="C443" s="2">
        <v>45006</v>
      </c>
      <c r="D443" t="str">
        <f t="shared" si="39"/>
        <v>Mar</v>
      </c>
      <c r="E443" s="2">
        <v>45033</v>
      </c>
      <c r="F443" t="s">
        <v>23</v>
      </c>
      <c r="G443">
        <v>59335</v>
      </c>
      <c r="H443">
        <v>2633</v>
      </c>
      <c r="I443">
        <v>133</v>
      </c>
      <c r="J443" t="b">
        <v>1</v>
      </c>
      <c r="K443" s="10">
        <v>2857.28</v>
      </c>
      <c r="L443" s="6">
        <f t="shared" si="40"/>
        <v>4.4375158001179742E-2</v>
      </c>
      <c r="M443">
        <f t="shared" si="41"/>
        <v>1.0851804025826055</v>
      </c>
      <c r="N443">
        <f t="shared" si="42"/>
        <v>21.483308270676694</v>
      </c>
      <c r="O443">
        <f t="shared" si="43"/>
        <v>3792.72</v>
      </c>
      <c r="P443">
        <f t="shared" si="44"/>
        <v>5.0512723129510065E-2</v>
      </c>
      <c r="Q443" t="s">
        <v>4137</v>
      </c>
      <c r="R443" t="s">
        <v>4141</v>
      </c>
      <c r="S443">
        <f>YEAR(marketing_data[[#This Row],[Start_date]])</f>
        <v>2023</v>
      </c>
      <c r="T443" t="str">
        <f>TEXT(marketing_data[[#This Row],[Start_date]],"ddd")</f>
        <v>Tue</v>
      </c>
      <c r="U443">
        <f>marketing_data[[#This Row],[Cleaned End_date]]-marketing_data[[#This Row],[Start_date]]</f>
        <v>27</v>
      </c>
    </row>
    <row r="444" spans="1:21" x14ac:dyDescent="0.2">
      <c r="A444" t="s">
        <v>939</v>
      </c>
      <c r="B444" t="s">
        <v>940</v>
      </c>
      <c r="C444" s="2">
        <v>45272</v>
      </c>
      <c r="D444" t="str">
        <f t="shared" si="39"/>
        <v>Dec</v>
      </c>
      <c r="E444" s="2">
        <v>45295</v>
      </c>
      <c r="F444" t="s">
        <v>23</v>
      </c>
      <c r="G444">
        <v>57179</v>
      </c>
      <c r="H444">
        <v>1469</v>
      </c>
      <c r="I444">
        <v>109</v>
      </c>
      <c r="J444" t="b">
        <v>1</v>
      </c>
      <c r="K444" s="10">
        <v>1517.03</v>
      </c>
      <c r="L444" s="6">
        <f t="shared" si="40"/>
        <v>2.5691250284195246E-2</v>
      </c>
      <c r="M444">
        <f t="shared" si="41"/>
        <v>1.0326957113682778</v>
      </c>
      <c r="N444">
        <f t="shared" si="42"/>
        <v>13.917706422018348</v>
      </c>
      <c r="O444">
        <f t="shared" si="43"/>
        <v>3932.9700000000003</v>
      </c>
      <c r="P444">
        <f t="shared" si="44"/>
        <v>7.4200136147038798E-2</v>
      </c>
      <c r="Q444" t="s">
        <v>4138</v>
      </c>
      <c r="R444" t="s">
        <v>4141</v>
      </c>
      <c r="S444">
        <f>YEAR(marketing_data[[#This Row],[Start_date]])</f>
        <v>2023</v>
      </c>
      <c r="T444" t="str">
        <f>TEXT(marketing_data[[#This Row],[Start_date]],"ddd")</f>
        <v>Tue</v>
      </c>
      <c r="U444">
        <f>marketing_data[[#This Row],[Cleaned End_date]]-marketing_data[[#This Row],[Start_date]]</f>
        <v>23</v>
      </c>
    </row>
    <row r="445" spans="1:21" x14ac:dyDescent="0.2">
      <c r="A445" t="s">
        <v>941</v>
      </c>
      <c r="B445" t="s">
        <v>942</v>
      </c>
      <c r="C445" s="2">
        <v>45153</v>
      </c>
      <c r="D445" t="str">
        <f t="shared" si="39"/>
        <v>Aug</v>
      </c>
      <c r="E445" s="2">
        <v>45175</v>
      </c>
      <c r="F445" t="s">
        <v>41</v>
      </c>
      <c r="G445">
        <v>33093</v>
      </c>
      <c r="H445">
        <v>1596</v>
      </c>
      <c r="I445">
        <v>163</v>
      </c>
      <c r="J445" t="b">
        <v>1</v>
      </c>
      <c r="K445" s="10">
        <v>906.33</v>
      </c>
      <c r="L445" s="6">
        <f t="shared" si="40"/>
        <v>4.822772187471671E-2</v>
      </c>
      <c r="M445">
        <f t="shared" si="41"/>
        <v>0.56787593984962403</v>
      </c>
      <c r="N445">
        <f t="shared" si="42"/>
        <v>5.5603067484662576</v>
      </c>
      <c r="O445">
        <f t="shared" si="43"/>
        <v>7243.67</v>
      </c>
      <c r="P445">
        <f t="shared" si="44"/>
        <v>0.10213032581453634</v>
      </c>
      <c r="Q445" t="s">
        <v>4139</v>
      </c>
      <c r="R445" t="s">
        <v>4142</v>
      </c>
      <c r="S445">
        <f>YEAR(marketing_data[[#This Row],[Start_date]])</f>
        <v>2023</v>
      </c>
      <c r="T445" t="str">
        <f>TEXT(marketing_data[[#This Row],[Start_date]],"ddd")</f>
        <v>Tue</v>
      </c>
      <c r="U445">
        <f>marketing_data[[#This Row],[Cleaned End_date]]-marketing_data[[#This Row],[Start_date]]</f>
        <v>22</v>
      </c>
    </row>
    <row r="446" spans="1:21" x14ac:dyDescent="0.2">
      <c r="A446" t="s">
        <v>943</v>
      </c>
      <c r="B446" t="s">
        <v>944</v>
      </c>
      <c r="C446" s="2">
        <v>45153</v>
      </c>
      <c r="D446" t="str">
        <f t="shared" si="39"/>
        <v>Aug</v>
      </c>
      <c r="E446" s="2">
        <v>45160</v>
      </c>
      <c r="F446" t="s">
        <v>41</v>
      </c>
      <c r="G446">
        <v>70678</v>
      </c>
      <c r="H446">
        <v>1083</v>
      </c>
      <c r="I446">
        <v>105</v>
      </c>
      <c r="J446" t="b">
        <v>1</v>
      </c>
      <c r="K446" s="10">
        <v>895.49</v>
      </c>
      <c r="L446" s="6">
        <f t="shared" si="40"/>
        <v>1.5323014233566315E-2</v>
      </c>
      <c r="M446">
        <f t="shared" si="41"/>
        <v>0.82686057248384115</v>
      </c>
      <c r="N446">
        <f t="shared" si="42"/>
        <v>8.5284761904761908</v>
      </c>
      <c r="O446">
        <f t="shared" si="43"/>
        <v>4354.51</v>
      </c>
      <c r="P446">
        <f t="shared" si="44"/>
        <v>9.6952908587257622E-2</v>
      </c>
      <c r="Q446" t="s">
        <v>4139</v>
      </c>
      <c r="R446" t="s">
        <v>4142</v>
      </c>
      <c r="S446">
        <f>YEAR(marketing_data[[#This Row],[Start_date]])</f>
        <v>2023</v>
      </c>
      <c r="T446" t="str">
        <f>TEXT(marketing_data[[#This Row],[Start_date]],"ddd")</f>
        <v>Tue</v>
      </c>
      <c r="U446">
        <f>marketing_data[[#This Row],[Cleaned End_date]]-marketing_data[[#This Row],[Start_date]]</f>
        <v>7</v>
      </c>
    </row>
    <row r="447" spans="1:21" x14ac:dyDescent="0.2">
      <c r="A447" t="s">
        <v>945</v>
      </c>
      <c r="B447" t="s">
        <v>946</v>
      </c>
      <c r="C447" s="2">
        <v>45189</v>
      </c>
      <c r="D447" t="str">
        <f t="shared" si="39"/>
        <v>Sep</v>
      </c>
      <c r="E447" s="2">
        <v>45218</v>
      </c>
      <c r="F447" t="s">
        <v>41</v>
      </c>
      <c r="G447">
        <v>81738</v>
      </c>
      <c r="H447">
        <v>1151</v>
      </c>
      <c r="I447">
        <v>194</v>
      </c>
      <c r="J447" t="b">
        <v>1</v>
      </c>
      <c r="K447" s="10">
        <v>601.70000000000005</v>
      </c>
      <c r="L447" s="6">
        <f t="shared" si="40"/>
        <v>1.4081577723947246E-2</v>
      </c>
      <c r="M447">
        <f t="shared" si="41"/>
        <v>0.52276281494352739</v>
      </c>
      <c r="N447">
        <f t="shared" si="42"/>
        <v>3.1015463917525774</v>
      </c>
      <c r="O447">
        <f t="shared" si="43"/>
        <v>9098.2999999999993</v>
      </c>
      <c r="P447">
        <f t="shared" si="44"/>
        <v>0.16854908774978281</v>
      </c>
      <c r="Q447" t="s">
        <v>4136</v>
      </c>
      <c r="R447" t="s">
        <v>4142</v>
      </c>
      <c r="S447">
        <f>YEAR(marketing_data[[#This Row],[Start_date]])</f>
        <v>2023</v>
      </c>
      <c r="T447" t="str">
        <f>TEXT(marketing_data[[#This Row],[Start_date]],"ddd")</f>
        <v>Wed</v>
      </c>
      <c r="U447">
        <f>marketing_data[[#This Row],[Cleaned End_date]]-marketing_data[[#This Row],[Start_date]]</f>
        <v>29</v>
      </c>
    </row>
    <row r="448" spans="1:21" x14ac:dyDescent="0.2">
      <c r="A448" t="s">
        <v>947</v>
      </c>
      <c r="B448" t="s">
        <v>948</v>
      </c>
      <c r="C448" s="2">
        <v>45072</v>
      </c>
      <c r="D448" t="str">
        <f t="shared" si="39"/>
        <v>May</v>
      </c>
      <c r="E448" s="2">
        <v>45091</v>
      </c>
      <c r="F448" t="s">
        <v>23</v>
      </c>
      <c r="G448">
        <v>40734</v>
      </c>
      <c r="H448">
        <v>1480</v>
      </c>
      <c r="I448">
        <v>225</v>
      </c>
      <c r="J448" t="b">
        <v>1</v>
      </c>
      <c r="K448" s="10">
        <v>2030.75</v>
      </c>
      <c r="L448" s="6">
        <f t="shared" si="40"/>
        <v>3.6333284234300586E-2</v>
      </c>
      <c r="M448">
        <f t="shared" si="41"/>
        <v>1.3721283783783784</v>
      </c>
      <c r="N448">
        <f t="shared" si="42"/>
        <v>9.025555555555556</v>
      </c>
      <c r="O448">
        <f t="shared" si="43"/>
        <v>9219.25</v>
      </c>
      <c r="P448">
        <f t="shared" si="44"/>
        <v>0.15202702702702703</v>
      </c>
      <c r="Q448" t="s">
        <v>4137</v>
      </c>
      <c r="R448" t="s">
        <v>4142</v>
      </c>
      <c r="S448">
        <f>YEAR(marketing_data[[#This Row],[Start_date]])</f>
        <v>2023</v>
      </c>
      <c r="T448" t="str">
        <f>TEXT(marketing_data[[#This Row],[Start_date]],"ddd")</f>
        <v>Fri</v>
      </c>
      <c r="U448">
        <f>marketing_data[[#This Row],[Cleaned End_date]]-marketing_data[[#This Row],[Start_date]]</f>
        <v>19</v>
      </c>
    </row>
    <row r="449" spans="1:21" x14ac:dyDescent="0.2">
      <c r="A449" t="s">
        <v>949</v>
      </c>
      <c r="B449" t="s">
        <v>950</v>
      </c>
      <c r="C449" s="2">
        <v>45196</v>
      </c>
      <c r="D449" t="str">
        <f t="shared" si="39"/>
        <v>Sep</v>
      </c>
      <c r="E449" s="2">
        <v>45223</v>
      </c>
      <c r="F449" t="str">
        <f>F448</f>
        <v>Email</v>
      </c>
      <c r="G449">
        <v>73615</v>
      </c>
      <c r="H449">
        <v>3512</v>
      </c>
      <c r="J449" t="b">
        <v>1</v>
      </c>
      <c r="K449" s="10">
        <v>2313.63</v>
      </c>
      <c r="L449" s="6">
        <f t="shared" si="40"/>
        <v>4.7707668274128916E-2</v>
      </c>
      <c r="M449">
        <f t="shared" si="41"/>
        <v>0.65877847380410026</v>
      </c>
      <c r="N449">
        <f t="shared" si="42"/>
        <v>0</v>
      </c>
      <c r="O449">
        <f t="shared" si="43"/>
        <v>-2313.63</v>
      </c>
      <c r="P449">
        <f t="shared" si="44"/>
        <v>0</v>
      </c>
      <c r="Q449" t="s">
        <v>4136</v>
      </c>
      <c r="R449" t="s">
        <v>4141</v>
      </c>
      <c r="S449">
        <f>YEAR(marketing_data[[#This Row],[Start_date]])</f>
        <v>2023</v>
      </c>
      <c r="T449" t="str">
        <f>TEXT(marketing_data[[#This Row],[Start_date]],"ddd")</f>
        <v>Wed</v>
      </c>
      <c r="U449">
        <f>marketing_data[[#This Row],[Cleaned End_date]]-marketing_data[[#This Row],[Start_date]]</f>
        <v>27</v>
      </c>
    </row>
    <row r="450" spans="1:21" x14ac:dyDescent="0.2">
      <c r="A450" t="s">
        <v>951</v>
      </c>
      <c r="B450" t="s">
        <v>952</v>
      </c>
      <c r="C450" s="2">
        <v>45129</v>
      </c>
      <c r="D450" t="str">
        <f t="shared" si="39"/>
        <v>Jul</v>
      </c>
      <c r="E450" s="2">
        <v>45139</v>
      </c>
      <c r="F450" t="s">
        <v>23</v>
      </c>
      <c r="G450">
        <v>74523</v>
      </c>
      <c r="H450">
        <v>3156</v>
      </c>
      <c r="I450">
        <v>374</v>
      </c>
      <c r="J450" t="b">
        <v>0</v>
      </c>
      <c r="K450" s="10">
        <v>3631.7599999999998</v>
      </c>
      <c r="L450" s="6">
        <f t="shared" si="40"/>
        <v>4.2349341813936639E-2</v>
      </c>
      <c r="M450">
        <f t="shared" si="41"/>
        <v>1.1507477820025347</v>
      </c>
      <c r="N450">
        <f t="shared" si="42"/>
        <v>9.7105882352941162</v>
      </c>
      <c r="O450">
        <f t="shared" si="43"/>
        <v>15068.24</v>
      </c>
      <c r="P450">
        <f t="shared" si="44"/>
        <v>0.1185044359949303</v>
      </c>
      <c r="Q450" t="s">
        <v>4139</v>
      </c>
      <c r="R450" t="s">
        <v>4138</v>
      </c>
      <c r="S450">
        <f>YEAR(marketing_data[[#This Row],[Start_date]])</f>
        <v>2023</v>
      </c>
      <c r="T450" t="str">
        <f>TEXT(marketing_data[[#This Row],[Start_date]],"ddd")</f>
        <v>Sat</v>
      </c>
      <c r="U450">
        <f>marketing_data[[#This Row],[Cleaned End_date]]-marketing_data[[#This Row],[Start_date]]</f>
        <v>10</v>
      </c>
    </row>
    <row r="451" spans="1:21" x14ac:dyDescent="0.2">
      <c r="A451" t="s">
        <v>953</v>
      </c>
      <c r="B451" t="s">
        <v>954</v>
      </c>
      <c r="C451" s="2">
        <v>45031</v>
      </c>
      <c r="D451" t="str">
        <f t="shared" ref="D451:D514" si="45">TEXT(C451,"mmm")</f>
        <v>Apr</v>
      </c>
      <c r="E451" s="2">
        <v>45043</v>
      </c>
      <c r="F451" t="s">
        <v>14</v>
      </c>
      <c r="G451">
        <v>95476</v>
      </c>
      <c r="H451">
        <v>1246</v>
      </c>
      <c r="I451">
        <v>80</v>
      </c>
      <c r="J451" t="b">
        <v>1</v>
      </c>
      <c r="K451" s="10">
        <v>1600.75</v>
      </c>
      <c r="L451" s="6">
        <f t="shared" ref="L451:L514" si="46">H451/G451</f>
        <v>1.305040010054883E-2</v>
      </c>
      <c r="M451">
        <f t="shared" ref="M451:M514" si="47">K451/H451</f>
        <v>1.2847110754414126</v>
      </c>
      <c r="N451">
        <f t="shared" ref="N451:N514" si="48">IFERROR(K451/I451,0)</f>
        <v>20.009374999999999</v>
      </c>
      <c r="O451">
        <f t="shared" ref="O451:O514" si="49">(50*I451)-K451</f>
        <v>2399.25</v>
      </c>
      <c r="P451">
        <f t="shared" ref="P451:P514" si="50">I451/H451</f>
        <v>6.4205457463884424E-2</v>
      </c>
      <c r="Q451" t="s">
        <v>4137</v>
      </c>
      <c r="R451" t="s">
        <v>4139</v>
      </c>
      <c r="S451">
        <f>YEAR(marketing_data[[#This Row],[Start_date]])</f>
        <v>2023</v>
      </c>
      <c r="T451" t="str">
        <f>TEXT(marketing_data[[#This Row],[Start_date]],"ddd")</f>
        <v>Sat</v>
      </c>
      <c r="U451">
        <f>marketing_data[[#This Row],[Cleaned End_date]]-marketing_data[[#This Row],[Start_date]]</f>
        <v>12</v>
      </c>
    </row>
    <row r="452" spans="1:21" x14ac:dyDescent="0.2">
      <c r="A452" t="s">
        <v>955</v>
      </c>
      <c r="B452" t="s">
        <v>956</v>
      </c>
      <c r="C452" s="2">
        <v>44997</v>
      </c>
      <c r="D452" t="str">
        <f t="shared" si="45"/>
        <v>Mar</v>
      </c>
      <c r="E452" s="2">
        <v>45012</v>
      </c>
      <c r="F452" t="str">
        <f>F451</f>
        <v>TikTok</v>
      </c>
      <c r="G452">
        <v>18019</v>
      </c>
      <c r="H452">
        <v>381</v>
      </c>
      <c r="I452">
        <v>70</v>
      </c>
      <c r="J452" t="b">
        <v>1</v>
      </c>
      <c r="K452" s="10">
        <v>590.37</v>
      </c>
      <c r="L452" s="6">
        <f t="shared" si="46"/>
        <v>2.1144347633053999E-2</v>
      </c>
      <c r="M452">
        <f t="shared" si="47"/>
        <v>1.5495275590551181</v>
      </c>
      <c r="N452">
        <f t="shared" si="48"/>
        <v>8.4338571428571427</v>
      </c>
      <c r="O452">
        <f t="shared" si="49"/>
        <v>2909.63</v>
      </c>
      <c r="P452">
        <f t="shared" si="50"/>
        <v>0.18372703412073491</v>
      </c>
      <c r="Q452" t="s">
        <v>4137</v>
      </c>
      <c r="R452" t="s">
        <v>4141</v>
      </c>
      <c r="S452">
        <f>YEAR(marketing_data[[#This Row],[Start_date]])</f>
        <v>2023</v>
      </c>
      <c r="T452" t="str">
        <f>TEXT(marketing_data[[#This Row],[Start_date]],"ddd")</f>
        <v>Sun</v>
      </c>
      <c r="U452">
        <f>marketing_data[[#This Row],[Cleaned End_date]]-marketing_data[[#This Row],[Start_date]]</f>
        <v>15</v>
      </c>
    </row>
    <row r="453" spans="1:21" x14ac:dyDescent="0.2">
      <c r="A453" t="s">
        <v>957</v>
      </c>
      <c r="B453" t="s">
        <v>958</v>
      </c>
      <c r="C453" s="2">
        <v>44988</v>
      </c>
      <c r="D453" t="str">
        <f t="shared" si="45"/>
        <v>Mar</v>
      </c>
      <c r="E453" s="2">
        <v>44990</v>
      </c>
      <c r="F453" t="s">
        <v>33</v>
      </c>
      <c r="G453">
        <v>84613</v>
      </c>
      <c r="H453">
        <v>3994</v>
      </c>
      <c r="I453">
        <v>760</v>
      </c>
      <c r="J453" t="b">
        <v>1</v>
      </c>
      <c r="K453" s="10">
        <v>3631.7599999999998</v>
      </c>
      <c r="L453" s="6">
        <f t="shared" si="46"/>
        <v>4.7203148452365479E-2</v>
      </c>
      <c r="M453">
        <f t="shared" si="47"/>
        <v>0.90930395593390079</v>
      </c>
      <c r="N453">
        <f t="shared" si="48"/>
        <v>4.7786315789473681</v>
      </c>
      <c r="O453">
        <f t="shared" si="49"/>
        <v>34368.239999999998</v>
      </c>
      <c r="P453">
        <f t="shared" si="50"/>
        <v>0.19028542814221333</v>
      </c>
      <c r="Q453" t="s">
        <v>4137</v>
      </c>
      <c r="R453" t="s">
        <v>4139</v>
      </c>
      <c r="S453">
        <f>YEAR(marketing_data[[#This Row],[Start_date]])</f>
        <v>2023</v>
      </c>
      <c r="T453" t="str">
        <f>TEXT(marketing_data[[#This Row],[Start_date]],"ddd")</f>
        <v>Fri</v>
      </c>
      <c r="U453">
        <f>marketing_data[[#This Row],[Cleaned End_date]]-marketing_data[[#This Row],[Start_date]]</f>
        <v>2</v>
      </c>
    </row>
    <row r="454" spans="1:21" x14ac:dyDescent="0.2">
      <c r="A454" t="s">
        <v>959</v>
      </c>
      <c r="B454" t="s">
        <v>960</v>
      </c>
      <c r="C454" s="2">
        <v>45147</v>
      </c>
      <c r="D454" t="str">
        <f t="shared" si="45"/>
        <v>Aug</v>
      </c>
      <c r="E454" s="2">
        <v>45168</v>
      </c>
      <c r="F454" t="s">
        <v>33</v>
      </c>
      <c r="G454">
        <v>92794</v>
      </c>
      <c r="H454">
        <v>1867</v>
      </c>
      <c r="I454">
        <v>367</v>
      </c>
      <c r="J454" t="b">
        <v>1</v>
      </c>
      <c r="K454" s="10">
        <v>2503.4</v>
      </c>
      <c r="L454" s="6">
        <f t="shared" si="46"/>
        <v>2.0119835334181088E-2</v>
      </c>
      <c r="M454">
        <f t="shared" si="47"/>
        <v>1.3408677021960365</v>
      </c>
      <c r="N454">
        <f t="shared" si="48"/>
        <v>6.8212534059945504</v>
      </c>
      <c r="O454">
        <f t="shared" si="49"/>
        <v>15846.6</v>
      </c>
      <c r="P454">
        <f t="shared" si="50"/>
        <v>0.19657204070701662</v>
      </c>
      <c r="Q454" t="s">
        <v>4139</v>
      </c>
      <c r="R454" t="s">
        <v>4142</v>
      </c>
      <c r="S454">
        <f>YEAR(marketing_data[[#This Row],[Start_date]])</f>
        <v>2023</v>
      </c>
      <c r="T454" t="str">
        <f>TEXT(marketing_data[[#This Row],[Start_date]],"ddd")</f>
        <v>Wed</v>
      </c>
      <c r="U454">
        <f>marketing_data[[#This Row],[Cleaned End_date]]-marketing_data[[#This Row],[Start_date]]</f>
        <v>21</v>
      </c>
    </row>
    <row r="455" spans="1:21" x14ac:dyDescent="0.2">
      <c r="A455" t="s">
        <v>961</v>
      </c>
      <c r="B455" t="s">
        <v>962</v>
      </c>
      <c r="C455" s="2">
        <v>45287</v>
      </c>
      <c r="D455" t="str">
        <f t="shared" si="45"/>
        <v>Dec</v>
      </c>
      <c r="E455" s="2">
        <v>45308</v>
      </c>
      <c r="F455" t="s">
        <v>23</v>
      </c>
      <c r="G455">
        <v>87672</v>
      </c>
      <c r="H455">
        <v>3616</v>
      </c>
      <c r="I455">
        <v>651</v>
      </c>
      <c r="J455" t="b">
        <v>1</v>
      </c>
      <c r="K455" s="10">
        <v>3631.7599999999998</v>
      </c>
      <c r="L455" s="6">
        <f t="shared" si="46"/>
        <v>4.1244639109407795E-2</v>
      </c>
      <c r="M455">
        <f t="shared" si="47"/>
        <v>1.0043584070796459</v>
      </c>
      <c r="N455">
        <f t="shared" si="48"/>
        <v>5.57874039938556</v>
      </c>
      <c r="O455">
        <f t="shared" si="49"/>
        <v>28918.240000000002</v>
      </c>
      <c r="P455">
        <f t="shared" si="50"/>
        <v>0.18003318584070796</v>
      </c>
      <c r="Q455" t="s">
        <v>4138</v>
      </c>
      <c r="R455" t="s">
        <v>4139</v>
      </c>
      <c r="S455">
        <f>YEAR(marketing_data[[#This Row],[Start_date]])</f>
        <v>2023</v>
      </c>
      <c r="T455" t="str">
        <f>TEXT(marketing_data[[#This Row],[Start_date]],"ddd")</f>
        <v>Wed</v>
      </c>
      <c r="U455">
        <f>marketing_data[[#This Row],[Cleaned End_date]]-marketing_data[[#This Row],[Start_date]]</f>
        <v>21</v>
      </c>
    </row>
    <row r="456" spans="1:21" x14ac:dyDescent="0.2">
      <c r="A456" t="s">
        <v>963</v>
      </c>
      <c r="B456" t="s">
        <v>964</v>
      </c>
      <c r="C456" s="2">
        <v>45269</v>
      </c>
      <c r="D456" t="str">
        <f t="shared" si="45"/>
        <v>Dec</v>
      </c>
      <c r="E456" s="2">
        <v>45299</v>
      </c>
      <c r="F456" t="s">
        <v>23</v>
      </c>
      <c r="G456">
        <v>74847</v>
      </c>
      <c r="H456">
        <v>3218</v>
      </c>
      <c r="I456">
        <v>244</v>
      </c>
      <c r="J456" t="b">
        <v>0</v>
      </c>
      <c r="K456" s="10">
        <v>2008.36</v>
      </c>
      <c r="L456" s="6">
        <f t="shared" si="46"/>
        <v>4.2994375192058468E-2</v>
      </c>
      <c r="M456">
        <f t="shared" si="47"/>
        <v>0.62410192666252329</v>
      </c>
      <c r="N456">
        <f t="shared" si="48"/>
        <v>8.2309836065573769</v>
      </c>
      <c r="O456">
        <f t="shared" si="49"/>
        <v>10191.64</v>
      </c>
      <c r="P456">
        <f t="shared" si="50"/>
        <v>7.5823492852703539E-2</v>
      </c>
      <c r="Q456" t="s">
        <v>4138</v>
      </c>
      <c r="R456" t="s">
        <v>4138</v>
      </c>
      <c r="S456">
        <f>YEAR(marketing_data[[#This Row],[Start_date]])</f>
        <v>2023</v>
      </c>
      <c r="T456" t="str">
        <f>TEXT(marketing_data[[#This Row],[Start_date]],"ddd")</f>
        <v>Sat</v>
      </c>
      <c r="U456">
        <f>marketing_data[[#This Row],[Cleaned End_date]]-marketing_data[[#This Row],[Start_date]]</f>
        <v>30</v>
      </c>
    </row>
    <row r="457" spans="1:21" x14ac:dyDescent="0.2">
      <c r="A457" t="s">
        <v>965</v>
      </c>
      <c r="B457" t="s">
        <v>966</v>
      </c>
      <c r="C457" s="2">
        <v>44948</v>
      </c>
      <c r="D457" t="str">
        <f t="shared" si="45"/>
        <v>Jan</v>
      </c>
      <c r="E457" s="2">
        <v>44967</v>
      </c>
      <c r="F457" t="s">
        <v>23</v>
      </c>
      <c r="G457">
        <v>83750</v>
      </c>
      <c r="H457">
        <v>2497</v>
      </c>
      <c r="I457">
        <v>142</v>
      </c>
      <c r="J457" t="b">
        <v>1</v>
      </c>
      <c r="K457" s="10">
        <v>2199.62</v>
      </c>
      <c r="L457" s="6">
        <f t="shared" si="46"/>
        <v>2.9814925373134328E-2</v>
      </c>
      <c r="M457">
        <f t="shared" si="47"/>
        <v>0.88090508610332396</v>
      </c>
      <c r="N457">
        <f t="shared" si="48"/>
        <v>15.490281690140844</v>
      </c>
      <c r="O457">
        <f t="shared" si="49"/>
        <v>4900.38</v>
      </c>
      <c r="P457">
        <f t="shared" si="50"/>
        <v>5.6868241890268324E-2</v>
      </c>
      <c r="Q457" t="s">
        <v>4138</v>
      </c>
      <c r="R457" t="s">
        <v>4142</v>
      </c>
      <c r="S457">
        <f>YEAR(marketing_data[[#This Row],[Start_date]])</f>
        <v>2023</v>
      </c>
      <c r="T457" t="str">
        <f>TEXT(marketing_data[[#This Row],[Start_date]],"ddd")</f>
        <v>Sun</v>
      </c>
      <c r="U457">
        <f>marketing_data[[#This Row],[Cleaned End_date]]-marketing_data[[#This Row],[Start_date]]</f>
        <v>19</v>
      </c>
    </row>
    <row r="458" spans="1:21" x14ac:dyDescent="0.2">
      <c r="A458" t="s">
        <v>967</v>
      </c>
      <c r="B458" t="s">
        <v>968</v>
      </c>
      <c r="C458" s="2">
        <v>44966</v>
      </c>
      <c r="D458" t="str">
        <f t="shared" si="45"/>
        <v>Feb</v>
      </c>
      <c r="E458" s="2">
        <v>44995</v>
      </c>
      <c r="F458" t="s">
        <v>19</v>
      </c>
      <c r="G458">
        <v>80634</v>
      </c>
      <c r="H458">
        <v>2052</v>
      </c>
      <c r="I458">
        <v>280</v>
      </c>
      <c r="J458" t="b">
        <v>0</v>
      </c>
      <c r="K458" s="10">
        <v>3426.8</v>
      </c>
      <c r="L458" s="6">
        <f t="shared" si="46"/>
        <v>2.5448322047771411E-2</v>
      </c>
      <c r="M458">
        <f t="shared" si="47"/>
        <v>1.6699805068226121</v>
      </c>
      <c r="N458">
        <f t="shared" si="48"/>
        <v>12.238571428571429</v>
      </c>
      <c r="O458">
        <f t="shared" si="49"/>
        <v>10573.2</v>
      </c>
      <c r="P458">
        <f t="shared" si="50"/>
        <v>0.1364522417153996</v>
      </c>
      <c r="Q458" t="s">
        <v>4138</v>
      </c>
      <c r="R458" t="s">
        <v>4139</v>
      </c>
      <c r="S458">
        <f>YEAR(marketing_data[[#This Row],[Start_date]])</f>
        <v>2023</v>
      </c>
      <c r="T458" t="str">
        <f>TEXT(marketing_data[[#This Row],[Start_date]],"ddd")</f>
        <v>Thu</v>
      </c>
      <c r="U458">
        <f>marketing_data[[#This Row],[Cleaned End_date]]-marketing_data[[#This Row],[Start_date]]</f>
        <v>29</v>
      </c>
    </row>
    <row r="459" spans="1:21" x14ac:dyDescent="0.2">
      <c r="A459" t="s">
        <v>969</v>
      </c>
      <c r="B459" t="s">
        <v>970</v>
      </c>
      <c r="C459" s="2">
        <v>45220</v>
      </c>
      <c r="D459" t="str">
        <f t="shared" si="45"/>
        <v>Oct</v>
      </c>
      <c r="E459" s="2">
        <v>45249</v>
      </c>
      <c r="F459" t="s">
        <v>19</v>
      </c>
      <c r="G459">
        <v>29251</v>
      </c>
      <c r="H459">
        <v>819</v>
      </c>
      <c r="I459">
        <v>153</v>
      </c>
      <c r="J459" t="b">
        <v>1</v>
      </c>
      <c r="K459" s="10">
        <v>530.79999999999995</v>
      </c>
      <c r="L459" s="6">
        <f t="shared" si="46"/>
        <v>2.7999042767768625E-2</v>
      </c>
      <c r="M459">
        <f t="shared" si="47"/>
        <v>0.64810744810744803</v>
      </c>
      <c r="N459">
        <f t="shared" si="48"/>
        <v>3.4692810457516337</v>
      </c>
      <c r="O459">
        <f t="shared" si="49"/>
        <v>7119.2</v>
      </c>
      <c r="P459">
        <f t="shared" si="50"/>
        <v>0.18681318681318682</v>
      </c>
      <c r="Q459" t="s">
        <v>4136</v>
      </c>
      <c r="R459" t="s">
        <v>4138</v>
      </c>
      <c r="S459">
        <f>YEAR(marketing_data[[#This Row],[Start_date]])</f>
        <v>2023</v>
      </c>
      <c r="T459" t="str">
        <f>TEXT(marketing_data[[#This Row],[Start_date]],"ddd")</f>
        <v>Sat</v>
      </c>
      <c r="U459">
        <f>marketing_data[[#This Row],[Cleaned End_date]]-marketing_data[[#This Row],[Start_date]]</f>
        <v>29</v>
      </c>
    </row>
    <row r="460" spans="1:21" x14ac:dyDescent="0.2">
      <c r="A460" t="s">
        <v>971</v>
      </c>
      <c r="B460" t="s">
        <v>972</v>
      </c>
      <c r="C460" s="2">
        <v>45075</v>
      </c>
      <c r="D460" t="str">
        <f t="shared" si="45"/>
        <v>May</v>
      </c>
      <c r="E460" s="2">
        <v>45102</v>
      </c>
      <c r="F460" t="s">
        <v>33</v>
      </c>
      <c r="G460">
        <v>26945</v>
      </c>
      <c r="H460">
        <v>514</v>
      </c>
      <c r="I460">
        <v>39</v>
      </c>
      <c r="J460" t="b">
        <v>1</v>
      </c>
      <c r="K460" s="10">
        <v>329.13249999999999</v>
      </c>
      <c r="L460" s="6">
        <f t="shared" si="46"/>
        <v>1.9075895342364074E-2</v>
      </c>
      <c r="M460">
        <f t="shared" si="47"/>
        <v>0.64033560311284043</v>
      </c>
      <c r="N460">
        <f t="shared" si="48"/>
        <v>8.4392948717948713</v>
      </c>
      <c r="O460">
        <f t="shared" si="49"/>
        <v>1620.8675000000001</v>
      </c>
      <c r="P460">
        <f t="shared" si="50"/>
        <v>7.5875486381322951E-2</v>
      </c>
      <c r="Q460" t="s">
        <v>4137</v>
      </c>
      <c r="R460" t="s">
        <v>4141</v>
      </c>
      <c r="S460">
        <f>YEAR(marketing_data[[#This Row],[Start_date]])</f>
        <v>2023</v>
      </c>
      <c r="T460" t="str">
        <f>TEXT(marketing_data[[#This Row],[Start_date]],"ddd")</f>
        <v>Mon</v>
      </c>
      <c r="U460">
        <f>marketing_data[[#This Row],[Cleaned End_date]]-marketing_data[[#This Row],[Start_date]]</f>
        <v>27</v>
      </c>
    </row>
    <row r="461" spans="1:21" x14ac:dyDescent="0.2">
      <c r="A461" t="s">
        <v>973</v>
      </c>
      <c r="B461" t="s">
        <v>974</v>
      </c>
      <c r="C461" s="2">
        <v>45093</v>
      </c>
      <c r="D461" t="str">
        <f t="shared" si="45"/>
        <v>Jun</v>
      </c>
      <c r="E461" s="2">
        <v>45102</v>
      </c>
      <c r="F461" t="s">
        <v>14</v>
      </c>
      <c r="G461">
        <v>91852</v>
      </c>
      <c r="H461">
        <v>4186</v>
      </c>
      <c r="J461" t="b">
        <v>0</v>
      </c>
      <c r="K461" s="10">
        <v>3631.7599999999998</v>
      </c>
      <c r="L461" s="6">
        <f t="shared" si="46"/>
        <v>4.5573313591429694E-2</v>
      </c>
      <c r="M461">
        <f t="shared" si="47"/>
        <v>0.86759675107501188</v>
      </c>
      <c r="N461">
        <f t="shared" si="48"/>
        <v>0</v>
      </c>
      <c r="O461">
        <f t="shared" si="49"/>
        <v>-3631.7599999999998</v>
      </c>
      <c r="P461">
        <f t="shared" si="50"/>
        <v>0</v>
      </c>
      <c r="Q461" t="s">
        <v>4139</v>
      </c>
      <c r="R461" t="s">
        <v>4142</v>
      </c>
      <c r="S461">
        <f>YEAR(marketing_data[[#This Row],[Start_date]])</f>
        <v>2023</v>
      </c>
      <c r="T461" t="str">
        <f>TEXT(marketing_data[[#This Row],[Start_date]],"ddd")</f>
        <v>Fri</v>
      </c>
      <c r="U461">
        <f>marketing_data[[#This Row],[Cleaned End_date]]-marketing_data[[#This Row],[Start_date]]</f>
        <v>9</v>
      </c>
    </row>
    <row r="462" spans="1:21" x14ac:dyDescent="0.2">
      <c r="A462" t="s">
        <v>975</v>
      </c>
      <c r="B462" t="s">
        <v>976</v>
      </c>
      <c r="C462" s="2">
        <v>45162</v>
      </c>
      <c r="D462" t="str">
        <f t="shared" si="45"/>
        <v>Aug</v>
      </c>
      <c r="E462" s="2">
        <v>45169</v>
      </c>
      <c r="F462" t="str">
        <f>F461</f>
        <v>TikTok</v>
      </c>
      <c r="G462">
        <v>33217</v>
      </c>
      <c r="H462">
        <v>930</v>
      </c>
      <c r="I462">
        <v>158</v>
      </c>
      <c r="J462" t="b">
        <v>1</v>
      </c>
      <c r="K462" s="10">
        <v>593.57000000000005</v>
      </c>
      <c r="L462" s="6">
        <f t="shared" si="46"/>
        <v>2.7997712014932112E-2</v>
      </c>
      <c r="M462">
        <f t="shared" si="47"/>
        <v>0.63824731182795702</v>
      </c>
      <c r="N462">
        <f t="shared" si="48"/>
        <v>3.7567721518987347</v>
      </c>
      <c r="O462">
        <f t="shared" si="49"/>
        <v>7306.43</v>
      </c>
      <c r="P462">
        <f t="shared" si="50"/>
        <v>0.16989247311827957</v>
      </c>
      <c r="Q462" t="s">
        <v>4139</v>
      </c>
      <c r="R462" t="s">
        <v>4139</v>
      </c>
      <c r="S462">
        <f>YEAR(marketing_data[[#This Row],[Start_date]])</f>
        <v>2023</v>
      </c>
      <c r="T462" t="str">
        <f>TEXT(marketing_data[[#This Row],[Start_date]],"ddd")</f>
        <v>Thu</v>
      </c>
      <c r="U462">
        <f>marketing_data[[#This Row],[Cleaned End_date]]-marketing_data[[#This Row],[Start_date]]</f>
        <v>7</v>
      </c>
    </row>
    <row r="463" spans="1:21" x14ac:dyDescent="0.2">
      <c r="A463" t="s">
        <v>977</v>
      </c>
      <c r="B463" t="s">
        <v>978</v>
      </c>
      <c r="C463" s="2">
        <v>44972</v>
      </c>
      <c r="D463" t="str">
        <f t="shared" si="45"/>
        <v>Feb</v>
      </c>
      <c r="E463" s="2">
        <v>44989</v>
      </c>
      <c r="F463" t="s">
        <v>14</v>
      </c>
      <c r="G463">
        <v>9308</v>
      </c>
      <c r="H463">
        <v>421</v>
      </c>
      <c r="I463">
        <v>25</v>
      </c>
      <c r="J463" t="b">
        <v>0</v>
      </c>
      <c r="K463" s="10">
        <v>579.98</v>
      </c>
      <c r="L463" s="6">
        <f t="shared" si="46"/>
        <v>4.5229909755049418E-2</v>
      </c>
      <c r="M463">
        <f t="shared" si="47"/>
        <v>1.3776247030878861</v>
      </c>
      <c r="N463">
        <f t="shared" si="48"/>
        <v>23.199200000000001</v>
      </c>
      <c r="O463">
        <f t="shared" si="49"/>
        <v>670.02</v>
      </c>
      <c r="P463">
        <f t="shared" si="50"/>
        <v>5.9382422802850353E-2</v>
      </c>
      <c r="Q463" t="s">
        <v>4138</v>
      </c>
      <c r="R463" t="s">
        <v>4142</v>
      </c>
      <c r="S463">
        <f>YEAR(marketing_data[[#This Row],[Start_date]])</f>
        <v>2023</v>
      </c>
      <c r="T463" t="str">
        <f>TEXT(marketing_data[[#This Row],[Start_date]],"ddd")</f>
        <v>Wed</v>
      </c>
      <c r="U463">
        <f>marketing_data[[#This Row],[Cleaned End_date]]-marketing_data[[#This Row],[Start_date]]</f>
        <v>17</v>
      </c>
    </row>
    <row r="464" spans="1:21" x14ac:dyDescent="0.2">
      <c r="A464" t="s">
        <v>979</v>
      </c>
      <c r="B464" t="s">
        <v>980</v>
      </c>
      <c r="C464" s="2">
        <v>45150</v>
      </c>
      <c r="D464" t="str">
        <f t="shared" si="45"/>
        <v>Aug</v>
      </c>
      <c r="E464" s="2">
        <v>45151</v>
      </c>
      <c r="F464" t="s">
        <v>23</v>
      </c>
      <c r="G464">
        <v>6949</v>
      </c>
      <c r="H464">
        <v>98</v>
      </c>
      <c r="I464">
        <v>10</v>
      </c>
      <c r="J464" t="b">
        <v>1</v>
      </c>
      <c r="K464" s="10">
        <v>329.13249999999999</v>
      </c>
      <c r="L464" s="6">
        <f t="shared" si="46"/>
        <v>1.4102748596920419E-2</v>
      </c>
      <c r="M464">
        <f t="shared" si="47"/>
        <v>3.3584948979591838</v>
      </c>
      <c r="N464">
        <f t="shared" si="48"/>
        <v>32.913249999999998</v>
      </c>
      <c r="O464">
        <f t="shared" si="49"/>
        <v>170.86750000000001</v>
      </c>
      <c r="P464">
        <f t="shared" si="50"/>
        <v>0.10204081632653061</v>
      </c>
      <c r="Q464" t="s">
        <v>4139</v>
      </c>
      <c r="R464" t="s">
        <v>4141</v>
      </c>
      <c r="S464">
        <f>YEAR(marketing_data[[#This Row],[Start_date]])</f>
        <v>2023</v>
      </c>
      <c r="T464" t="str">
        <f>TEXT(marketing_data[[#This Row],[Start_date]],"ddd")</f>
        <v>Sat</v>
      </c>
      <c r="U464">
        <f>marketing_data[[#This Row],[Cleaned End_date]]-marketing_data[[#This Row],[Start_date]]</f>
        <v>1</v>
      </c>
    </row>
    <row r="465" spans="1:21" x14ac:dyDescent="0.2">
      <c r="A465" t="s">
        <v>981</v>
      </c>
      <c r="B465" t="s">
        <v>982</v>
      </c>
      <c r="C465" s="2">
        <v>45129</v>
      </c>
      <c r="D465" t="str">
        <f t="shared" si="45"/>
        <v>Jul</v>
      </c>
      <c r="E465" s="2">
        <v>45139</v>
      </c>
      <c r="F465" t="s">
        <v>41</v>
      </c>
      <c r="G465">
        <v>52990</v>
      </c>
      <c r="H465">
        <v>2624</v>
      </c>
      <c r="I465">
        <v>398</v>
      </c>
      <c r="J465" t="b">
        <v>1</v>
      </c>
      <c r="K465" s="10">
        <v>3631.7599999999998</v>
      </c>
      <c r="L465" s="6">
        <f t="shared" si="46"/>
        <v>4.9518777127759955E-2</v>
      </c>
      <c r="M465">
        <f t="shared" si="47"/>
        <v>1.3840548780487805</v>
      </c>
      <c r="N465">
        <f t="shared" si="48"/>
        <v>9.1250251256281398</v>
      </c>
      <c r="O465">
        <f t="shared" si="49"/>
        <v>16268.24</v>
      </c>
      <c r="P465">
        <f t="shared" si="50"/>
        <v>0.15167682926829268</v>
      </c>
      <c r="Q465" t="s">
        <v>4139</v>
      </c>
      <c r="R465" t="s">
        <v>4141</v>
      </c>
      <c r="S465">
        <f>YEAR(marketing_data[[#This Row],[Start_date]])</f>
        <v>2023</v>
      </c>
      <c r="T465" t="str">
        <f>TEXT(marketing_data[[#This Row],[Start_date]],"ddd")</f>
        <v>Sat</v>
      </c>
      <c r="U465">
        <f>marketing_data[[#This Row],[Cleaned End_date]]-marketing_data[[#This Row],[Start_date]]</f>
        <v>10</v>
      </c>
    </row>
    <row r="466" spans="1:21" x14ac:dyDescent="0.2">
      <c r="A466" t="s">
        <v>983</v>
      </c>
      <c r="B466" t="s">
        <v>984</v>
      </c>
      <c r="C466" s="2">
        <v>45040</v>
      </c>
      <c r="D466" t="str">
        <f t="shared" si="45"/>
        <v>Apr</v>
      </c>
      <c r="E466" s="2">
        <v>45041</v>
      </c>
      <c r="F466" t="s">
        <v>41</v>
      </c>
      <c r="G466">
        <v>2150</v>
      </c>
      <c r="H466">
        <v>59</v>
      </c>
      <c r="I466">
        <v>5</v>
      </c>
      <c r="J466" t="b">
        <v>0</v>
      </c>
      <c r="K466" s="10">
        <v>329.13249999999999</v>
      </c>
      <c r="L466" s="6">
        <f t="shared" si="46"/>
        <v>2.7441860465116281E-2</v>
      </c>
      <c r="M466">
        <f t="shared" si="47"/>
        <v>5.5785169491525419</v>
      </c>
      <c r="N466">
        <f t="shared" si="48"/>
        <v>65.826499999999996</v>
      </c>
      <c r="O466">
        <f t="shared" si="49"/>
        <v>-79.132499999999993</v>
      </c>
      <c r="P466">
        <f t="shared" si="50"/>
        <v>8.4745762711864403E-2</v>
      </c>
      <c r="Q466" t="s">
        <v>4137</v>
      </c>
      <c r="R466" t="s">
        <v>4142</v>
      </c>
      <c r="S466">
        <f>YEAR(marketing_data[[#This Row],[Start_date]])</f>
        <v>2023</v>
      </c>
      <c r="T466" t="str">
        <f>TEXT(marketing_data[[#This Row],[Start_date]],"ddd")</f>
        <v>Mon</v>
      </c>
      <c r="U466">
        <f>marketing_data[[#This Row],[Cleaned End_date]]-marketing_data[[#This Row],[Start_date]]</f>
        <v>1</v>
      </c>
    </row>
    <row r="467" spans="1:21" x14ac:dyDescent="0.2">
      <c r="A467" t="s">
        <v>985</v>
      </c>
      <c r="B467" t="s">
        <v>986</v>
      </c>
      <c r="C467" s="2">
        <v>45188</v>
      </c>
      <c r="D467" t="str">
        <f t="shared" si="45"/>
        <v>Sep</v>
      </c>
      <c r="E467" s="2">
        <v>45195</v>
      </c>
      <c r="F467" t="s">
        <v>19</v>
      </c>
      <c r="G467">
        <v>90480</v>
      </c>
      <c r="H467">
        <v>1077</v>
      </c>
      <c r="I467">
        <v>67</v>
      </c>
      <c r="J467" t="b">
        <v>1</v>
      </c>
      <c r="K467" s="10">
        <v>1668.87</v>
      </c>
      <c r="L467" s="6">
        <f t="shared" si="46"/>
        <v>1.1903183023872679E-2</v>
      </c>
      <c r="M467">
        <f t="shared" si="47"/>
        <v>1.5495543175487465</v>
      </c>
      <c r="N467">
        <f t="shared" si="48"/>
        <v>24.908507462686565</v>
      </c>
      <c r="O467">
        <f t="shared" si="49"/>
        <v>1681.13</v>
      </c>
      <c r="P467">
        <f t="shared" si="50"/>
        <v>6.2209842154131847E-2</v>
      </c>
      <c r="Q467" t="s">
        <v>4136</v>
      </c>
      <c r="R467" t="s">
        <v>4142</v>
      </c>
      <c r="S467">
        <f>YEAR(marketing_data[[#This Row],[Start_date]])</f>
        <v>2023</v>
      </c>
      <c r="T467" t="str">
        <f>TEXT(marketing_data[[#This Row],[Start_date]],"ddd")</f>
        <v>Tue</v>
      </c>
      <c r="U467">
        <f>marketing_data[[#This Row],[Cleaned End_date]]-marketing_data[[#This Row],[Start_date]]</f>
        <v>7</v>
      </c>
    </row>
    <row r="468" spans="1:21" x14ac:dyDescent="0.2">
      <c r="A468" t="s">
        <v>987</v>
      </c>
      <c r="B468" t="s">
        <v>988</v>
      </c>
      <c r="C468" s="2">
        <v>45026</v>
      </c>
      <c r="D468" t="str">
        <f t="shared" si="45"/>
        <v>Apr</v>
      </c>
      <c r="E468" s="2">
        <v>45056</v>
      </c>
      <c r="F468" t="str">
        <f>F467</f>
        <v>Facebook</v>
      </c>
      <c r="G468">
        <v>75740</v>
      </c>
      <c r="H468">
        <v>872</v>
      </c>
      <c r="I468">
        <v>144</v>
      </c>
      <c r="J468" t="b">
        <v>1</v>
      </c>
      <c r="K468" s="10">
        <v>1242.96</v>
      </c>
      <c r="L468" s="6">
        <f t="shared" si="46"/>
        <v>1.1513071032479534E-2</v>
      </c>
      <c r="M468">
        <f t="shared" si="47"/>
        <v>1.4254128440366973</v>
      </c>
      <c r="N468">
        <f t="shared" si="48"/>
        <v>8.6316666666666677</v>
      </c>
      <c r="O468">
        <f t="shared" si="49"/>
        <v>5957.04</v>
      </c>
      <c r="P468">
        <f t="shared" si="50"/>
        <v>0.16513761467889909</v>
      </c>
      <c r="Q468" t="s">
        <v>4137</v>
      </c>
      <c r="R468" t="s">
        <v>4141</v>
      </c>
      <c r="S468">
        <f>YEAR(marketing_data[[#This Row],[Start_date]])</f>
        <v>2023</v>
      </c>
      <c r="T468" t="str">
        <f>TEXT(marketing_data[[#This Row],[Start_date]],"ddd")</f>
        <v>Mon</v>
      </c>
      <c r="U468">
        <f>marketing_data[[#This Row],[Cleaned End_date]]-marketing_data[[#This Row],[Start_date]]</f>
        <v>30</v>
      </c>
    </row>
    <row r="469" spans="1:21" x14ac:dyDescent="0.2">
      <c r="A469" t="s">
        <v>989</v>
      </c>
      <c r="B469" t="s">
        <v>990</v>
      </c>
      <c r="C469" s="2">
        <v>45257</v>
      </c>
      <c r="D469" t="str">
        <f t="shared" si="45"/>
        <v>Nov</v>
      </c>
      <c r="E469" s="2">
        <v>45263</v>
      </c>
      <c r="F469" t="s">
        <v>41</v>
      </c>
      <c r="G469">
        <v>67617</v>
      </c>
      <c r="H469">
        <v>2694</v>
      </c>
      <c r="I469">
        <v>389</v>
      </c>
      <c r="J469" t="b">
        <v>0</v>
      </c>
      <c r="K469" s="10">
        <v>3631.7599999999998</v>
      </c>
      <c r="L469" s="6">
        <f t="shared" si="46"/>
        <v>3.9842051555082303E-2</v>
      </c>
      <c r="M469">
        <f t="shared" si="47"/>
        <v>1.3480920564216776</v>
      </c>
      <c r="N469">
        <f t="shared" si="48"/>
        <v>9.3361439588688935</v>
      </c>
      <c r="O469">
        <f t="shared" si="49"/>
        <v>15818.24</v>
      </c>
      <c r="P469">
        <f t="shared" si="50"/>
        <v>0.14439495174461767</v>
      </c>
      <c r="Q469" t="s">
        <v>4136</v>
      </c>
      <c r="R469" t="s">
        <v>4138</v>
      </c>
      <c r="S469">
        <f>YEAR(marketing_data[[#This Row],[Start_date]])</f>
        <v>2023</v>
      </c>
      <c r="T469" t="str">
        <f>TEXT(marketing_data[[#This Row],[Start_date]],"ddd")</f>
        <v>Mon</v>
      </c>
      <c r="U469">
        <f>marketing_data[[#This Row],[Cleaned End_date]]-marketing_data[[#This Row],[Start_date]]</f>
        <v>6</v>
      </c>
    </row>
    <row r="470" spans="1:21" x14ac:dyDescent="0.2">
      <c r="A470" t="s">
        <v>991</v>
      </c>
      <c r="B470" t="s">
        <v>992</v>
      </c>
      <c r="C470" s="2">
        <v>45001</v>
      </c>
      <c r="D470" t="str">
        <f t="shared" si="45"/>
        <v>Mar</v>
      </c>
      <c r="E470" s="2">
        <v>45029</v>
      </c>
      <c r="F470" t="s">
        <v>33</v>
      </c>
      <c r="G470">
        <v>95841</v>
      </c>
      <c r="H470">
        <v>3484</v>
      </c>
      <c r="I470">
        <v>690</v>
      </c>
      <c r="J470" t="b">
        <v>1</v>
      </c>
      <c r="K470" s="10">
        <v>2907.72</v>
      </c>
      <c r="L470" s="6">
        <f t="shared" si="46"/>
        <v>3.6351874458738956E-2</v>
      </c>
      <c r="M470">
        <f t="shared" si="47"/>
        <v>0.83459242250287025</v>
      </c>
      <c r="N470">
        <f t="shared" si="48"/>
        <v>4.2140869565217391</v>
      </c>
      <c r="O470">
        <f t="shared" si="49"/>
        <v>31592.28</v>
      </c>
      <c r="P470">
        <f t="shared" si="50"/>
        <v>0.19804822043628015</v>
      </c>
      <c r="Q470" t="s">
        <v>4137</v>
      </c>
      <c r="R470" t="s">
        <v>4142</v>
      </c>
      <c r="S470">
        <f>YEAR(marketing_data[[#This Row],[Start_date]])</f>
        <v>2023</v>
      </c>
      <c r="T470" t="str">
        <f>TEXT(marketing_data[[#This Row],[Start_date]],"ddd")</f>
        <v>Thu</v>
      </c>
      <c r="U470">
        <f>marketing_data[[#This Row],[Cleaned End_date]]-marketing_data[[#This Row],[Start_date]]</f>
        <v>28</v>
      </c>
    </row>
    <row r="471" spans="1:21" x14ac:dyDescent="0.2">
      <c r="A471" t="s">
        <v>993</v>
      </c>
      <c r="B471" t="s">
        <v>994</v>
      </c>
      <c r="C471" s="2">
        <v>45005</v>
      </c>
      <c r="D471" t="str">
        <f t="shared" si="45"/>
        <v>Mar</v>
      </c>
      <c r="E471" s="2">
        <v>45016</v>
      </c>
      <c r="F471" t="s">
        <v>14</v>
      </c>
      <c r="G471">
        <v>17896</v>
      </c>
      <c r="H471">
        <v>753</v>
      </c>
      <c r="I471">
        <v>76</v>
      </c>
      <c r="J471" t="b">
        <v>0</v>
      </c>
      <c r="K471" s="10">
        <v>1362.68</v>
      </c>
      <c r="L471" s="6">
        <f t="shared" si="46"/>
        <v>4.2076441662941437E-2</v>
      </c>
      <c r="M471">
        <f t="shared" si="47"/>
        <v>1.8096679946879151</v>
      </c>
      <c r="N471">
        <f t="shared" si="48"/>
        <v>17.93</v>
      </c>
      <c r="O471">
        <f t="shared" si="49"/>
        <v>2437.3199999999997</v>
      </c>
      <c r="P471">
        <f t="shared" si="50"/>
        <v>0.10092961487383798</v>
      </c>
      <c r="Q471" t="s">
        <v>4137</v>
      </c>
      <c r="R471" t="s">
        <v>4141</v>
      </c>
      <c r="S471">
        <f>YEAR(marketing_data[[#This Row],[Start_date]])</f>
        <v>2023</v>
      </c>
      <c r="T471" t="str">
        <f>TEXT(marketing_data[[#This Row],[Start_date]],"ddd")</f>
        <v>Mon</v>
      </c>
      <c r="U471">
        <f>marketing_data[[#This Row],[Cleaned End_date]]-marketing_data[[#This Row],[Start_date]]</f>
        <v>11</v>
      </c>
    </row>
    <row r="472" spans="1:21" x14ac:dyDescent="0.2">
      <c r="A472" t="s">
        <v>995</v>
      </c>
      <c r="B472" t="s">
        <v>996</v>
      </c>
      <c r="C472" s="2">
        <v>45017</v>
      </c>
      <c r="D472" t="str">
        <f t="shared" si="45"/>
        <v>Apr</v>
      </c>
      <c r="E472" s="2">
        <v>45024</v>
      </c>
      <c r="F472" t="s">
        <v>19</v>
      </c>
      <c r="G472">
        <v>47175</v>
      </c>
      <c r="H472">
        <v>670</v>
      </c>
      <c r="I472">
        <v>39</v>
      </c>
      <c r="J472" t="b">
        <v>1</v>
      </c>
      <c r="K472" s="10">
        <v>1128.44</v>
      </c>
      <c r="L472" s="6">
        <f t="shared" si="46"/>
        <v>1.4202437731849496E-2</v>
      </c>
      <c r="M472">
        <f t="shared" si="47"/>
        <v>1.6842388059701494</v>
      </c>
      <c r="N472">
        <f t="shared" si="48"/>
        <v>28.934358974358975</v>
      </c>
      <c r="O472">
        <f t="shared" si="49"/>
        <v>821.56</v>
      </c>
      <c r="P472">
        <f t="shared" si="50"/>
        <v>5.8208955223880594E-2</v>
      </c>
      <c r="Q472" t="s">
        <v>4137</v>
      </c>
      <c r="R472" t="s">
        <v>4142</v>
      </c>
      <c r="S472">
        <f>YEAR(marketing_data[[#This Row],[Start_date]])</f>
        <v>2023</v>
      </c>
      <c r="T472" t="str">
        <f>TEXT(marketing_data[[#This Row],[Start_date]],"ddd")</f>
        <v>Sat</v>
      </c>
      <c r="U472">
        <f>marketing_data[[#This Row],[Cleaned End_date]]-marketing_data[[#This Row],[Start_date]]</f>
        <v>7</v>
      </c>
    </row>
    <row r="473" spans="1:21" x14ac:dyDescent="0.2">
      <c r="A473" t="s">
        <v>997</v>
      </c>
      <c r="B473" t="s">
        <v>998</v>
      </c>
      <c r="C473" s="2">
        <v>45164</v>
      </c>
      <c r="D473" t="str">
        <f t="shared" si="45"/>
        <v>Aug</v>
      </c>
      <c r="E473" s="2">
        <v>45180</v>
      </c>
      <c r="F473" t="s">
        <v>14</v>
      </c>
      <c r="G473">
        <v>8805</v>
      </c>
      <c r="H473">
        <v>100</v>
      </c>
      <c r="I473">
        <v>16</v>
      </c>
      <c r="J473" t="b">
        <v>0</v>
      </c>
      <c r="K473" s="10">
        <v>329.13249999999999</v>
      </c>
      <c r="L473" s="6">
        <f t="shared" si="46"/>
        <v>1.1357183418512209E-2</v>
      </c>
      <c r="M473">
        <f t="shared" si="47"/>
        <v>3.2913250000000001</v>
      </c>
      <c r="N473">
        <f t="shared" si="48"/>
        <v>20.57078125</v>
      </c>
      <c r="O473">
        <f t="shared" si="49"/>
        <v>470.86750000000001</v>
      </c>
      <c r="P473">
        <f t="shared" si="50"/>
        <v>0.16</v>
      </c>
      <c r="Q473" t="s">
        <v>4139</v>
      </c>
      <c r="R473" t="s">
        <v>4139</v>
      </c>
      <c r="S473">
        <f>YEAR(marketing_data[[#This Row],[Start_date]])</f>
        <v>2023</v>
      </c>
      <c r="T473" t="str">
        <f>TEXT(marketing_data[[#This Row],[Start_date]],"ddd")</f>
        <v>Sat</v>
      </c>
      <c r="U473">
        <f>marketing_data[[#This Row],[Cleaned End_date]]-marketing_data[[#This Row],[Start_date]]</f>
        <v>16</v>
      </c>
    </row>
    <row r="474" spans="1:21" x14ac:dyDescent="0.2">
      <c r="A474" t="s">
        <v>999</v>
      </c>
      <c r="B474" t="s">
        <v>1000</v>
      </c>
      <c r="C474" s="2">
        <v>45156</v>
      </c>
      <c r="D474" t="str">
        <f t="shared" si="45"/>
        <v>Aug</v>
      </c>
      <c r="E474" s="2">
        <v>45180</v>
      </c>
      <c r="F474" t="s">
        <v>19</v>
      </c>
      <c r="G474">
        <v>6237</v>
      </c>
      <c r="H474">
        <v>189</v>
      </c>
      <c r="I474">
        <v>24</v>
      </c>
      <c r="J474" t="b">
        <v>1</v>
      </c>
      <c r="K474" s="10">
        <v>329.13249999999999</v>
      </c>
      <c r="L474" s="6">
        <f t="shared" si="46"/>
        <v>3.0303030303030304E-2</v>
      </c>
      <c r="M474">
        <f t="shared" si="47"/>
        <v>1.741441798941799</v>
      </c>
      <c r="N474">
        <f t="shared" si="48"/>
        <v>13.713854166666666</v>
      </c>
      <c r="O474">
        <f t="shared" si="49"/>
        <v>870.86750000000006</v>
      </c>
      <c r="P474">
        <f t="shared" si="50"/>
        <v>0.12698412698412698</v>
      </c>
      <c r="Q474" t="s">
        <v>4139</v>
      </c>
      <c r="R474" t="s">
        <v>4141</v>
      </c>
      <c r="S474">
        <f>YEAR(marketing_data[[#This Row],[Start_date]])</f>
        <v>2023</v>
      </c>
      <c r="T474" t="str">
        <f>TEXT(marketing_data[[#This Row],[Start_date]],"ddd")</f>
        <v>Fri</v>
      </c>
      <c r="U474">
        <f>marketing_data[[#This Row],[Cleaned End_date]]-marketing_data[[#This Row],[Start_date]]</f>
        <v>24</v>
      </c>
    </row>
    <row r="475" spans="1:21" x14ac:dyDescent="0.2">
      <c r="A475" t="s">
        <v>1001</v>
      </c>
      <c r="B475" t="s">
        <v>1002</v>
      </c>
      <c r="C475" s="2">
        <v>45256</v>
      </c>
      <c r="D475" t="str">
        <f t="shared" si="45"/>
        <v>Nov</v>
      </c>
      <c r="E475" s="2">
        <v>45269</v>
      </c>
      <c r="F475" t="s">
        <v>19</v>
      </c>
      <c r="G475">
        <v>21056</v>
      </c>
      <c r="H475">
        <v>537</v>
      </c>
      <c r="I475">
        <v>44</v>
      </c>
      <c r="J475" t="b">
        <v>0</v>
      </c>
      <c r="K475" s="10">
        <v>466.85</v>
      </c>
      <c r="L475" s="6">
        <f t="shared" si="46"/>
        <v>2.5503419452887539E-2</v>
      </c>
      <c r="M475">
        <f t="shared" si="47"/>
        <v>0.86936685288640603</v>
      </c>
      <c r="N475">
        <f t="shared" si="48"/>
        <v>10.610227272727274</v>
      </c>
      <c r="O475">
        <f t="shared" si="49"/>
        <v>1733.15</v>
      </c>
      <c r="P475">
        <f t="shared" si="50"/>
        <v>8.1936685288640593E-2</v>
      </c>
      <c r="Q475" t="s">
        <v>4136</v>
      </c>
      <c r="R475" t="s">
        <v>4141</v>
      </c>
      <c r="S475">
        <f>YEAR(marketing_data[[#This Row],[Start_date]])</f>
        <v>2023</v>
      </c>
      <c r="T475" t="str">
        <f>TEXT(marketing_data[[#This Row],[Start_date]],"ddd")</f>
        <v>Sun</v>
      </c>
      <c r="U475">
        <f>marketing_data[[#This Row],[Cleaned End_date]]-marketing_data[[#This Row],[Start_date]]</f>
        <v>13</v>
      </c>
    </row>
    <row r="476" spans="1:21" x14ac:dyDescent="0.2">
      <c r="A476" t="s">
        <v>1003</v>
      </c>
      <c r="B476" t="s">
        <v>1004</v>
      </c>
      <c r="C476" s="2">
        <v>45248</v>
      </c>
      <c r="D476" t="str">
        <f t="shared" si="45"/>
        <v>Nov</v>
      </c>
      <c r="E476" s="2">
        <v>45272</v>
      </c>
      <c r="F476" t="s">
        <v>23</v>
      </c>
      <c r="G476">
        <v>46543</v>
      </c>
      <c r="H476">
        <v>1325</v>
      </c>
      <c r="I476">
        <v>221</v>
      </c>
      <c r="J476" t="b">
        <v>0</v>
      </c>
      <c r="K476" s="10">
        <v>1504.3</v>
      </c>
      <c r="L476" s="6">
        <f t="shared" si="46"/>
        <v>2.8468298132909353E-2</v>
      </c>
      <c r="M476">
        <f t="shared" si="47"/>
        <v>1.135320754716981</v>
      </c>
      <c r="N476">
        <f t="shared" si="48"/>
        <v>6.8067873303167419</v>
      </c>
      <c r="O476">
        <f t="shared" si="49"/>
        <v>9545.7000000000007</v>
      </c>
      <c r="P476">
        <f t="shared" si="50"/>
        <v>0.16679245283018868</v>
      </c>
      <c r="Q476" t="s">
        <v>4136</v>
      </c>
      <c r="R476" t="s">
        <v>4139</v>
      </c>
      <c r="S476">
        <f>YEAR(marketing_data[[#This Row],[Start_date]])</f>
        <v>2023</v>
      </c>
      <c r="T476" t="str">
        <f>TEXT(marketing_data[[#This Row],[Start_date]],"ddd")</f>
        <v>Sat</v>
      </c>
      <c r="U476">
        <f>marketing_data[[#This Row],[Cleaned End_date]]-marketing_data[[#This Row],[Start_date]]</f>
        <v>24</v>
      </c>
    </row>
    <row r="477" spans="1:21" x14ac:dyDescent="0.2">
      <c r="A477" t="s">
        <v>1005</v>
      </c>
      <c r="B477" t="s">
        <v>1006</v>
      </c>
      <c r="C477" s="2">
        <v>45167</v>
      </c>
      <c r="D477" t="str">
        <f t="shared" si="45"/>
        <v>Aug</v>
      </c>
      <c r="E477" s="2">
        <v>45178</v>
      </c>
      <c r="F477" t="s">
        <v>14</v>
      </c>
      <c r="G477">
        <v>57556</v>
      </c>
      <c r="H477">
        <v>2858</v>
      </c>
      <c r="I477">
        <v>230</v>
      </c>
      <c r="J477" t="b">
        <v>1</v>
      </c>
      <c r="K477" s="10">
        <v>3631.7599999999998</v>
      </c>
      <c r="L477" s="6">
        <f t="shared" si="46"/>
        <v>4.9655987212453956E-2</v>
      </c>
      <c r="M477">
        <f t="shared" si="47"/>
        <v>1.2707347795661301</v>
      </c>
      <c r="N477">
        <f t="shared" si="48"/>
        <v>15.790260869565216</v>
      </c>
      <c r="O477">
        <f t="shared" si="49"/>
        <v>7868.24</v>
      </c>
      <c r="P477">
        <f t="shared" si="50"/>
        <v>8.0475857242827145E-2</v>
      </c>
      <c r="Q477" t="s">
        <v>4139</v>
      </c>
      <c r="R477" t="s">
        <v>4141</v>
      </c>
      <c r="S477">
        <f>YEAR(marketing_data[[#This Row],[Start_date]])</f>
        <v>2023</v>
      </c>
      <c r="T477" t="str">
        <f>TEXT(marketing_data[[#This Row],[Start_date]],"ddd")</f>
        <v>Tue</v>
      </c>
      <c r="U477">
        <f>marketing_data[[#This Row],[Cleaned End_date]]-marketing_data[[#This Row],[Start_date]]</f>
        <v>11</v>
      </c>
    </row>
    <row r="478" spans="1:21" x14ac:dyDescent="0.2">
      <c r="A478" t="s">
        <v>1007</v>
      </c>
      <c r="B478" t="s">
        <v>1008</v>
      </c>
      <c r="C478" s="2">
        <v>45067</v>
      </c>
      <c r="D478" t="str">
        <f t="shared" si="45"/>
        <v>May</v>
      </c>
      <c r="E478" s="2">
        <v>45082</v>
      </c>
      <c r="F478" t="s">
        <v>41</v>
      </c>
      <c r="G478">
        <v>4343</v>
      </c>
      <c r="H478">
        <v>212</v>
      </c>
      <c r="J478" t="b">
        <v>0</v>
      </c>
      <c r="K478" s="10">
        <v>329.13249999999999</v>
      </c>
      <c r="L478" s="6">
        <f t="shared" si="46"/>
        <v>4.881418374395579E-2</v>
      </c>
      <c r="M478">
        <f t="shared" si="47"/>
        <v>1.5525117924528302</v>
      </c>
      <c r="N478">
        <f t="shared" si="48"/>
        <v>0</v>
      </c>
      <c r="O478">
        <f t="shared" si="49"/>
        <v>-329.13249999999999</v>
      </c>
      <c r="P478">
        <f t="shared" si="50"/>
        <v>0</v>
      </c>
      <c r="Q478" t="s">
        <v>4137</v>
      </c>
      <c r="R478" t="s">
        <v>4142</v>
      </c>
      <c r="S478">
        <f>YEAR(marketing_data[[#This Row],[Start_date]])</f>
        <v>2023</v>
      </c>
      <c r="T478" t="str">
        <f>TEXT(marketing_data[[#This Row],[Start_date]],"ddd")</f>
        <v>Sun</v>
      </c>
      <c r="U478">
        <f>marketing_data[[#This Row],[Cleaned End_date]]-marketing_data[[#This Row],[Start_date]]</f>
        <v>15</v>
      </c>
    </row>
    <row r="479" spans="1:21" x14ac:dyDescent="0.2">
      <c r="A479" t="s">
        <v>1009</v>
      </c>
      <c r="B479" t="s">
        <v>1010</v>
      </c>
      <c r="C479" s="2">
        <v>44964</v>
      </c>
      <c r="D479" t="str">
        <f t="shared" si="45"/>
        <v>Feb</v>
      </c>
      <c r="E479" s="2">
        <v>44977</v>
      </c>
      <c r="F479" t="s">
        <v>41</v>
      </c>
      <c r="G479">
        <v>14500</v>
      </c>
      <c r="H479">
        <v>691</v>
      </c>
      <c r="I479">
        <v>44</v>
      </c>
      <c r="J479" t="b">
        <v>1</v>
      </c>
      <c r="K479" s="10">
        <v>1156.0999999999999</v>
      </c>
      <c r="L479" s="6">
        <f t="shared" si="46"/>
        <v>4.7655172413793107E-2</v>
      </c>
      <c r="M479">
        <f t="shared" si="47"/>
        <v>1.6730824891461649</v>
      </c>
      <c r="N479">
        <f t="shared" si="48"/>
        <v>26.274999999999999</v>
      </c>
      <c r="O479">
        <f t="shared" si="49"/>
        <v>1043.9000000000001</v>
      </c>
      <c r="P479">
        <f t="shared" si="50"/>
        <v>6.3675832127351659E-2</v>
      </c>
      <c r="Q479" t="s">
        <v>4138</v>
      </c>
      <c r="R479" t="s">
        <v>4142</v>
      </c>
      <c r="S479">
        <f>YEAR(marketing_data[[#This Row],[Start_date]])</f>
        <v>2023</v>
      </c>
      <c r="T479" t="str">
        <f>TEXT(marketing_data[[#This Row],[Start_date]],"ddd")</f>
        <v>Tue</v>
      </c>
      <c r="U479">
        <f>marketing_data[[#This Row],[Cleaned End_date]]-marketing_data[[#This Row],[Start_date]]</f>
        <v>13</v>
      </c>
    </row>
    <row r="480" spans="1:21" x14ac:dyDescent="0.2">
      <c r="A480" t="s">
        <v>1011</v>
      </c>
      <c r="B480" t="s">
        <v>1012</v>
      </c>
      <c r="C480" s="2">
        <v>44956</v>
      </c>
      <c r="D480" t="str">
        <f t="shared" si="45"/>
        <v>Jan</v>
      </c>
      <c r="E480" s="2">
        <v>44976</v>
      </c>
      <c r="F480" t="str">
        <f>F479</f>
        <v>Google Ads</v>
      </c>
      <c r="G480">
        <v>54222</v>
      </c>
      <c r="H480">
        <v>2242</v>
      </c>
      <c r="I480">
        <v>246</v>
      </c>
      <c r="J480" t="b">
        <v>0</v>
      </c>
      <c r="K480" s="10">
        <v>1928.36</v>
      </c>
      <c r="L480" s="6">
        <f t="shared" si="46"/>
        <v>4.1348530116926706E-2</v>
      </c>
      <c r="M480">
        <f t="shared" si="47"/>
        <v>0.86010704727921494</v>
      </c>
      <c r="N480">
        <f t="shared" si="48"/>
        <v>7.8388617886178862</v>
      </c>
      <c r="O480">
        <f t="shared" si="49"/>
        <v>10371.64</v>
      </c>
      <c r="P480">
        <f t="shared" si="50"/>
        <v>0.10972346119536129</v>
      </c>
      <c r="Q480" t="s">
        <v>4138</v>
      </c>
      <c r="R480" t="s">
        <v>4141</v>
      </c>
      <c r="S480">
        <f>YEAR(marketing_data[[#This Row],[Start_date]])</f>
        <v>2023</v>
      </c>
      <c r="T480" t="str">
        <f>TEXT(marketing_data[[#This Row],[Start_date]],"ddd")</f>
        <v>Mon</v>
      </c>
      <c r="U480">
        <f>marketing_data[[#This Row],[Cleaned End_date]]-marketing_data[[#This Row],[Start_date]]</f>
        <v>20</v>
      </c>
    </row>
    <row r="481" spans="1:21" x14ac:dyDescent="0.2">
      <c r="A481" t="s">
        <v>1013</v>
      </c>
      <c r="B481" t="s">
        <v>1014</v>
      </c>
      <c r="C481" s="2">
        <v>45257</v>
      </c>
      <c r="D481" t="str">
        <f t="shared" si="45"/>
        <v>Nov</v>
      </c>
      <c r="E481" s="2">
        <v>45282</v>
      </c>
      <c r="F481" t="s">
        <v>23</v>
      </c>
      <c r="G481">
        <v>30375</v>
      </c>
      <c r="H481">
        <v>734</v>
      </c>
      <c r="I481">
        <v>82</v>
      </c>
      <c r="J481" t="b">
        <v>0</v>
      </c>
      <c r="K481" s="10">
        <v>525.88</v>
      </c>
      <c r="L481" s="6">
        <f t="shared" si="46"/>
        <v>2.4164609053497942E-2</v>
      </c>
      <c r="M481">
        <f t="shared" si="47"/>
        <v>0.71645776566757491</v>
      </c>
      <c r="N481">
        <f t="shared" si="48"/>
        <v>6.413170731707317</v>
      </c>
      <c r="O481">
        <f t="shared" si="49"/>
        <v>3574.12</v>
      </c>
      <c r="P481">
        <f t="shared" si="50"/>
        <v>0.11171662125340599</v>
      </c>
      <c r="Q481" t="s">
        <v>4136</v>
      </c>
      <c r="R481" t="s">
        <v>4141</v>
      </c>
      <c r="S481">
        <f>YEAR(marketing_data[[#This Row],[Start_date]])</f>
        <v>2023</v>
      </c>
      <c r="T481" t="str">
        <f>TEXT(marketing_data[[#This Row],[Start_date]],"ddd")</f>
        <v>Mon</v>
      </c>
      <c r="U481">
        <f>marketing_data[[#This Row],[Cleaned End_date]]-marketing_data[[#This Row],[Start_date]]</f>
        <v>25</v>
      </c>
    </row>
    <row r="482" spans="1:21" x14ac:dyDescent="0.2">
      <c r="A482" t="s">
        <v>1015</v>
      </c>
      <c r="B482" t="s">
        <v>1016</v>
      </c>
      <c r="C482" s="2">
        <v>45241</v>
      </c>
      <c r="D482" t="str">
        <f t="shared" si="45"/>
        <v>Nov</v>
      </c>
      <c r="E482" s="2">
        <v>45247</v>
      </c>
      <c r="F482" t="s">
        <v>33</v>
      </c>
      <c r="G482">
        <v>10662</v>
      </c>
      <c r="H482">
        <v>282</v>
      </c>
      <c r="I482">
        <v>35</v>
      </c>
      <c r="J482" t="b">
        <v>1</v>
      </c>
      <c r="K482" s="10">
        <v>329.13249999999999</v>
      </c>
      <c r="L482" s="6">
        <f t="shared" si="46"/>
        <v>2.6449071468767585E-2</v>
      </c>
      <c r="M482">
        <f t="shared" si="47"/>
        <v>1.167136524822695</v>
      </c>
      <c r="N482">
        <f t="shared" si="48"/>
        <v>9.4037857142857142</v>
      </c>
      <c r="O482">
        <f t="shared" si="49"/>
        <v>1420.8675000000001</v>
      </c>
      <c r="P482">
        <f t="shared" si="50"/>
        <v>0.12411347517730496</v>
      </c>
      <c r="Q482" t="s">
        <v>4136</v>
      </c>
      <c r="R482" t="s">
        <v>4139</v>
      </c>
      <c r="S482">
        <f>YEAR(marketing_data[[#This Row],[Start_date]])</f>
        <v>2023</v>
      </c>
      <c r="T482" t="str">
        <f>TEXT(marketing_data[[#This Row],[Start_date]],"ddd")</f>
        <v>Sat</v>
      </c>
      <c r="U482">
        <f>marketing_data[[#This Row],[Cleaned End_date]]-marketing_data[[#This Row],[Start_date]]</f>
        <v>6</v>
      </c>
    </row>
    <row r="483" spans="1:21" x14ac:dyDescent="0.2">
      <c r="A483" t="s">
        <v>1017</v>
      </c>
      <c r="B483" t="s">
        <v>1018</v>
      </c>
      <c r="C483" s="2">
        <v>45224</v>
      </c>
      <c r="D483" t="str">
        <f t="shared" si="45"/>
        <v>Oct</v>
      </c>
      <c r="E483" s="2">
        <v>45254</v>
      </c>
      <c r="F483" t="s">
        <v>41</v>
      </c>
      <c r="G483">
        <v>17964</v>
      </c>
      <c r="H483">
        <v>574</v>
      </c>
      <c r="I483">
        <v>89</v>
      </c>
      <c r="J483" t="b">
        <v>1</v>
      </c>
      <c r="K483" s="10">
        <v>329.13249999999999</v>
      </c>
      <c r="L483" s="6">
        <f t="shared" si="46"/>
        <v>3.1952794477844576E-2</v>
      </c>
      <c r="M483">
        <f t="shared" si="47"/>
        <v>0.5734015679442509</v>
      </c>
      <c r="N483">
        <f t="shared" si="48"/>
        <v>3.6981179775280899</v>
      </c>
      <c r="O483">
        <f t="shared" si="49"/>
        <v>4120.8675000000003</v>
      </c>
      <c r="P483">
        <f t="shared" si="50"/>
        <v>0.15505226480836237</v>
      </c>
      <c r="Q483" t="s">
        <v>4136</v>
      </c>
      <c r="R483" t="s">
        <v>4141</v>
      </c>
      <c r="S483">
        <f>YEAR(marketing_data[[#This Row],[Start_date]])</f>
        <v>2023</v>
      </c>
      <c r="T483" t="str">
        <f>TEXT(marketing_data[[#This Row],[Start_date]],"ddd")</f>
        <v>Wed</v>
      </c>
      <c r="U483">
        <f>marketing_data[[#This Row],[Cleaned End_date]]-marketing_data[[#This Row],[Start_date]]</f>
        <v>30</v>
      </c>
    </row>
    <row r="484" spans="1:21" x14ac:dyDescent="0.2">
      <c r="A484" t="s">
        <v>1019</v>
      </c>
      <c r="B484" t="s">
        <v>1020</v>
      </c>
      <c r="C484" s="2">
        <v>44948</v>
      </c>
      <c r="D484" t="str">
        <f t="shared" si="45"/>
        <v>Jan</v>
      </c>
      <c r="E484" s="2">
        <v>44964</v>
      </c>
      <c r="F484" t="s">
        <v>33</v>
      </c>
      <c r="G484">
        <v>60638</v>
      </c>
      <c r="H484">
        <v>2620</v>
      </c>
      <c r="I484">
        <v>487</v>
      </c>
      <c r="J484" t="b">
        <v>0</v>
      </c>
      <c r="K484" s="10">
        <v>3367.69</v>
      </c>
      <c r="L484" s="6">
        <f t="shared" si="46"/>
        <v>4.3207229789900721E-2</v>
      </c>
      <c r="M484">
        <f t="shared" si="47"/>
        <v>1.28537786259542</v>
      </c>
      <c r="N484">
        <f t="shared" si="48"/>
        <v>6.9151745379876797</v>
      </c>
      <c r="O484">
        <f t="shared" si="49"/>
        <v>20982.31</v>
      </c>
      <c r="P484">
        <f t="shared" si="50"/>
        <v>0.18587786259541986</v>
      </c>
      <c r="Q484" t="s">
        <v>4138</v>
      </c>
      <c r="R484" t="s">
        <v>4138</v>
      </c>
      <c r="S484">
        <f>YEAR(marketing_data[[#This Row],[Start_date]])</f>
        <v>2023</v>
      </c>
      <c r="T484" t="str">
        <f>TEXT(marketing_data[[#This Row],[Start_date]],"ddd")</f>
        <v>Sun</v>
      </c>
      <c r="U484">
        <f>marketing_data[[#This Row],[Cleaned End_date]]-marketing_data[[#This Row],[Start_date]]</f>
        <v>16</v>
      </c>
    </row>
    <row r="485" spans="1:21" x14ac:dyDescent="0.2">
      <c r="A485" t="s">
        <v>1021</v>
      </c>
      <c r="B485" t="s">
        <v>1022</v>
      </c>
      <c r="C485" s="2">
        <v>45260</v>
      </c>
      <c r="D485" t="str">
        <f t="shared" si="45"/>
        <v>Nov</v>
      </c>
      <c r="E485" s="2">
        <v>45276</v>
      </c>
      <c r="F485" t="s">
        <v>41</v>
      </c>
      <c r="G485">
        <v>74666</v>
      </c>
      <c r="H485">
        <v>951</v>
      </c>
      <c r="I485">
        <v>67</v>
      </c>
      <c r="J485" t="b">
        <v>0</v>
      </c>
      <c r="K485" s="10">
        <v>786.85</v>
      </c>
      <c r="L485" s="6">
        <f t="shared" si="46"/>
        <v>1.2736720863579139E-2</v>
      </c>
      <c r="M485">
        <f t="shared" si="47"/>
        <v>0.82739221871713986</v>
      </c>
      <c r="N485">
        <f t="shared" si="48"/>
        <v>11.744029850746269</v>
      </c>
      <c r="O485">
        <f t="shared" si="49"/>
        <v>2563.15</v>
      </c>
      <c r="P485">
        <f t="shared" si="50"/>
        <v>7.0452155625657209E-2</v>
      </c>
      <c r="Q485" t="s">
        <v>4136</v>
      </c>
      <c r="R485" t="s">
        <v>4138</v>
      </c>
      <c r="S485">
        <f>YEAR(marketing_data[[#This Row],[Start_date]])</f>
        <v>2023</v>
      </c>
      <c r="T485" t="str">
        <f>TEXT(marketing_data[[#This Row],[Start_date]],"ddd")</f>
        <v>Thu</v>
      </c>
      <c r="U485">
        <f>marketing_data[[#This Row],[Cleaned End_date]]-marketing_data[[#This Row],[Start_date]]</f>
        <v>16</v>
      </c>
    </row>
    <row r="486" spans="1:21" x14ac:dyDescent="0.2">
      <c r="A486" t="s">
        <v>1023</v>
      </c>
      <c r="B486" t="s">
        <v>1024</v>
      </c>
      <c r="C486" s="2">
        <v>45183</v>
      </c>
      <c r="D486" t="str">
        <f t="shared" si="45"/>
        <v>Sep</v>
      </c>
      <c r="E486" s="2">
        <v>45201</v>
      </c>
      <c r="F486" t="s">
        <v>41</v>
      </c>
      <c r="G486">
        <v>86067</v>
      </c>
      <c r="H486">
        <v>2321</v>
      </c>
      <c r="I486">
        <v>134</v>
      </c>
      <c r="J486" t="b">
        <v>0</v>
      </c>
      <c r="K486" s="10">
        <v>3631.7599999999998</v>
      </c>
      <c r="L486" s="6">
        <f t="shared" si="46"/>
        <v>2.6967362636085838E-2</v>
      </c>
      <c r="M486">
        <f t="shared" si="47"/>
        <v>1.564739336492891</v>
      </c>
      <c r="N486">
        <f t="shared" si="48"/>
        <v>27.102686567164177</v>
      </c>
      <c r="O486">
        <f t="shared" si="49"/>
        <v>3068.2400000000002</v>
      </c>
      <c r="P486">
        <f t="shared" si="50"/>
        <v>5.7733735458853942E-2</v>
      </c>
      <c r="Q486" t="s">
        <v>4136</v>
      </c>
      <c r="R486" t="s">
        <v>4138</v>
      </c>
      <c r="S486">
        <f>YEAR(marketing_data[[#This Row],[Start_date]])</f>
        <v>2023</v>
      </c>
      <c r="T486" t="str">
        <f>TEXT(marketing_data[[#This Row],[Start_date]],"ddd")</f>
        <v>Thu</v>
      </c>
      <c r="U486">
        <f>marketing_data[[#This Row],[Cleaned End_date]]-marketing_data[[#This Row],[Start_date]]</f>
        <v>18</v>
      </c>
    </row>
    <row r="487" spans="1:21" x14ac:dyDescent="0.2">
      <c r="A487" t="s">
        <v>1025</v>
      </c>
      <c r="B487" t="s">
        <v>1026</v>
      </c>
      <c r="C487" s="2">
        <v>44979</v>
      </c>
      <c r="D487" t="str">
        <f t="shared" si="45"/>
        <v>Feb</v>
      </c>
      <c r="E487" s="2">
        <v>44999</v>
      </c>
      <c r="F487" t="s">
        <v>23</v>
      </c>
      <c r="G487">
        <v>68215</v>
      </c>
      <c r="H487">
        <v>907</v>
      </c>
      <c r="J487" t="b">
        <v>0</v>
      </c>
      <c r="K487" s="10">
        <v>1235.02</v>
      </c>
      <c r="L487" s="6">
        <f t="shared" si="46"/>
        <v>1.3296195851352341E-2</v>
      </c>
      <c r="M487">
        <f t="shared" si="47"/>
        <v>1.3616538037486219</v>
      </c>
      <c r="N487">
        <f t="shared" si="48"/>
        <v>0</v>
      </c>
      <c r="O487">
        <f t="shared" si="49"/>
        <v>-1235.02</v>
      </c>
      <c r="P487">
        <f t="shared" si="50"/>
        <v>0</v>
      </c>
      <c r="Q487" t="s">
        <v>4138</v>
      </c>
      <c r="R487" t="s">
        <v>4139</v>
      </c>
      <c r="S487">
        <f>YEAR(marketing_data[[#This Row],[Start_date]])</f>
        <v>2023</v>
      </c>
      <c r="T487" t="str">
        <f>TEXT(marketing_data[[#This Row],[Start_date]],"ddd")</f>
        <v>Wed</v>
      </c>
      <c r="U487">
        <f>marketing_data[[#This Row],[Cleaned End_date]]-marketing_data[[#This Row],[Start_date]]</f>
        <v>20</v>
      </c>
    </row>
    <row r="488" spans="1:21" x14ac:dyDescent="0.2">
      <c r="A488" t="s">
        <v>1027</v>
      </c>
      <c r="B488" t="s">
        <v>1028</v>
      </c>
      <c r="C488" s="2">
        <v>45292</v>
      </c>
      <c r="D488" t="str">
        <f t="shared" si="45"/>
        <v>Jan</v>
      </c>
      <c r="E488" s="2">
        <v>45302</v>
      </c>
      <c r="F488" t="str">
        <f>F487</f>
        <v>Email</v>
      </c>
      <c r="G488">
        <v>70042</v>
      </c>
      <c r="H488">
        <v>2142</v>
      </c>
      <c r="I488">
        <v>153</v>
      </c>
      <c r="J488" t="b">
        <v>1</v>
      </c>
      <c r="K488" s="10">
        <v>1514.03</v>
      </c>
      <c r="L488" s="6">
        <f t="shared" si="46"/>
        <v>3.0581651009394362E-2</v>
      </c>
      <c r="M488">
        <f t="shared" si="47"/>
        <v>0.70683006535947712</v>
      </c>
      <c r="N488">
        <f t="shared" si="48"/>
        <v>9.8956209150326799</v>
      </c>
      <c r="O488">
        <f t="shared" si="49"/>
        <v>6135.97</v>
      </c>
      <c r="P488">
        <f t="shared" si="50"/>
        <v>7.1428571428571425E-2</v>
      </c>
      <c r="Q488" t="s">
        <v>4138</v>
      </c>
      <c r="R488" t="s">
        <v>4138</v>
      </c>
      <c r="S488">
        <f>YEAR(marketing_data[[#This Row],[Start_date]])</f>
        <v>2024</v>
      </c>
      <c r="T488" t="str">
        <f>TEXT(marketing_data[[#This Row],[Start_date]],"ddd")</f>
        <v>Mon</v>
      </c>
      <c r="U488">
        <f>marketing_data[[#This Row],[Cleaned End_date]]-marketing_data[[#This Row],[Start_date]]</f>
        <v>10</v>
      </c>
    </row>
    <row r="489" spans="1:21" x14ac:dyDescent="0.2">
      <c r="A489" t="s">
        <v>1029</v>
      </c>
      <c r="B489" t="s">
        <v>1030</v>
      </c>
      <c r="C489" s="2">
        <v>45257</v>
      </c>
      <c r="D489" t="str">
        <f t="shared" si="45"/>
        <v>Nov</v>
      </c>
      <c r="E489" s="2">
        <v>45283</v>
      </c>
      <c r="F489" t="s">
        <v>23</v>
      </c>
      <c r="G489">
        <v>14284</v>
      </c>
      <c r="H489">
        <v>656</v>
      </c>
      <c r="I489">
        <v>97</v>
      </c>
      <c r="J489" t="b">
        <v>0</v>
      </c>
      <c r="K489" s="10">
        <v>1005.74</v>
      </c>
      <c r="L489" s="6">
        <f t="shared" si="46"/>
        <v>4.5925511061327362E-2</v>
      </c>
      <c r="M489">
        <f t="shared" si="47"/>
        <v>1.5331402439024391</v>
      </c>
      <c r="N489">
        <f t="shared" si="48"/>
        <v>10.368453608247423</v>
      </c>
      <c r="O489">
        <f t="shared" si="49"/>
        <v>3844.26</v>
      </c>
      <c r="P489">
        <f t="shared" si="50"/>
        <v>0.14786585365853658</v>
      </c>
      <c r="Q489" t="s">
        <v>4136</v>
      </c>
      <c r="R489" t="s">
        <v>4139</v>
      </c>
      <c r="S489">
        <f>YEAR(marketing_data[[#This Row],[Start_date]])</f>
        <v>2023</v>
      </c>
      <c r="T489" t="str">
        <f>TEXT(marketing_data[[#This Row],[Start_date]],"ddd")</f>
        <v>Mon</v>
      </c>
      <c r="U489">
        <f>marketing_data[[#This Row],[Cleaned End_date]]-marketing_data[[#This Row],[Start_date]]</f>
        <v>26</v>
      </c>
    </row>
    <row r="490" spans="1:21" x14ac:dyDescent="0.2">
      <c r="A490" t="s">
        <v>1031</v>
      </c>
      <c r="B490" t="s">
        <v>1032</v>
      </c>
      <c r="C490" s="2">
        <v>45151</v>
      </c>
      <c r="D490" t="str">
        <f t="shared" si="45"/>
        <v>Aug</v>
      </c>
      <c r="E490" s="2">
        <v>45173</v>
      </c>
      <c r="F490" t="s">
        <v>23</v>
      </c>
      <c r="G490">
        <v>73789</v>
      </c>
      <c r="H490">
        <v>3047</v>
      </c>
      <c r="I490">
        <v>484</v>
      </c>
      <c r="J490" t="b">
        <v>0</v>
      </c>
      <c r="K490" s="10">
        <v>3631.7599999999998</v>
      </c>
      <c r="L490" s="6">
        <f t="shared" si="46"/>
        <v>4.129341771808806E-2</v>
      </c>
      <c r="M490">
        <f t="shared" si="47"/>
        <v>1.1919133574007219</v>
      </c>
      <c r="N490">
        <f t="shared" si="48"/>
        <v>7.503636363636363</v>
      </c>
      <c r="O490">
        <f t="shared" si="49"/>
        <v>20568.240000000002</v>
      </c>
      <c r="P490">
        <f t="shared" si="50"/>
        <v>0.1588447653429603</v>
      </c>
      <c r="Q490" t="s">
        <v>4139</v>
      </c>
      <c r="R490" t="s">
        <v>4141</v>
      </c>
      <c r="S490">
        <f>YEAR(marketing_data[[#This Row],[Start_date]])</f>
        <v>2023</v>
      </c>
      <c r="T490" t="str">
        <f>TEXT(marketing_data[[#This Row],[Start_date]],"ddd")</f>
        <v>Sun</v>
      </c>
      <c r="U490">
        <f>marketing_data[[#This Row],[Cleaned End_date]]-marketing_data[[#This Row],[Start_date]]</f>
        <v>22</v>
      </c>
    </row>
    <row r="491" spans="1:21" x14ac:dyDescent="0.2">
      <c r="A491" t="s">
        <v>1033</v>
      </c>
      <c r="B491" t="s">
        <v>1034</v>
      </c>
      <c r="C491" s="2">
        <v>45239</v>
      </c>
      <c r="D491" t="str">
        <f t="shared" si="45"/>
        <v>Nov</v>
      </c>
      <c r="E491" s="2">
        <v>45267</v>
      </c>
      <c r="F491" t="s">
        <v>23</v>
      </c>
      <c r="G491">
        <v>85664</v>
      </c>
      <c r="H491">
        <v>1637</v>
      </c>
      <c r="I491">
        <v>274</v>
      </c>
      <c r="J491" t="b">
        <v>1</v>
      </c>
      <c r="K491" s="10">
        <v>2648.29</v>
      </c>
      <c r="L491" s="6">
        <f t="shared" si="46"/>
        <v>1.9109544265969367E-2</v>
      </c>
      <c r="M491">
        <f t="shared" si="47"/>
        <v>1.61777031154551</v>
      </c>
      <c r="N491">
        <f t="shared" si="48"/>
        <v>9.6652919708029188</v>
      </c>
      <c r="O491">
        <f t="shared" si="49"/>
        <v>11051.71</v>
      </c>
      <c r="P491">
        <f t="shared" si="50"/>
        <v>0.16737935247403787</v>
      </c>
      <c r="Q491" t="s">
        <v>4136</v>
      </c>
      <c r="R491" t="s">
        <v>4139</v>
      </c>
      <c r="S491">
        <f>YEAR(marketing_data[[#This Row],[Start_date]])</f>
        <v>2023</v>
      </c>
      <c r="T491" t="str">
        <f>TEXT(marketing_data[[#This Row],[Start_date]],"ddd")</f>
        <v>Thu</v>
      </c>
      <c r="U491">
        <f>marketing_data[[#This Row],[Cleaned End_date]]-marketing_data[[#This Row],[Start_date]]</f>
        <v>28</v>
      </c>
    </row>
    <row r="492" spans="1:21" x14ac:dyDescent="0.2">
      <c r="A492" t="s">
        <v>1035</v>
      </c>
      <c r="B492" t="s">
        <v>1036</v>
      </c>
      <c r="C492" s="2">
        <v>45071</v>
      </c>
      <c r="D492" t="str">
        <f t="shared" si="45"/>
        <v>May</v>
      </c>
      <c r="E492" s="2">
        <v>45079</v>
      </c>
      <c r="F492" t="str">
        <f>F491</f>
        <v>Email</v>
      </c>
      <c r="G492">
        <v>94468</v>
      </c>
      <c r="H492">
        <v>4632</v>
      </c>
      <c r="I492">
        <v>400</v>
      </c>
      <c r="J492" t="b">
        <v>1</v>
      </c>
      <c r="K492" s="10">
        <v>2847.1</v>
      </c>
      <c r="L492" s="6">
        <f t="shared" si="46"/>
        <v>4.9032476605834777E-2</v>
      </c>
      <c r="M492">
        <f t="shared" si="47"/>
        <v>0.61465889464594126</v>
      </c>
      <c r="N492">
        <f t="shared" si="48"/>
        <v>7.11775</v>
      </c>
      <c r="O492">
        <f t="shared" si="49"/>
        <v>17152.900000000001</v>
      </c>
      <c r="P492">
        <f t="shared" si="50"/>
        <v>8.6355785837651119E-2</v>
      </c>
      <c r="Q492" t="s">
        <v>4137</v>
      </c>
      <c r="R492" t="s">
        <v>4142</v>
      </c>
      <c r="S492">
        <f>YEAR(marketing_data[[#This Row],[Start_date]])</f>
        <v>2023</v>
      </c>
      <c r="T492" t="str">
        <f>TEXT(marketing_data[[#This Row],[Start_date]],"ddd")</f>
        <v>Thu</v>
      </c>
      <c r="U492">
        <f>marketing_data[[#This Row],[Cleaned End_date]]-marketing_data[[#This Row],[Start_date]]</f>
        <v>8</v>
      </c>
    </row>
    <row r="493" spans="1:21" x14ac:dyDescent="0.2">
      <c r="A493" t="s">
        <v>1037</v>
      </c>
      <c r="B493" t="s">
        <v>1038</v>
      </c>
      <c r="C493" s="2">
        <v>45274</v>
      </c>
      <c r="D493" t="str">
        <f t="shared" si="45"/>
        <v>Dec</v>
      </c>
      <c r="E493" s="2">
        <v>45277</v>
      </c>
      <c r="F493" t="s">
        <v>33</v>
      </c>
      <c r="G493">
        <v>62389</v>
      </c>
      <c r="H493">
        <v>2289</v>
      </c>
      <c r="I493">
        <v>219</v>
      </c>
      <c r="J493" t="b">
        <v>0</v>
      </c>
      <c r="K493" s="10">
        <v>3631.7599999999998</v>
      </c>
      <c r="L493" s="6">
        <f t="shared" si="46"/>
        <v>3.6689159948067769E-2</v>
      </c>
      <c r="M493">
        <f t="shared" si="47"/>
        <v>1.5866142420270859</v>
      </c>
      <c r="N493">
        <f t="shared" si="48"/>
        <v>16.58337899543379</v>
      </c>
      <c r="O493">
        <f t="shared" si="49"/>
        <v>7318.24</v>
      </c>
      <c r="P493">
        <f t="shared" si="50"/>
        <v>9.5674967234600256E-2</v>
      </c>
      <c r="Q493" t="s">
        <v>4138</v>
      </c>
      <c r="R493" t="s">
        <v>4142</v>
      </c>
      <c r="S493">
        <f>YEAR(marketing_data[[#This Row],[Start_date]])</f>
        <v>2023</v>
      </c>
      <c r="T493" t="str">
        <f>TEXT(marketing_data[[#This Row],[Start_date]],"ddd")</f>
        <v>Thu</v>
      </c>
      <c r="U493">
        <f>marketing_data[[#This Row],[Cleaned End_date]]-marketing_data[[#This Row],[Start_date]]</f>
        <v>3</v>
      </c>
    </row>
    <row r="494" spans="1:21" x14ac:dyDescent="0.2">
      <c r="A494" t="s">
        <v>1039</v>
      </c>
      <c r="B494" t="s">
        <v>1040</v>
      </c>
      <c r="C494" s="2">
        <v>45258</v>
      </c>
      <c r="D494" t="str">
        <f t="shared" si="45"/>
        <v>Nov</v>
      </c>
      <c r="E494" s="2">
        <v>45278</v>
      </c>
      <c r="F494" t="s">
        <v>23</v>
      </c>
      <c r="G494">
        <v>10435</v>
      </c>
      <c r="H494">
        <v>108</v>
      </c>
      <c r="I494">
        <v>13</v>
      </c>
      <c r="J494" t="b">
        <v>1</v>
      </c>
      <c r="K494" s="10">
        <v>329.13249999999999</v>
      </c>
      <c r="L494" s="6">
        <f t="shared" si="46"/>
        <v>1.0349784379492095E-2</v>
      </c>
      <c r="M494">
        <f t="shared" si="47"/>
        <v>3.047523148148148</v>
      </c>
      <c r="N494">
        <f t="shared" si="48"/>
        <v>25.317884615384614</v>
      </c>
      <c r="O494">
        <f t="shared" si="49"/>
        <v>320.86750000000001</v>
      </c>
      <c r="P494">
        <f t="shared" si="50"/>
        <v>0.12037037037037036</v>
      </c>
      <c r="Q494" t="s">
        <v>4136</v>
      </c>
      <c r="R494" t="s">
        <v>4142</v>
      </c>
      <c r="S494">
        <f>YEAR(marketing_data[[#This Row],[Start_date]])</f>
        <v>2023</v>
      </c>
      <c r="T494" t="str">
        <f>TEXT(marketing_data[[#This Row],[Start_date]],"ddd")</f>
        <v>Tue</v>
      </c>
      <c r="U494">
        <f>marketing_data[[#This Row],[Cleaned End_date]]-marketing_data[[#This Row],[Start_date]]</f>
        <v>20</v>
      </c>
    </row>
    <row r="495" spans="1:21" x14ac:dyDescent="0.2">
      <c r="A495" t="s">
        <v>1041</v>
      </c>
      <c r="B495" t="s">
        <v>1042</v>
      </c>
      <c r="C495" s="2">
        <v>45212</v>
      </c>
      <c r="D495" t="str">
        <f t="shared" si="45"/>
        <v>Oct</v>
      </c>
      <c r="E495" s="2">
        <v>45216</v>
      </c>
      <c r="F495" t="s">
        <v>19</v>
      </c>
      <c r="G495">
        <v>55340</v>
      </c>
      <c r="H495">
        <v>1118</v>
      </c>
      <c r="I495">
        <v>66</v>
      </c>
      <c r="J495" t="b">
        <v>0</v>
      </c>
      <c r="K495" s="10">
        <v>824.48</v>
      </c>
      <c r="L495" s="6">
        <f t="shared" si="46"/>
        <v>2.0202385254788579E-2</v>
      </c>
      <c r="M495">
        <f t="shared" si="47"/>
        <v>0.73745974955277283</v>
      </c>
      <c r="N495">
        <f t="shared" si="48"/>
        <v>12.492121212121212</v>
      </c>
      <c r="O495">
        <f t="shared" si="49"/>
        <v>2475.52</v>
      </c>
      <c r="P495">
        <f t="shared" si="50"/>
        <v>5.9033989266547404E-2</v>
      </c>
      <c r="Q495" t="s">
        <v>4136</v>
      </c>
      <c r="R495" t="s">
        <v>4142</v>
      </c>
      <c r="S495">
        <f>YEAR(marketing_data[[#This Row],[Start_date]])</f>
        <v>2023</v>
      </c>
      <c r="T495" t="str">
        <f>TEXT(marketing_data[[#This Row],[Start_date]],"ddd")</f>
        <v>Fri</v>
      </c>
      <c r="U495">
        <f>marketing_data[[#This Row],[Cleaned End_date]]-marketing_data[[#This Row],[Start_date]]</f>
        <v>4</v>
      </c>
    </row>
    <row r="496" spans="1:21" x14ac:dyDescent="0.2">
      <c r="A496" t="s">
        <v>1043</v>
      </c>
      <c r="B496" t="s">
        <v>1044</v>
      </c>
      <c r="C496" s="2">
        <v>45263</v>
      </c>
      <c r="D496" t="str">
        <f t="shared" si="45"/>
        <v>Dec</v>
      </c>
      <c r="E496" s="2">
        <v>45292</v>
      </c>
      <c r="F496" t="s">
        <v>23</v>
      </c>
      <c r="G496">
        <v>45078</v>
      </c>
      <c r="H496">
        <v>920</v>
      </c>
      <c r="I496">
        <v>130</v>
      </c>
      <c r="J496" t="b">
        <v>0</v>
      </c>
      <c r="K496" s="10">
        <v>531.46</v>
      </c>
      <c r="L496" s="6">
        <f t="shared" si="46"/>
        <v>2.0409068725320556E-2</v>
      </c>
      <c r="M496">
        <f t="shared" si="47"/>
        <v>0.57767391304347826</v>
      </c>
      <c r="N496">
        <f t="shared" si="48"/>
        <v>4.0881538461538467</v>
      </c>
      <c r="O496">
        <f t="shared" si="49"/>
        <v>5968.54</v>
      </c>
      <c r="P496">
        <f t="shared" si="50"/>
        <v>0.14130434782608695</v>
      </c>
      <c r="Q496" t="s">
        <v>4138</v>
      </c>
      <c r="R496" t="s">
        <v>4139</v>
      </c>
      <c r="S496">
        <f>YEAR(marketing_data[[#This Row],[Start_date]])</f>
        <v>2023</v>
      </c>
      <c r="T496" t="str">
        <f>TEXT(marketing_data[[#This Row],[Start_date]],"ddd")</f>
        <v>Sun</v>
      </c>
      <c r="U496">
        <f>marketing_data[[#This Row],[Cleaned End_date]]-marketing_data[[#This Row],[Start_date]]</f>
        <v>29</v>
      </c>
    </row>
    <row r="497" spans="1:21" x14ac:dyDescent="0.2">
      <c r="A497" t="s">
        <v>1045</v>
      </c>
      <c r="B497" t="s">
        <v>1046</v>
      </c>
      <c r="C497" s="2">
        <v>45003</v>
      </c>
      <c r="D497" t="str">
        <f t="shared" si="45"/>
        <v>Mar</v>
      </c>
      <c r="E497" s="2">
        <v>45004</v>
      </c>
      <c r="F497" t="s">
        <v>14</v>
      </c>
      <c r="G497">
        <v>79832</v>
      </c>
      <c r="H497">
        <v>1019</v>
      </c>
      <c r="I497">
        <v>201</v>
      </c>
      <c r="J497" t="b">
        <v>1</v>
      </c>
      <c r="K497" s="10">
        <v>1361.35</v>
      </c>
      <c r="L497" s="6">
        <f t="shared" si="46"/>
        <v>1.276430504058523E-2</v>
      </c>
      <c r="M497">
        <f t="shared" si="47"/>
        <v>1.3359666339548577</v>
      </c>
      <c r="N497">
        <f t="shared" si="48"/>
        <v>6.7728855721393026</v>
      </c>
      <c r="O497">
        <f t="shared" si="49"/>
        <v>8688.65</v>
      </c>
      <c r="P497">
        <f t="shared" si="50"/>
        <v>0.197252208047105</v>
      </c>
      <c r="Q497" t="s">
        <v>4137</v>
      </c>
      <c r="R497" t="s">
        <v>4138</v>
      </c>
      <c r="S497">
        <f>YEAR(marketing_data[[#This Row],[Start_date]])</f>
        <v>2023</v>
      </c>
      <c r="T497" t="str">
        <f>TEXT(marketing_data[[#This Row],[Start_date]],"ddd")</f>
        <v>Sat</v>
      </c>
      <c r="U497">
        <f>marketing_data[[#This Row],[Cleaned End_date]]-marketing_data[[#This Row],[Start_date]]</f>
        <v>1</v>
      </c>
    </row>
    <row r="498" spans="1:21" x14ac:dyDescent="0.2">
      <c r="A498" t="s">
        <v>1047</v>
      </c>
      <c r="B498" t="s">
        <v>1048</v>
      </c>
      <c r="C498" s="2">
        <v>44999</v>
      </c>
      <c r="D498" t="str">
        <f t="shared" si="45"/>
        <v>Mar</v>
      </c>
      <c r="E498" s="2">
        <v>45027</v>
      </c>
      <c r="F498" t="str">
        <f>F497</f>
        <v>TikTok</v>
      </c>
      <c r="G498">
        <v>52293</v>
      </c>
      <c r="H498">
        <v>2530</v>
      </c>
      <c r="I498">
        <v>263</v>
      </c>
      <c r="J498" t="b">
        <v>1</v>
      </c>
      <c r="K498" s="10">
        <v>1857.16</v>
      </c>
      <c r="L498" s="6">
        <f t="shared" si="46"/>
        <v>4.838123649436827E-2</v>
      </c>
      <c r="M498">
        <f t="shared" si="47"/>
        <v>0.73405533596837946</v>
      </c>
      <c r="N498">
        <f t="shared" si="48"/>
        <v>7.0614448669201524</v>
      </c>
      <c r="O498">
        <f t="shared" si="49"/>
        <v>11292.84</v>
      </c>
      <c r="P498">
        <f t="shared" si="50"/>
        <v>0.10395256916996047</v>
      </c>
      <c r="Q498" t="s">
        <v>4137</v>
      </c>
      <c r="R498" t="s">
        <v>4141</v>
      </c>
      <c r="S498">
        <f>YEAR(marketing_data[[#This Row],[Start_date]])</f>
        <v>2023</v>
      </c>
      <c r="T498" t="str">
        <f>TEXT(marketing_data[[#This Row],[Start_date]],"ddd")</f>
        <v>Tue</v>
      </c>
      <c r="U498">
        <f>marketing_data[[#This Row],[Cleaned End_date]]-marketing_data[[#This Row],[Start_date]]</f>
        <v>28</v>
      </c>
    </row>
    <row r="499" spans="1:21" x14ac:dyDescent="0.2">
      <c r="A499" t="s">
        <v>1049</v>
      </c>
      <c r="B499" t="s">
        <v>1050</v>
      </c>
      <c r="C499" s="2">
        <v>45262</v>
      </c>
      <c r="D499" t="str">
        <f t="shared" si="45"/>
        <v>Dec</v>
      </c>
      <c r="E499" s="2">
        <v>45263</v>
      </c>
      <c r="F499" t="s">
        <v>19</v>
      </c>
      <c r="G499">
        <v>96981</v>
      </c>
      <c r="H499">
        <v>2825</v>
      </c>
      <c r="I499">
        <v>460</v>
      </c>
      <c r="J499" t="b">
        <v>1</v>
      </c>
      <c r="K499" s="10">
        <v>3631.7599999999998</v>
      </c>
      <c r="L499" s="6">
        <f t="shared" si="46"/>
        <v>2.9129417102319012E-2</v>
      </c>
      <c r="M499">
        <f t="shared" si="47"/>
        <v>1.2855787610619469</v>
      </c>
      <c r="N499">
        <f t="shared" si="48"/>
        <v>7.8951304347826081</v>
      </c>
      <c r="O499">
        <f t="shared" si="49"/>
        <v>19368.240000000002</v>
      </c>
      <c r="P499">
        <f t="shared" si="50"/>
        <v>0.16283185840707964</v>
      </c>
      <c r="Q499" t="s">
        <v>4138</v>
      </c>
      <c r="R499" t="s">
        <v>4138</v>
      </c>
      <c r="S499">
        <f>YEAR(marketing_data[[#This Row],[Start_date]])</f>
        <v>2023</v>
      </c>
      <c r="T499" t="str">
        <f>TEXT(marketing_data[[#This Row],[Start_date]],"ddd")</f>
        <v>Sat</v>
      </c>
      <c r="U499">
        <f>marketing_data[[#This Row],[Cleaned End_date]]-marketing_data[[#This Row],[Start_date]]</f>
        <v>1</v>
      </c>
    </row>
    <row r="500" spans="1:21" x14ac:dyDescent="0.2">
      <c r="A500" t="s">
        <v>1051</v>
      </c>
      <c r="B500" t="s">
        <v>1052</v>
      </c>
      <c r="C500" s="2">
        <v>45231</v>
      </c>
      <c r="D500" t="str">
        <f t="shared" si="45"/>
        <v>Nov</v>
      </c>
      <c r="E500" s="2">
        <v>45261</v>
      </c>
      <c r="F500" t="s">
        <v>41</v>
      </c>
      <c r="G500">
        <v>79781</v>
      </c>
      <c r="H500">
        <v>3656</v>
      </c>
      <c r="J500" t="b">
        <v>1</v>
      </c>
      <c r="K500" s="10">
        <v>3631.7599999999998</v>
      </c>
      <c r="L500" s="6">
        <f t="shared" si="46"/>
        <v>4.5825447161604894E-2</v>
      </c>
      <c r="M500">
        <f t="shared" si="47"/>
        <v>0.99336980306345724</v>
      </c>
      <c r="N500">
        <f t="shared" si="48"/>
        <v>0</v>
      </c>
      <c r="O500">
        <f t="shared" si="49"/>
        <v>-3631.7599999999998</v>
      </c>
      <c r="P500">
        <f t="shared" si="50"/>
        <v>0</v>
      </c>
      <c r="Q500" t="s">
        <v>4136</v>
      </c>
      <c r="R500" t="s">
        <v>4142</v>
      </c>
      <c r="S500">
        <f>YEAR(marketing_data[[#This Row],[Start_date]])</f>
        <v>2023</v>
      </c>
      <c r="T500" t="str">
        <f>TEXT(marketing_data[[#This Row],[Start_date]],"ddd")</f>
        <v>Wed</v>
      </c>
      <c r="U500">
        <f>marketing_data[[#This Row],[Cleaned End_date]]-marketing_data[[#This Row],[Start_date]]</f>
        <v>30</v>
      </c>
    </row>
    <row r="501" spans="1:21" x14ac:dyDescent="0.2">
      <c r="A501" t="s">
        <v>1053</v>
      </c>
      <c r="B501" t="s">
        <v>1054</v>
      </c>
      <c r="C501" s="2">
        <v>45213</v>
      </c>
      <c r="D501" t="str">
        <f t="shared" si="45"/>
        <v>Oct</v>
      </c>
      <c r="E501" s="2">
        <v>45215</v>
      </c>
      <c r="F501" t="s">
        <v>14</v>
      </c>
      <c r="G501">
        <v>61403</v>
      </c>
      <c r="H501">
        <v>1405</v>
      </c>
      <c r="I501">
        <v>97</v>
      </c>
      <c r="J501" t="b">
        <v>1</v>
      </c>
      <c r="K501" s="10">
        <v>2626.42</v>
      </c>
      <c r="L501" s="6">
        <f t="shared" si="46"/>
        <v>2.2881618161979058E-2</v>
      </c>
      <c r="M501">
        <f t="shared" si="47"/>
        <v>1.869338078291815</v>
      </c>
      <c r="N501">
        <f t="shared" si="48"/>
        <v>27.076494845360827</v>
      </c>
      <c r="O501">
        <f t="shared" si="49"/>
        <v>2223.58</v>
      </c>
      <c r="P501">
        <f t="shared" si="50"/>
        <v>6.9039145907473315E-2</v>
      </c>
      <c r="Q501" t="s">
        <v>4136</v>
      </c>
      <c r="R501" t="s">
        <v>4139</v>
      </c>
      <c r="S501">
        <f>YEAR(marketing_data[[#This Row],[Start_date]])</f>
        <v>2023</v>
      </c>
      <c r="T501" t="str">
        <f>TEXT(marketing_data[[#This Row],[Start_date]],"ddd")</f>
        <v>Sat</v>
      </c>
      <c r="U501">
        <f>marketing_data[[#This Row],[Cleaned End_date]]-marketing_data[[#This Row],[Start_date]]</f>
        <v>2</v>
      </c>
    </row>
    <row r="502" spans="1:21" x14ac:dyDescent="0.2">
      <c r="A502" t="s">
        <v>1055</v>
      </c>
      <c r="B502" t="s">
        <v>1056</v>
      </c>
      <c r="C502" s="2">
        <v>44992</v>
      </c>
      <c r="D502" t="str">
        <f t="shared" si="45"/>
        <v>Mar</v>
      </c>
      <c r="E502" s="2">
        <v>45020</v>
      </c>
      <c r="F502" t="s">
        <v>33</v>
      </c>
      <c r="G502">
        <v>30124</v>
      </c>
      <c r="H502">
        <v>452</v>
      </c>
      <c r="I502">
        <v>62</v>
      </c>
      <c r="J502" t="b">
        <v>1</v>
      </c>
      <c r="K502" s="10">
        <v>609.54</v>
      </c>
      <c r="L502" s="6">
        <f t="shared" si="46"/>
        <v>1.5004647457177002E-2</v>
      </c>
      <c r="M502">
        <f t="shared" si="47"/>
        <v>1.3485398230088494</v>
      </c>
      <c r="N502">
        <f t="shared" si="48"/>
        <v>9.8312903225806441</v>
      </c>
      <c r="O502">
        <f t="shared" si="49"/>
        <v>2490.46</v>
      </c>
      <c r="P502">
        <f t="shared" si="50"/>
        <v>0.13716814159292035</v>
      </c>
      <c r="Q502" t="s">
        <v>4137</v>
      </c>
      <c r="R502" t="s">
        <v>4138</v>
      </c>
      <c r="S502">
        <f>YEAR(marketing_data[[#This Row],[Start_date]])</f>
        <v>2023</v>
      </c>
      <c r="T502" t="str">
        <f>TEXT(marketing_data[[#This Row],[Start_date]],"ddd")</f>
        <v>Tue</v>
      </c>
      <c r="U502">
        <f>marketing_data[[#This Row],[Cleaned End_date]]-marketing_data[[#This Row],[Start_date]]</f>
        <v>28</v>
      </c>
    </row>
    <row r="503" spans="1:21" x14ac:dyDescent="0.2">
      <c r="A503" t="s">
        <v>1057</v>
      </c>
      <c r="B503" t="s">
        <v>1058</v>
      </c>
      <c r="C503" s="2">
        <v>45277</v>
      </c>
      <c r="D503" t="str">
        <f t="shared" si="45"/>
        <v>Dec</v>
      </c>
      <c r="E503" s="2">
        <v>45278</v>
      </c>
      <c r="F503" t="s">
        <v>41</v>
      </c>
      <c r="G503">
        <v>96435</v>
      </c>
      <c r="H503">
        <v>2794</v>
      </c>
      <c r="I503">
        <v>265</v>
      </c>
      <c r="J503" t="b">
        <v>1</v>
      </c>
      <c r="K503" s="10">
        <v>2162.58</v>
      </c>
      <c r="L503" s="6">
        <f t="shared" si="46"/>
        <v>2.8972883289262199E-2</v>
      </c>
      <c r="M503">
        <f t="shared" si="47"/>
        <v>0.77400858983536147</v>
      </c>
      <c r="N503">
        <f t="shared" si="48"/>
        <v>8.1606792452830188</v>
      </c>
      <c r="O503">
        <f t="shared" si="49"/>
        <v>11087.42</v>
      </c>
      <c r="P503">
        <f t="shared" si="50"/>
        <v>9.4846098783106653E-2</v>
      </c>
      <c r="Q503" t="s">
        <v>4138</v>
      </c>
      <c r="R503" t="s">
        <v>4139</v>
      </c>
      <c r="S503">
        <f>YEAR(marketing_data[[#This Row],[Start_date]])</f>
        <v>2023</v>
      </c>
      <c r="T503" t="str">
        <f>TEXT(marketing_data[[#This Row],[Start_date]],"ddd")</f>
        <v>Sun</v>
      </c>
      <c r="U503">
        <f>marketing_data[[#This Row],[Cleaned End_date]]-marketing_data[[#This Row],[Start_date]]</f>
        <v>1</v>
      </c>
    </row>
    <row r="504" spans="1:21" x14ac:dyDescent="0.2">
      <c r="A504" t="s">
        <v>1059</v>
      </c>
      <c r="B504" t="s">
        <v>1060</v>
      </c>
      <c r="C504" s="2">
        <v>45270</v>
      </c>
      <c r="D504" t="str">
        <f t="shared" si="45"/>
        <v>Dec</v>
      </c>
      <c r="E504" s="2">
        <v>45279</v>
      </c>
      <c r="F504" t="s">
        <v>19</v>
      </c>
      <c r="G504">
        <v>44919</v>
      </c>
      <c r="H504">
        <v>653</v>
      </c>
      <c r="J504" t="b">
        <v>1</v>
      </c>
      <c r="K504" s="10">
        <v>463.24</v>
      </c>
      <c r="L504" s="6">
        <f t="shared" si="46"/>
        <v>1.4537278211892518E-2</v>
      </c>
      <c r="M504">
        <f t="shared" si="47"/>
        <v>0.70940275650842266</v>
      </c>
      <c r="N504">
        <f t="shared" si="48"/>
        <v>0</v>
      </c>
      <c r="O504">
        <f t="shared" si="49"/>
        <v>-463.24</v>
      </c>
      <c r="P504">
        <f t="shared" si="50"/>
        <v>0</v>
      </c>
      <c r="Q504" t="s">
        <v>4138</v>
      </c>
      <c r="R504" t="s">
        <v>4138</v>
      </c>
      <c r="S504">
        <f>YEAR(marketing_data[[#This Row],[Start_date]])</f>
        <v>2023</v>
      </c>
      <c r="T504" t="str">
        <f>TEXT(marketing_data[[#This Row],[Start_date]],"ddd")</f>
        <v>Sun</v>
      </c>
      <c r="U504">
        <f>marketing_data[[#This Row],[Cleaned End_date]]-marketing_data[[#This Row],[Start_date]]</f>
        <v>9</v>
      </c>
    </row>
    <row r="505" spans="1:21" x14ac:dyDescent="0.2">
      <c r="A505" t="s">
        <v>1061</v>
      </c>
      <c r="B505" t="s">
        <v>1062</v>
      </c>
      <c r="C505" s="2">
        <v>45112</v>
      </c>
      <c r="D505" t="str">
        <f t="shared" si="45"/>
        <v>Jul</v>
      </c>
      <c r="E505" s="2">
        <v>45142</v>
      </c>
      <c r="F505" t="s">
        <v>14</v>
      </c>
      <c r="G505">
        <v>36247</v>
      </c>
      <c r="H505">
        <v>1067</v>
      </c>
      <c r="I505">
        <v>154</v>
      </c>
      <c r="J505" t="b">
        <v>1</v>
      </c>
      <c r="K505" s="10">
        <v>1456.14</v>
      </c>
      <c r="L505" s="6">
        <f t="shared" si="46"/>
        <v>2.9436918917427651E-2</v>
      </c>
      <c r="M505">
        <f t="shared" si="47"/>
        <v>1.3647047797563263</v>
      </c>
      <c r="N505">
        <f t="shared" si="48"/>
        <v>9.4554545454545469</v>
      </c>
      <c r="O505">
        <f t="shared" si="49"/>
        <v>6243.86</v>
      </c>
      <c r="P505">
        <f t="shared" si="50"/>
        <v>0.14432989690721648</v>
      </c>
      <c r="Q505" t="s">
        <v>4139</v>
      </c>
      <c r="R505" t="s">
        <v>4139</v>
      </c>
      <c r="S505">
        <f>YEAR(marketing_data[[#This Row],[Start_date]])</f>
        <v>2023</v>
      </c>
      <c r="T505" t="str">
        <f>TEXT(marketing_data[[#This Row],[Start_date]],"ddd")</f>
        <v>Wed</v>
      </c>
      <c r="U505">
        <f>marketing_data[[#This Row],[Cleaned End_date]]-marketing_data[[#This Row],[Start_date]]</f>
        <v>30</v>
      </c>
    </row>
    <row r="506" spans="1:21" x14ac:dyDescent="0.2">
      <c r="A506" t="s">
        <v>1063</v>
      </c>
      <c r="B506" t="s">
        <v>1064</v>
      </c>
      <c r="C506" s="2">
        <v>45101</v>
      </c>
      <c r="D506" t="str">
        <f t="shared" si="45"/>
        <v>Jun</v>
      </c>
      <c r="E506" s="2">
        <v>45102</v>
      </c>
      <c r="F506" t="s">
        <v>41</v>
      </c>
      <c r="G506">
        <v>95758</v>
      </c>
      <c r="H506">
        <v>4482</v>
      </c>
      <c r="I506">
        <v>801</v>
      </c>
      <c r="J506" t="b">
        <v>1</v>
      </c>
      <c r="K506" s="10">
        <v>3631.7599999999998</v>
      </c>
      <c r="L506" s="6">
        <f t="shared" si="46"/>
        <v>4.6805488836441866E-2</v>
      </c>
      <c r="M506">
        <f t="shared" si="47"/>
        <v>0.81029897367246762</v>
      </c>
      <c r="N506">
        <f t="shared" si="48"/>
        <v>4.5340324594257178</v>
      </c>
      <c r="O506">
        <f t="shared" si="49"/>
        <v>36418.239999999998</v>
      </c>
      <c r="P506">
        <f t="shared" si="50"/>
        <v>0.17871485943775101</v>
      </c>
      <c r="Q506" t="s">
        <v>4139</v>
      </c>
      <c r="R506" t="s">
        <v>4138</v>
      </c>
      <c r="S506">
        <f>YEAR(marketing_data[[#This Row],[Start_date]])</f>
        <v>2023</v>
      </c>
      <c r="T506" t="str">
        <f>TEXT(marketing_data[[#This Row],[Start_date]],"ddd")</f>
        <v>Sat</v>
      </c>
      <c r="U506">
        <f>marketing_data[[#This Row],[Cleaned End_date]]-marketing_data[[#This Row],[Start_date]]</f>
        <v>1</v>
      </c>
    </row>
    <row r="507" spans="1:21" x14ac:dyDescent="0.2">
      <c r="A507" t="s">
        <v>1065</v>
      </c>
      <c r="B507" t="s">
        <v>1066</v>
      </c>
      <c r="C507" s="2">
        <v>45042</v>
      </c>
      <c r="D507" t="str">
        <f t="shared" si="45"/>
        <v>Apr</v>
      </c>
      <c r="E507" s="2">
        <v>45052</v>
      </c>
      <c r="F507" t="s">
        <v>19</v>
      </c>
      <c r="G507">
        <v>92747</v>
      </c>
      <c r="H507">
        <v>2859</v>
      </c>
      <c r="J507" t="b">
        <v>1</v>
      </c>
      <c r="K507" s="10">
        <v>3631.7599999999998</v>
      </c>
      <c r="L507" s="6">
        <f t="shared" si="46"/>
        <v>3.0825794904417395E-2</v>
      </c>
      <c r="M507">
        <f t="shared" si="47"/>
        <v>1.2702903112976565</v>
      </c>
      <c r="N507">
        <f t="shared" si="48"/>
        <v>0</v>
      </c>
      <c r="O507">
        <f t="shared" si="49"/>
        <v>-3631.7599999999998</v>
      </c>
      <c r="P507">
        <f t="shared" si="50"/>
        <v>0</v>
      </c>
      <c r="Q507" t="s">
        <v>4137</v>
      </c>
      <c r="R507" t="s">
        <v>4141</v>
      </c>
      <c r="S507">
        <f>YEAR(marketing_data[[#This Row],[Start_date]])</f>
        <v>2023</v>
      </c>
      <c r="T507" t="str">
        <f>TEXT(marketing_data[[#This Row],[Start_date]],"ddd")</f>
        <v>Wed</v>
      </c>
      <c r="U507">
        <f>marketing_data[[#This Row],[Cleaned End_date]]-marketing_data[[#This Row],[Start_date]]</f>
        <v>10</v>
      </c>
    </row>
    <row r="508" spans="1:21" x14ac:dyDescent="0.2">
      <c r="A508" t="s">
        <v>1067</v>
      </c>
      <c r="B508" t="s">
        <v>1068</v>
      </c>
      <c r="C508" s="2">
        <v>45078</v>
      </c>
      <c r="D508" t="str">
        <f t="shared" si="45"/>
        <v>Jun</v>
      </c>
      <c r="E508" s="2">
        <v>45093</v>
      </c>
      <c r="F508" t="s">
        <v>14</v>
      </c>
      <c r="G508">
        <v>63752</v>
      </c>
      <c r="H508">
        <v>2209</v>
      </c>
      <c r="I508">
        <v>239</v>
      </c>
      <c r="J508" t="b">
        <v>1</v>
      </c>
      <c r="K508" s="10">
        <v>2018.22</v>
      </c>
      <c r="L508" s="6">
        <f t="shared" si="46"/>
        <v>3.4649893336679637E-2</v>
      </c>
      <c r="M508">
        <f t="shared" si="47"/>
        <v>0.91363512901765509</v>
      </c>
      <c r="N508">
        <f t="shared" si="48"/>
        <v>8.4444351464435154</v>
      </c>
      <c r="O508">
        <f t="shared" si="49"/>
        <v>9931.7800000000007</v>
      </c>
      <c r="P508">
        <f t="shared" si="50"/>
        <v>0.10819375282933454</v>
      </c>
      <c r="Q508" t="s">
        <v>4139</v>
      </c>
      <c r="R508" t="s">
        <v>4141</v>
      </c>
      <c r="S508">
        <f>YEAR(marketing_data[[#This Row],[Start_date]])</f>
        <v>2023</v>
      </c>
      <c r="T508" t="str">
        <f>TEXT(marketing_data[[#This Row],[Start_date]],"ddd")</f>
        <v>Thu</v>
      </c>
      <c r="U508">
        <f>marketing_data[[#This Row],[Cleaned End_date]]-marketing_data[[#This Row],[Start_date]]</f>
        <v>15</v>
      </c>
    </row>
    <row r="509" spans="1:21" x14ac:dyDescent="0.2">
      <c r="A509" t="s">
        <v>1069</v>
      </c>
      <c r="B509" t="s">
        <v>1070</v>
      </c>
      <c r="C509" s="2">
        <v>45203</v>
      </c>
      <c r="D509" t="str">
        <f t="shared" si="45"/>
        <v>Oct</v>
      </c>
      <c r="E509" s="2">
        <v>45216</v>
      </c>
      <c r="F509" t="s">
        <v>41</v>
      </c>
      <c r="G509">
        <v>57573</v>
      </c>
      <c r="H509">
        <v>936</v>
      </c>
      <c r="J509" t="b">
        <v>1</v>
      </c>
      <c r="K509" s="10">
        <v>754.76</v>
      </c>
      <c r="L509" s="6">
        <f t="shared" si="46"/>
        <v>1.6257620759731126E-2</v>
      </c>
      <c r="M509">
        <f t="shared" si="47"/>
        <v>0.80636752136752132</v>
      </c>
      <c r="N509">
        <f t="shared" si="48"/>
        <v>0</v>
      </c>
      <c r="O509">
        <f t="shared" si="49"/>
        <v>-754.76</v>
      </c>
      <c r="P509">
        <f t="shared" si="50"/>
        <v>0</v>
      </c>
      <c r="Q509" t="s">
        <v>4136</v>
      </c>
      <c r="R509" t="s">
        <v>4139</v>
      </c>
      <c r="S509">
        <f>YEAR(marketing_data[[#This Row],[Start_date]])</f>
        <v>2023</v>
      </c>
      <c r="T509" t="str">
        <f>TEXT(marketing_data[[#This Row],[Start_date]],"ddd")</f>
        <v>Wed</v>
      </c>
      <c r="U509">
        <f>marketing_data[[#This Row],[Cleaned End_date]]-marketing_data[[#This Row],[Start_date]]</f>
        <v>13</v>
      </c>
    </row>
    <row r="510" spans="1:21" x14ac:dyDescent="0.2">
      <c r="A510" t="s">
        <v>1071</v>
      </c>
      <c r="B510" t="s">
        <v>1072</v>
      </c>
      <c r="C510" s="2">
        <v>44946</v>
      </c>
      <c r="D510" t="str">
        <f t="shared" si="45"/>
        <v>Jan</v>
      </c>
      <c r="E510" s="2">
        <v>44970</v>
      </c>
      <c r="F510" t="s">
        <v>41</v>
      </c>
      <c r="G510">
        <v>60101</v>
      </c>
      <c r="H510">
        <v>706</v>
      </c>
      <c r="I510">
        <v>121</v>
      </c>
      <c r="J510" t="b">
        <v>1</v>
      </c>
      <c r="K510" s="10">
        <v>370.74</v>
      </c>
      <c r="L510" s="6">
        <f t="shared" si="46"/>
        <v>1.1746892730570207E-2</v>
      </c>
      <c r="M510">
        <f t="shared" si="47"/>
        <v>0.52512747875354104</v>
      </c>
      <c r="N510">
        <f t="shared" si="48"/>
        <v>3.0639669421487605</v>
      </c>
      <c r="O510">
        <f t="shared" si="49"/>
        <v>5679.26</v>
      </c>
      <c r="P510">
        <f t="shared" si="50"/>
        <v>0.17138810198300283</v>
      </c>
      <c r="Q510" t="s">
        <v>4138</v>
      </c>
      <c r="R510" t="s">
        <v>4142</v>
      </c>
      <c r="S510">
        <f>YEAR(marketing_data[[#This Row],[Start_date]])</f>
        <v>2023</v>
      </c>
      <c r="T510" t="str">
        <f>TEXT(marketing_data[[#This Row],[Start_date]],"ddd")</f>
        <v>Fri</v>
      </c>
      <c r="U510">
        <f>marketing_data[[#This Row],[Cleaned End_date]]-marketing_data[[#This Row],[Start_date]]</f>
        <v>24</v>
      </c>
    </row>
    <row r="511" spans="1:21" x14ac:dyDescent="0.2">
      <c r="A511" t="s">
        <v>1073</v>
      </c>
      <c r="B511" t="s">
        <v>1074</v>
      </c>
      <c r="C511" s="2">
        <v>45243</v>
      </c>
      <c r="D511" t="str">
        <f t="shared" si="45"/>
        <v>Nov</v>
      </c>
      <c r="E511" s="2">
        <v>45262</v>
      </c>
      <c r="F511" t="s">
        <v>14</v>
      </c>
      <c r="G511">
        <v>27646</v>
      </c>
      <c r="H511">
        <v>398</v>
      </c>
      <c r="I511">
        <v>62</v>
      </c>
      <c r="J511" t="b">
        <v>1</v>
      </c>
      <c r="K511" s="10">
        <v>604.48</v>
      </c>
      <c r="L511" s="6">
        <f t="shared" si="46"/>
        <v>1.4396296028358534E-2</v>
      </c>
      <c r="M511">
        <f t="shared" si="47"/>
        <v>1.5187939698492463</v>
      </c>
      <c r="N511">
        <f t="shared" si="48"/>
        <v>9.749677419354839</v>
      </c>
      <c r="O511">
        <f t="shared" si="49"/>
        <v>2495.52</v>
      </c>
      <c r="P511">
        <f t="shared" si="50"/>
        <v>0.15577889447236182</v>
      </c>
      <c r="Q511" t="s">
        <v>4136</v>
      </c>
      <c r="R511" t="s">
        <v>4141</v>
      </c>
      <c r="S511">
        <f>YEAR(marketing_data[[#This Row],[Start_date]])</f>
        <v>2023</v>
      </c>
      <c r="T511" t="str">
        <f>TEXT(marketing_data[[#This Row],[Start_date]],"ddd")</f>
        <v>Mon</v>
      </c>
      <c r="U511">
        <f>marketing_data[[#This Row],[Cleaned End_date]]-marketing_data[[#This Row],[Start_date]]</f>
        <v>19</v>
      </c>
    </row>
    <row r="512" spans="1:21" x14ac:dyDescent="0.2">
      <c r="A512" t="s">
        <v>1075</v>
      </c>
      <c r="B512" t="s">
        <v>1076</v>
      </c>
      <c r="C512" s="2">
        <v>45010</v>
      </c>
      <c r="D512" t="str">
        <f t="shared" si="45"/>
        <v>Mar</v>
      </c>
      <c r="E512" s="2">
        <v>45016</v>
      </c>
      <c r="F512" t="s">
        <v>14</v>
      </c>
      <c r="G512">
        <v>24049</v>
      </c>
      <c r="H512">
        <v>816</v>
      </c>
      <c r="I512">
        <v>71</v>
      </c>
      <c r="J512" t="b">
        <v>1</v>
      </c>
      <c r="K512" s="10">
        <v>501.72</v>
      </c>
      <c r="L512" s="6">
        <f t="shared" si="46"/>
        <v>3.3930724770260719E-2</v>
      </c>
      <c r="M512">
        <f t="shared" si="47"/>
        <v>0.6148529411764706</v>
      </c>
      <c r="N512">
        <f t="shared" si="48"/>
        <v>7.0664788732394372</v>
      </c>
      <c r="O512">
        <f t="shared" si="49"/>
        <v>3048.2799999999997</v>
      </c>
      <c r="P512">
        <f t="shared" si="50"/>
        <v>8.7009803921568624E-2</v>
      </c>
      <c r="Q512" t="s">
        <v>4137</v>
      </c>
      <c r="R512" t="s">
        <v>4138</v>
      </c>
      <c r="S512">
        <f>YEAR(marketing_data[[#This Row],[Start_date]])</f>
        <v>2023</v>
      </c>
      <c r="T512" t="str">
        <f>TEXT(marketing_data[[#This Row],[Start_date]],"ddd")</f>
        <v>Sat</v>
      </c>
      <c r="U512">
        <f>marketing_data[[#This Row],[Cleaned End_date]]-marketing_data[[#This Row],[Start_date]]</f>
        <v>6</v>
      </c>
    </row>
    <row r="513" spans="1:21" x14ac:dyDescent="0.2">
      <c r="A513" t="s">
        <v>1077</v>
      </c>
      <c r="B513" t="s">
        <v>1078</v>
      </c>
      <c r="C513" s="2">
        <v>45246</v>
      </c>
      <c r="D513" t="str">
        <f t="shared" si="45"/>
        <v>Nov</v>
      </c>
      <c r="E513" s="2">
        <v>45250</v>
      </c>
      <c r="F513" t="s">
        <v>14</v>
      </c>
      <c r="G513">
        <v>80605</v>
      </c>
      <c r="H513">
        <v>1112</v>
      </c>
      <c r="I513">
        <v>207</v>
      </c>
      <c r="J513" t="b">
        <v>0</v>
      </c>
      <c r="K513" s="10">
        <v>1257.83</v>
      </c>
      <c r="L513" s="6">
        <f t="shared" si="46"/>
        <v>1.3795670243781403E-2</v>
      </c>
      <c r="M513">
        <f t="shared" si="47"/>
        <v>1.1311420863309352</v>
      </c>
      <c r="N513">
        <f t="shared" si="48"/>
        <v>6.0764734299516903</v>
      </c>
      <c r="O513">
        <f t="shared" si="49"/>
        <v>9092.17</v>
      </c>
      <c r="P513">
        <f t="shared" si="50"/>
        <v>0.18615107913669066</v>
      </c>
      <c r="Q513" t="s">
        <v>4136</v>
      </c>
      <c r="R513" t="s">
        <v>4141</v>
      </c>
      <c r="S513">
        <f>YEAR(marketing_data[[#This Row],[Start_date]])</f>
        <v>2023</v>
      </c>
      <c r="T513" t="str">
        <f>TEXT(marketing_data[[#This Row],[Start_date]],"ddd")</f>
        <v>Thu</v>
      </c>
      <c r="U513">
        <f>marketing_data[[#This Row],[Cleaned End_date]]-marketing_data[[#This Row],[Start_date]]</f>
        <v>4</v>
      </c>
    </row>
    <row r="514" spans="1:21" x14ac:dyDescent="0.2">
      <c r="A514" t="s">
        <v>1079</v>
      </c>
      <c r="B514" t="s">
        <v>1080</v>
      </c>
      <c r="C514" s="2">
        <v>45151</v>
      </c>
      <c r="D514" t="str">
        <f t="shared" si="45"/>
        <v>Aug</v>
      </c>
      <c r="E514" s="2">
        <v>45153</v>
      </c>
      <c r="F514" t="s">
        <v>19</v>
      </c>
      <c r="G514">
        <v>99116</v>
      </c>
      <c r="H514">
        <v>2481</v>
      </c>
      <c r="I514">
        <v>181</v>
      </c>
      <c r="J514" t="b">
        <v>0</v>
      </c>
      <c r="K514" s="10">
        <v>3479.66</v>
      </c>
      <c r="L514" s="6">
        <f t="shared" si="46"/>
        <v>2.5031276484119618E-2</v>
      </c>
      <c r="M514">
        <f t="shared" si="47"/>
        <v>1.4025231761386536</v>
      </c>
      <c r="N514">
        <f t="shared" si="48"/>
        <v>19.224640883977901</v>
      </c>
      <c r="O514">
        <f t="shared" si="49"/>
        <v>5570.34</v>
      </c>
      <c r="P514">
        <f t="shared" si="50"/>
        <v>7.2954453849254336E-2</v>
      </c>
      <c r="Q514" t="s">
        <v>4139</v>
      </c>
      <c r="R514" t="s">
        <v>4141</v>
      </c>
      <c r="S514">
        <f>YEAR(marketing_data[[#This Row],[Start_date]])</f>
        <v>2023</v>
      </c>
      <c r="T514" t="str">
        <f>TEXT(marketing_data[[#This Row],[Start_date]],"ddd")</f>
        <v>Sun</v>
      </c>
      <c r="U514">
        <f>marketing_data[[#This Row],[Cleaned End_date]]-marketing_data[[#This Row],[Start_date]]</f>
        <v>2</v>
      </c>
    </row>
    <row r="515" spans="1:21" x14ac:dyDescent="0.2">
      <c r="A515" t="s">
        <v>1082</v>
      </c>
      <c r="B515" t="s">
        <v>1083</v>
      </c>
      <c r="C515" s="2">
        <v>45113</v>
      </c>
      <c r="D515" t="str">
        <f t="shared" ref="D515:D578" si="51">TEXT(C515,"mmm")</f>
        <v>Jul</v>
      </c>
      <c r="E515" s="2">
        <v>45125</v>
      </c>
      <c r="F515" t="s">
        <v>14</v>
      </c>
      <c r="G515">
        <v>98379</v>
      </c>
      <c r="H515">
        <v>3148</v>
      </c>
      <c r="J515" t="b">
        <v>1</v>
      </c>
      <c r="K515" s="10">
        <v>3631.7599999999998</v>
      </c>
      <c r="L515" s="6">
        <f t="shared" ref="L515:L578" si="52">H515/G515</f>
        <v>3.1998698909320077E-2</v>
      </c>
      <c r="M515">
        <f t="shared" ref="M515:M578" si="53">K515/H515</f>
        <v>1.1536721728081321</v>
      </c>
      <c r="N515">
        <f t="shared" ref="N515:N578" si="54">IFERROR(K515/I515,0)</f>
        <v>0</v>
      </c>
      <c r="O515">
        <f t="shared" ref="O515:O578" si="55">(50*I515)-K515</f>
        <v>-3631.7599999999998</v>
      </c>
      <c r="P515">
        <f t="shared" ref="P515:P578" si="56">I515/H515</f>
        <v>0</v>
      </c>
      <c r="Q515" t="s">
        <v>4139</v>
      </c>
      <c r="R515" t="s">
        <v>4139</v>
      </c>
      <c r="S515">
        <f>YEAR(marketing_data[[#This Row],[Start_date]])</f>
        <v>2023</v>
      </c>
      <c r="T515" t="str">
        <f>TEXT(marketing_data[[#This Row],[Start_date]],"ddd")</f>
        <v>Thu</v>
      </c>
      <c r="U515">
        <f>marketing_data[[#This Row],[Cleaned End_date]]-marketing_data[[#This Row],[Start_date]]</f>
        <v>12</v>
      </c>
    </row>
    <row r="516" spans="1:21" x14ac:dyDescent="0.2">
      <c r="A516" t="s">
        <v>1084</v>
      </c>
      <c r="B516" t="s">
        <v>1085</v>
      </c>
      <c r="C516" s="2">
        <v>45154</v>
      </c>
      <c r="D516" t="str">
        <f t="shared" si="51"/>
        <v>Aug</v>
      </c>
      <c r="E516" s="2">
        <v>45161</v>
      </c>
      <c r="F516" t="s">
        <v>41</v>
      </c>
      <c r="G516">
        <v>69385</v>
      </c>
      <c r="H516">
        <v>1772</v>
      </c>
      <c r="I516">
        <v>96</v>
      </c>
      <c r="J516" t="b">
        <v>1</v>
      </c>
      <c r="K516" s="10">
        <v>1714.77</v>
      </c>
      <c r="L516" s="6">
        <f t="shared" si="52"/>
        <v>2.5538661093896374E-2</v>
      </c>
      <c r="M516">
        <f t="shared" si="53"/>
        <v>0.96770316027088032</v>
      </c>
      <c r="N516">
        <f t="shared" si="54"/>
        <v>17.862187500000001</v>
      </c>
      <c r="O516">
        <f t="shared" si="55"/>
        <v>3085.23</v>
      </c>
      <c r="P516">
        <f t="shared" si="56"/>
        <v>5.4176072234762979E-2</v>
      </c>
      <c r="Q516" t="s">
        <v>4139</v>
      </c>
      <c r="R516" t="s">
        <v>4138</v>
      </c>
      <c r="S516">
        <f>YEAR(marketing_data[[#This Row],[Start_date]])</f>
        <v>2023</v>
      </c>
      <c r="T516" t="str">
        <f>TEXT(marketing_data[[#This Row],[Start_date]],"ddd")</f>
        <v>Wed</v>
      </c>
      <c r="U516">
        <f>marketing_data[[#This Row],[Cleaned End_date]]-marketing_data[[#This Row],[Start_date]]</f>
        <v>7</v>
      </c>
    </row>
    <row r="517" spans="1:21" x14ac:dyDescent="0.2">
      <c r="A517" t="s">
        <v>1086</v>
      </c>
      <c r="B517" t="s">
        <v>1087</v>
      </c>
      <c r="C517" s="2">
        <v>45156</v>
      </c>
      <c r="D517" t="str">
        <f t="shared" si="51"/>
        <v>Aug</v>
      </c>
      <c r="E517" s="2">
        <v>45177</v>
      </c>
      <c r="F517" t="s">
        <v>14</v>
      </c>
      <c r="G517">
        <v>41158</v>
      </c>
      <c r="H517">
        <v>681</v>
      </c>
      <c r="J517" t="b">
        <v>1</v>
      </c>
      <c r="K517" s="10">
        <v>595.64</v>
      </c>
      <c r="L517" s="6">
        <f t="shared" si="52"/>
        <v>1.6545993488507701E-2</v>
      </c>
      <c r="M517">
        <f t="shared" si="53"/>
        <v>0.87465491923641703</v>
      </c>
      <c r="N517">
        <f t="shared" si="54"/>
        <v>0</v>
      </c>
      <c r="O517">
        <f t="shared" si="55"/>
        <v>-595.64</v>
      </c>
      <c r="P517">
        <f t="shared" si="56"/>
        <v>0</v>
      </c>
      <c r="Q517" t="s">
        <v>4139</v>
      </c>
      <c r="R517" t="s">
        <v>4138</v>
      </c>
      <c r="S517">
        <f>YEAR(marketing_data[[#This Row],[Start_date]])</f>
        <v>2023</v>
      </c>
      <c r="T517" t="str">
        <f>TEXT(marketing_data[[#This Row],[Start_date]],"ddd")</f>
        <v>Fri</v>
      </c>
      <c r="U517">
        <f>marketing_data[[#This Row],[Cleaned End_date]]-marketing_data[[#This Row],[Start_date]]</f>
        <v>21</v>
      </c>
    </row>
    <row r="518" spans="1:21" x14ac:dyDescent="0.2">
      <c r="A518" t="s">
        <v>1088</v>
      </c>
      <c r="B518" t="s">
        <v>1089</v>
      </c>
      <c r="C518" s="2">
        <v>45167</v>
      </c>
      <c r="D518" t="str">
        <f t="shared" si="51"/>
        <v>Aug</v>
      </c>
      <c r="E518" s="2">
        <v>45174</v>
      </c>
      <c r="F518" t="s">
        <v>14</v>
      </c>
      <c r="G518">
        <v>66417</v>
      </c>
      <c r="H518">
        <v>1391</v>
      </c>
      <c r="I518">
        <v>127</v>
      </c>
      <c r="J518" t="b">
        <v>0</v>
      </c>
      <c r="K518" s="10">
        <v>2060.41</v>
      </c>
      <c r="L518" s="6">
        <f t="shared" si="52"/>
        <v>2.0943433157173615E-2</v>
      </c>
      <c r="M518">
        <f t="shared" si="53"/>
        <v>1.4812437095614666</v>
      </c>
      <c r="N518">
        <f t="shared" si="54"/>
        <v>16.223700787401572</v>
      </c>
      <c r="O518">
        <f t="shared" si="55"/>
        <v>4289.59</v>
      </c>
      <c r="P518">
        <f t="shared" si="56"/>
        <v>9.1301222142343638E-2</v>
      </c>
      <c r="Q518" t="s">
        <v>4139</v>
      </c>
      <c r="R518" t="s">
        <v>4141</v>
      </c>
      <c r="S518">
        <f>YEAR(marketing_data[[#This Row],[Start_date]])</f>
        <v>2023</v>
      </c>
      <c r="T518" t="str">
        <f>TEXT(marketing_data[[#This Row],[Start_date]],"ddd")</f>
        <v>Tue</v>
      </c>
      <c r="U518">
        <f>marketing_data[[#This Row],[Cleaned End_date]]-marketing_data[[#This Row],[Start_date]]</f>
        <v>7</v>
      </c>
    </row>
    <row r="519" spans="1:21" x14ac:dyDescent="0.2">
      <c r="A519" t="s">
        <v>1090</v>
      </c>
      <c r="B519" t="s">
        <v>1091</v>
      </c>
      <c r="C519" s="2">
        <v>45274</v>
      </c>
      <c r="D519" t="str">
        <f t="shared" si="51"/>
        <v>Dec</v>
      </c>
      <c r="E519" s="2">
        <v>45288</v>
      </c>
      <c r="F519" t="s">
        <v>19</v>
      </c>
      <c r="G519">
        <v>24289</v>
      </c>
      <c r="H519">
        <v>1144</v>
      </c>
      <c r="I519">
        <v>134</v>
      </c>
      <c r="J519" t="b">
        <v>0</v>
      </c>
      <c r="K519" s="10">
        <v>1634.61</v>
      </c>
      <c r="L519" s="6">
        <f t="shared" si="52"/>
        <v>4.7099510066285148E-2</v>
      </c>
      <c r="M519">
        <f t="shared" si="53"/>
        <v>1.4288548951048949</v>
      </c>
      <c r="N519">
        <f t="shared" si="54"/>
        <v>12.198582089552238</v>
      </c>
      <c r="O519">
        <f t="shared" si="55"/>
        <v>5065.3900000000003</v>
      </c>
      <c r="P519">
        <f t="shared" si="56"/>
        <v>0.11713286713286714</v>
      </c>
      <c r="Q519" t="s">
        <v>4138</v>
      </c>
      <c r="R519" t="s">
        <v>4142</v>
      </c>
      <c r="S519">
        <f>YEAR(marketing_data[[#This Row],[Start_date]])</f>
        <v>2023</v>
      </c>
      <c r="T519" t="str">
        <f>TEXT(marketing_data[[#This Row],[Start_date]],"ddd")</f>
        <v>Thu</v>
      </c>
      <c r="U519">
        <f>marketing_data[[#This Row],[Cleaned End_date]]-marketing_data[[#This Row],[Start_date]]</f>
        <v>14</v>
      </c>
    </row>
    <row r="520" spans="1:21" x14ac:dyDescent="0.2">
      <c r="A520" t="s">
        <v>1092</v>
      </c>
      <c r="B520" t="s">
        <v>1093</v>
      </c>
      <c r="C520" s="2">
        <v>45163</v>
      </c>
      <c r="D520" t="str">
        <f t="shared" si="51"/>
        <v>Aug</v>
      </c>
      <c r="E520" s="2">
        <v>45187</v>
      </c>
      <c r="F520" t="s">
        <v>14</v>
      </c>
      <c r="G520">
        <v>10823</v>
      </c>
      <c r="H520">
        <v>400</v>
      </c>
      <c r="I520">
        <v>40</v>
      </c>
      <c r="J520" t="b">
        <v>1</v>
      </c>
      <c r="K520" s="10">
        <v>399.27</v>
      </c>
      <c r="L520" s="6">
        <f t="shared" si="52"/>
        <v>3.6958329483507343E-2</v>
      </c>
      <c r="M520">
        <f t="shared" si="53"/>
        <v>0.99817499999999992</v>
      </c>
      <c r="N520">
        <f t="shared" si="54"/>
        <v>9.9817499999999999</v>
      </c>
      <c r="O520">
        <f t="shared" si="55"/>
        <v>1600.73</v>
      </c>
      <c r="P520">
        <f t="shared" si="56"/>
        <v>0.1</v>
      </c>
      <c r="Q520" t="s">
        <v>4139</v>
      </c>
      <c r="R520" t="s">
        <v>4139</v>
      </c>
      <c r="S520">
        <f>YEAR(marketing_data[[#This Row],[Start_date]])</f>
        <v>2023</v>
      </c>
      <c r="T520" t="str">
        <f>TEXT(marketing_data[[#This Row],[Start_date]],"ddd")</f>
        <v>Fri</v>
      </c>
      <c r="U520">
        <f>marketing_data[[#This Row],[Cleaned End_date]]-marketing_data[[#This Row],[Start_date]]</f>
        <v>24</v>
      </c>
    </row>
    <row r="521" spans="1:21" x14ac:dyDescent="0.2">
      <c r="A521" t="s">
        <v>1094</v>
      </c>
      <c r="B521" t="s">
        <v>1095</v>
      </c>
      <c r="C521" s="2">
        <v>45184</v>
      </c>
      <c r="D521" t="str">
        <f t="shared" si="51"/>
        <v>Sep</v>
      </c>
      <c r="E521" s="2">
        <v>45213</v>
      </c>
      <c r="F521" t="s">
        <v>23</v>
      </c>
      <c r="G521">
        <v>61160</v>
      </c>
      <c r="H521">
        <v>1825</v>
      </c>
      <c r="J521" t="b">
        <v>0</v>
      </c>
      <c r="K521" s="10">
        <v>3453.18</v>
      </c>
      <c r="L521" s="6">
        <f t="shared" si="52"/>
        <v>2.9839764551994767E-2</v>
      </c>
      <c r="M521">
        <f t="shared" si="53"/>
        <v>1.8921534246575342</v>
      </c>
      <c r="N521">
        <f t="shared" si="54"/>
        <v>0</v>
      </c>
      <c r="O521">
        <f t="shared" si="55"/>
        <v>-3453.18</v>
      </c>
      <c r="P521">
        <f t="shared" si="56"/>
        <v>0</v>
      </c>
      <c r="Q521" t="s">
        <v>4136</v>
      </c>
      <c r="R521" t="s">
        <v>4142</v>
      </c>
      <c r="S521">
        <f>YEAR(marketing_data[[#This Row],[Start_date]])</f>
        <v>2023</v>
      </c>
      <c r="T521" t="str">
        <f>TEXT(marketing_data[[#This Row],[Start_date]],"ddd")</f>
        <v>Fri</v>
      </c>
      <c r="U521">
        <f>marketing_data[[#This Row],[Cleaned End_date]]-marketing_data[[#This Row],[Start_date]]</f>
        <v>29</v>
      </c>
    </row>
    <row r="522" spans="1:21" x14ac:dyDescent="0.2">
      <c r="A522" t="s">
        <v>1096</v>
      </c>
      <c r="B522" t="s">
        <v>1097</v>
      </c>
      <c r="C522" s="2">
        <v>45029</v>
      </c>
      <c r="D522" t="str">
        <f t="shared" si="51"/>
        <v>Apr</v>
      </c>
      <c r="E522" s="2">
        <v>45041</v>
      </c>
      <c r="F522" t="s">
        <v>33</v>
      </c>
      <c r="G522">
        <v>42975</v>
      </c>
      <c r="H522">
        <v>451</v>
      </c>
      <c r="J522" t="b">
        <v>1</v>
      </c>
      <c r="K522" s="10">
        <v>797.05</v>
      </c>
      <c r="L522" s="6">
        <f t="shared" si="52"/>
        <v>1.0494473531122745E-2</v>
      </c>
      <c r="M522">
        <f t="shared" si="53"/>
        <v>1.7672949002217293</v>
      </c>
      <c r="N522">
        <f t="shared" si="54"/>
        <v>0</v>
      </c>
      <c r="O522">
        <f t="shared" si="55"/>
        <v>-797.05</v>
      </c>
      <c r="P522">
        <f t="shared" si="56"/>
        <v>0</v>
      </c>
      <c r="Q522" t="s">
        <v>4137</v>
      </c>
      <c r="R522" t="s">
        <v>4141</v>
      </c>
      <c r="S522">
        <f>YEAR(marketing_data[[#This Row],[Start_date]])</f>
        <v>2023</v>
      </c>
      <c r="T522" t="str">
        <f>TEXT(marketing_data[[#This Row],[Start_date]],"ddd")</f>
        <v>Thu</v>
      </c>
      <c r="U522">
        <f>marketing_data[[#This Row],[Cleaned End_date]]-marketing_data[[#This Row],[Start_date]]</f>
        <v>12</v>
      </c>
    </row>
    <row r="523" spans="1:21" x14ac:dyDescent="0.2">
      <c r="A523" t="s">
        <v>1098</v>
      </c>
      <c r="B523" t="s">
        <v>1099</v>
      </c>
      <c r="C523" s="2">
        <v>45174</v>
      </c>
      <c r="D523" t="str">
        <f t="shared" si="51"/>
        <v>Sep</v>
      </c>
      <c r="E523" s="2">
        <v>45204</v>
      </c>
      <c r="F523" t="s">
        <v>33</v>
      </c>
      <c r="G523">
        <v>10540</v>
      </c>
      <c r="H523">
        <v>523</v>
      </c>
      <c r="I523">
        <v>95</v>
      </c>
      <c r="J523" t="b">
        <v>1</v>
      </c>
      <c r="K523" s="10">
        <v>437.21</v>
      </c>
      <c r="L523" s="6">
        <f t="shared" si="52"/>
        <v>4.9620493358633777E-2</v>
      </c>
      <c r="M523">
        <f t="shared" si="53"/>
        <v>0.83596558317399616</v>
      </c>
      <c r="N523">
        <f t="shared" si="54"/>
        <v>4.6022105263157895</v>
      </c>
      <c r="O523">
        <f t="shared" si="55"/>
        <v>4312.79</v>
      </c>
      <c r="P523">
        <f t="shared" si="56"/>
        <v>0.18164435946462715</v>
      </c>
      <c r="Q523" t="s">
        <v>4136</v>
      </c>
      <c r="R523" t="s">
        <v>4139</v>
      </c>
      <c r="S523">
        <f>YEAR(marketing_data[[#This Row],[Start_date]])</f>
        <v>2023</v>
      </c>
      <c r="T523" t="str">
        <f>TEXT(marketing_data[[#This Row],[Start_date]],"ddd")</f>
        <v>Tue</v>
      </c>
      <c r="U523">
        <f>marketing_data[[#This Row],[Cleaned End_date]]-marketing_data[[#This Row],[Start_date]]</f>
        <v>30</v>
      </c>
    </row>
    <row r="524" spans="1:21" x14ac:dyDescent="0.2">
      <c r="A524" t="s">
        <v>1100</v>
      </c>
      <c r="B524" t="s">
        <v>1101</v>
      </c>
      <c r="C524" s="2">
        <v>45173</v>
      </c>
      <c r="D524" t="str">
        <f t="shared" si="51"/>
        <v>Sep</v>
      </c>
      <c r="E524" s="2">
        <v>45182</v>
      </c>
      <c r="F524" t="s">
        <v>23</v>
      </c>
      <c r="G524">
        <v>17364</v>
      </c>
      <c r="H524">
        <v>640</v>
      </c>
      <c r="I524">
        <v>124</v>
      </c>
      <c r="J524" t="b">
        <v>1</v>
      </c>
      <c r="K524" s="10">
        <v>549.58000000000004</v>
      </c>
      <c r="L524" s="6">
        <f t="shared" si="52"/>
        <v>3.6857866850956003E-2</v>
      </c>
      <c r="M524">
        <f t="shared" si="53"/>
        <v>0.85871875000000009</v>
      </c>
      <c r="N524">
        <f t="shared" si="54"/>
        <v>4.4320967741935489</v>
      </c>
      <c r="O524">
        <f t="shared" si="55"/>
        <v>5650.42</v>
      </c>
      <c r="P524">
        <f t="shared" si="56"/>
        <v>0.19375000000000001</v>
      </c>
      <c r="Q524" t="s">
        <v>4136</v>
      </c>
      <c r="R524" t="s">
        <v>4141</v>
      </c>
      <c r="S524">
        <f>YEAR(marketing_data[[#This Row],[Start_date]])</f>
        <v>2023</v>
      </c>
      <c r="T524" t="str">
        <f>TEXT(marketing_data[[#This Row],[Start_date]],"ddd")</f>
        <v>Mon</v>
      </c>
      <c r="U524">
        <f>marketing_data[[#This Row],[Cleaned End_date]]-marketing_data[[#This Row],[Start_date]]</f>
        <v>9</v>
      </c>
    </row>
    <row r="525" spans="1:21" x14ac:dyDescent="0.2">
      <c r="A525" t="s">
        <v>1102</v>
      </c>
      <c r="B525" t="s">
        <v>1103</v>
      </c>
      <c r="C525" s="2">
        <v>44979</v>
      </c>
      <c r="D525" t="str">
        <f t="shared" si="51"/>
        <v>Feb</v>
      </c>
      <c r="E525" s="2">
        <v>44993</v>
      </c>
      <c r="F525" t="s">
        <v>14</v>
      </c>
      <c r="G525">
        <v>5611</v>
      </c>
      <c r="H525">
        <v>127</v>
      </c>
      <c r="I525">
        <v>10</v>
      </c>
      <c r="J525" t="b">
        <v>1</v>
      </c>
      <c r="K525" s="10">
        <v>329.13249999999999</v>
      </c>
      <c r="L525" s="6">
        <f t="shared" si="52"/>
        <v>2.2634111566565675E-2</v>
      </c>
      <c r="M525">
        <f t="shared" si="53"/>
        <v>2.5915944881889765</v>
      </c>
      <c r="N525">
        <f t="shared" si="54"/>
        <v>32.913249999999998</v>
      </c>
      <c r="O525">
        <f t="shared" si="55"/>
        <v>170.86750000000001</v>
      </c>
      <c r="P525">
        <f t="shared" si="56"/>
        <v>7.874015748031496E-2</v>
      </c>
      <c r="Q525" t="s">
        <v>4138</v>
      </c>
      <c r="R525" t="s">
        <v>4138</v>
      </c>
      <c r="S525">
        <f>YEAR(marketing_data[[#This Row],[Start_date]])</f>
        <v>2023</v>
      </c>
      <c r="T525" t="str">
        <f>TEXT(marketing_data[[#This Row],[Start_date]],"ddd")</f>
        <v>Wed</v>
      </c>
      <c r="U525">
        <f>marketing_data[[#This Row],[Cleaned End_date]]-marketing_data[[#This Row],[Start_date]]</f>
        <v>14</v>
      </c>
    </row>
    <row r="526" spans="1:21" x14ac:dyDescent="0.2">
      <c r="A526" t="s">
        <v>1104</v>
      </c>
      <c r="B526" t="s">
        <v>1105</v>
      </c>
      <c r="C526" s="2">
        <v>44990</v>
      </c>
      <c r="D526" t="str">
        <f t="shared" si="51"/>
        <v>Mar</v>
      </c>
      <c r="E526" s="2">
        <v>45011</v>
      </c>
      <c r="F526" t="s">
        <v>14</v>
      </c>
      <c r="G526">
        <v>28663</v>
      </c>
      <c r="H526">
        <v>1294</v>
      </c>
      <c r="I526">
        <v>203</v>
      </c>
      <c r="J526" t="b">
        <v>0</v>
      </c>
      <c r="K526" s="10">
        <v>2148.5</v>
      </c>
      <c r="L526" s="6">
        <f t="shared" si="52"/>
        <v>4.5145309283745598E-2</v>
      </c>
      <c r="M526">
        <f t="shared" si="53"/>
        <v>1.6603554868624419</v>
      </c>
      <c r="N526">
        <f t="shared" si="54"/>
        <v>10.583743842364532</v>
      </c>
      <c r="O526">
        <f t="shared" si="55"/>
        <v>8001.5</v>
      </c>
      <c r="P526">
        <f t="shared" si="56"/>
        <v>0.15687789799072643</v>
      </c>
      <c r="Q526" t="s">
        <v>4137</v>
      </c>
      <c r="R526" t="s">
        <v>4142</v>
      </c>
      <c r="S526">
        <f>YEAR(marketing_data[[#This Row],[Start_date]])</f>
        <v>2023</v>
      </c>
      <c r="T526" t="str">
        <f>TEXT(marketing_data[[#This Row],[Start_date]],"ddd")</f>
        <v>Sun</v>
      </c>
      <c r="U526">
        <f>marketing_data[[#This Row],[Cleaned End_date]]-marketing_data[[#This Row],[Start_date]]</f>
        <v>21</v>
      </c>
    </row>
    <row r="527" spans="1:21" x14ac:dyDescent="0.2">
      <c r="A527" t="s">
        <v>1106</v>
      </c>
      <c r="B527" t="s">
        <v>1107</v>
      </c>
      <c r="C527" s="2">
        <v>45066</v>
      </c>
      <c r="D527" t="str">
        <f t="shared" si="51"/>
        <v>May</v>
      </c>
      <c r="E527" s="2">
        <v>45067</v>
      </c>
      <c r="F527" t="s">
        <v>41</v>
      </c>
      <c r="G527">
        <v>52991</v>
      </c>
      <c r="H527">
        <v>1077</v>
      </c>
      <c r="I527">
        <v>161</v>
      </c>
      <c r="J527" t="b">
        <v>0</v>
      </c>
      <c r="K527" s="10">
        <v>609.65</v>
      </c>
      <c r="L527" s="6">
        <f t="shared" si="52"/>
        <v>2.0324205997244816E-2</v>
      </c>
      <c r="M527">
        <f t="shared" si="53"/>
        <v>0.56606313834726085</v>
      </c>
      <c r="N527">
        <f t="shared" si="54"/>
        <v>3.7866459627329192</v>
      </c>
      <c r="O527">
        <f t="shared" si="55"/>
        <v>7440.35</v>
      </c>
      <c r="P527">
        <f t="shared" si="56"/>
        <v>0.14948932219127206</v>
      </c>
      <c r="Q527" t="s">
        <v>4137</v>
      </c>
      <c r="R527" t="s">
        <v>4139</v>
      </c>
      <c r="S527">
        <f>YEAR(marketing_data[[#This Row],[Start_date]])</f>
        <v>2023</v>
      </c>
      <c r="T527" t="str">
        <f>TEXT(marketing_data[[#This Row],[Start_date]],"ddd")</f>
        <v>Sat</v>
      </c>
      <c r="U527">
        <f>marketing_data[[#This Row],[Cleaned End_date]]-marketing_data[[#This Row],[Start_date]]</f>
        <v>1</v>
      </c>
    </row>
    <row r="528" spans="1:21" x14ac:dyDescent="0.2">
      <c r="A528" t="s">
        <v>1108</v>
      </c>
      <c r="B528" t="s">
        <v>1109</v>
      </c>
      <c r="C528" s="2">
        <v>45268</v>
      </c>
      <c r="D528" t="str">
        <f t="shared" si="51"/>
        <v>Dec</v>
      </c>
      <c r="E528" s="2">
        <v>45298</v>
      </c>
      <c r="F528" t="s">
        <v>23</v>
      </c>
      <c r="G528">
        <v>58679</v>
      </c>
      <c r="H528">
        <v>1863</v>
      </c>
      <c r="I528">
        <v>189</v>
      </c>
      <c r="J528" t="b">
        <v>1</v>
      </c>
      <c r="K528" s="10">
        <v>2869.03</v>
      </c>
      <c r="L528" s="6">
        <f t="shared" si="52"/>
        <v>3.1749007310963036E-2</v>
      </c>
      <c r="M528">
        <f t="shared" si="53"/>
        <v>1.5400053676865273</v>
      </c>
      <c r="N528">
        <f t="shared" si="54"/>
        <v>15.180052910052911</v>
      </c>
      <c r="O528">
        <f t="shared" si="55"/>
        <v>6580.9699999999993</v>
      </c>
      <c r="P528">
        <f t="shared" si="56"/>
        <v>0.10144927536231885</v>
      </c>
      <c r="Q528" t="s">
        <v>4138</v>
      </c>
      <c r="R528" t="s">
        <v>4139</v>
      </c>
      <c r="S528">
        <f>YEAR(marketing_data[[#This Row],[Start_date]])</f>
        <v>2023</v>
      </c>
      <c r="T528" t="str">
        <f>TEXT(marketing_data[[#This Row],[Start_date]],"ddd")</f>
        <v>Fri</v>
      </c>
      <c r="U528">
        <f>marketing_data[[#This Row],[Cleaned End_date]]-marketing_data[[#This Row],[Start_date]]</f>
        <v>30</v>
      </c>
    </row>
    <row r="529" spans="1:21" x14ac:dyDescent="0.2">
      <c r="A529" t="s">
        <v>1110</v>
      </c>
      <c r="B529" t="s">
        <v>1111</v>
      </c>
      <c r="C529" s="2">
        <v>45040</v>
      </c>
      <c r="D529" t="str">
        <f t="shared" si="51"/>
        <v>Apr</v>
      </c>
      <c r="E529" s="2">
        <v>45065</v>
      </c>
      <c r="F529" t="s">
        <v>14</v>
      </c>
      <c r="G529">
        <v>31977</v>
      </c>
      <c r="H529">
        <v>1133</v>
      </c>
      <c r="I529">
        <v>59</v>
      </c>
      <c r="J529" t="b">
        <v>1</v>
      </c>
      <c r="K529" s="10">
        <v>1668.18</v>
      </c>
      <c r="L529" s="6">
        <f t="shared" si="52"/>
        <v>3.543171654626763E-2</v>
      </c>
      <c r="M529">
        <f t="shared" si="53"/>
        <v>1.4723565754633716</v>
      </c>
      <c r="N529">
        <f t="shared" si="54"/>
        <v>28.274237288135595</v>
      </c>
      <c r="O529">
        <f t="shared" si="55"/>
        <v>1281.82</v>
      </c>
      <c r="P529">
        <f t="shared" si="56"/>
        <v>5.2074139452780228E-2</v>
      </c>
      <c r="Q529" t="s">
        <v>4137</v>
      </c>
      <c r="R529" t="s">
        <v>4139</v>
      </c>
      <c r="S529">
        <f>YEAR(marketing_data[[#This Row],[Start_date]])</f>
        <v>2023</v>
      </c>
      <c r="T529" t="str">
        <f>TEXT(marketing_data[[#This Row],[Start_date]],"ddd")</f>
        <v>Mon</v>
      </c>
      <c r="U529">
        <f>marketing_data[[#This Row],[Cleaned End_date]]-marketing_data[[#This Row],[Start_date]]</f>
        <v>25</v>
      </c>
    </row>
    <row r="530" spans="1:21" x14ac:dyDescent="0.2">
      <c r="A530" t="s">
        <v>1112</v>
      </c>
      <c r="B530" t="s">
        <v>1113</v>
      </c>
      <c r="C530" s="2">
        <v>44940</v>
      </c>
      <c r="D530" t="str">
        <f t="shared" si="51"/>
        <v>Jan</v>
      </c>
      <c r="E530" s="2">
        <v>44942</v>
      </c>
      <c r="F530" t="s">
        <v>23</v>
      </c>
      <c r="G530">
        <v>95704</v>
      </c>
      <c r="H530">
        <v>1803</v>
      </c>
      <c r="I530">
        <v>276</v>
      </c>
      <c r="J530" t="b">
        <v>0</v>
      </c>
      <c r="K530" s="10">
        <v>1527.54</v>
      </c>
      <c r="L530" s="6">
        <f t="shared" si="52"/>
        <v>1.8839337958706012E-2</v>
      </c>
      <c r="M530">
        <f t="shared" si="53"/>
        <v>0.84722129783693845</v>
      </c>
      <c r="N530">
        <f t="shared" si="54"/>
        <v>5.5345652173913038</v>
      </c>
      <c r="O530">
        <f t="shared" si="55"/>
        <v>12272.46</v>
      </c>
      <c r="P530">
        <f t="shared" si="56"/>
        <v>0.15307820299500832</v>
      </c>
      <c r="Q530" t="s">
        <v>4138</v>
      </c>
      <c r="R530" t="s">
        <v>4139</v>
      </c>
      <c r="S530">
        <f>YEAR(marketing_data[[#This Row],[Start_date]])</f>
        <v>2023</v>
      </c>
      <c r="T530" t="str">
        <f>TEXT(marketing_data[[#This Row],[Start_date]],"ddd")</f>
        <v>Sat</v>
      </c>
      <c r="U530">
        <f>marketing_data[[#This Row],[Cleaned End_date]]-marketing_data[[#This Row],[Start_date]]</f>
        <v>2</v>
      </c>
    </row>
    <row r="531" spans="1:21" x14ac:dyDescent="0.2">
      <c r="A531" t="s">
        <v>1114</v>
      </c>
      <c r="B531" t="s">
        <v>1115</v>
      </c>
      <c r="C531" s="2">
        <v>45118</v>
      </c>
      <c r="D531" t="str">
        <f t="shared" si="51"/>
        <v>Jul</v>
      </c>
      <c r="E531" s="2">
        <v>45147</v>
      </c>
      <c r="F531" t="s">
        <v>14</v>
      </c>
      <c r="G531">
        <v>50115</v>
      </c>
      <c r="H531">
        <v>2462</v>
      </c>
      <c r="I531">
        <v>472</v>
      </c>
      <c r="J531" t="b">
        <v>1</v>
      </c>
      <c r="K531" s="10">
        <v>3631.7599999999998</v>
      </c>
      <c r="L531" s="6">
        <f t="shared" si="52"/>
        <v>4.9127007881871694E-2</v>
      </c>
      <c r="M531">
        <f t="shared" si="53"/>
        <v>1.4751259138911452</v>
      </c>
      <c r="N531">
        <f t="shared" si="54"/>
        <v>7.6944067796610165</v>
      </c>
      <c r="O531">
        <f t="shared" si="55"/>
        <v>19968.240000000002</v>
      </c>
      <c r="P531">
        <f t="shared" si="56"/>
        <v>0.1917140536149472</v>
      </c>
      <c r="Q531" t="s">
        <v>4139</v>
      </c>
      <c r="R531" t="s">
        <v>4138</v>
      </c>
      <c r="S531">
        <f>YEAR(marketing_data[[#This Row],[Start_date]])</f>
        <v>2023</v>
      </c>
      <c r="T531" t="str">
        <f>TEXT(marketing_data[[#This Row],[Start_date]],"ddd")</f>
        <v>Tue</v>
      </c>
      <c r="U531">
        <f>marketing_data[[#This Row],[Cleaned End_date]]-marketing_data[[#This Row],[Start_date]]</f>
        <v>29</v>
      </c>
    </row>
    <row r="532" spans="1:21" x14ac:dyDescent="0.2">
      <c r="A532" t="s">
        <v>1116</v>
      </c>
      <c r="B532" t="s">
        <v>1117</v>
      </c>
      <c r="C532" s="2">
        <v>45118</v>
      </c>
      <c r="D532" t="str">
        <f t="shared" si="51"/>
        <v>Jul</v>
      </c>
      <c r="E532" s="2">
        <v>45122</v>
      </c>
      <c r="F532" t="s">
        <v>33</v>
      </c>
      <c r="G532">
        <v>92007</v>
      </c>
      <c r="H532">
        <v>3673</v>
      </c>
      <c r="I532">
        <v>531</v>
      </c>
      <c r="J532" t="b">
        <v>0</v>
      </c>
      <c r="K532" s="10">
        <v>3631.7599999999998</v>
      </c>
      <c r="L532" s="6">
        <f t="shared" si="52"/>
        <v>3.9920875585553274E-2</v>
      </c>
      <c r="M532">
        <f t="shared" si="53"/>
        <v>0.98877212088211264</v>
      </c>
      <c r="N532">
        <f t="shared" si="54"/>
        <v>6.8394726930320147</v>
      </c>
      <c r="O532">
        <f t="shared" si="55"/>
        <v>22918.240000000002</v>
      </c>
      <c r="P532">
        <f t="shared" si="56"/>
        <v>0.14456847263817044</v>
      </c>
      <c r="Q532" t="s">
        <v>4139</v>
      </c>
      <c r="R532" t="s">
        <v>4141</v>
      </c>
      <c r="S532">
        <f>YEAR(marketing_data[[#This Row],[Start_date]])</f>
        <v>2023</v>
      </c>
      <c r="T532" t="str">
        <f>TEXT(marketing_data[[#This Row],[Start_date]],"ddd")</f>
        <v>Tue</v>
      </c>
      <c r="U532">
        <f>marketing_data[[#This Row],[Cleaned End_date]]-marketing_data[[#This Row],[Start_date]]</f>
        <v>4</v>
      </c>
    </row>
    <row r="533" spans="1:21" x14ac:dyDescent="0.2">
      <c r="A533" t="s">
        <v>1118</v>
      </c>
      <c r="B533" t="s">
        <v>1119</v>
      </c>
      <c r="C533" s="2">
        <v>44977</v>
      </c>
      <c r="D533" t="str">
        <f t="shared" si="51"/>
        <v>Feb</v>
      </c>
      <c r="E533" s="2">
        <v>44987</v>
      </c>
      <c r="F533" t="s">
        <v>19</v>
      </c>
      <c r="G533">
        <v>89223</v>
      </c>
      <c r="H533">
        <v>2883</v>
      </c>
      <c r="I533">
        <v>332</v>
      </c>
      <c r="J533" t="b">
        <v>0</v>
      </c>
      <c r="K533" s="10">
        <v>1643.83</v>
      </c>
      <c r="L533" s="6">
        <f t="shared" si="52"/>
        <v>3.2312296156820554E-2</v>
      </c>
      <c r="M533">
        <f t="shared" si="53"/>
        <v>0.5701803676725633</v>
      </c>
      <c r="N533">
        <f t="shared" si="54"/>
        <v>4.9512951807228918</v>
      </c>
      <c r="O533">
        <f t="shared" si="55"/>
        <v>14956.17</v>
      </c>
      <c r="P533">
        <f t="shared" si="56"/>
        <v>0.11515782171349288</v>
      </c>
      <c r="Q533" t="s">
        <v>4138</v>
      </c>
      <c r="R533" t="s">
        <v>4139</v>
      </c>
      <c r="S533">
        <f>YEAR(marketing_data[[#This Row],[Start_date]])</f>
        <v>2023</v>
      </c>
      <c r="T533" t="str">
        <f>TEXT(marketing_data[[#This Row],[Start_date]],"ddd")</f>
        <v>Mon</v>
      </c>
      <c r="U533">
        <f>marketing_data[[#This Row],[Cleaned End_date]]-marketing_data[[#This Row],[Start_date]]</f>
        <v>10</v>
      </c>
    </row>
    <row r="534" spans="1:21" x14ac:dyDescent="0.2">
      <c r="A534" t="s">
        <v>1120</v>
      </c>
      <c r="B534" t="s">
        <v>1121</v>
      </c>
      <c r="C534" s="2">
        <v>45001</v>
      </c>
      <c r="D534" t="str">
        <f t="shared" si="51"/>
        <v>Mar</v>
      </c>
      <c r="E534" s="2">
        <v>45006</v>
      </c>
      <c r="F534" t="s">
        <v>14</v>
      </c>
      <c r="G534">
        <v>61890</v>
      </c>
      <c r="H534">
        <v>1065</v>
      </c>
      <c r="I534">
        <v>137</v>
      </c>
      <c r="J534" t="b">
        <v>0</v>
      </c>
      <c r="K534" s="10">
        <v>1043.1400000000001</v>
      </c>
      <c r="L534" s="6">
        <f t="shared" si="52"/>
        <v>1.7207949587978673E-2</v>
      </c>
      <c r="M534">
        <f t="shared" si="53"/>
        <v>0.97947417840375595</v>
      </c>
      <c r="N534">
        <f t="shared" si="54"/>
        <v>7.6141605839416062</v>
      </c>
      <c r="O534">
        <f t="shared" si="55"/>
        <v>5806.86</v>
      </c>
      <c r="P534">
        <f t="shared" si="56"/>
        <v>0.12863849765258217</v>
      </c>
      <c r="Q534" t="s">
        <v>4137</v>
      </c>
      <c r="R534" t="s">
        <v>4142</v>
      </c>
      <c r="S534">
        <f>YEAR(marketing_data[[#This Row],[Start_date]])</f>
        <v>2023</v>
      </c>
      <c r="T534" t="str">
        <f>TEXT(marketing_data[[#This Row],[Start_date]],"ddd")</f>
        <v>Thu</v>
      </c>
      <c r="U534">
        <f>marketing_data[[#This Row],[Cleaned End_date]]-marketing_data[[#This Row],[Start_date]]</f>
        <v>5</v>
      </c>
    </row>
    <row r="535" spans="1:21" x14ac:dyDescent="0.2">
      <c r="A535" t="s">
        <v>1122</v>
      </c>
      <c r="B535" t="s">
        <v>1123</v>
      </c>
      <c r="C535" s="2">
        <v>45168</v>
      </c>
      <c r="D535" t="str">
        <f t="shared" si="51"/>
        <v>Aug</v>
      </c>
      <c r="E535" s="2">
        <v>45177</v>
      </c>
      <c r="F535" t="s">
        <v>33</v>
      </c>
      <c r="G535">
        <v>67387</v>
      </c>
      <c r="H535">
        <v>819</v>
      </c>
      <c r="I535">
        <v>65</v>
      </c>
      <c r="J535" t="b">
        <v>0</v>
      </c>
      <c r="K535" s="10">
        <v>947.8</v>
      </c>
      <c r="L535" s="6">
        <f t="shared" si="52"/>
        <v>1.21536794930773E-2</v>
      </c>
      <c r="M535">
        <f t="shared" si="53"/>
        <v>1.1572649572649572</v>
      </c>
      <c r="N535">
        <f t="shared" si="54"/>
        <v>14.581538461538461</v>
      </c>
      <c r="O535">
        <f t="shared" si="55"/>
        <v>2302.1999999999998</v>
      </c>
      <c r="P535">
        <f t="shared" si="56"/>
        <v>7.9365079365079361E-2</v>
      </c>
      <c r="Q535" t="s">
        <v>4139</v>
      </c>
      <c r="R535" t="s">
        <v>4142</v>
      </c>
      <c r="S535">
        <f>YEAR(marketing_data[[#This Row],[Start_date]])</f>
        <v>2023</v>
      </c>
      <c r="T535" t="str">
        <f>TEXT(marketing_data[[#This Row],[Start_date]],"ddd")</f>
        <v>Wed</v>
      </c>
      <c r="U535">
        <f>marketing_data[[#This Row],[Cleaned End_date]]-marketing_data[[#This Row],[Start_date]]</f>
        <v>9</v>
      </c>
    </row>
    <row r="536" spans="1:21" x14ac:dyDescent="0.2">
      <c r="A536" t="s">
        <v>1124</v>
      </c>
      <c r="B536" t="s">
        <v>1125</v>
      </c>
      <c r="C536" s="2">
        <v>45288</v>
      </c>
      <c r="D536" t="str">
        <f t="shared" si="51"/>
        <v>Dec</v>
      </c>
      <c r="E536" s="2">
        <v>45303</v>
      </c>
      <c r="F536" t="s">
        <v>19</v>
      </c>
      <c r="G536">
        <v>19071</v>
      </c>
      <c r="H536">
        <v>434</v>
      </c>
      <c r="I536">
        <v>70</v>
      </c>
      <c r="J536" t="b">
        <v>1</v>
      </c>
      <c r="K536" s="10">
        <v>802.42</v>
      </c>
      <c r="L536" s="6">
        <f t="shared" si="52"/>
        <v>2.2757065701850977E-2</v>
      </c>
      <c r="M536">
        <f t="shared" si="53"/>
        <v>1.8488940092165898</v>
      </c>
      <c r="N536">
        <f t="shared" si="54"/>
        <v>11.463142857142856</v>
      </c>
      <c r="O536">
        <f t="shared" si="55"/>
        <v>2697.58</v>
      </c>
      <c r="P536">
        <f t="shared" si="56"/>
        <v>0.16129032258064516</v>
      </c>
      <c r="Q536" t="s">
        <v>4138</v>
      </c>
      <c r="R536" t="s">
        <v>4139</v>
      </c>
      <c r="S536">
        <f>YEAR(marketing_data[[#This Row],[Start_date]])</f>
        <v>2023</v>
      </c>
      <c r="T536" t="str">
        <f>TEXT(marketing_data[[#This Row],[Start_date]],"ddd")</f>
        <v>Thu</v>
      </c>
      <c r="U536">
        <f>marketing_data[[#This Row],[Cleaned End_date]]-marketing_data[[#This Row],[Start_date]]</f>
        <v>15</v>
      </c>
    </row>
    <row r="537" spans="1:21" x14ac:dyDescent="0.2">
      <c r="A537" t="s">
        <v>1126</v>
      </c>
      <c r="B537" t="s">
        <v>1127</v>
      </c>
      <c r="C537" s="2">
        <v>45201</v>
      </c>
      <c r="D537" t="str">
        <f t="shared" si="51"/>
        <v>Oct</v>
      </c>
      <c r="E537" s="2">
        <v>45231</v>
      </c>
      <c r="F537" t="s">
        <v>14</v>
      </c>
      <c r="G537">
        <v>60275</v>
      </c>
      <c r="H537">
        <v>2418</v>
      </c>
      <c r="I537">
        <v>391</v>
      </c>
      <c r="J537" t="b">
        <v>1</v>
      </c>
      <c r="K537" s="10">
        <v>3631.7599999999998</v>
      </c>
      <c r="L537" s="6">
        <f t="shared" si="52"/>
        <v>4.0116134384073E-2</v>
      </c>
      <c r="M537">
        <f t="shared" si="53"/>
        <v>1.5019685690653433</v>
      </c>
      <c r="N537">
        <f t="shared" si="54"/>
        <v>9.2883887468030686</v>
      </c>
      <c r="O537">
        <f t="shared" si="55"/>
        <v>15918.24</v>
      </c>
      <c r="P537">
        <f t="shared" si="56"/>
        <v>0.16170388751033912</v>
      </c>
      <c r="Q537" t="s">
        <v>4136</v>
      </c>
      <c r="R537" t="s">
        <v>4138</v>
      </c>
      <c r="S537">
        <f>YEAR(marketing_data[[#This Row],[Start_date]])</f>
        <v>2023</v>
      </c>
      <c r="T537" t="str">
        <f>TEXT(marketing_data[[#This Row],[Start_date]],"ddd")</f>
        <v>Mon</v>
      </c>
      <c r="U537">
        <f>marketing_data[[#This Row],[Cleaned End_date]]-marketing_data[[#This Row],[Start_date]]</f>
        <v>30</v>
      </c>
    </row>
    <row r="538" spans="1:21" x14ac:dyDescent="0.2">
      <c r="A538" t="s">
        <v>1128</v>
      </c>
      <c r="B538" t="s">
        <v>1129</v>
      </c>
      <c r="C538" s="2">
        <v>45037</v>
      </c>
      <c r="D538" t="str">
        <f t="shared" si="51"/>
        <v>Apr</v>
      </c>
      <c r="E538" s="2">
        <v>45067</v>
      </c>
      <c r="F538" t="s">
        <v>33</v>
      </c>
      <c r="G538">
        <v>73369</v>
      </c>
      <c r="H538">
        <v>1524</v>
      </c>
      <c r="J538" t="b">
        <v>0</v>
      </c>
      <c r="K538" s="10">
        <v>1777.25</v>
      </c>
      <c r="L538" s="6">
        <f t="shared" si="52"/>
        <v>2.0771715574697761E-2</v>
      </c>
      <c r="M538">
        <f t="shared" si="53"/>
        <v>1.1661745406824147</v>
      </c>
      <c r="N538">
        <f t="shared" si="54"/>
        <v>0</v>
      </c>
      <c r="O538">
        <f t="shared" si="55"/>
        <v>-1777.25</v>
      </c>
      <c r="P538">
        <f t="shared" si="56"/>
        <v>0</v>
      </c>
      <c r="Q538" t="s">
        <v>4137</v>
      </c>
      <c r="R538" t="s">
        <v>4142</v>
      </c>
      <c r="S538">
        <f>YEAR(marketing_data[[#This Row],[Start_date]])</f>
        <v>2023</v>
      </c>
      <c r="T538" t="str">
        <f>TEXT(marketing_data[[#This Row],[Start_date]],"ddd")</f>
        <v>Fri</v>
      </c>
      <c r="U538">
        <f>marketing_data[[#This Row],[Cleaned End_date]]-marketing_data[[#This Row],[Start_date]]</f>
        <v>30</v>
      </c>
    </row>
    <row r="539" spans="1:21" x14ac:dyDescent="0.2">
      <c r="A539" t="s">
        <v>1130</v>
      </c>
      <c r="B539" t="s">
        <v>1131</v>
      </c>
      <c r="C539" s="2">
        <v>45238</v>
      </c>
      <c r="D539" t="str">
        <f t="shared" si="51"/>
        <v>Nov</v>
      </c>
      <c r="E539" s="2">
        <v>45267</v>
      </c>
      <c r="F539" t="s">
        <v>41</v>
      </c>
      <c r="G539">
        <v>12938</v>
      </c>
      <c r="H539">
        <v>408</v>
      </c>
      <c r="I539">
        <v>74</v>
      </c>
      <c r="J539" t="b">
        <v>1</v>
      </c>
      <c r="K539" s="10">
        <v>663.02</v>
      </c>
      <c r="L539" s="6">
        <f t="shared" si="52"/>
        <v>3.1535013139588806E-2</v>
      </c>
      <c r="M539">
        <f t="shared" si="53"/>
        <v>1.6250490196078431</v>
      </c>
      <c r="N539">
        <f t="shared" si="54"/>
        <v>8.9597297297297303</v>
      </c>
      <c r="O539">
        <f t="shared" si="55"/>
        <v>3036.98</v>
      </c>
      <c r="P539">
        <f t="shared" si="56"/>
        <v>0.18137254901960784</v>
      </c>
      <c r="Q539" t="s">
        <v>4136</v>
      </c>
      <c r="R539" t="s">
        <v>4138</v>
      </c>
      <c r="S539">
        <f>YEAR(marketing_data[[#This Row],[Start_date]])</f>
        <v>2023</v>
      </c>
      <c r="T539" t="str">
        <f>TEXT(marketing_data[[#This Row],[Start_date]],"ddd")</f>
        <v>Wed</v>
      </c>
      <c r="U539">
        <f>marketing_data[[#This Row],[Cleaned End_date]]-marketing_data[[#This Row],[Start_date]]</f>
        <v>29</v>
      </c>
    </row>
    <row r="540" spans="1:21" x14ac:dyDescent="0.2">
      <c r="A540" t="s">
        <v>1132</v>
      </c>
      <c r="B540" t="s">
        <v>1133</v>
      </c>
      <c r="C540" s="2">
        <v>45074</v>
      </c>
      <c r="D540" t="str">
        <f t="shared" si="51"/>
        <v>May</v>
      </c>
      <c r="E540" s="2">
        <v>45100</v>
      </c>
      <c r="F540" t="s">
        <v>23</v>
      </c>
      <c r="G540">
        <v>36195</v>
      </c>
      <c r="H540">
        <v>1415</v>
      </c>
      <c r="I540">
        <v>127</v>
      </c>
      <c r="J540" t="b">
        <v>0</v>
      </c>
      <c r="K540" s="10">
        <v>1835.95</v>
      </c>
      <c r="L540" s="6">
        <f t="shared" si="52"/>
        <v>3.9093797485840583E-2</v>
      </c>
      <c r="M540">
        <f t="shared" si="53"/>
        <v>1.2974911660777386</v>
      </c>
      <c r="N540">
        <f t="shared" si="54"/>
        <v>14.456299212598426</v>
      </c>
      <c r="O540">
        <f t="shared" si="55"/>
        <v>4514.05</v>
      </c>
      <c r="P540">
        <f t="shared" si="56"/>
        <v>8.9752650176678439E-2</v>
      </c>
      <c r="Q540" t="s">
        <v>4137</v>
      </c>
      <c r="R540" t="s">
        <v>4142</v>
      </c>
      <c r="S540">
        <f>YEAR(marketing_data[[#This Row],[Start_date]])</f>
        <v>2023</v>
      </c>
      <c r="T540" t="str">
        <f>TEXT(marketing_data[[#This Row],[Start_date]],"ddd")</f>
        <v>Sun</v>
      </c>
      <c r="U540">
        <f>marketing_data[[#This Row],[Cleaned End_date]]-marketing_data[[#This Row],[Start_date]]</f>
        <v>26</v>
      </c>
    </row>
    <row r="541" spans="1:21" x14ac:dyDescent="0.2">
      <c r="A541" t="s">
        <v>1134</v>
      </c>
      <c r="B541" t="s">
        <v>1135</v>
      </c>
      <c r="C541" s="2">
        <v>45049</v>
      </c>
      <c r="D541" t="str">
        <f t="shared" si="51"/>
        <v>May</v>
      </c>
      <c r="E541" s="2">
        <v>45079</v>
      </c>
      <c r="F541" t="s">
        <v>19</v>
      </c>
      <c r="G541">
        <v>92680</v>
      </c>
      <c r="H541">
        <v>1326</v>
      </c>
      <c r="I541">
        <v>261</v>
      </c>
      <c r="J541" t="b">
        <v>0</v>
      </c>
      <c r="K541" s="10">
        <v>1732.65</v>
      </c>
      <c r="L541" s="6">
        <f t="shared" si="52"/>
        <v>1.430729391454467E-2</v>
      </c>
      <c r="M541">
        <f t="shared" si="53"/>
        <v>1.3066742081447964</v>
      </c>
      <c r="N541">
        <f t="shared" si="54"/>
        <v>6.6385057471264375</v>
      </c>
      <c r="O541">
        <f t="shared" si="55"/>
        <v>11317.35</v>
      </c>
      <c r="P541">
        <f t="shared" si="56"/>
        <v>0.19683257918552036</v>
      </c>
      <c r="Q541" t="s">
        <v>4137</v>
      </c>
      <c r="R541" t="s">
        <v>4139</v>
      </c>
      <c r="S541">
        <f>YEAR(marketing_data[[#This Row],[Start_date]])</f>
        <v>2023</v>
      </c>
      <c r="T541" t="str">
        <f>TEXT(marketing_data[[#This Row],[Start_date]],"ddd")</f>
        <v>Wed</v>
      </c>
      <c r="U541">
        <f>marketing_data[[#This Row],[Cleaned End_date]]-marketing_data[[#This Row],[Start_date]]</f>
        <v>30</v>
      </c>
    </row>
    <row r="542" spans="1:21" x14ac:dyDescent="0.2">
      <c r="A542" t="s">
        <v>1136</v>
      </c>
      <c r="B542" t="s">
        <v>1137</v>
      </c>
      <c r="C542" s="2">
        <v>45161</v>
      </c>
      <c r="D542" t="str">
        <f t="shared" si="51"/>
        <v>Aug</v>
      </c>
      <c r="E542" s="2">
        <v>45168</v>
      </c>
      <c r="F542" t="s">
        <v>23</v>
      </c>
      <c r="G542">
        <v>5000</v>
      </c>
      <c r="H542">
        <v>187</v>
      </c>
      <c r="I542">
        <v>20</v>
      </c>
      <c r="J542" t="b">
        <v>1</v>
      </c>
      <c r="K542" s="10">
        <v>329.13249999999999</v>
      </c>
      <c r="L542" s="6">
        <f t="shared" si="52"/>
        <v>3.7400000000000003E-2</v>
      </c>
      <c r="M542">
        <f t="shared" si="53"/>
        <v>1.760066844919786</v>
      </c>
      <c r="N542">
        <f t="shared" si="54"/>
        <v>16.456624999999999</v>
      </c>
      <c r="O542">
        <f t="shared" si="55"/>
        <v>670.86750000000006</v>
      </c>
      <c r="P542">
        <f t="shared" si="56"/>
        <v>0.10695187165775401</v>
      </c>
      <c r="Q542" t="s">
        <v>4139</v>
      </c>
      <c r="R542" t="s">
        <v>4141</v>
      </c>
      <c r="S542">
        <f>YEAR(marketing_data[[#This Row],[Start_date]])</f>
        <v>2023</v>
      </c>
      <c r="T542" t="str">
        <f>TEXT(marketing_data[[#This Row],[Start_date]],"ddd")</f>
        <v>Wed</v>
      </c>
      <c r="U542">
        <f>marketing_data[[#This Row],[Cleaned End_date]]-marketing_data[[#This Row],[Start_date]]</f>
        <v>7</v>
      </c>
    </row>
    <row r="543" spans="1:21" x14ac:dyDescent="0.2">
      <c r="A543" t="s">
        <v>1139</v>
      </c>
      <c r="B543" t="s">
        <v>1140</v>
      </c>
      <c r="C543" s="2">
        <v>45182</v>
      </c>
      <c r="D543" t="str">
        <f t="shared" si="51"/>
        <v>Sep</v>
      </c>
      <c r="E543" s="2">
        <v>45186</v>
      </c>
      <c r="F543" t="s">
        <v>14</v>
      </c>
      <c r="G543">
        <v>71588</v>
      </c>
      <c r="H543">
        <v>978</v>
      </c>
      <c r="I543">
        <v>74</v>
      </c>
      <c r="J543" t="b">
        <v>1</v>
      </c>
      <c r="K543" s="10">
        <v>807.27</v>
      </c>
      <c r="L543" s="6">
        <f t="shared" si="52"/>
        <v>1.3661507515226016E-2</v>
      </c>
      <c r="M543">
        <f t="shared" si="53"/>
        <v>0.82542944785276073</v>
      </c>
      <c r="N543">
        <f t="shared" si="54"/>
        <v>10.909054054054053</v>
      </c>
      <c r="O543">
        <f t="shared" si="55"/>
        <v>2892.73</v>
      </c>
      <c r="P543">
        <f t="shared" si="56"/>
        <v>7.5664621676891614E-2</v>
      </c>
      <c r="Q543" t="s">
        <v>4136</v>
      </c>
      <c r="R543" t="s">
        <v>4138</v>
      </c>
      <c r="S543">
        <f>YEAR(marketing_data[[#This Row],[Start_date]])</f>
        <v>2023</v>
      </c>
      <c r="T543" t="str">
        <f>TEXT(marketing_data[[#This Row],[Start_date]],"ddd")</f>
        <v>Wed</v>
      </c>
      <c r="U543">
        <f>marketing_data[[#This Row],[Cleaned End_date]]-marketing_data[[#This Row],[Start_date]]</f>
        <v>4</v>
      </c>
    </row>
    <row r="544" spans="1:21" x14ac:dyDescent="0.2">
      <c r="A544" t="s">
        <v>1141</v>
      </c>
      <c r="B544" t="s">
        <v>1142</v>
      </c>
      <c r="C544" s="2">
        <v>45190</v>
      </c>
      <c r="D544" t="str">
        <f t="shared" si="51"/>
        <v>Sep</v>
      </c>
      <c r="E544" s="2">
        <v>45220</v>
      </c>
      <c r="F544" t="s">
        <v>14</v>
      </c>
      <c r="G544">
        <v>94610</v>
      </c>
      <c r="H544">
        <v>4598</v>
      </c>
      <c r="I544">
        <v>472</v>
      </c>
      <c r="J544" t="b">
        <v>1</v>
      </c>
      <c r="K544" s="10">
        <v>3631.7599999999998</v>
      </c>
      <c r="L544" s="6">
        <f t="shared" si="52"/>
        <v>4.859951379346792E-2</v>
      </c>
      <c r="M544">
        <f t="shared" si="53"/>
        <v>0.78985645933014348</v>
      </c>
      <c r="N544">
        <f t="shared" si="54"/>
        <v>7.6944067796610165</v>
      </c>
      <c r="O544">
        <f t="shared" si="55"/>
        <v>19968.240000000002</v>
      </c>
      <c r="P544">
        <f t="shared" si="56"/>
        <v>0.10265332753371031</v>
      </c>
      <c r="Q544" t="s">
        <v>4136</v>
      </c>
      <c r="R544" t="s">
        <v>4138</v>
      </c>
      <c r="S544">
        <f>YEAR(marketing_data[[#This Row],[Start_date]])</f>
        <v>2023</v>
      </c>
      <c r="T544" t="str">
        <f>TEXT(marketing_data[[#This Row],[Start_date]],"ddd")</f>
        <v>Thu</v>
      </c>
      <c r="U544">
        <f>marketing_data[[#This Row],[Cleaned End_date]]-marketing_data[[#This Row],[Start_date]]</f>
        <v>30</v>
      </c>
    </row>
    <row r="545" spans="1:21" x14ac:dyDescent="0.2">
      <c r="A545" t="s">
        <v>1143</v>
      </c>
      <c r="B545" t="s">
        <v>1144</v>
      </c>
      <c r="C545" s="2">
        <v>45076</v>
      </c>
      <c r="D545" t="str">
        <f t="shared" si="51"/>
        <v>May</v>
      </c>
      <c r="E545" s="2">
        <v>45097</v>
      </c>
      <c r="F545" t="s">
        <v>41</v>
      </c>
      <c r="G545">
        <v>98856</v>
      </c>
      <c r="H545">
        <v>2919</v>
      </c>
      <c r="I545">
        <v>338</v>
      </c>
      <c r="J545" t="b">
        <v>0</v>
      </c>
      <c r="K545" s="10">
        <v>3631.7599999999998</v>
      </c>
      <c r="L545" s="6">
        <f t="shared" si="52"/>
        <v>2.9527798009225541E-2</v>
      </c>
      <c r="M545">
        <f t="shared" si="53"/>
        <v>1.2441795135320315</v>
      </c>
      <c r="N545">
        <f t="shared" si="54"/>
        <v>10.744852071005916</v>
      </c>
      <c r="O545">
        <f t="shared" si="55"/>
        <v>13268.24</v>
      </c>
      <c r="P545">
        <f t="shared" si="56"/>
        <v>0.1157930798218568</v>
      </c>
      <c r="Q545" t="s">
        <v>4137</v>
      </c>
      <c r="R545" t="s">
        <v>4142</v>
      </c>
      <c r="S545">
        <f>YEAR(marketing_data[[#This Row],[Start_date]])</f>
        <v>2023</v>
      </c>
      <c r="T545" t="str">
        <f>TEXT(marketing_data[[#This Row],[Start_date]],"ddd")</f>
        <v>Tue</v>
      </c>
      <c r="U545">
        <f>marketing_data[[#This Row],[Cleaned End_date]]-marketing_data[[#This Row],[Start_date]]</f>
        <v>21</v>
      </c>
    </row>
    <row r="546" spans="1:21" x14ac:dyDescent="0.2">
      <c r="A546" t="s">
        <v>1145</v>
      </c>
      <c r="B546" t="s">
        <v>1146</v>
      </c>
      <c r="C546" s="2">
        <v>45050</v>
      </c>
      <c r="D546" t="str">
        <f t="shared" si="51"/>
        <v>May</v>
      </c>
      <c r="E546" s="2">
        <v>45074</v>
      </c>
      <c r="F546" t="s">
        <v>23</v>
      </c>
      <c r="G546">
        <v>39304</v>
      </c>
      <c r="H546">
        <v>629</v>
      </c>
      <c r="I546">
        <v>37</v>
      </c>
      <c r="J546" t="b">
        <v>0</v>
      </c>
      <c r="K546" s="10">
        <v>342.01</v>
      </c>
      <c r="L546" s="6">
        <f t="shared" si="52"/>
        <v>1.6003460207612456E-2</v>
      </c>
      <c r="M546">
        <f t="shared" si="53"/>
        <v>0.54373608903020665</v>
      </c>
      <c r="N546">
        <f t="shared" si="54"/>
        <v>9.2435135135135127</v>
      </c>
      <c r="O546">
        <f t="shared" si="55"/>
        <v>1507.99</v>
      </c>
      <c r="P546">
        <f t="shared" si="56"/>
        <v>5.8823529411764705E-2</v>
      </c>
      <c r="Q546" t="s">
        <v>4137</v>
      </c>
      <c r="R546" t="s">
        <v>4139</v>
      </c>
      <c r="S546">
        <f>YEAR(marketing_data[[#This Row],[Start_date]])</f>
        <v>2023</v>
      </c>
      <c r="T546" t="str">
        <f>TEXT(marketing_data[[#This Row],[Start_date]],"ddd")</f>
        <v>Thu</v>
      </c>
      <c r="U546">
        <f>marketing_data[[#This Row],[Cleaned End_date]]-marketing_data[[#This Row],[Start_date]]</f>
        <v>24</v>
      </c>
    </row>
    <row r="547" spans="1:21" x14ac:dyDescent="0.2">
      <c r="A547" t="s">
        <v>1147</v>
      </c>
      <c r="B547" t="s">
        <v>1148</v>
      </c>
      <c r="C547" s="2">
        <v>45181</v>
      </c>
      <c r="D547" t="str">
        <f t="shared" si="51"/>
        <v>Sep</v>
      </c>
      <c r="E547" s="2">
        <v>45291</v>
      </c>
      <c r="F547" t="s">
        <v>19</v>
      </c>
      <c r="G547">
        <v>70449</v>
      </c>
      <c r="H547">
        <v>1669</v>
      </c>
      <c r="I547">
        <v>228</v>
      </c>
      <c r="J547" t="b">
        <v>1</v>
      </c>
      <c r="K547" s="10">
        <v>3105.8</v>
      </c>
      <c r="L547" s="6">
        <f t="shared" si="52"/>
        <v>2.3690896960922084E-2</v>
      </c>
      <c r="M547">
        <f t="shared" si="53"/>
        <v>1.8608747753145598</v>
      </c>
      <c r="N547">
        <f t="shared" si="54"/>
        <v>13.621929824561404</v>
      </c>
      <c r="O547">
        <f t="shared" si="55"/>
        <v>8294.2000000000007</v>
      </c>
      <c r="P547">
        <f t="shared" si="56"/>
        <v>0.1366087477531456</v>
      </c>
      <c r="Q547" t="s">
        <v>4136</v>
      </c>
      <c r="R547" t="s">
        <v>4139</v>
      </c>
      <c r="S547">
        <f>YEAR(marketing_data[[#This Row],[Start_date]])</f>
        <v>2023</v>
      </c>
      <c r="T547" t="str">
        <f>TEXT(marketing_data[[#This Row],[Start_date]],"ddd")</f>
        <v>Tue</v>
      </c>
      <c r="U547">
        <f>marketing_data[[#This Row],[Cleaned End_date]]-marketing_data[[#This Row],[Start_date]]</f>
        <v>110</v>
      </c>
    </row>
    <row r="548" spans="1:21" x14ac:dyDescent="0.2">
      <c r="A548" t="s">
        <v>1149</v>
      </c>
      <c r="B548" t="s">
        <v>1150</v>
      </c>
      <c r="C548" s="2">
        <v>45023</v>
      </c>
      <c r="D548" t="str">
        <f t="shared" si="51"/>
        <v>Apr</v>
      </c>
      <c r="E548" s="2">
        <v>45137</v>
      </c>
      <c r="F548" t="s">
        <v>19</v>
      </c>
      <c r="G548">
        <v>83986</v>
      </c>
      <c r="H548">
        <v>2228</v>
      </c>
      <c r="I548">
        <v>311</v>
      </c>
      <c r="J548" t="b">
        <v>1</v>
      </c>
      <c r="K548" s="10">
        <v>1636.3</v>
      </c>
      <c r="L548" s="6">
        <f t="shared" si="52"/>
        <v>2.6528230895625463E-2</v>
      </c>
      <c r="M548">
        <f t="shared" si="53"/>
        <v>0.73442549371633747</v>
      </c>
      <c r="N548">
        <f t="shared" si="54"/>
        <v>5.2614147909967848</v>
      </c>
      <c r="O548">
        <f t="shared" si="55"/>
        <v>13913.7</v>
      </c>
      <c r="P548">
        <f t="shared" si="56"/>
        <v>0.13958707360861761</v>
      </c>
      <c r="Q548" t="s">
        <v>4137</v>
      </c>
      <c r="R548" t="s">
        <v>4138</v>
      </c>
      <c r="S548">
        <f>YEAR(marketing_data[[#This Row],[Start_date]])</f>
        <v>2023</v>
      </c>
      <c r="T548" t="str">
        <f>TEXT(marketing_data[[#This Row],[Start_date]],"ddd")</f>
        <v>Fri</v>
      </c>
      <c r="U548">
        <f>marketing_data[[#This Row],[Cleaned End_date]]-marketing_data[[#This Row],[Start_date]]</f>
        <v>114</v>
      </c>
    </row>
    <row r="549" spans="1:21" x14ac:dyDescent="0.2">
      <c r="A549" t="s">
        <v>1151</v>
      </c>
      <c r="B549" t="s">
        <v>1152</v>
      </c>
      <c r="C549" s="2">
        <v>45196</v>
      </c>
      <c r="D549" t="str">
        <f t="shared" si="51"/>
        <v>Sep</v>
      </c>
      <c r="E549" s="2">
        <v>45197</v>
      </c>
      <c r="F549" t="s">
        <v>41</v>
      </c>
      <c r="G549">
        <v>90643</v>
      </c>
      <c r="H549">
        <v>3655</v>
      </c>
      <c r="I549">
        <v>587</v>
      </c>
      <c r="J549" t="b">
        <v>0</v>
      </c>
      <c r="K549" s="10">
        <v>3034.14</v>
      </c>
      <c r="L549" s="6">
        <f t="shared" si="52"/>
        <v>4.0323025495625699E-2</v>
      </c>
      <c r="M549">
        <f t="shared" si="53"/>
        <v>0.83013406292749659</v>
      </c>
      <c r="N549">
        <f t="shared" si="54"/>
        <v>5.1688926746166945</v>
      </c>
      <c r="O549">
        <f t="shared" si="55"/>
        <v>26315.86</v>
      </c>
      <c r="P549">
        <f t="shared" si="56"/>
        <v>0.16060191518467853</v>
      </c>
      <c r="Q549" t="s">
        <v>4136</v>
      </c>
      <c r="R549" t="s">
        <v>4139</v>
      </c>
      <c r="S549">
        <f>YEAR(marketing_data[[#This Row],[Start_date]])</f>
        <v>2023</v>
      </c>
      <c r="T549" t="str">
        <f>TEXT(marketing_data[[#This Row],[Start_date]],"ddd")</f>
        <v>Wed</v>
      </c>
      <c r="U549">
        <f>marketing_data[[#This Row],[Cleaned End_date]]-marketing_data[[#This Row],[Start_date]]</f>
        <v>1</v>
      </c>
    </row>
    <row r="550" spans="1:21" x14ac:dyDescent="0.2">
      <c r="A550" t="s">
        <v>1153</v>
      </c>
      <c r="B550" t="s">
        <v>1154</v>
      </c>
      <c r="C550" s="2">
        <v>45186</v>
      </c>
      <c r="D550" t="str">
        <f t="shared" si="51"/>
        <v>Sep</v>
      </c>
      <c r="E550" s="2">
        <v>45215</v>
      </c>
      <c r="F550" t="s">
        <v>14</v>
      </c>
      <c r="G550">
        <v>21764</v>
      </c>
      <c r="H550">
        <v>864</v>
      </c>
      <c r="I550">
        <v>46</v>
      </c>
      <c r="J550" t="b">
        <v>1</v>
      </c>
      <c r="K550" s="10">
        <v>1103.69</v>
      </c>
      <c r="L550" s="6">
        <f t="shared" si="52"/>
        <v>3.9698584818967105E-2</v>
      </c>
      <c r="M550">
        <f t="shared" si="53"/>
        <v>1.2774189814814816</v>
      </c>
      <c r="N550">
        <f t="shared" si="54"/>
        <v>23.993260869565219</v>
      </c>
      <c r="O550">
        <f t="shared" si="55"/>
        <v>1196.31</v>
      </c>
      <c r="P550">
        <f t="shared" si="56"/>
        <v>5.3240740740740741E-2</v>
      </c>
      <c r="Q550" t="s">
        <v>4136</v>
      </c>
      <c r="R550" t="s">
        <v>4141</v>
      </c>
      <c r="S550">
        <f>YEAR(marketing_data[[#This Row],[Start_date]])</f>
        <v>2023</v>
      </c>
      <c r="T550" t="str">
        <f>TEXT(marketing_data[[#This Row],[Start_date]],"ddd")</f>
        <v>Sun</v>
      </c>
      <c r="U550">
        <f>marketing_data[[#This Row],[Cleaned End_date]]-marketing_data[[#This Row],[Start_date]]</f>
        <v>29</v>
      </c>
    </row>
    <row r="551" spans="1:21" x14ac:dyDescent="0.2">
      <c r="A551" t="s">
        <v>1155</v>
      </c>
      <c r="B551" t="s">
        <v>1156</v>
      </c>
      <c r="C551" s="2">
        <v>45167</v>
      </c>
      <c r="D551" t="str">
        <f t="shared" si="51"/>
        <v>Aug</v>
      </c>
      <c r="E551" s="2">
        <v>45197</v>
      </c>
      <c r="F551" t="s">
        <v>19</v>
      </c>
      <c r="G551">
        <v>87027</v>
      </c>
      <c r="H551">
        <v>3000</v>
      </c>
      <c r="I551">
        <v>393</v>
      </c>
      <c r="J551" t="b">
        <v>0</v>
      </c>
      <c r="K551" s="10">
        <v>3631.7599999999998</v>
      </c>
      <c r="L551" s="6">
        <f t="shared" si="52"/>
        <v>3.4472060395049811E-2</v>
      </c>
      <c r="M551">
        <f t="shared" si="53"/>
        <v>1.2105866666666665</v>
      </c>
      <c r="N551">
        <f t="shared" si="54"/>
        <v>9.241119592875318</v>
      </c>
      <c r="O551">
        <f t="shared" si="55"/>
        <v>16018.24</v>
      </c>
      <c r="P551">
        <f t="shared" si="56"/>
        <v>0.13100000000000001</v>
      </c>
      <c r="Q551" t="s">
        <v>4139</v>
      </c>
      <c r="R551" t="s">
        <v>4138</v>
      </c>
      <c r="S551">
        <f>YEAR(marketing_data[[#This Row],[Start_date]])</f>
        <v>2023</v>
      </c>
      <c r="T551" t="str">
        <f>TEXT(marketing_data[[#This Row],[Start_date]],"ddd")</f>
        <v>Tue</v>
      </c>
      <c r="U551">
        <f>marketing_data[[#This Row],[Cleaned End_date]]-marketing_data[[#This Row],[Start_date]]</f>
        <v>30</v>
      </c>
    </row>
    <row r="552" spans="1:21" x14ac:dyDescent="0.2">
      <c r="A552" t="s">
        <v>1158</v>
      </c>
      <c r="B552" t="s">
        <v>1159</v>
      </c>
      <c r="C552" s="2">
        <v>45125</v>
      </c>
      <c r="D552" t="str">
        <f t="shared" si="51"/>
        <v>Jul</v>
      </c>
      <c r="E552" s="2">
        <v>45155</v>
      </c>
      <c r="F552" t="s">
        <v>41</v>
      </c>
      <c r="G552">
        <v>39494</v>
      </c>
      <c r="H552">
        <v>562</v>
      </c>
      <c r="I552">
        <v>32</v>
      </c>
      <c r="J552" t="b">
        <v>0</v>
      </c>
      <c r="K552" s="10">
        <v>361.7</v>
      </c>
      <c r="L552" s="6">
        <f t="shared" si="52"/>
        <v>1.423000962171469E-2</v>
      </c>
      <c r="M552">
        <f t="shared" si="53"/>
        <v>0.64359430604982204</v>
      </c>
      <c r="N552">
        <f t="shared" si="54"/>
        <v>11.303125</v>
      </c>
      <c r="O552">
        <f t="shared" si="55"/>
        <v>1238.3</v>
      </c>
      <c r="P552">
        <f t="shared" si="56"/>
        <v>5.6939501779359428E-2</v>
      </c>
      <c r="Q552" t="s">
        <v>4139</v>
      </c>
      <c r="R552" t="s">
        <v>4139</v>
      </c>
      <c r="S552">
        <f>YEAR(marketing_data[[#This Row],[Start_date]])</f>
        <v>2023</v>
      </c>
      <c r="T552" t="str">
        <f>TEXT(marketing_data[[#This Row],[Start_date]],"ddd")</f>
        <v>Tue</v>
      </c>
      <c r="U552">
        <f>marketing_data[[#This Row],[Cleaned End_date]]-marketing_data[[#This Row],[Start_date]]</f>
        <v>30</v>
      </c>
    </row>
    <row r="553" spans="1:21" x14ac:dyDescent="0.2">
      <c r="A553" t="s">
        <v>1160</v>
      </c>
      <c r="B553" t="s">
        <v>1161</v>
      </c>
      <c r="C553" s="2">
        <v>44935</v>
      </c>
      <c r="D553" t="str">
        <f t="shared" si="51"/>
        <v>Jan</v>
      </c>
      <c r="E553" s="2">
        <v>45186</v>
      </c>
      <c r="F553" t="s">
        <v>33</v>
      </c>
      <c r="G553">
        <v>4373</v>
      </c>
      <c r="H553">
        <v>70</v>
      </c>
      <c r="I553">
        <v>10</v>
      </c>
      <c r="J553" t="b">
        <v>1</v>
      </c>
      <c r="K553" s="10">
        <v>329.13249999999999</v>
      </c>
      <c r="L553" s="6">
        <f t="shared" si="52"/>
        <v>1.6007317630916992E-2</v>
      </c>
      <c r="M553">
        <f t="shared" si="53"/>
        <v>4.7018928571428571</v>
      </c>
      <c r="N553">
        <f t="shared" si="54"/>
        <v>32.913249999999998</v>
      </c>
      <c r="O553">
        <f t="shared" si="55"/>
        <v>170.86750000000001</v>
      </c>
      <c r="P553">
        <f t="shared" si="56"/>
        <v>0.14285714285714285</v>
      </c>
      <c r="Q553" t="s">
        <v>4138</v>
      </c>
      <c r="R553" t="s">
        <v>4141</v>
      </c>
      <c r="S553">
        <f>YEAR(marketing_data[[#This Row],[Start_date]])</f>
        <v>2023</v>
      </c>
      <c r="T553" t="str">
        <f>TEXT(marketing_data[[#This Row],[Start_date]],"ddd")</f>
        <v>Mon</v>
      </c>
      <c r="U553">
        <f>marketing_data[[#This Row],[Cleaned End_date]]-marketing_data[[#This Row],[Start_date]]</f>
        <v>251</v>
      </c>
    </row>
    <row r="554" spans="1:21" x14ac:dyDescent="0.2">
      <c r="A554" t="s">
        <v>1162</v>
      </c>
      <c r="B554" t="s">
        <v>1163</v>
      </c>
      <c r="C554" s="2">
        <v>45050</v>
      </c>
      <c r="D554" t="str">
        <f t="shared" si="51"/>
        <v>May</v>
      </c>
      <c r="E554" s="2">
        <v>45056</v>
      </c>
      <c r="F554" t="s">
        <v>33</v>
      </c>
      <c r="G554">
        <v>13161</v>
      </c>
      <c r="H554">
        <v>180</v>
      </c>
      <c r="I554">
        <v>10</v>
      </c>
      <c r="J554" t="b">
        <v>1</v>
      </c>
      <c r="K554" s="10">
        <v>351.54</v>
      </c>
      <c r="L554" s="6">
        <f t="shared" si="52"/>
        <v>1.3676772281741509E-2</v>
      </c>
      <c r="M554">
        <f t="shared" si="53"/>
        <v>1.9530000000000001</v>
      </c>
      <c r="N554">
        <f t="shared" si="54"/>
        <v>35.154000000000003</v>
      </c>
      <c r="O554">
        <f t="shared" si="55"/>
        <v>148.45999999999998</v>
      </c>
      <c r="P554">
        <f t="shared" si="56"/>
        <v>5.5555555555555552E-2</v>
      </c>
      <c r="Q554" t="s">
        <v>4137</v>
      </c>
      <c r="R554" t="s">
        <v>4139</v>
      </c>
      <c r="S554">
        <f>YEAR(marketing_data[[#This Row],[Start_date]])</f>
        <v>2023</v>
      </c>
      <c r="T554" t="str">
        <f>TEXT(marketing_data[[#This Row],[Start_date]],"ddd")</f>
        <v>Thu</v>
      </c>
      <c r="U554">
        <f>marketing_data[[#This Row],[Cleaned End_date]]-marketing_data[[#This Row],[Start_date]]</f>
        <v>6</v>
      </c>
    </row>
    <row r="555" spans="1:21" x14ac:dyDescent="0.2">
      <c r="A555" t="s">
        <v>1164</v>
      </c>
      <c r="B555" t="s">
        <v>1165</v>
      </c>
      <c r="C555" s="2">
        <v>45224</v>
      </c>
      <c r="D555" t="str">
        <f t="shared" si="51"/>
        <v>Oct</v>
      </c>
      <c r="E555" s="2">
        <v>45225</v>
      </c>
      <c r="F555" t="s">
        <v>14</v>
      </c>
      <c r="G555">
        <v>98532</v>
      </c>
      <c r="H555">
        <v>3260</v>
      </c>
      <c r="I555">
        <v>608</v>
      </c>
      <c r="J555" t="b">
        <v>1</v>
      </c>
      <c r="K555" s="10">
        <v>2912.86</v>
      </c>
      <c r="L555" s="6">
        <f t="shared" si="52"/>
        <v>3.3085698047334876E-2</v>
      </c>
      <c r="M555">
        <f t="shared" si="53"/>
        <v>0.89351533742331291</v>
      </c>
      <c r="N555">
        <f t="shared" si="54"/>
        <v>4.7908881578947371</v>
      </c>
      <c r="O555">
        <f t="shared" si="55"/>
        <v>27487.14</v>
      </c>
      <c r="P555">
        <f t="shared" si="56"/>
        <v>0.18650306748466258</v>
      </c>
      <c r="Q555" t="s">
        <v>4136</v>
      </c>
      <c r="R555" t="s">
        <v>4142</v>
      </c>
      <c r="S555">
        <f>YEAR(marketing_data[[#This Row],[Start_date]])</f>
        <v>2023</v>
      </c>
      <c r="T555" t="str">
        <f>TEXT(marketing_data[[#This Row],[Start_date]],"ddd")</f>
        <v>Wed</v>
      </c>
      <c r="U555">
        <f>marketing_data[[#This Row],[Cleaned End_date]]-marketing_data[[#This Row],[Start_date]]</f>
        <v>1</v>
      </c>
    </row>
    <row r="556" spans="1:21" x14ac:dyDescent="0.2">
      <c r="A556" t="s">
        <v>1166</v>
      </c>
      <c r="B556" t="s">
        <v>1167</v>
      </c>
      <c r="C556" s="2">
        <v>44949</v>
      </c>
      <c r="D556" t="str">
        <f t="shared" si="51"/>
        <v>Jan</v>
      </c>
      <c r="E556" s="2">
        <v>44953</v>
      </c>
      <c r="F556" t="s">
        <v>19</v>
      </c>
      <c r="G556">
        <v>93658</v>
      </c>
      <c r="H556">
        <v>4222</v>
      </c>
      <c r="I556">
        <v>655</v>
      </c>
      <c r="J556" t="b">
        <v>1</v>
      </c>
      <c r="K556" s="10">
        <v>3631.7599999999998</v>
      </c>
      <c r="L556" s="6">
        <f t="shared" si="52"/>
        <v>4.5078904097888062E-2</v>
      </c>
      <c r="M556">
        <f t="shared" si="53"/>
        <v>0.8601989578398862</v>
      </c>
      <c r="N556">
        <f t="shared" si="54"/>
        <v>5.5446717557251901</v>
      </c>
      <c r="O556">
        <f t="shared" si="55"/>
        <v>29118.240000000002</v>
      </c>
      <c r="P556">
        <f t="shared" si="56"/>
        <v>0.155139744197063</v>
      </c>
      <c r="Q556" t="s">
        <v>4138</v>
      </c>
      <c r="R556" t="s">
        <v>4139</v>
      </c>
      <c r="S556">
        <f>YEAR(marketing_data[[#This Row],[Start_date]])</f>
        <v>2023</v>
      </c>
      <c r="T556" t="str">
        <f>TEXT(marketing_data[[#This Row],[Start_date]],"ddd")</f>
        <v>Mon</v>
      </c>
      <c r="U556">
        <f>marketing_data[[#This Row],[Cleaned End_date]]-marketing_data[[#This Row],[Start_date]]</f>
        <v>4</v>
      </c>
    </row>
    <row r="557" spans="1:21" x14ac:dyDescent="0.2">
      <c r="A557" t="s">
        <v>1168</v>
      </c>
      <c r="B557" t="s">
        <v>1169</v>
      </c>
      <c r="C557" s="2">
        <v>45256</v>
      </c>
      <c r="D557" t="str">
        <f t="shared" si="51"/>
        <v>Nov</v>
      </c>
      <c r="E557" s="2">
        <v>45259</v>
      </c>
      <c r="F557" t="str">
        <f>F556</f>
        <v>Facebook</v>
      </c>
      <c r="G557">
        <v>28350</v>
      </c>
      <c r="H557">
        <v>775</v>
      </c>
      <c r="J557" t="b">
        <v>0</v>
      </c>
      <c r="K557" s="10">
        <v>1359.93</v>
      </c>
      <c r="L557" s="6">
        <f t="shared" si="52"/>
        <v>2.7336860670194002E-2</v>
      </c>
      <c r="M557">
        <f t="shared" si="53"/>
        <v>1.7547483870967742</v>
      </c>
      <c r="N557">
        <f t="shared" si="54"/>
        <v>0</v>
      </c>
      <c r="O557">
        <f t="shared" si="55"/>
        <v>-1359.93</v>
      </c>
      <c r="P557">
        <f t="shared" si="56"/>
        <v>0</v>
      </c>
      <c r="Q557" t="s">
        <v>4136</v>
      </c>
      <c r="R557" t="s">
        <v>4141</v>
      </c>
      <c r="S557">
        <f>YEAR(marketing_data[[#This Row],[Start_date]])</f>
        <v>2023</v>
      </c>
      <c r="T557" t="str">
        <f>TEXT(marketing_data[[#This Row],[Start_date]],"ddd")</f>
        <v>Sun</v>
      </c>
      <c r="U557">
        <f>marketing_data[[#This Row],[Cleaned End_date]]-marketing_data[[#This Row],[Start_date]]</f>
        <v>3</v>
      </c>
    </row>
    <row r="558" spans="1:21" x14ac:dyDescent="0.2">
      <c r="A558" t="s">
        <v>1170</v>
      </c>
      <c r="B558" t="s">
        <v>1171</v>
      </c>
      <c r="C558" s="2">
        <v>45164</v>
      </c>
      <c r="D558" t="str">
        <f t="shared" si="51"/>
        <v>Aug</v>
      </c>
      <c r="E558" s="2">
        <v>45188</v>
      </c>
      <c r="F558" t="s">
        <v>23</v>
      </c>
      <c r="G558">
        <v>94008</v>
      </c>
      <c r="H558">
        <v>1544</v>
      </c>
      <c r="I558">
        <v>179</v>
      </c>
      <c r="J558" t="b">
        <v>0</v>
      </c>
      <c r="K558" s="10">
        <v>888.3</v>
      </c>
      <c r="L558" s="6">
        <f t="shared" si="52"/>
        <v>1.6424134116245426E-2</v>
      </c>
      <c r="M558">
        <f t="shared" si="53"/>
        <v>0.57532383419689115</v>
      </c>
      <c r="N558">
        <f t="shared" si="54"/>
        <v>4.9625698324022345</v>
      </c>
      <c r="O558">
        <f t="shared" si="55"/>
        <v>8061.7</v>
      </c>
      <c r="P558">
        <f t="shared" si="56"/>
        <v>0.11593264248704663</v>
      </c>
      <c r="Q558" t="s">
        <v>4139</v>
      </c>
      <c r="R558" t="s">
        <v>4139</v>
      </c>
      <c r="S558">
        <f>YEAR(marketing_data[[#This Row],[Start_date]])</f>
        <v>2023</v>
      </c>
      <c r="T558" t="str">
        <f>TEXT(marketing_data[[#This Row],[Start_date]],"ddd")</f>
        <v>Sat</v>
      </c>
      <c r="U558">
        <f>marketing_data[[#This Row],[Cleaned End_date]]-marketing_data[[#This Row],[Start_date]]</f>
        <v>24</v>
      </c>
    </row>
    <row r="559" spans="1:21" x14ac:dyDescent="0.2">
      <c r="A559" t="s">
        <v>1172</v>
      </c>
      <c r="B559" t="s">
        <v>1173</v>
      </c>
      <c r="C559" s="2">
        <v>45020</v>
      </c>
      <c r="D559" t="str">
        <f t="shared" si="51"/>
        <v>Apr</v>
      </c>
      <c r="E559" s="2">
        <v>45028</v>
      </c>
      <c r="F559" t="s">
        <v>14</v>
      </c>
      <c r="G559">
        <v>95297</v>
      </c>
      <c r="H559">
        <v>3080</v>
      </c>
      <c r="I559">
        <v>214</v>
      </c>
      <c r="J559" t="b">
        <v>1</v>
      </c>
      <c r="K559" s="10">
        <v>3631.7599999999998</v>
      </c>
      <c r="L559" s="6">
        <f t="shared" si="52"/>
        <v>3.2320010073769376E-2</v>
      </c>
      <c r="M559">
        <f t="shared" si="53"/>
        <v>1.179142857142857</v>
      </c>
      <c r="N559">
        <f t="shared" si="54"/>
        <v>16.970841121495326</v>
      </c>
      <c r="O559">
        <f t="shared" si="55"/>
        <v>7068.24</v>
      </c>
      <c r="P559">
        <f t="shared" si="56"/>
        <v>6.9480519480519476E-2</v>
      </c>
      <c r="Q559" t="s">
        <v>4137</v>
      </c>
      <c r="R559" t="s">
        <v>4142</v>
      </c>
      <c r="S559">
        <f>YEAR(marketing_data[[#This Row],[Start_date]])</f>
        <v>2023</v>
      </c>
      <c r="T559" t="str">
        <f>TEXT(marketing_data[[#This Row],[Start_date]],"ddd")</f>
        <v>Tue</v>
      </c>
      <c r="U559">
        <f>marketing_data[[#This Row],[Cleaned End_date]]-marketing_data[[#This Row],[Start_date]]</f>
        <v>8</v>
      </c>
    </row>
    <row r="560" spans="1:21" x14ac:dyDescent="0.2">
      <c r="A560" t="s">
        <v>1174</v>
      </c>
      <c r="B560" t="s">
        <v>1175</v>
      </c>
      <c r="C560" s="2">
        <v>45161</v>
      </c>
      <c r="D560" t="str">
        <f t="shared" si="51"/>
        <v>Aug</v>
      </c>
      <c r="E560" s="2">
        <v>45176</v>
      </c>
      <c r="F560" t="s">
        <v>33</v>
      </c>
      <c r="G560">
        <v>26351</v>
      </c>
      <c r="H560">
        <v>1119</v>
      </c>
      <c r="J560" t="b">
        <v>1</v>
      </c>
      <c r="K560" s="10">
        <v>1196.69</v>
      </c>
      <c r="L560" s="6">
        <f t="shared" si="52"/>
        <v>4.2465181587036542E-2</v>
      </c>
      <c r="M560">
        <f t="shared" si="53"/>
        <v>1.0694280607685434</v>
      </c>
      <c r="N560">
        <f t="shared" si="54"/>
        <v>0</v>
      </c>
      <c r="O560">
        <f t="shared" si="55"/>
        <v>-1196.69</v>
      </c>
      <c r="P560">
        <f t="shared" si="56"/>
        <v>0</v>
      </c>
      <c r="Q560" t="s">
        <v>4139</v>
      </c>
      <c r="R560" t="s">
        <v>4141</v>
      </c>
      <c r="S560">
        <f>YEAR(marketing_data[[#This Row],[Start_date]])</f>
        <v>2023</v>
      </c>
      <c r="T560" t="str">
        <f>TEXT(marketing_data[[#This Row],[Start_date]],"ddd")</f>
        <v>Wed</v>
      </c>
      <c r="U560">
        <f>marketing_data[[#This Row],[Cleaned End_date]]-marketing_data[[#This Row],[Start_date]]</f>
        <v>15</v>
      </c>
    </row>
    <row r="561" spans="1:21" x14ac:dyDescent="0.2">
      <c r="A561" t="s">
        <v>1176</v>
      </c>
      <c r="B561" t="s">
        <v>1177</v>
      </c>
      <c r="C561" s="2">
        <v>45030</v>
      </c>
      <c r="D561" t="str">
        <f t="shared" si="51"/>
        <v>Apr</v>
      </c>
      <c r="E561" s="2">
        <v>45058</v>
      </c>
      <c r="F561" t="s">
        <v>14</v>
      </c>
      <c r="G561">
        <v>89668</v>
      </c>
      <c r="H561">
        <v>3556</v>
      </c>
      <c r="I561">
        <v>641</v>
      </c>
      <c r="J561" t="b">
        <v>0</v>
      </c>
      <c r="K561" s="10">
        <v>3466.67</v>
      </c>
      <c r="L561" s="6">
        <f t="shared" si="52"/>
        <v>3.9657402863897934E-2</v>
      </c>
      <c r="M561">
        <f t="shared" si="53"/>
        <v>0.97487907761529813</v>
      </c>
      <c r="N561">
        <f t="shared" si="54"/>
        <v>5.4082215288611541</v>
      </c>
      <c r="O561">
        <f t="shared" si="55"/>
        <v>28583.33</v>
      </c>
      <c r="P561">
        <f t="shared" si="56"/>
        <v>0.18025871766029247</v>
      </c>
      <c r="Q561" t="s">
        <v>4137</v>
      </c>
      <c r="R561" t="s">
        <v>4138</v>
      </c>
      <c r="S561">
        <f>YEAR(marketing_data[[#This Row],[Start_date]])</f>
        <v>2023</v>
      </c>
      <c r="T561" t="str">
        <f>TEXT(marketing_data[[#This Row],[Start_date]],"ddd")</f>
        <v>Fri</v>
      </c>
      <c r="U561">
        <f>marketing_data[[#This Row],[Cleaned End_date]]-marketing_data[[#This Row],[Start_date]]</f>
        <v>28</v>
      </c>
    </row>
    <row r="562" spans="1:21" x14ac:dyDescent="0.2">
      <c r="A562" t="s">
        <v>1179</v>
      </c>
      <c r="B562" t="s">
        <v>1180</v>
      </c>
      <c r="C562" s="2">
        <v>45029</v>
      </c>
      <c r="D562" t="str">
        <f t="shared" si="51"/>
        <v>Apr</v>
      </c>
      <c r="E562" s="2">
        <v>45058</v>
      </c>
      <c r="F562" t="s">
        <v>23</v>
      </c>
      <c r="G562">
        <v>16305</v>
      </c>
      <c r="H562">
        <v>737</v>
      </c>
      <c r="I562">
        <v>136</v>
      </c>
      <c r="J562" t="b">
        <v>1</v>
      </c>
      <c r="K562" s="10">
        <v>684.34</v>
      </c>
      <c r="L562" s="6">
        <f t="shared" si="52"/>
        <v>4.5200858632321372E-2</v>
      </c>
      <c r="M562">
        <f t="shared" si="53"/>
        <v>0.9285481682496608</v>
      </c>
      <c r="N562">
        <f t="shared" si="54"/>
        <v>5.0319117647058826</v>
      </c>
      <c r="O562">
        <f t="shared" si="55"/>
        <v>6115.66</v>
      </c>
      <c r="P562">
        <f t="shared" si="56"/>
        <v>0.18453188602442333</v>
      </c>
      <c r="Q562" t="s">
        <v>4137</v>
      </c>
      <c r="R562" t="s">
        <v>4138</v>
      </c>
      <c r="S562">
        <f>YEAR(marketing_data[[#This Row],[Start_date]])</f>
        <v>2023</v>
      </c>
      <c r="T562" t="str">
        <f>TEXT(marketing_data[[#This Row],[Start_date]],"ddd")</f>
        <v>Thu</v>
      </c>
      <c r="U562">
        <f>marketing_data[[#This Row],[Cleaned End_date]]-marketing_data[[#This Row],[Start_date]]</f>
        <v>29</v>
      </c>
    </row>
    <row r="563" spans="1:21" x14ac:dyDescent="0.2">
      <c r="A563" t="s">
        <v>1181</v>
      </c>
      <c r="B563" t="s">
        <v>1182</v>
      </c>
      <c r="C563" s="2">
        <v>45085</v>
      </c>
      <c r="D563" t="str">
        <f t="shared" si="51"/>
        <v>Jun</v>
      </c>
      <c r="E563" s="2">
        <v>45104</v>
      </c>
      <c r="F563" t="s">
        <v>23</v>
      </c>
      <c r="G563">
        <v>76353</v>
      </c>
      <c r="H563">
        <v>1612</v>
      </c>
      <c r="I563">
        <v>80</v>
      </c>
      <c r="J563" t="b">
        <v>1</v>
      </c>
      <c r="K563" s="10">
        <v>1026.94</v>
      </c>
      <c r="L563" s="6">
        <f t="shared" si="52"/>
        <v>2.1112464474218433E-2</v>
      </c>
      <c r="M563">
        <f t="shared" si="53"/>
        <v>0.63705955334987596</v>
      </c>
      <c r="N563">
        <f t="shared" si="54"/>
        <v>12.83675</v>
      </c>
      <c r="O563">
        <f t="shared" si="55"/>
        <v>2973.06</v>
      </c>
      <c r="P563">
        <f t="shared" si="56"/>
        <v>4.9627791563275438E-2</v>
      </c>
      <c r="Q563" t="s">
        <v>4139</v>
      </c>
      <c r="R563" t="s">
        <v>4141</v>
      </c>
      <c r="S563">
        <f>YEAR(marketing_data[[#This Row],[Start_date]])</f>
        <v>2023</v>
      </c>
      <c r="T563" t="str">
        <f>TEXT(marketing_data[[#This Row],[Start_date]],"ddd")</f>
        <v>Thu</v>
      </c>
      <c r="U563">
        <f>marketing_data[[#This Row],[Cleaned End_date]]-marketing_data[[#This Row],[Start_date]]</f>
        <v>19</v>
      </c>
    </row>
    <row r="564" spans="1:21" x14ac:dyDescent="0.2">
      <c r="A564" t="s">
        <v>1183</v>
      </c>
      <c r="B564" t="s">
        <v>1184</v>
      </c>
      <c r="C564" s="2">
        <v>45205</v>
      </c>
      <c r="D564" t="str">
        <f t="shared" si="51"/>
        <v>Oct</v>
      </c>
      <c r="E564" s="2">
        <v>45235</v>
      </c>
      <c r="F564" t="str">
        <f>F563</f>
        <v>Email</v>
      </c>
      <c r="G564">
        <v>77797</v>
      </c>
      <c r="H564">
        <v>1381</v>
      </c>
      <c r="I564">
        <v>192</v>
      </c>
      <c r="J564" t="b">
        <v>1</v>
      </c>
      <c r="K564" s="10">
        <v>1342.66</v>
      </c>
      <c r="L564" s="6">
        <f t="shared" si="52"/>
        <v>1.7751327171998919E-2</v>
      </c>
      <c r="M564">
        <f t="shared" si="53"/>
        <v>0.97223750905141204</v>
      </c>
      <c r="N564">
        <f t="shared" si="54"/>
        <v>6.9930208333333335</v>
      </c>
      <c r="O564">
        <f t="shared" si="55"/>
        <v>8257.34</v>
      </c>
      <c r="P564">
        <f t="shared" si="56"/>
        <v>0.13902968863142651</v>
      </c>
      <c r="Q564" t="s">
        <v>4136</v>
      </c>
      <c r="R564" t="s">
        <v>4142</v>
      </c>
      <c r="S564">
        <f>YEAR(marketing_data[[#This Row],[Start_date]])</f>
        <v>2023</v>
      </c>
      <c r="T564" t="str">
        <f>TEXT(marketing_data[[#This Row],[Start_date]],"ddd")</f>
        <v>Fri</v>
      </c>
      <c r="U564">
        <f>marketing_data[[#This Row],[Cleaned End_date]]-marketing_data[[#This Row],[Start_date]]</f>
        <v>30</v>
      </c>
    </row>
    <row r="565" spans="1:21" x14ac:dyDescent="0.2">
      <c r="A565" t="s">
        <v>1185</v>
      </c>
      <c r="B565" t="s">
        <v>1186</v>
      </c>
      <c r="C565" s="2">
        <v>45258</v>
      </c>
      <c r="D565" t="str">
        <f t="shared" si="51"/>
        <v>Nov</v>
      </c>
      <c r="E565" s="2">
        <v>45276</v>
      </c>
      <c r="F565" t="s">
        <v>19</v>
      </c>
      <c r="G565">
        <v>66953</v>
      </c>
      <c r="H565">
        <v>3025</v>
      </c>
      <c r="I565">
        <v>477</v>
      </c>
      <c r="J565" t="b">
        <v>1</v>
      </c>
      <c r="K565" s="10">
        <v>1707.85</v>
      </c>
      <c r="L565" s="6">
        <f t="shared" si="52"/>
        <v>4.5180947829074128E-2</v>
      </c>
      <c r="M565">
        <f t="shared" si="53"/>
        <v>0.56457851239669421</v>
      </c>
      <c r="N565">
        <f t="shared" si="54"/>
        <v>3.5803983228511527</v>
      </c>
      <c r="O565">
        <f t="shared" si="55"/>
        <v>22142.15</v>
      </c>
      <c r="P565">
        <f t="shared" si="56"/>
        <v>0.15768595041322314</v>
      </c>
      <c r="Q565" t="s">
        <v>4136</v>
      </c>
      <c r="R565" t="s">
        <v>4138</v>
      </c>
      <c r="S565">
        <f>YEAR(marketing_data[[#This Row],[Start_date]])</f>
        <v>2023</v>
      </c>
      <c r="T565" t="str">
        <f>TEXT(marketing_data[[#This Row],[Start_date]],"ddd")</f>
        <v>Tue</v>
      </c>
      <c r="U565">
        <f>marketing_data[[#This Row],[Cleaned End_date]]-marketing_data[[#This Row],[Start_date]]</f>
        <v>18</v>
      </c>
    </row>
    <row r="566" spans="1:21" x14ac:dyDescent="0.2">
      <c r="A566" t="s">
        <v>1187</v>
      </c>
      <c r="B566" t="s">
        <v>1188</v>
      </c>
      <c r="C566" s="2">
        <v>44951</v>
      </c>
      <c r="D566" t="str">
        <f t="shared" si="51"/>
        <v>Jan</v>
      </c>
      <c r="E566" s="2">
        <v>44960</v>
      </c>
      <c r="F566" t="s">
        <v>33</v>
      </c>
      <c r="G566">
        <v>58458</v>
      </c>
      <c r="H566">
        <v>2122</v>
      </c>
      <c r="I566">
        <v>303</v>
      </c>
      <c r="J566" t="b">
        <v>1</v>
      </c>
      <c r="K566" s="10">
        <v>3546.81</v>
      </c>
      <c r="L566" s="6">
        <f t="shared" si="52"/>
        <v>3.6299565500017103E-2</v>
      </c>
      <c r="M566">
        <f t="shared" si="53"/>
        <v>1.6714467483506126</v>
      </c>
      <c r="N566">
        <f t="shared" si="54"/>
        <v>11.705643564356436</v>
      </c>
      <c r="O566">
        <f t="shared" si="55"/>
        <v>11603.19</v>
      </c>
      <c r="P566">
        <f t="shared" si="56"/>
        <v>0.14278982092365694</v>
      </c>
      <c r="Q566" t="s">
        <v>4138</v>
      </c>
      <c r="R566" t="s">
        <v>4141</v>
      </c>
      <c r="S566">
        <f>YEAR(marketing_data[[#This Row],[Start_date]])</f>
        <v>2023</v>
      </c>
      <c r="T566" t="str">
        <f>TEXT(marketing_data[[#This Row],[Start_date]],"ddd")</f>
        <v>Wed</v>
      </c>
      <c r="U566">
        <f>marketing_data[[#This Row],[Cleaned End_date]]-marketing_data[[#This Row],[Start_date]]</f>
        <v>9</v>
      </c>
    </row>
    <row r="567" spans="1:21" x14ac:dyDescent="0.2">
      <c r="A567" t="s">
        <v>1189</v>
      </c>
      <c r="B567" t="s">
        <v>1190</v>
      </c>
      <c r="C567" s="2">
        <v>44990</v>
      </c>
      <c r="D567" t="str">
        <f t="shared" si="51"/>
        <v>Mar</v>
      </c>
      <c r="E567" s="2">
        <v>44999</v>
      </c>
      <c r="F567" t="s">
        <v>41</v>
      </c>
      <c r="G567">
        <v>21358</v>
      </c>
      <c r="H567">
        <v>479</v>
      </c>
      <c r="I567">
        <v>29</v>
      </c>
      <c r="J567" t="b">
        <v>1</v>
      </c>
      <c r="K567" s="10">
        <v>525.63</v>
      </c>
      <c r="L567" s="6">
        <f t="shared" si="52"/>
        <v>2.2427193557449199E-2</v>
      </c>
      <c r="M567">
        <f t="shared" si="53"/>
        <v>1.0973486430062631</v>
      </c>
      <c r="N567">
        <f t="shared" si="54"/>
        <v>18.125172413793102</v>
      </c>
      <c r="O567">
        <f t="shared" si="55"/>
        <v>924.37</v>
      </c>
      <c r="P567">
        <f t="shared" si="56"/>
        <v>6.0542797494780795E-2</v>
      </c>
      <c r="Q567" t="s">
        <v>4137</v>
      </c>
      <c r="R567" t="s">
        <v>4139</v>
      </c>
      <c r="S567">
        <f>YEAR(marketing_data[[#This Row],[Start_date]])</f>
        <v>2023</v>
      </c>
      <c r="T567" t="str">
        <f>TEXT(marketing_data[[#This Row],[Start_date]],"ddd")</f>
        <v>Sun</v>
      </c>
      <c r="U567">
        <f>marketing_data[[#This Row],[Cleaned End_date]]-marketing_data[[#This Row],[Start_date]]</f>
        <v>9</v>
      </c>
    </row>
    <row r="568" spans="1:21" x14ac:dyDescent="0.2">
      <c r="A568" t="s">
        <v>1191</v>
      </c>
      <c r="B568" t="s">
        <v>1192</v>
      </c>
      <c r="C568" s="2">
        <v>45131</v>
      </c>
      <c r="D568" t="str">
        <f t="shared" si="51"/>
        <v>Jul</v>
      </c>
      <c r="E568" s="2">
        <v>45132</v>
      </c>
      <c r="F568" t="str">
        <f>F567</f>
        <v>Google Ads</v>
      </c>
      <c r="G568">
        <v>4267</v>
      </c>
      <c r="H568">
        <v>169</v>
      </c>
      <c r="I568">
        <v>13</v>
      </c>
      <c r="J568" t="b">
        <v>1</v>
      </c>
      <c r="K568" s="10">
        <v>329.13249999999999</v>
      </c>
      <c r="L568" s="6">
        <f t="shared" si="52"/>
        <v>3.960628075931568E-2</v>
      </c>
      <c r="M568">
        <f t="shared" si="53"/>
        <v>1.9475295857988166</v>
      </c>
      <c r="N568">
        <f t="shared" si="54"/>
        <v>25.317884615384614</v>
      </c>
      <c r="O568">
        <f t="shared" si="55"/>
        <v>320.86750000000001</v>
      </c>
      <c r="P568">
        <f t="shared" si="56"/>
        <v>7.6923076923076927E-2</v>
      </c>
      <c r="Q568" t="s">
        <v>4139</v>
      </c>
      <c r="R568" t="s">
        <v>4139</v>
      </c>
      <c r="S568">
        <f>YEAR(marketing_data[[#This Row],[Start_date]])</f>
        <v>2023</v>
      </c>
      <c r="T568" t="str">
        <f>TEXT(marketing_data[[#This Row],[Start_date]],"ddd")</f>
        <v>Mon</v>
      </c>
      <c r="U568">
        <f>marketing_data[[#This Row],[Cleaned End_date]]-marketing_data[[#This Row],[Start_date]]</f>
        <v>1</v>
      </c>
    </row>
    <row r="569" spans="1:21" x14ac:dyDescent="0.2">
      <c r="A569" t="s">
        <v>1193</v>
      </c>
      <c r="B569" t="s">
        <v>1194</v>
      </c>
      <c r="C569" s="2">
        <v>45124</v>
      </c>
      <c r="D569" t="str">
        <f t="shared" si="51"/>
        <v>Jul</v>
      </c>
      <c r="E569" s="2">
        <v>45147</v>
      </c>
      <c r="F569" t="s">
        <v>41</v>
      </c>
      <c r="G569">
        <v>83745</v>
      </c>
      <c r="H569">
        <v>3567</v>
      </c>
      <c r="I569">
        <v>312</v>
      </c>
      <c r="J569" t="b">
        <v>1</v>
      </c>
      <c r="K569" s="10">
        <v>3631.7599999999998</v>
      </c>
      <c r="L569" s="6">
        <f t="shared" si="52"/>
        <v>4.2593587676876231E-2</v>
      </c>
      <c r="M569">
        <f t="shared" si="53"/>
        <v>1.0181553125876086</v>
      </c>
      <c r="N569">
        <f t="shared" si="54"/>
        <v>11.640256410256409</v>
      </c>
      <c r="O569">
        <f t="shared" si="55"/>
        <v>11968.24</v>
      </c>
      <c r="P569">
        <f t="shared" si="56"/>
        <v>8.7468460891505465E-2</v>
      </c>
      <c r="Q569" t="s">
        <v>4139</v>
      </c>
      <c r="R569" t="s">
        <v>4139</v>
      </c>
      <c r="S569">
        <f>YEAR(marketing_data[[#This Row],[Start_date]])</f>
        <v>2023</v>
      </c>
      <c r="T569" t="str">
        <f>TEXT(marketing_data[[#This Row],[Start_date]],"ddd")</f>
        <v>Mon</v>
      </c>
      <c r="U569">
        <f>marketing_data[[#This Row],[Cleaned End_date]]-marketing_data[[#This Row],[Start_date]]</f>
        <v>23</v>
      </c>
    </row>
    <row r="570" spans="1:21" x14ac:dyDescent="0.2">
      <c r="A570" t="s">
        <v>1195</v>
      </c>
      <c r="B570" t="s">
        <v>1196</v>
      </c>
      <c r="C570" s="2">
        <v>45281</v>
      </c>
      <c r="D570" t="str">
        <f t="shared" si="51"/>
        <v>Dec</v>
      </c>
      <c r="E570" s="2">
        <v>45300</v>
      </c>
      <c r="F570" t="s">
        <v>14</v>
      </c>
      <c r="G570">
        <v>90588</v>
      </c>
      <c r="H570">
        <v>3134</v>
      </c>
      <c r="I570">
        <v>547</v>
      </c>
      <c r="J570" t="b">
        <v>1</v>
      </c>
      <c r="K570" s="10">
        <v>3631.7599999999998</v>
      </c>
      <c r="L570" s="6">
        <f t="shared" si="52"/>
        <v>3.459619375634742E-2</v>
      </c>
      <c r="M570">
        <f t="shared" si="53"/>
        <v>1.1588257817485641</v>
      </c>
      <c r="N570">
        <f t="shared" si="54"/>
        <v>6.6394149908592315</v>
      </c>
      <c r="O570">
        <f t="shared" si="55"/>
        <v>23718.240000000002</v>
      </c>
      <c r="P570">
        <f t="shared" si="56"/>
        <v>0.17453733248245054</v>
      </c>
      <c r="Q570" t="s">
        <v>4138</v>
      </c>
      <c r="R570" t="s">
        <v>4139</v>
      </c>
      <c r="S570">
        <f>YEAR(marketing_data[[#This Row],[Start_date]])</f>
        <v>2023</v>
      </c>
      <c r="T570" t="str">
        <f>TEXT(marketing_data[[#This Row],[Start_date]],"ddd")</f>
        <v>Thu</v>
      </c>
      <c r="U570">
        <f>marketing_data[[#This Row],[Cleaned End_date]]-marketing_data[[#This Row],[Start_date]]</f>
        <v>19</v>
      </c>
    </row>
    <row r="571" spans="1:21" x14ac:dyDescent="0.2">
      <c r="A571" t="s">
        <v>1197</v>
      </c>
      <c r="B571" t="s">
        <v>1198</v>
      </c>
      <c r="C571" s="2">
        <v>45192</v>
      </c>
      <c r="D571" t="str">
        <f t="shared" si="51"/>
        <v>Sep</v>
      </c>
      <c r="E571" s="2">
        <v>45208</v>
      </c>
      <c r="F571" t="s">
        <v>41</v>
      </c>
      <c r="G571">
        <v>39513</v>
      </c>
      <c r="H571">
        <v>1482</v>
      </c>
      <c r="I571">
        <v>177</v>
      </c>
      <c r="J571" t="b">
        <v>0</v>
      </c>
      <c r="K571" s="10">
        <v>758.92</v>
      </c>
      <c r="L571" s="6">
        <f t="shared" si="52"/>
        <v>3.750664338319034E-2</v>
      </c>
      <c r="M571">
        <f t="shared" si="53"/>
        <v>0.51209176788124156</v>
      </c>
      <c r="N571">
        <f t="shared" si="54"/>
        <v>4.2876836158192084</v>
      </c>
      <c r="O571">
        <f t="shared" si="55"/>
        <v>8091.08</v>
      </c>
      <c r="P571">
        <f t="shared" si="56"/>
        <v>0.1194331983805668</v>
      </c>
      <c r="Q571" t="s">
        <v>4136</v>
      </c>
      <c r="R571" t="s">
        <v>4141</v>
      </c>
      <c r="S571">
        <f>YEAR(marketing_data[[#This Row],[Start_date]])</f>
        <v>2023</v>
      </c>
      <c r="T571" t="str">
        <f>TEXT(marketing_data[[#This Row],[Start_date]],"ddd")</f>
        <v>Sat</v>
      </c>
      <c r="U571">
        <f>marketing_data[[#This Row],[Cleaned End_date]]-marketing_data[[#This Row],[Start_date]]</f>
        <v>16</v>
      </c>
    </row>
    <row r="572" spans="1:21" x14ac:dyDescent="0.2">
      <c r="A572" t="s">
        <v>1199</v>
      </c>
      <c r="B572" t="s">
        <v>1200</v>
      </c>
      <c r="C572" s="2">
        <v>45085</v>
      </c>
      <c r="D572" t="str">
        <f t="shared" si="51"/>
        <v>Jun</v>
      </c>
      <c r="E572" s="2">
        <v>45147</v>
      </c>
      <c r="F572" t="s">
        <v>19</v>
      </c>
      <c r="G572">
        <v>27092</v>
      </c>
      <c r="H572">
        <v>677</v>
      </c>
      <c r="I572">
        <v>83</v>
      </c>
      <c r="J572" t="b">
        <v>1</v>
      </c>
      <c r="K572" s="10">
        <v>1296.29</v>
      </c>
      <c r="L572" s="6">
        <f t="shared" si="52"/>
        <v>2.4988926620404549E-2</v>
      </c>
      <c r="M572">
        <f t="shared" si="53"/>
        <v>1.9147562776957163</v>
      </c>
      <c r="N572">
        <f t="shared" si="54"/>
        <v>15.617951807228915</v>
      </c>
      <c r="O572">
        <f t="shared" si="55"/>
        <v>2853.71</v>
      </c>
      <c r="P572">
        <f t="shared" si="56"/>
        <v>0.12259970457902511</v>
      </c>
      <c r="Q572" t="s">
        <v>4139</v>
      </c>
      <c r="R572" t="s">
        <v>4142</v>
      </c>
      <c r="S572">
        <f>YEAR(marketing_data[[#This Row],[Start_date]])</f>
        <v>2023</v>
      </c>
      <c r="T572" t="str">
        <f>TEXT(marketing_data[[#This Row],[Start_date]],"ddd")</f>
        <v>Thu</v>
      </c>
      <c r="U572">
        <f>marketing_data[[#This Row],[Cleaned End_date]]-marketing_data[[#This Row],[Start_date]]</f>
        <v>62</v>
      </c>
    </row>
    <row r="573" spans="1:21" x14ac:dyDescent="0.2">
      <c r="A573" t="s">
        <v>1201</v>
      </c>
      <c r="B573" t="s">
        <v>1202</v>
      </c>
      <c r="C573" s="2">
        <v>45235</v>
      </c>
      <c r="D573" t="str">
        <f t="shared" si="51"/>
        <v>Nov</v>
      </c>
      <c r="E573" s="2">
        <v>45259</v>
      </c>
      <c r="F573" t="s">
        <v>33</v>
      </c>
      <c r="G573">
        <v>12338</v>
      </c>
      <c r="H573">
        <v>389</v>
      </c>
      <c r="I573">
        <v>74</v>
      </c>
      <c r="J573" t="b">
        <v>1</v>
      </c>
      <c r="K573" s="10">
        <v>332.87</v>
      </c>
      <c r="L573" s="6">
        <f t="shared" si="52"/>
        <v>3.1528610795915062E-2</v>
      </c>
      <c r="M573">
        <f t="shared" si="53"/>
        <v>0.85570694087403598</v>
      </c>
      <c r="N573">
        <f t="shared" si="54"/>
        <v>4.4982432432432429</v>
      </c>
      <c r="O573">
        <f t="shared" si="55"/>
        <v>3367.13</v>
      </c>
      <c r="P573">
        <f t="shared" si="56"/>
        <v>0.19023136246786632</v>
      </c>
      <c r="Q573" t="s">
        <v>4136</v>
      </c>
      <c r="R573" t="s">
        <v>4141</v>
      </c>
      <c r="S573">
        <f>YEAR(marketing_data[[#This Row],[Start_date]])</f>
        <v>2023</v>
      </c>
      <c r="T573" t="str">
        <f>TEXT(marketing_data[[#This Row],[Start_date]],"ddd")</f>
        <v>Sun</v>
      </c>
      <c r="U573">
        <f>marketing_data[[#This Row],[Cleaned End_date]]-marketing_data[[#This Row],[Start_date]]</f>
        <v>24</v>
      </c>
    </row>
    <row r="574" spans="1:21" x14ac:dyDescent="0.2">
      <c r="A574" t="s">
        <v>1203</v>
      </c>
      <c r="B574" t="s">
        <v>1204</v>
      </c>
      <c r="C574" s="2">
        <v>45077</v>
      </c>
      <c r="D574" t="str">
        <f t="shared" si="51"/>
        <v>May</v>
      </c>
      <c r="E574" s="2">
        <v>45100</v>
      </c>
      <c r="F574" t="s">
        <v>41</v>
      </c>
      <c r="G574">
        <v>1412</v>
      </c>
      <c r="H574">
        <v>43</v>
      </c>
      <c r="I574">
        <v>6</v>
      </c>
      <c r="J574" t="b">
        <v>1</v>
      </c>
      <c r="K574" s="10">
        <v>329.13249999999999</v>
      </c>
      <c r="L574" s="6">
        <f t="shared" si="52"/>
        <v>3.0453257790368272E-2</v>
      </c>
      <c r="M574">
        <f t="shared" si="53"/>
        <v>7.6542441860465118</v>
      </c>
      <c r="N574">
        <f t="shared" si="54"/>
        <v>54.855416666666663</v>
      </c>
      <c r="O574">
        <f t="shared" si="55"/>
        <v>-29.132499999999993</v>
      </c>
      <c r="P574">
        <f t="shared" si="56"/>
        <v>0.13953488372093023</v>
      </c>
      <c r="Q574" t="s">
        <v>4137</v>
      </c>
      <c r="R574" t="s">
        <v>4138</v>
      </c>
      <c r="S574">
        <f>YEAR(marketing_data[[#This Row],[Start_date]])</f>
        <v>2023</v>
      </c>
      <c r="T574" t="str">
        <f>TEXT(marketing_data[[#This Row],[Start_date]],"ddd")</f>
        <v>Wed</v>
      </c>
      <c r="U574">
        <f>marketing_data[[#This Row],[Cleaned End_date]]-marketing_data[[#This Row],[Start_date]]</f>
        <v>23</v>
      </c>
    </row>
    <row r="575" spans="1:21" x14ac:dyDescent="0.2">
      <c r="A575" t="s">
        <v>1205</v>
      </c>
      <c r="B575" t="s">
        <v>1206</v>
      </c>
      <c r="C575" s="2">
        <v>45265</v>
      </c>
      <c r="D575" t="str">
        <f t="shared" si="51"/>
        <v>Dec</v>
      </c>
      <c r="E575" s="2">
        <v>45270</v>
      </c>
      <c r="F575" t="str">
        <f>F574</f>
        <v>Google Ads</v>
      </c>
      <c r="G575">
        <v>8543</v>
      </c>
      <c r="H575">
        <v>375</v>
      </c>
      <c r="I575">
        <v>69</v>
      </c>
      <c r="J575" t="b">
        <v>0</v>
      </c>
      <c r="K575" s="10">
        <v>619.57000000000005</v>
      </c>
      <c r="L575" s="6">
        <f t="shared" si="52"/>
        <v>4.3895587030317221E-2</v>
      </c>
      <c r="M575">
        <f t="shared" si="53"/>
        <v>1.6521866666666667</v>
      </c>
      <c r="N575">
        <f t="shared" si="54"/>
        <v>8.979275362318841</v>
      </c>
      <c r="O575">
        <f t="shared" si="55"/>
        <v>2830.43</v>
      </c>
      <c r="P575">
        <f t="shared" si="56"/>
        <v>0.184</v>
      </c>
      <c r="Q575" t="s">
        <v>4138</v>
      </c>
      <c r="R575" t="s">
        <v>4142</v>
      </c>
      <c r="S575">
        <f>YEAR(marketing_data[[#This Row],[Start_date]])</f>
        <v>2023</v>
      </c>
      <c r="T575" t="str">
        <f>TEXT(marketing_data[[#This Row],[Start_date]],"ddd")</f>
        <v>Tue</v>
      </c>
      <c r="U575">
        <f>marketing_data[[#This Row],[Cleaned End_date]]-marketing_data[[#This Row],[Start_date]]</f>
        <v>5</v>
      </c>
    </row>
    <row r="576" spans="1:21" x14ac:dyDescent="0.2">
      <c r="A576" t="s">
        <v>1207</v>
      </c>
      <c r="B576" t="s">
        <v>1208</v>
      </c>
      <c r="C576" s="2">
        <v>45145</v>
      </c>
      <c r="D576" t="str">
        <f t="shared" si="51"/>
        <v>Aug</v>
      </c>
      <c r="E576" s="2">
        <v>45152</v>
      </c>
      <c r="F576" t="s">
        <v>19</v>
      </c>
      <c r="G576">
        <v>34496</v>
      </c>
      <c r="H576">
        <v>1503</v>
      </c>
      <c r="I576">
        <v>178</v>
      </c>
      <c r="J576" t="b">
        <v>0</v>
      </c>
      <c r="K576" s="10">
        <v>1879.83</v>
      </c>
      <c r="L576" s="6">
        <f t="shared" si="52"/>
        <v>4.357026901669759E-2</v>
      </c>
      <c r="M576">
        <f t="shared" si="53"/>
        <v>1.2507185628742514</v>
      </c>
      <c r="N576">
        <f t="shared" si="54"/>
        <v>10.560842696629214</v>
      </c>
      <c r="O576">
        <f t="shared" si="55"/>
        <v>7020.17</v>
      </c>
      <c r="P576">
        <f t="shared" si="56"/>
        <v>0.11842980705256155</v>
      </c>
      <c r="Q576" t="s">
        <v>4139</v>
      </c>
      <c r="R576" t="s">
        <v>4138</v>
      </c>
      <c r="S576">
        <f>YEAR(marketing_data[[#This Row],[Start_date]])</f>
        <v>2023</v>
      </c>
      <c r="T576" t="str">
        <f>TEXT(marketing_data[[#This Row],[Start_date]],"ddd")</f>
        <v>Mon</v>
      </c>
      <c r="U576">
        <f>marketing_data[[#This Row],[Cleaned End_date]]-marketing_data[[#This Row],[Start_date]]</f>
        <v>7</v>
      </c>
    </row>
    <row r="577" spans="1:21" x14ac:dyDescent="0.2">
      <c r="A577" t="s">
        <v>1209</v>
      </c>
      <c r="B577" t="s">
        <v>1210</v>
      </c>
      <c r="C577" s="2">
        <v>45155</v>
      </c>
      <c r="D577" t="str">
        <f t="shared" si="51"/>
        <v>Aug</v>
      </c>
      <c r="E577" s="2">
        <v>45158</v>
      </c>
      <c r="F577" t="s">
        <v>19</v>
      </c>
      <c r="G577">
        <v>61692</v>
      </c>
      <c r="H577">
        <v>2671</v>
      </c>
      <c r="I577">
        <v>193</v>
      </c>
      <c r="J577" t="b">
        <v>0</v>
      </c>
      <c r="K577" s="10">
        <v>3073.4</v>
      </c>
      <c r="L577" s="6">
        <f t="shared" si="52"/>
        <v>4.3295727160733967E-2</v>
      </c>
      <c r="M577">
        <f t="shared" si="53"/>
        <v>1.1506551853238487</v>
      </c>
      <c r="N577">
        <f t="shared" si="54"/>
        <v>15.924352331606219</v>
      </c>
      <c r="O577">
        <f t="shared" si="55"/>
        <v>6576.6</v>
      </c>
      <c r="P577">
        <f t="shared" si="56"/>
        <v>7.2257581430175966E-2</v>
      </c>
      <c r="Q577" t="s">
        <v>4139</v>
      </c>
      <c r="R577" t="s">
        <v>4141</v>
      </c>
      <c r="S577">
        <f>YEAR(marketing_data[[#This Row],[Start_date]])</f>
        <v>2023</v>
      </c>
      <c r="T577" t="str">
        <f>TEXT(marketing_data[[#This Row],[Start_date]],"ddd")</f>
        <v>Thu</v>
      </c>
      <c r="U577">
        <f>marketing_data[[#This Row],[Cleaned End_date]]-marketing_data[[#This Row],[Start_date]]</f>
        <v>3</v>
      </c>
    </row>
    <row r="578" spans="1:21" x14ac:dyDescent="0.2">
      <c r="A578" t="s">
        <v>1212</v>
      </c>
      <c r="B578" t="s">
        <v>1213</v>
      </c>
      <c r="C578" s="2">
        <v>45107</v>
      </c>
      <c r="D578" t="str">
        <f t="shared" si="51"/>
        <v>Jun</v>
      </c>
      <c r="E578" s="2">
        <v>45120</v>
      </c>
      <c r="F578" t="s">
        <v>19</v>
      </c>
      <c r="G578">
        <v>90084</v>
      </c>
      <c r="H578">
        <v>940</v>
      </c>
      <c r="I578">
        <v>178</v>
      </c>
      <c r="J578" t="b">
        <v>0</v>
      </c>
      <c r="K578" s="10">
        <v>821.8</v>
      </c>
      <c r="L578" s="6">
        <f t="shared" si="52"/>
        <v>1.0434705386084099E-2</v>
      </c>
      <c r="M578">
        <f t="shared" si="53"/>
        <v>0.87425531914893617</v>
      </c>
      <c r="N578">
        <f t="shared" si="54"/>
        <v>4.6168539325842692</v>
      </c>
      <c r="O578">
        <f t="shared" si="55"/>
        <v>8078.2</v>
      </c>
      <c r="P578">
        <f t="shared" si="56"/>
        <v>0.18936170212765957</v>
      </c>
      <c r="Q578" t="s">
        <v>4139</v>
      </c>
      <c r="R578" t="s">
        <v>4141</v>
      </c>
      <c r="S578">
        <f>YEAR(marketing_data[[#This Row],[Start_date]])</f>
        <v>2023</v>
      </c>
      <c r="T578" t="str">
        <f>TEXT(marketing_data[[#This Row],[Start_date]],"ddd")</f>
        <v>Fri</v>
      </c>
      <c r="U578">
        <f>marketing_data[[#This Row],[Cleaned End_date]]-marketing_data[[#This Row],[Start_date]]</f>
        <v>13</v>
      </c>
    </row>
    <row r="579" spans="1:21" x14ac:dyDescent="0.2">
      <c r="A579" t="s">
        <v>1214</v>
      </c>
      <c r="B579" t="s">
        <v>1215</v>
      </c>
      <c r="C579" s="2">
        <v>45254</v>
      </c>
      <c r="D579" t="str">
        <f t="shared" ref="D579:D642" si="57">TEXT(C579,"mmm")</f>
        <v>Nov</v>
      </c>
      <c r="E579" s="2">
        <v>45276</v>
      </c>
      <c r="F579" t="s">
        <v>14</v>
      </c>
      <c r="G579">
        <v>93920</v>
      </c>
      <c r="H579">
        <v>3755</v>
      </c>
      <c r="I579">
        <v>446</v>
      </c>
      <c r="J579" t="b">
        <v>1</v>
      </c>
      <c r="K579" s="10">
        <v>3631.7599999999998</v>
      </c>
      <c r="L579" s="6">
        <f t="shared" ref="L579:L642" si="58">H579/G579</f>
        <v>3.998083475298126E-2</v>
      </c>
      <c r="M579">
        <f t="shared" ref="M579:M642" si="59">K579/H579</f>
        <v>0.96717976031957387</v>
      </c>
      <c r="N579">
        <f t="shared" ref="N579:N642" si="60">IFERROR(K579/I579,0)</f>
        <v>8.1429596412556045</v>
      </c>
      <c r="O579">
        <f t="shared" ref="O579:O642" si="61">(50*I579)-K579</f>
        <v>18668.240000000002</v>
      </c>
      <c r="P579">
        <f t="shared" ref="P579:P642" si="62">I579/H579</f>
        <v>0.11877496671105194</v>
      </c>
      <c r="Q579" t="s">
        <v>4136</v>
      </c>
      <c r="R579" t="s">
        <v>4139</v>
      </c>
      <c r="S579">
        <f>YEAR(marketing_data[[#This Row],[Start_date]])</f>
        <v>2023</v>
      </c>
      <c r="T579" t="str">
        <f>TEXT(marketing_data[[#This Row],[Start_date]],"ddd")</f>
        <v>Fri</v>
      </c>
      <c r="U579">
        <f>marketing_data[[#This Row],[Cleaned End_date]]-marketing_data[[#This Row],[Start_date]]</f>
        <v>22</v>
      </c>
    </row>
    <row r="580" spans="1:21" x14ac:dyDescent="0.2">
      <c r="A580" t="s">
        <v>1216</v>
      </c>
      <c r="B580" t="s">
        <v>1217</v>
      </c>
      <c r="C580" s="2">
        <v>44965</v>
      </c>
      <c r="D580" t="str">
        <f t="shared" si="57"/>
        <v>Feb</v>
      </c>
      <c r="E580" s="2">
        <v>44978</v>
      </c>
      <c r="F580" t="s">
        <v>14</v>
      </c>
      <c r="G580">
        <v>45425</v>
      </c>
      <c r="H580">
        <v>1832</v>
      </c>
      <c r="I580">
        <v>141</v>
      </c>
      <c r="J580" t="b">
        <v>1</v>
      </c>
      <c r="K580" s="10">
        <v>1670.01</v>
      </c>
      <c r="L580" s="6">
        <f t="shared" si="58"/>
        <v>4.0330214639515687E-2</v>
      </c>
      <c r="M580">
        <f t="shared" si="59"/>
        <v>0.91157751091703054</v>
      </c>
      <c r="N580">
        <f t="shared" si="60"/>
        <v>11.844042553191489</v>
      </c>
      <c r="O580">
        <f t="shared" si="61"/>
        <v>5379.99</v>
      </c>
      <c r="P580">
        <f t="shared" si="62"/>
        <v>7.6965065502183405E-2</v>
      </c>
      <c r="Q580" t="s">
        <v>4138</v>
      </c>
      <c r="R580" t="s">
        <v>4142</v>
      </c>
      <c r="S580">
        <f>YEAR(marketing_data[[#This Row],[Start_date]])</f>
        <v>2023</v>
      </c>
      <c r="T580" t="str">
        <f>TEXT(marketing_data[[#This Row],[Start_date]],"ddd")</f>
        <v>Wed</v>
      </c>
      <c r="U580">
        <f>marketing_data[[#This Row],[Cleaned End_date]]-marketing_data[[#This Row],[Start_date]]</f>
        <v>13</v>
      </c>
    </row>
    <row r="581" spans="1:21" x14ac:dyDescent="0.2">
      <c r="A581" t="s">
        <v>1218</v>
      </c>
      <c r="B581" t="s">
        <v>1219</v>
      </c>
      <c r="C581" s="2">
        <v>45189</v>
      </c>
      <c r="D581" t="str">
        <f t="shared" si="57"/>
        <v>Sep</v>
      </c>
      <c r="E581" s="2">
        <v>45190</v>
      </c>
      <c r="F581" t="s">
        <v>14</v>
      </c>
      <c r="G581">
        <v>39756</v>
      </c>
      <c r="H581">
        <v>1476</v>
      </c>
      <c r="I581">
        <v>140</v>
      </c>
      <c r="J581" t="b">
        <v>1</v>
      </c>
      <c r="K581" s="10">
        <v>2734.1</v>
      </c>
      <c r="L581" s="6">
        <f t="shared" si="58"/>
        <v>3.712647147600362E-2</v>
      </c>
      <c r="M581">
        <f t="shared" si="59"/>
        <v>1.8523712737127371</v>
      </c>
      <c r="N581">
        <f t="shared" si="60"/>
        <v>19.529285714285713</v>
      </c>
      <c r="O581">
        <f t="shared" si="61"/>
        <v>4265.8999999999996</v>
      </c>
      <c r="P581">
        <f t="shared" si="62"/>
        <v>9.4850948509485097E-2</v>
      </c>
      <c r="Q581" t="s">
        <v>4136</v>
      </c>
      <c r="R581" t="s">
        <v>4139</v>
      </c>
      <c r="S581">
        <f>YEAR(marketing_data[[#This Row],[Start_date]])</f>
        <v>2023</v>
      </c>
      <c r="T581" t="str">
        <f>TEXT(marketing_data[[#This Row],[Start_date]],"ddd")</f>
        <v>Wed</v>
      </c>
      <c r="U581">
        <f>marketing_data[[#This Row],[Cleaned End_date]]-marketing_data[[#This Row],[Start_date]]</f>
        <v>1</v>
      </c>
    </row>
    <row r="582" spans="1:21" x14ac:dyDescent="0.2">
      <c r="A582" t="s">
        <v>1220</v>
      </c>
      <c r="B582" t="s">
        <v>1221</v>
      </c>
      <c r="C582" s="2">
        <v>44942</v>
      </c>
      <c r="D582" t="str">
        <f t="shared" si="57"/>
        <v>Jan</v>
      </c>
      <c r="E582" s="2">
        <v>44944</v>
      </c>
      <c r="F582" t="s">
        <v>41</v>
      </c>
      <c r="G582">
        <v>19888</v>
      </c>
      <c r="H582">
        <v>800</v>
      </c>
      <c r="I582">
        <v>46</v>
      </c>
      <c r="J582" t="b">
        <v>0</v>
      </c>
      <c r="K582" s="10">
        <v>658.25</v>
      </c>
      <c r="L582" s="6">
        <f t="shared" si="58"/>
        <v>4.0225261464199517E-2</v>
      </c>
      <c r="M582">
        <f t="shared" si="59"/>
        <v>0.82281249999999995</v>
      </c>
      <c r="N582">
        <f t="shared" si="60"/>
        <v>14.309782608695652</v>
      </c>
      <c r="O582">
        <f t="shared" si="61"/>
        <v>1641.75</v>
      </c>
      <c r="P582">
        <f t="shared" si="62"/>
        <v>5.7500000000000002E-2</v>
      </c>
      <c r="Q582" t="s">
        <v>4138</v>
      </c>
      <c r="R582" t="s">
        <v>4138</v>
      </c>
      <c r="S582">
        <f>YEAR(marketing_data[[#This Row],[Start_date]])</f>
        <v>2023</v>
      </c>
      <c r="T582" t="str">
        <f>TEXT(marketing_data[[#This Row],[Start_date]],"ddd")</f>
        <v>Mon</v>
      </c>
      <c r="U582">
        <f>marketing_data[[#This Row],[Cleaned End_date]]-marketing_data[[#This Row],[Start_date]]</f>
        <v>2</v>
      </c>
    </row>
    <row r="583" spans="1:21" x14ac:dyDescent="0.2">
      <c r="A583" t="s">
        <v>1222</v>
      </c>
      <c r="B583" t="s">
        <v>1223</v>
      </c>
      <c r="C583" s="2">
        <v>45151</v>
      </c>
      <c r="D583" t="str">
        <f t="shared" si="57"/>
        <v>Aug</v>
      </c>
      <c r="E583" s="2">
        <v>45167</v>
      </c>
      <c r="F583" t="s">
        <v>14</v>
      </c>
      <c r="G583">
        <v>36735</v>
      </c>
      <c r="H583">
        <v>1604</v>
      </c>
      <c r="I583">
        <v>192</v>
      </c>
      <c r="J583" t="b">
        <v>1</v>
      </c>
      <c r="K583" s="10">
        <v>2929.76</v>
      </c>
      <c r="L583" s="6">
        <f t="shared" si="58"/>
        <v>4.3664080577106301E-2</v>
      </c>
      <c r="M583">
        <f t="shared" si="59"/>
        <v>1.8265336658354117</v>
      </c>
      <c r="N583">
        <f t="shared" si="60"/>
        <v>15.259166666666667</v>
      </c>
      <c r="O583">
        <f t="shared" si="61"/>
        <v>6670.24</v>
      </c>
      <c r="P583">
        <f t="shared" si="62"/>
        <v>0.11970074812967581</v>
      </c>
      <c r="Q583" t="s">
        <v>4139</v>
      </c>
      <c r="R583" t="s">
        <v>4142</v>
      </c>
      <c r="S583">
        <f>YEAR(marketing_data[[#This Row],[Start_date]])</f>
        <v>2023</v>
      </c>
      <c r="T583" t="str">
        <f>TEXT(marketing_data[[#This Row],[Start_date]],"ddd")</f>
        <v>Sun</v>
      </c>
      <c r="U583">
        <f>marketing_data[[#This Row],[Cleaned End_date]]-marketing_data[[#This Row],[Start_date]]</f>
        <v>16</v>
      </c>
    </row>
    <row r="584" spans="1:21" x14ac:dyDescent="0.2">
      <c r="A584" t="s">
        <v>1224</v>
      </c>
      <c r="B584" t="s">
        <v>1225</v>
      </c>
      <c r="C584" s="2">
        <v>44961</v>
      </c>
      <c r="D584" t="str">
        <f t="shared" si="57"/>
        <v>Feb</v>
      </c>
      <c r="E584" s="2">
        <v>44975</v>
      </c>
      <c r="F584" t="s">
        <v>19</v>
      </c>
      <c r="G584">
        <v>48295</v>
      </c>
      <c r="H584">
        <v>1391</v>
      </c>
      <c r="I584">
        <v>247</v>
      </c>
      <c r="J584" t="b">
        <v>0</v>
      </c>
      <c r="K584" s="10">
        <v>1862.7</v>
      </c>
      <c r="L584" s="6">
        <f t="shared" si="58"/>
        <v>2.8802153432032303E-2</v>
      </c>
      <c r="M584">
        <f t="shared" si="59"/>
        <v>1.3391085549964055</v>
      </c>
      <c r="N584">
        <f t="shared" si="60"/>
        <v>7.5412955465587048</v>
      </c>
      <c r="O584">
        <f t="shared" si="61"/>
        <v>10487.3</v>
      </c>
      <c r="P584">
        <f t="shared" si="62"/>
        <v>0.17757009345794392</v>
      </c>
      <c r="Q584" t="s">
        <v>4138</v>
      </c>
      <c r="R584" t="s">
        <v>4138</v>
      </c>
      <c r="S584">
        <f>YEAR(marketing_data[[#This Row],[Start_date]])</f>
        <v>2023</v>
      </c>
      <c r="T584" t="str">
        <f>TEXT(marketing_data[[#This Row],[Start_date]],"ddd")</f>
        <v>Sat</v>
      </c>
      <c r="U584">
        <f>marketing_data[[#This Row],[Cleaned End_date]]-marketing_data[[#This Row],[Start_date]]</f>
        <v>14</v>
      </c>
    </row>
    <row r="585" spans="1:21" x14ac:dyDescent="0.2">
      <c r="A585" t="s">
        <v>1226</v>
      </c>
      <c r="B585" t="s">
        <v>1227</v>
      </c>
      <c r="C585" s="2">
        <v>45112</v>
      </c>
      <c r="D585" t="str">
        <f t="shared" si="57"/>
        <v>Jul</v>
      </c>
      <c r="E585" s="2">
        <v>45139</v>
      </c>
      <c r="F585" t="s">
        <v>19</v>
      </c>
      <c r="G585">
        <v>84042</v>
      </c>
      <c r="H585">
        <v>2528</v>
      </c>
      <c r="J585" t="b">
        <v>1</v>
      </c>
      <c r="K585" s="10">
        <v>3631.7599999999998</v>
      </c>
      <c r="L585" s="6">
        <f t="shared" si="58"/>
        <v>3.0080197996239975E-2</v>
      </c>
      <c r="M585">
        <f t="shared" si="59"/>
        <v>1.4366139240506328</v>
      </c>
      <c r="N585">
        <f t="shared" si="60"/>
        <v>0</v>
      </c>
      <c r="O585">
        <f t="shared" si="61"/>
        <v>-3631.7599999999998</v>
      </c>
      <c r="P585">
        <f t="shared" si="62"/>
        <v>0</v>
      </c>
      <c r="Q585" t="s">
        <v>4139</v>
      </c>
      <c r="R585" t="s">
        <v>4142</v>
      </c>
      <c r="S585">
        <f>YEAR(marketing_data[[#This Row],[Start_date]])</f>
        <v>2023</v>
      </c>
      <c r="T585" t="str">
        <f>TEXT(marketing_data[[#This Row],[Start_date]],"ddd")</f>
        <v>Wed</v>
      </c>
      <c r="U585">
        <f>marketing_data[[#This Row],[Cleaned End_date]]-marketing_data[[#This Row],[Start_date]]</f>
        <v>27</v>
      </c>
    </row>
    <row r="586" spans="1:21" x14ac:dyDescent="0.2">
      <c r="A586" t="s">
        <v>1228</v>
      </c>
      <c r="B586" t="s">
        <v>1229</v>
      </c>
      <c r="C586" s="2">
        <v>45236</v>
      </c>
      <c r="D586" t="str">
        <f t="shared" si="57"/>
        <v>Nov</v>
      </c>
      <c r="E586" s="2">
        <v>45251</v>
      </c>
      <c r="F586" t="s">
        <v>33</v>
      </c>
      <c r="G586">
        <v>86999</v>
      </c>
      <c r="H586">
        <v>1303</v>
      </c>
      <c r="I586">
        <v>247</v>
      </c>
      <c r="J586" t="b">
        <v>1</v>
      </c>
      <c r="K586" s="10">
        <v>2044.76</v>
      </c>
      <c r="L586" s="6">
        <f t="shared" si="58"/>
        <v>1.4977183645789031E-2</v>
      </c>
      <c r="M586">
        <f t="shared" si="59"/>
        <v>1.569270913277053</v>
      </c>
      <c r="N586">
        <f t="shared" si="60"/>
        <v>8.2783805668016193</v>
      </c>
      <c r="O586">
        <f t="shared" si="61"/>
        <v>10305.24</v>
      </c>
      <c r="P586">
        <f t="shared" si="62"/>
        <v>0.18956254796623176</v>
      </c>
      <c r="Q586" t="s">
        <v>4136</v>
      </c>
      <c r="R586" t="s">
        <v>4142</v>
      </c>
      <c r="S586">
        <f>YEAR(marketing_data[[#This Row],[Start_date]])</f>
        <v>2023</v>
      </c>
      <c r="T586" t="str">
        <f>TEXT(marketing_data[[#This Row],[Start_date]],"ddd")</f>
        <v>Mon</v>
      </c>
      <c r="U586">
        <f>marketing_data[[#This Row],[Cleaned End_date]]-marketing_data[[#This Row],[Start_date]]</f>
        <v>15</v>
      </c>
    </row>
    <row r="587" spans="1:21" x14ac:dyDescent="0.2">
      <c r="A587" t="s">
        <v>1230</v>
      </c>
      <c r="B587" t="s">
        <v>1231</v>
      </c>
      <c r="C587" s="2">
        <v>45116</v>
      </c>
      <c r="D587" t="str">
        <f t="shared" si="57"/>
        <v>Jul</v>
      </c>
      <c r="E587" s="2">
        <v>45130</v>
      </c>
      <c r="F587" t="s">
        <v>23</v>
      </c>
      <c r="G587">
        <v>18955</v>
      </c>
      <c r="H587">
        <v>481</v>
      </c>
      <c r="I587">
        <v>33</v>
      </c>
      <c r="J587" t="b">
        <v>1</v>
      </c>
      <c r="K587" s="10">
        <v>743.17</v>
      </c>
      <c r="L587" s="6">
        <f t="shared" si="58"/>
        <v>2.5375890266420471E-2</v>
      </c>
      <c r="M587">
        <f t="shared" si="59"/>
        <v>1.5450519750519749</v>
      </c>
      <c r="N587">
        <f t="shared" si="60"/>
        <v>22.52030303030303</v>
      </c>
      <c r="O587">
        <f t="shared" si="61"/>
        <v>906.83</v>
      </c>
      <c r="P587">
        <f t="shared" si="62"/>
        <v>6.8607068607068611E-2</v>
      </c>
      <c r="Q587" t="s">
        <v>4139</v>
      </c>
      <c r="R587" t="s">
        <v>4138</v>
      </c>
      <c r="S587">
        <f>YEAR(marketing_data[[#This Row],[Start_date]])</f>
        <v>2023</v>
      </c>
      <c r="T587" t="str">
        <f>TEXT(marketing_data[[#This Row],[Start_date]],"ddd")</f>
        <v>Sun</v>
      </c>
      <c r="U587">
        <f>marketing_data[[#This Row],[Cleaned End_date]]-marketing_data[[#This Row],[Start_date]]</f>
        <v>14</v>
      </c>
    </row>
    <row r="588" spans="1:21" x14ac:dyDescent="0.2">
      <c r="A588" t="s">
        <v>1232</v>
      </c>
      <c r="B588" t="s">
        <v>1233</v>
      </c>
      <c r="C588" s="2">
        <v>45220</v>
      </c>
      <c r="D588" t="str">
        <f t="shared" si="57"/>
        <v>Oct</v>
      </c>
      <c r="E588" s="2">
        <v>45226</v>
      </c>
      <c r="F588" t="s">
        <v>41</v>
      </c>
      <c r="G588">
        <v>38841</v>
      </c>
      <c r="H588">
        <v>1387</v>
      </c>
      <c r="I588">
        <v>148</v>
      </c>
      <c r="J588" t="b">
        <v>0</v>
      </c>
      <c r="K588" s="10">
        <v>1368.3</v>
      </c>
      <c r="L588" s="6">
        <f t="shared" si="58"/>
        <v>3.5709688216060347E-2</v>
      </c>
      <c r="M588">
        <f t="shared" si="59"/>
        <v>0.98651766402307139</v>
      </c>
      <c r="N588">
        <f t="shared" si="60"/>
        <v>9.2452702702702698</v>
      </c>
      <c r="O588">
        <f t="shared" si="61"/>
        <v>6031.7</v>
      </c>
      <c r="P588">
        <f t="shared" si="62"/>
        <v>0.10670511896178803</v>
      </c>
      <c r="Q588" t="s">
        <v>4136</v>
      </c>
      <c r="R588" t="s">
        <v>4139</v>
      </c>
      <c r="S588">
        <f>YEAR(marketing_data[[#This Row],[Start_date]])</f>
        <v>2023</v>
      </c>
      <c r="T588" t="str">
        <f>TEXT(marketing_data[[#This Row],[Start_date]],"ddd")</f>
        <v>Sat</v>
      </c>
      <c r="U588">
        <f>marketing_data[[#This Row],[Cleaned End_date]]-marketing_data[[#This Row],[Start_date]]</f>
        <v>6</v>
      </c>
    </row>
    <row r="589" spans="1:21" x14ac:dyDescent="0.2">
      <c r="A589" t="s">
        <v>1234</v>
      </c>
      <c r="B589" t="s">
        <v>1235</v>
      </c>
      <c r="C589" s="2">
        <v>45087</v>
      </c>
      <c r="D589" t="str">
        <f t="shared" si="57"/>
        <v>Jun</v>
      </c>
      <c r="E589" s="2">
        <v>45088</v>
      </c>
      <c r="F589" t="s">
        <v>41</v>
      </c>
      <c r="G589">
        <v>71640</v>
      </c>
      <c r="H589">
        <v>2952</v>
      </c>
      <c r="J589" t="b">
        <v>0</v>
      </c>
      <c r="K589" s="10">
        <v>2511.6999999999998</v>
      </c>
      <c r="L589" s="6">
        <f t="shared" si="58"/>
        <v>4.1206030150753768E-2</v>
      </c>
      <c r="M589">
        <f t="shared" si="59"/>
        <v>0.85084688346883464</v>
      </c>
      <c r="N589">
        <f t="shared" si="60"/>
        <v>0</v>
      </c>
      <c r="O589">
        <f t="shared" si="61"/>
        <v>-2511.6999999999998</v>
      </c>
      <c r="P589">
        <f t="shared" si="62"/>
        <v>0</v>
      </c>
      <c r="Q589" t="s">
        <v>4139</v>
      </c>
      <c r="R589" t="s">
        <v>4142</v>
      </c>
      <c r="S589">
        <f>YEAR(marketing_data[[#This Row],[Start_date]])</f>
        <v>2023</v>
      </c>
      <c r="T589" t="str">
        <f>TEXT(marketing_data[[#This Row],[Start_date]],"ddd")</f>
        <v>Sat</v>
      </c>
      <c r="U589">
        <f>marketing_data[[#This Row],[Cleaned End_date]]-marketing_data[[#This Row],[Start_date]]</f>
        <v>1</v>
      </c>
    </row>
    <row r="590" spans="1:21" x14ac:dyDescent="0.2">
      <c r="A590" t="s">
        <v>1236</v>
      </c>
      <c r="B590" t="s">
        <v>1237</v>
      </c>
      <c r="C590" s="2">
        <v>44985</v>
      </c>
      <c r="D590" t="str">
        <f t="shared" si="57"/>
        <v>Feb</v>
      </c>
      <c r="E590" s="2">
        <v>45004</v>
      </c>
      <c r="F590" t="s">
        <v>14</v>
      </c>
      <c r="G590">
        <v>66510</v>
      </c>
      <c r="H590">
        <v>1242</v>
      </c>
      <c r="I590">
        <v>221</v>
      </c>
      <c r="J590" t="b">
        <v>1</v>
      </c>
      <c r="K590" s="10">
        <v>1013.88</v>
      </c>
      <c r="L590" s="6">
        <f t="shared" si="58"/>
        <v>1.8673883626522326E-2</v>
      </c>
      <c r="M590">
        <f t="shared" si="59"/>
        <v>0.81632850241545896</v>
      </c>
      <c r="N590">
        <f t="shared" si="60"/>
        <v>4.5876923076923077</v>
      </c>
      <c r="O590">
        <f t="shared" si="61"/>
        <v>10036.120000000001</v>
      </c>
      <c r="P590">
        <f t="shared" si="62"/>
        <v>0.177938808373591</v>
      </c>
      <c r="Q590" t="s">
        <v>4138</v>
      </c>
      <c r="R590" t="s">
        <v>4139</v>
      </c>
      <c r="S590">
        <f>YEAR(marketing_data[[#This Row],[Start_date]])</f>
        <v>2023</v>
      </c>
      <c r="T590" t="str">
        <f>TEXT(marketing_data[[#This Row],[Start_date]],"ddd")</f>
        <v>Tue</v>
      </c>
      <c r="U590">
        <f>marketing_data[[#This Row],[Cleaned End_date]]-marketing_data[[#This Row],[Start_date]]</f>
        <v>19</v>
      </c>
    </row>
    <row r="591" spans="1:21" x14ac:dyDescent="0.2">
      <c r="A591" t="s">
        <v>1239</v>
      </c>
      <c r="B591" t="s">
        <v>1240</v>
      </c>
      <c r="C591" s="2">
        <v>45022</v>
      </c>
      <c r="D591" t="str">
        <f t="shared" si="57"/>
        <v>Apr</v>
      </c>
      <c r="E591" s="2">
        <v>45051</v>
      </c>
      <c r="F591" t="s">
        <v>19</v>
      </c>
      <c r="G591">
        <v>35911</v>
      </c>
      <c r="H591">
        <v>557</v>
      </c>
      <c r="I591">
        <v>57</v>
      </c>
      <c r="J591" t="b">
        <v>0</v>
      </c>
      <c r="K591" s="10">
        <v>994.68</v>
      </c>
      <c r="L591" s="6">
        <f t="shared" si="58"/>
        <v>1.5510567792598368E-2</v>
      </c>
      <c r="M591">
        <f t="shared" si="59"/>
        <v>1.7857809694793536</v>
      </c>
      <c r="N591">
        <f t="shared" si="60"/>
        <v>17.450526315789475</v>
      </c>
      <c r="O591">
        <f t="shared" si="61"/>
        <v>1855.3200000000002</v>
      </c>
      <c r="P591">
        <f t="shared" si="62"/>
        <v>0.10233393177737882</v>
      </c>
      <c r="Q591" t="s">
        <v>4137</v>
      </c>
      <c r="R591" t="s">
        <v>4141</v>
      </c>
      <c r="S591">
        <f>YEAR(marketing_data[[#This Row],[Start_date]])</f>
        <v>2023</v>
      </c>
      <c r="T591" t="str">
        <f>TEXT(marketing_data[[#This Row],[Start_date]],"ddd")</f>
        <v>Thu</v>
      </c>
      <c r="U591">
        <f>marketing_data[[#This Row],[Cleaned End_date]]-marketing_data[[#This Row],[Start_date]]</f>
        <v>29</v>
      </c>
    </row>
    <row r="592" spans="1:21" x14ac:dyDescent="0.2">
      <c r="A592" t="s">
        <v>1241</v>
      </c>
      <c r="B592" t="s">
        <v>1242</v>
      </c>
      <c r="C592" s="2">
        <v>45214</v>
      </c>
      <c r="D592" t="str">
        <f t="shared" si="57"/>
        <v>Oct</v>
      </c>
      <c r="E592" s="2">
        <v>45216</v>
      </c>
      <c r="F592" t="str">
        <f>F591</f>
        <v>Facebook</v>
      </c>
      <c r="G592">
        <v>60031</v>
      </c>
      <c r="H592">
        <v>2192</v>
      </c>
      <c r="I592">
        <v>317</v>
      </c>
      <c r="J592" t="b">
        <v>1</v>
      </c>
      <c r="K592" s="10">
        <v>3631.7599999999998</v>
      </c>
      <c r="L592" s="6">
        <f t="shared" si="58"/>
        <v>3.6514467525112025E-2</v>
      </c>
      <c r="M592">
        <f t="shared" si="59"/>
        <v>1.6568248175182481</v>
      </c>
      <c r="N592">
        <f t="shared" si="60"/>
        <v>11.456656151419558</v>
      </c>
      <c r="O592">
        <f t="shared" si="61"/>
        <v>12218.24</v>
      </c>
      <c r="P592">
        <f t="shared" si="62"/>
        <v>0.14461678832116789</v>
      </c>
      <c r="Q592" t="s">
        <v>4136</v>
      </c>
      <c r="R592" t="s">
        <v>4139</v>
      </c>
      <c r="S592">
        <f>YEAR(marketing_data[[#This Row],[Start_date]])</f>
        <v>2023</v>
      </c>
      <c r="T592" t="str">
        <f>TEXT(marketing_data[[#This Row],[Start_date]],"ddd")</f>
        <v>Sun</v>
      </c>
      <c r="U592">
        <f>marketing_data[[#This Row],[Cleaned End_date]]-marketing_data[[#This Row],[Start_date]]</f>
        <v>2</v>
      </c>
    </row>
    <row r="593" spans="1:21" x14ac:dyDescent="0.2">
      <c r="A593" t="s">
        <v>1243</v>
      </c>
      <c r="B593" t="s">
        <v>1244</v>
      </c>
      <c r="C593" s="2">
        <v>45287</v>
      </c>
      <c r="D593" t="str">
        <f t="shared" si="57"/>
        <v>Dec</v>
      </c>
      <c r="E593" s="2">
        <v>45309</v>
      </c>
      <c r="F593" t="s">
        <v>41</v>
      </c>
      <c r="G593">
        <v>89726</v>
      </c>
      <c r="H593">
        <v>904</v>
      </c>
      <c r="I593">
        <v>142</v>
      </c>
      <c r="J593" t="b">
        <v>1</v>
      </c>
      <c r="K593" s="10">
        <v>1049.42</v>
      </c>
      <c r="L593" s="6">
        <f t="shared" si="58"/>
        <v>1.0075117580188574E-2</v>
      </c>
      <c r="M593">
        <f t="shared" si="59"/>
        <v>1.1608628318584071</v>
      </c>
      <c r="N593">
        <f t="shared" si="60"/>
        <v>7.3902816901408457</v>
      </c>
      <c r="O593">
        <f t="shared" si="61"/>
        <v>6050.58</v>
      </c>
      <c r="P593">
        <f t="shared" si="62"/>
        <v>0.15707964601769911</v>
      </c>
      <c r="Q593" t="s">
        <v>4138</v>
      </c>
      <c r="R593" t="s">
        <v>4142</v>
      </c>
      <c r="S593">
        <f>YEAR(marketing_data[[#This Row],[Start_date]])</f>
        <v>2023</v>
      </c>
      <c r="T593" t="str">
        <f>TEXT(marketing_data[[#This Row],[Start_date]],"ddd")</f>
        <v>Wed</v>
      </c>
      <c r="U593">
        <f>marketing_data[[#This Row],[Cleaned End_date]]-marketing_data[[#This Row],[Start_date]]</f>
        <v>22</v>
      </c>
    </row>
    <row r="594" spans="1:21" x14ac:dyDescent="0.2">
      <c r="A594" t="s">
        <v>1245</v>
      </c>
      <c r="B594" t="s">
        <v>1246</v>
      </c>
      <c r="C594" s="2">
        <v>45073</v>
      </c>
      <c r="D594" t="str">
        <f t="shared" si="57"/>
        <v>May</v>
      </c>
      <c r="E594" s="2">
        <v>45076</v>
      </c>
      <c r="F594" t="s">
        <v>23</v>
      </c>
      <c r="G594">
        <v>8357</v>
      </c>
      <c r="H594">
        <v>143</v>
      </c>
      <c r="I594">
        <v>16</v>
      </c>
      <c r="J594" t="b">
        <v>1</v>
      </c>
      <c r="K594" s="10">
        <v>329.13249999999999</v>
      </c>
      <c r="L594" s="6">
        <f t="shared" si="58"/>
        <v>1.7111403613736986E-2</v>
      </c>
      <c r="M594">
        <f t="shared" si="59"/>
        <v>2.3016258741258739</v>
      </c>
      <c r="N594">
        <f t="shared" si="60"/>
        <v>20.57078125</v>
      </c>
      <c r="O594">
        <f t="shared" si="61"/>
        <v>470.86750000000001</v>
      </c>
      <c r="P594">
        <f t="shared" si="62"/>
        <v>0.11188811188811189</v>
      </c>
      <c r="Q594" t="s">
        <v>4137</v>
      </c>
      <c r="R594" t="s">
        <v>4142</v>
      </c>
      <c r="S594">
        <f>YEAR(marketing_data[[#This Row],[Start_date]])</f>
        <v>2023</v>
      </c>
      <c r="T594" t="str">
        <f>TEXT(marketing_data[[#This Row],[Start_date]],"ddd")</f>
        <v>Sat</v>
      </c>
      <c r="U594">
        <f>marketing_data[[#This Row],[Cleaned End_date]]-marketing_data[[#This Row],[Start_date]]</f>
        <v>3</v>
      </c>
    </row>
    <row r="595" spans="1:21" x14ac:dyDescent="0.2">
      <c r="A595" t="s">
        <v>1247</v>
      </c>
      <c r="B595" t="s">
        <v>1248</v>
      </c>
      <c r="C595" s="2">
        <v>45029</v>
      </c>
      <c r="D595" t="str">
        <f t="shared" si="57"/>
        <v>Apr</v>
      </c>
      <c r="E595" s="2">
        <v>45054</v>
      </c>
      <c r="F595" t="s">
        <v>33</v>
      </c>
      <c r="G595">
        <v>33479</v>
      </c>
      <c r="H595">
        <v>373</v>
      </c>
      <c r="I595">
        <v>35</v>
      </c>
      <c r="J595" t="b">
        <v>0</v>
      </c>
      <c r="K595" s="10">
        <v>400.37</v>
      </c>
      <c r="L595" s="6">
        <f t="shared" si="58"/>
        <v>1.1141312464530003E-2</v>
      </c>
      <c r="M595">
        <f t="shared" si="59"/>
        <v>1.0733780160857909</v>
      </c>
      <c r="N595">
        <f t="shared" si="60"/>
        <v>11.439142857142857</v>
      </c>
      <c r="O595">
        <f t="shared" si="61"/>
        <v>1349.63</v>
      </c>
      <c r="P595">
        <f t="shared" si="62"/>
        <v>9.3833780160857902E-2</v>
      </c>
      <c r="Q595" t="s">
        <v>4137</v>
      </c>
      <c r="R595" t="s">
        <v>4142</v>
      </c>
      <c r="S595">
        <f>YEAR(marketing_data[[#This Row],[Start_date]])</f>
        <v>2023</v>
      </c>
      <c r="T595" t="str">
        <f>TEXT(marketing_data[[#This Row],[Start_date]],"ddd")</f>
        <v>Thu</v>
      </c>
      <c r="U595">
        <f>marketing_data[[#This Row],[Cleaned End_date]]-marketing_data[[#This Row],[Start_date]]</f>
        <v>25</v>
      </c>
    </row>
    <row r="596" spans="1:21" x14ac:dyDescent="0.2">
      <c r="A596" t="s">
        <v>1249</v>
      </c>
      <c r="B596" t="s">
        <v>1250</v>
      </c>
      <c r="C596" s="2">
        <v>45158</v>
      </c>
      <c r="D596" t="str">
        <f t="shared" si="57"/>
        <v>Aug</v>
      </c>
      <c r="E596" s="2">
        <v>45187</v>
      </c>
      <c r="F596" t="s">
        <v>19</v>
      </c>
      <c r="G596">
        <v>62476</v>
      </c>
      <c r="H596">
        <v>1041</v>
      </c>
      <c r="I596">
        <v>202</v>
      </c>
      <c r="J596" t="b">
        <v>0</v>
      </c>
      <c r="K596" s="10">
        <v>1487.6</v>
      </c>
      <c r="L596" s="6">
        <f t="shared" si="58"/>
        <v>1.6662398360970613E-2</v>
      </c>
      <c r="M596">
        <f t="shared" si="59"/>
        <v>1.429010566762728</v>
      </c>
      <c r="N596">
        <f t="shared" si="60"/>
        <v>7.3643564356435638</v>
      </c>
      <c r="O596">
        <f t="shared" si="61"/>
        <v>8612.4</v>
      </c>
      <c r="P596">
        <f t="shared" si="62"/>
        <v>0.19404418828049952</v>
      </c>
      <c r="Q596" t="s">
        <v>4139</v>
      </c>
      <c r="R596" t="s">
        <v>4138</v>
      </c>
      <c r="S596">
        <f>YEAR(marketing_data[[#This Row],[Start_date]])</f>
        <v>2023</v>
      </c>
      <c r="T596" t="str">
        <f>TEXT(marketing_data[[#This Row],[Start_date]],"ddd")</f>
        <v>Sun</v>
      </c>
      <c r="U596">
        <f>marketing_data[[#This Row],[Cleaned End_date]]-marketing_data[[#This Row],[Start_date]]</f>
        <v>29</v>
      </c>
    </row>
    <row r="597" spans="1:21" x14ac:dyDescent="0.2">
      <c r="A597" t="s">
        <v>1251</v>
      </c>
      <c r="B597" t="s">
        <v>1252</v>
      </c>
      <c r="C597" s="2">
        <v>44971</v>
      </c>
      <c r="D597" t="str">
        <f t="shared" si="57"/>
        <v>Feb</v>
      </c>
      <c r="E597" s="2">
        <v>44980</v>
      </c>
      <c r="F597" t="s">
        <v>23</v>
      </c>
      <c r="G597">
        <v>45811</v>
      </c>
      <c r="H597">
        <v>790</v>
      </c>
      <c r="I597">
        <v>153</v>
      </c>
      <c r="J597" t="b">
        <v>1</v>
      </c>
      <c r="K597" s="10">
        <v>933.47</v>
      </c>
      <c r="L597" s="6">
        <f t="shared" si="58"/>
        <v>1.7244766540787146E-2</v>
      </c>
      <c r="M597">
        <f t="shared" si="59"/>
        <v>1.1816075949367089</v>
      </c>
      <c r="N597">
        <f t="shared" si="60"/>
        <v>6.1011111111111109</v>
      </c>
      <c r="O597">
        <f t="shared" si="61"/>
        <v>6716.53</v>
      </c>
      <c r="P597">
        <f t="shared" si="62"/>
        <v>0.19367088607594937</v>
      </c>
      <c r="Q597" t="s">
        <v>4138</v>
      </c>
      <c r="R597" t="s">
        <v>4142</v>
      </c>
      <c r="S597">
        <f>YEAR(marketing_data[[#This Row],[Start_date]])</f>
        <v>2023</v>
      </c>
      <c r="T597" t="str">
        <f>TEXT(marketing_data[[#This Row],[Start_date]],"ddd")</f>
        <v>Tue</v>
      </c>
      <c r="U597">
        <f>marketing_data[[#This Row],[Cleaned End_date]]-marketing_data[[#This Row],[Start_date]]</f>
        <v>9</v>
      </c>
    </row>
    <row r="598" spans="1:21" x14ac:dyDescent="0.2">
      <c r="A598" t="s">
        <v>1253</v>
      </c>
      <c r="B598" t="s">
        <v>1254</v>
      </c>
      <c r="C598" s="2">
        <v>45090</v>
      </c>
      <c r="D598" t="str">
        <f t="shared" si="57"/>
        <v>Jun</v>
      </c>
      <c r="E598" s="2">
        <v>45113</v>
      </c>
      <c r="F598" t="s">
        <v>41</v>
      </c>
      <c r="G598">
        <v>37208</v>
      </c>
      <c r="H598">
        <v>949</v>
      </c>
      <c r="I598">
        <v>88</v>
      </c>
      <c r="J598" t="b">
        <v>0</v>
      </c>
      <c r="K598" s="10">
        <v>1585.1</v>
      </c>
      <c r="L598" s="6">
        <f t="shared" si="58"/>
        <v>2.5505267684368952E-2</v>
      </c>
      <c r="M598">
        <f t="shared" si="59"/>
        <v>1.6702845100105372</v>
      </c>
      <c r="N598">
        <f t="shared" si="60"/>
        <v>18.012499999999999</v>
      </c>
      <c r="O598">
        <f t="shared" si="61"/>
        <v>2814.9</v>
      </c>
      <c r="P598">
        <f t="shared" si="62"/>
        <v>9.2729188619599584E-2</v>
      </c>
      <c r="Q598" t="s">
        <v>4139</v>
      </c>
      <c r="R598" t="s">
        <v>4138</v>
      </c>
      <c r="S598">
        <f>YEAR(marketing_data[[#This Row],[Start_date]])</f>
        <v>2023</v>
      </c>
      <c r="T598" t="str">
        <f>TEXT(marketing_data[[#This Row],[Start_date]],"ddd")</f>
        <v>Tue</v>
      </c>
      <c r="U598">
        <f>marketing_data[[#This Row],[Cleaned End_date]]-marketing_data[[#This Row],[Start_date]]</f>
        <v>23</v>
      </c>
    </row>
    <row r="599" spans="1:21" x14ac:dyDescent="0.2">
      <c r="A599" t="s">
        <v>1255</v>
      </c>
      <c r="B599" t="s">
        <v>1256</v>
      </c>
      <c r="C599" s="2">
        <v>45208</v>
      </c>
      <c r="D599" t="str">
        <f t="shared" si="57"/>
        <v>Oct</v>
      </c>
      <c r="E599" s="2">
        <v>45218</v>
      </c>
      <c r="F599" t="s">
        <v>23</v>
      </c>
      <c r="G599">
        <v>21150</v>
      </c>
      <c r="H599">
        <v>551</v>
      </c>
      <c r="I599">
        <v>67</v>
      </c>
      <c r="J599" t="b">
        <v>1</v>
      </c>
      <c r="K599" s="10">
        <v>1100.04</v>
      </c>
      <c r="L599" s="6">
        <f t="shared" si="58"/>
        <v>2.6052009456264777E-2</v>
      </c>
      <c r="M599">
        <f t="shared" si="59"/>
        <v>1.996442831215971</v>
      </c>
      <c r="N599">
        <f t="shared" si="60"/>
        <v>16.418507462686566</v>
      </c>
      <c r="O599">
        <f t="shared" si="61"/>
        <v>2249.96</v>
      </c>
      <c r="P599">
        <f t="shared" si="62"/>
        <v>0.12159709618874773</v>
      </c>
      <c r="Q599" t="s">
        <v>4136</v>
      </c>
      <c r="R599" t="s">
        <v>4139</v>
      </c>
      <c r="S599">
        <f>YEAR(marketing_data[[#This Row],[Start_date]])</f>
        <v>2023</v>
      </c>
      <c r="T599" t="str">
        <f>TEXT(marketing_data[[#This Row],[Start_date]],"ddd")</f>
        <v>Mon</v>
      </c>
      <c r="U599">
        <f>marketing_data[[#This Row],[Cleaned End_date]]-marketing_data[[#This Row],[Start_date]]</f>
        <v>10</v>
      </c>
    </row>
    <row r="600" spans="1:21" x14ac:dyDescent="0.2">
      <c r="A600" t="s">
        <v>1257</v>
      </c>
      <c r="B600" t="s">
        <v>1258</v>
      </c>
      <c r="C600" s="2">
        <v>45007</v>
      </c>
      <c r="D600" t="str">
        <f t="shared" si="57"/>
        <v>Mar</v>
      </c>
      <c r="E600" s="2">
        <v>45031</v>
      </c>
      <c r="F600" t="s">
        <v>14</v>
      </c>
      <c r="G600">
        <v>72180</v>
      </c>
      <c r="H600">
        <v>3245</v>
      </c>
      <c r="I600">
        <v>635</v>
      </c>
      <c r="J600" t="b">
        <v>0</v>
      </c>
      <c r="K600" s="10">
        <v>2552.84</v>
      </c>
      <c r="L600" s="6">
        <f t="shared" si="58"/>
        <v>4.4957051814907174E-2</v>
      </c>
      <c r="M600">
        <f t="shared" si="59"/>
        <v>0.78669953775038526</v>
      </c>
      <c r="N600">
        <f t="shared" si="60"/>
        <v>4.0202204724409452</v>
      </c>
      <c r="O600">
        <f t="shared" si="61"/>
        <v>29197.16</v>
      </c>
      <c r="P600">
        <f t="shared" si="62"/>
        <v>0.19568567026194145</v>
      </c>
      <c r="Q600" t="s">
        <v>4137</v>
      </c>
      <c r="R600" t="s">
        <v>4142</v>
      </c>
      <c r="S600">
        <f>YEAR(marketing_data[[#This Row],[Start_date]])</f>
        <v>2023</v>
      </c>
      <c r="T600" t="str">
        <f>TEXT(marketing_data[[#This Row],[Start_date]],"ddd")</f>
        <v>Wed</v>
      </c>
      <c r="U600">
        <f>marketing_data[[#This Row],[Cleaned End_date]]-marketing_data[[#This Row],[Start_date]]</f>
        <v>24</v>
      </c>
    </row>
    <row r="601" spans="1:21" x14ac:dyDescent="0.2">
      <c r="A601" t="s">
        <v>1259</v>
      </c>
      <c r="B601" t="s">
        <v>1260</v>
      </c>
      <c r="C601" s="2">
        <v>45253</v>
      </c>
      <c r="D601" t="str">
        <f t="shared" si="57"/>
        <v>Nov</v>
      </c>
      <c r="E601" s="2">
        <v>45269</v>
      </c>
      <c r="F601" t="s">
        <v>41</v>
      </c>
      <c r="G601">
        <v>44286</v>
      </c>
      <c r="H601">
        <v>1346</v>
      </c>
      <c r="I601">
        <v>68</v>
      </c>
      <c r="J601" t="b">
        <v>0</v>
      </c>
      <c r="K601" s="10">
        <v>1601.04</v>
      </c>
      <c r="L601" s="6">
        <f t="shared" si="58"/>
        <v>3.0393352300952896E-2</v>
      </c>
      <c r="M601">
        <f t="shared" si="59"/>
        <v>1.1894799405646359</v>
      </c>
      <c r="N601">
        <f t="shared" si="60"/>
        <v>23.54470588235294</v>
      </c>
      <c r="O601">
        <f t="shared" si="61"/>
        <v>1798.96</v>
      </c>
      <c r="P601">
        <f t="shared" si="62"/>
        <v>5.0520059435364043E-2</v>
      </c>
      <c r="Q601" t="s">
        <v>4136</v>
      </c>
      <c r="R601" t="s">
        <v>4141</v>
      </c>
      <c r="S601">
        <f>YEAR(marketing_data[[#This Row],[Start_date]])</f>
        <v>2023</v>
      </c>
      <c r="T601" t="str">
        <f>TEXT(marketing_data[[#This Row],[Start_date]],"ddd")</f>
        <v>Thu</v>
      </c>
      <c r="U601">
        <f>marketing_data[[#This Row],[Cleaned End_date]]-marketing_data[[#This Row],[Start_date]]</f>
        <v>16</v>
      </c>
    </row>
    <row r="602" spans="1:21" x14ac:dyDescent="0.2">
      <c r="A602" t="s">
        <v>1261</v>
      </c>
      <c r="B602" t="s">
        <v>1262</v>
      </c>
      <c r="C602" s="2">
        <v>45041</v>
      </c>
      <c r="D602" t="str">
        <f t="shared" si="57"/>
        <v>Apr</v>
      </c>
      <c r="E602" s="2">
        <v>45048</v>
      </c>
      <c r="F602" t="s">
        <v>41</v>
      </c>
      <c r="G602">
        <v>69450</v>
      </c>
      <c r="H602">
        <v>2704</v>
      </c>
      <c r="I602">
        <v>302</v>
      </c>
      <c r="J602" t="b">
        <v>0</v>
      </c>
      <c r="K602" s="10">
        <v>3100.07</v>
      </c>
      <c r="L602" s="6">
        <f t="shared" si="58"/>
        <v>3.8934485241180705E-2</v>
      </c>
      <c r="M602">
        <f t="shared" si="59"/>
        <v>1.1464755917159763</v>
      </c>
      <c r="N602">
        <f t="shared" si="60"/>
        <v>10.265132450331127</v>
      </c>
      <c r="O602">
        <f t="shared" si="61"/>
        <v>11999.93</v>
      </c>
      <c r="P602">
        <f t="shared" si="62"/>
        <v>0.11168639053254438</v>
      </c>
      <c r="Q602" t="s">
        <v>4137</v>
      </c>
      <c r="R602" t="s">
        <v>4141</v>
      </c>
      <c r="S602">
        <f>YEAR(marketing_data[[#This Row],[Start_date]])</f>
        <v>2023</v>
      </c>
      <c r="T602" t="str">
        <f>TEXT(marketing_data[[#This Row],[Start_date]],"ddd")</f>
        <v>Tue</v>
      </c>
      <c r="U602">
        <f>marketing_data[[#This Row],[Cleaned End_date]]-marketing_data[[#This Row],[Start_date]]</f>
        <v>7</v>
      </c>
    </row>
    <row r="603" spans="1:21" x14ac:dyDescent="0.2">
      <c r="A603" t="s">
        <v>1263</v>
      </c>
      <c r="B603" t="s">
        <v>1264</v>
      </c>
      <c r="C603" s="2">
        <v>44998</v>
      </c>
      <c r="D603" t="str">
        <f t="shared" si="57"/>
        <v>Mar</v>
      </c>
      <c r="E603" s="2">
        <v>45024</v>
      </c>
      <c r="F603" t="s">
        <v>41</v>
      </c>
      <c r="G603">
        <v>22352</v>
      </c>
      <c r="H603">
        <v>316</v>
      </c>
      <c r="I603">
        <v>20</v>
      </c>
      <c r="J603" t="b">
        <v>1</v>
      </c>
      <c r="K603" s="10">
        <v>329.13249999999999</v>
      </c>
      <c r="L603" s="6">
        <f t="shared" si="58"/>
        <v>1.4137437365783823E-2</v>
      </c>
      <c r="M603">
        <f t="shared" si="59"/>
        <v>1.0415585443037974</v>
      </c>
      <c r="N603">
        <f t="shared" si="60"/>
        <v>16.456624999999999</v>
      </c>
      <c r="O603">
        <f t="shared" si="61"/>
        <v>670.86750000000006</v>
      </c>
      <c r="P603">
        <f t="shared" si="62"/>
        <v>6.3291139240506333E-2</v>
      </c>
      <c r="Q603" t="s">
        <v>4137</v>
      </c>
      <c r="R603" t="s">
        <v>4142</v>
      </c>
      <c r="S603">
        <f>YEAR(marketing_data[[#This Row],[Start_date]])</f>
        <v>2023</v>
      </c>
      <c r="T603" t="str">
        <f>TEXT(marketing_data[[#This Row],[Start_date]],"ddd")</f>
        <v>Mon</v>
      </c>
      <c r="U603">
        <f>marketing_data[[#This Row],[Cleaned End_date]]-marketing_data[[#This Row],[Start_date]]</f>
        <v>26</v>
      </c>
    </row>
    <row r="604" spans="1:21" x14ac:dyDescent="0.2">
      <c r="A604" t="s">
        <v>1265</v>
      </c>
      <c r="B604" t="s">
        <v>1266</v>
      </c>
      <c r="C604" s="2">
        <v>45111</v>
      </c>
      <c r="D604" t="str">
        <f t="shared" si="57"/>
        <v>Jul</v>
      </c>
      <c r="E604" s="2">
        <v>45120</v>
      </c>
      <c r="F604" t="str">
        <f>F603</f>
        <v>Google Ads</v>
      </c>
      <c r="G604">
        <v>56069</v>
      </c>
      <c r="H604">
        <v>1066</v>
      </c>
      <c r="I604">
        <v>134</v>
      </c>
      <c r="J604" t="b">
        <v>1</v>
      </c>
      <c r="K604" s="10">
        <v>849.75</v>
      </c>
      <c r="L604" s="6">
        <f t="shared" si="58"/>
        <v>1.9012288430326919E-2</v>
      </c>
      <c r="M604">
        <f t="shared" si="59"/>
        <v>0.79713883677298314</v>
      </c>
      <c r="N604">
        <f t="shared" si="60"/>
        <v>6.3414179104477615</v>
      </c>
      <c r="O604">
        <f t="shared" si="61"/>
        <v>5850.25</v>
      </c>
      <c r="P604">
        <f t="shared" si="62"/>
        <v>0.12570356472795496</v>
      </c>
      <c r="Q604" t="s">
        <v>4139</v>
      </c>
      <c r="R604" t="s">
        <v>4139</v>
      </c>
      <c r="S604">
        <f>YEAR(marketing_data[[#This Row],[Start_date]])</f>
        <v>2023</v>
      </c>
      <c r="T604" t="str">
        <f>TEXT(marketing_data[[#This Row],[Start_date]],"ddd")</f>
        <v>Tue</v>
      </c>
      <c r="U604">
        <f>marketing_data[[#This Row],[Cleaned End_date]]-marketing_data[[#This Row],[Start_date]]</f>
        <v>9</v>
      </c>
    </row>
    <row r="605" spans="1:21" x14ac:dyDescent="0.2">
      <c r="A605" t="s">
        <v>1267</v>
      </c>
      <c r="B605" t="s">
        <v>1268</v>
      </c>
      <c r="C605" s="2">
        <v>45209</v>
      </c>
      <c r="D605" t="str">
        <f t="shared" si="57"/>
        <v>Oct</v>
      </c>
      <c r="E605" s="2">
        <v>45210</v>
      </c>
      <c r="F605" t="s">
        <v>14</v>
      </c>
      <c r="G605">
        <v>15397</v>
      </c>
      <c r="H605">
        <v>586</v>
      </c>
      <c r="I605">
        <v>31</v>
      </c>
      <c r="J605" t="b">
        <v>1</v>
      </c>
      <c r="K605" s="10">
        <v>350.74</v>
      </c>
      <c r="L605" s="6">
        <f t="shared" si="58"/>
        <v>3.8059362213418199E-2</v>
      </c>
      <c r="M605">
        <f t="shared" si="59"/>
        <v>0.59853242320819111</v>
      </c>
      <c r="N605">
        <f t="shared" si="60"/>
        <v>11.314193548387097</v>
      </c>
      <c r="O605">
        <f t="shared" si="61"/>
        <v>1199.26</v>
      </c>
      <c r="P605">
        <f t="shared" si="62"/>
        <v>5.2901023890784986E-2</v>
      </c>
      <c r="Q605" t="s">
        <v>4136</v>
      </c>
      <c r="R605" t="s">
        <v>4141</v>
      </c>
      <c r="S605">
        <f>YEAR(marketing_data[[#This Row],[Start_date]])</f>
        <v>2023</v>
      </c>
      <c r="T605" t="str">
        <f>TEXT(marketing_data[[#This Row],[Start_date]],"ddd")</f>
        <v>Tue</v>
      </c>
      <c r="U605">
        <f>marketing_data[[#This Row],[Cleaned End_date]]-marketing_data[[#This Row],[Start_date]]</f>
        <v>1</v>
      </c>
    </row>
    <row r="606" spans="1:21" x14ac:dyDescent="0.2">
      <c r="A606" t="s">
        <v>1269</v>
      </c>
      <c r="B606" t="s">
        <v>1270</v>
      </c>
      <c r="C606" s="2">
        <v>44960</v>
      </c>
      <c r="D606" t="str">
        <f t="shared" si="57"/>
        <v>Feb</v>
      </c>
      <c r="E606" s="2">
        <v>44982</v>
      </c>
      <c r="F606" t="s">
        <v>23</v>
      </c>
      <c r="G606">
        <v>42555</v>
      </c>
      <c r="H606">
        <v>515</v>
      </c>
      <c r="I606">
        <v>57</v>
      </c>
      <c r="J606" t="b">
        <v>1</v>
      </c>
      <c r="K606" s="10">
        <v>942.8</v>
      </c>
      <c r="L606" s="6">
        <f t="shared" si="58"/>
        <v>1.2101985665609211E-2</v>
      </c>
      <c r="M606">
        <f t="shared" si="59"/>
        <v>1.8306796116504853</v>
      </c>
      <c r="N606">
        <f t="shared" si="60"/>
        <v>16.540350877192981</v>
      </c>
      <c r="O606">
        <f t="shared" si="61"/>
        <v>1907.2</v>
      </c>
      <c r="P606">
        <f t="shared" si="62"/>
        <v>0.11067961165048544</v>
      </c>
      <c r="Q606" t="s">
        <v>4138</v>
      </c>
      <c r="R606" t="s">
        <v>4142</v>
      </c>
      <c r="S606">
        <f>YEAR(marketing_data[[#This Row],[Start_date]])</f>
        <v>2023</v>
      </c>
      <c r="T606" t="str">
        <f>TEXT(marketing_data[[#This Row],[Start_date]],"ddd")</f>
        <v>Fri</v>
      </c>
      <c r="U606">
        <f>marketing_data[[#This Row],[Cleaned End_date]]-marketing_data[[#This Row],[Start_date]]</f>
        <v>22</v>
      </c>
    </row>
    <row r="607" spans="1:21" x14ac:dyDescent="0.2">
      <c r="A607" t="s">
        <v>1271</v>
      </c>
      <c r="B607" t="s">
        <v>1272</v>
      </c>
      <c r="C607" s="2">
        <v>45172</v>
      </c>
      <c r="D607" t="str">
        <f t="shared" si="57"/>
        <v>Sep</v>
      </c>
      <c r="E607" s="2">
        <v>45181</v>
      </c>
      <c r="F607" t="s">
        <v>23</v>
      </c>
      <c r="G607">
        <v>47959</v>
      </c>
      <c r="H607">
        <v>1413</v>
      </c>
      <c r="I607">
        <v>117</v>
      </c>
      <c r="J607" t="b">
        <v>1</v>
      </c>
      <c r="K607" s="10">
        <v>1596.37</v>
      </c>
      <c r="L607" s="6">
        <f t="shared" si="58"/>
        <v>2.9462666027231594E-2</v>
      </c>
      <c r="M607">
        <f t="shared" si="59"/>
        <v>1.1297735314932766</v>
      </c>
      <c r="N607">
        <f t="shared" si="60"/>
        <v>13.644188034188033</v>
      </c>
      <c r="O607">
        <f t="shared" si="61"/>
        <v>4253.63</v>
      </c>
      <c r="P607">
        <f t="shared" si="62"/>
        <v>8.2802547770700632E-2</v>
      </c>
      <c r="Q607" t="s">
        <v>4136</v>
      </c>
      <c r="R607" t="s">
        <v>4141</v>
      </c>
      <c r="S607">
        <f>YEAR(marketing_data[[#This Row],[Start_date]])</f>
        <v>2023</v>
      </c>
      <c r="T607" t="str">
        <f>TEXT(marketing_data[[#This Row],[Start_date]],"ddd")</f>
        <v>Sun</v>
      </c>
      <c r="U607">
        <f>marketing_data[[#This Row],[Cleaned End_date]]-marketing_data[[#This Row],[Start_date]]</f>
        <v>9</v>
      </c>
    </row>
    <row r="608" spans="1:21" x14ac:dyDescent="0.2">
      <c r="A608" t="s">
        <v>1273</v>
      </c>
      <c r="B608" t="s">
        <v>1274</v>
      </c>
      <c r="C608" s="2">
        <v>45221</v>
      </c>
      <c r="D608" t="str">
        <f t="shared" si="57"/>
        <v>Oct</v>
      </c>
      <c r="E608" s="2">
        <v>45249</v>
      </c>
      <c r="F608" t="str">
        <f>F607</f>
        <v>Email</v>
      </c>
      <c r="G608">
        <v>1728</v>
      </c>
      <c r="H608">
        <v>58</v>
      </c>
      <c r="I608">
        <v>7</v>
      </c>
      <c r="J608" t="b">
        <v>0</v>
      </c>
      <c r="K608" s="10">
        <v>329.13249999999999</v>
      </c>
      <c r="L608" s="6">
        <f t="shared" si="58"/>
        <v>3.3564814814814818E-2</v>
      </c>
      <c r="M608">
        <f t="shared" si="59"/>
        <v>5.6746982758620685</v>
      </c>
      <c r="N608">
        <f t="shared" si="60"/>
        <v>47.018928571428567</v>
      </c>
      <c r="O608">
        <f t="shared" si="61"/>
        <v>20.867500000000007</v>
      </c>
      <c r="P608">
        <f t="shared" si="62"/>
        <v>0.1206896551724138</v>
      </c>
      <c r="Q608" t="s">
        <v>4136</v>
      </c>
      <c r="R608" t="s">
        <v>4138</v>
      </c>
      <c r="S608">
        <f>YEAR(marketing_data[[#This Row],[Start_date]])</f>
        <v>2023</v>
      </c>
      <c r="T608" t="str">
        <f>TEXT(marketing_data[[#This Row],[Start_date]],"ddd")</f>
        <v>Sun</v>
      </c>
      <c r="U608">
        <f>marketing_data[[#This Row],[Cleaned End_date]]-marketing_data[[#This Row],[Start_date]]</f>
        <v>28</v>
      </c>
    </row>
    <row r="609" spans="1:21" x14ac:dyDescent="0.2">
      <c r="A609" t="s">
        <v>1276</v>
      </c>
      <c r="B609" t="s">
        <v>1277</v>
      </c>
      <c r="C609" s="2">
        <v>45089</v>
      </c>
      <c r="D609" t="str">
        <f t="shared" si="57"/>
        <v>Jun</v>
      </c>
      <c r="E609" s="2">
        <v>45096</v>
      </c>
      <c r="F609" t="s">
        <v>23</v>
      </c>
      <c r="G609">
        <v>51517</v>
      </c>
      <c r="H609">
        <v>1755</v>
      </c>
      <c r="I609">
        <v>349</v>
      </c>
      <c r="J609" t="b">
        <v>1</v>
      </c>
      <c r="K609" s="10">
        <v>3291.35</v>
      </c>
      <c r="L609" s="6">
        <f t="shared" si="58"/>
        <v>3.4066424675349885E-2</v>
      </c>
      <c r="M609">
        <f t="shared" si="59"/>
        <v>1.8754131054131054</v>
      </c>
      <c r="N609">
        <f t="shared" si="60"/>
        <v>9.4308022922636106</v>
      </c>
      <c r="O609">
        <f t="shared" si="61"/>
        <v>14158.65</v>
      </c>
      <c r="P609">
        <f t="shared" si="62"/>
        <v>0.19886039886039886</v>
      </c>
      <c r="Q609" t="s">
        <v>4139</v>
      </c>
      <c r="R609" t="s">
        <v>4139</v>
      </c>
      <c r="S609">
        <f>YEAR(marketing_data[[#This Row],[Start_date]])</f>
        <v>2023</v>
      </c>
      <c r="T609" t="str">
        <f>TEXT(marketing_data[[#This Row],[Start_date]],"ddd")</f>
        <v>Mon</v>
      </c>
      <c r="U609">
        <f>marketing_data[[#This Row],[Cleaned End_date]]-marketing_data[[#This Row],[Start_date]]</f>
        <v>7</v>
      </c>
    </row>
    <row r="610" spans="1:21" x14ac:dyDescent="0.2">
      <c r="A610" t="s">
        <v>1278</v>
      </c>
      <c r="B610" t="s">
        <v>1279</v>
      </c>
      <c r="C610" s="2">
        <v>45275</v>
      </c>
      <c r="D610" t="str">
        <f t="shared" si="57"/>
        <v>Dec</v>
      </c>
      <c r="E610" s="2">
        <v>45283</v>
      </c>
      <c r="F610" t="s">
        <v>23</v>
      </c>
      <c r="G610">
        <v>67234</v>
      </c>
      <c r="H610">
        <v>734</v>
      </c>
      <c r="I610">
        <v>124</v>
      </c>
      <c r="J610" t="b">
        <v>1</v>
      </c>
      <c r="K610" s="10">
        <v>1221.7</v>
      </c>
      <c r="L610" s="6">
        <f t="shared" si="58"/>
        <v>1.0917095517149061E-2</v>
      </c>
      <c r="M610">
        <f t="shared" si="59"/>
        <v>1.6644414168937329</v>
      </c>
      <c r="N610">
        <f t="shared" si="60"/>
        <v>9.8524193548387107</v>
      </c>
      <c r="O610">
        <f t="shared" si="61"/>
        <v>4978.3</v>
      </c>
      <c r="P610">
        <f t="shared" si="62"/>
        <v>0.16893732970027248</v>
      </c>
      <c r="Q610" t="s">
        <v>4138</v>
      </c>
      <c r="R610" t="s">
        <v>4138</v>
      </c>
      <c r="S610">
        <f>YEAR(marketing_data[[#This Row],[Start_date]])</f>
        <v>2023</v>
      </c>
      <c r="T610" t="str">
        <f>TEXT(marketing_data[[#This Row],[Start_date]],"ddd")</f>
        <v>Fri</v>
      </c>
      <c r="U610">
        <f>marketing_data[[#This Row],[Cleaned End_date]]-marketing_data[[#This Row],[Start_date]]</f>
        <v>8</v>
      </c>
    </row>
    <row r="611" spans="1:21" x14ac:dyDescent="0.2">
      <c r="A611" t="s">
        <v>1280</v>
      </c>
      <c r="B611" t="s">
        <v>1281</v>
      </c>
      <c r="C611" s="2">
        <v>45209</v>
      </c>
      <c r="D611" t="str">
        <f t="shared" si="57"/>
        <v>Oct</v>
      </c>
      <c r="E611" s="2">
        <v>45232</v>
      </c>
      <c r="F611" t="s">
        <v>14</v>
      </c>
      <c r="G611">
        <v>40954</v>
      </c>
      <c r="H611">
        <v>937</v>
      </c>
      <c r="I611">
        <v>165</v>
      </c>
      <c r="J611" t="b">
        <v>0</v>
      </c>
      <c r="K611" s="10">
        <v>651.91999999999996</v>
      </c>
      <c r="L611" s="6">
        <f t="shared" si="58"/>
        <v>2.2879328026566392E-2</v>
      </c>
      <c r="M611">
        <f t="shared" si="59"/>
        <v>0.69575240128068294</v>
      </c>
      <c r="N611">
        <f t="shared" si="60"/>
        <v>3.9510303030303029</v>
      </c>
      <c r="O611">
        <f t="shared" si="61"/>
        <v>7598.08</v>
      </c>
      <c r="P611">
        <f t="shared" si="62"/>
        <v>0.17609391675560299</v>
      </c>
      <c r="Q611" t="s">
        <v>4136</v>
      </c>
      <c r="R611" t="s">
        <v>4139</v>
      </c>
      <c r="S611">
        <f>YEAR(marketing_data[[#This Row],[Start_date]])</f>
        <v>2023</v>
      </c>
      <c r="T611" t="str">
        <f>TEXT(marketing_data[[#This Row],[Start_date]],"ddd")</f>
        <v>Tue</v>
      </c>
      <c r="U611">
        <f>marketing_data[[#This Row],[Cleaned End_date]]-marketing_data[[#This Row],[Start_date]]</f>
        <v>23</v>
      </c>
    </row>
    <row r="612" spans="1:21" x14ac:dyDescent="0.2">
      <c r="A612" t="s">
        <v>1282</v>
      </c>
      <c r="B612" t="s">
        <v>1283</v>
      </c>
      <c r="C612" s="2">
        <v>44993</v>
      </c>
      <c r="D612" t="str">
        <f t="shared" si="57"/>
        <v>Mar</v>
      </c>
      <c r="E612" s="2">
        <v>45008</v>
      </c>
      <c r="F612" t="s">
        <v>23</v>
      </c>
      <c r="G612">
        <v>48280</v>
      </c>
      <c r="H612">
        <v>1711</v>
      </c>
      <c r="J612" t="b">
        <v>1</v>
      </c>
      <c r="K612" s="10">
        <v>2306.65</v>
      </c>
      <c r="L612" s="6">
        <f t="shared" si="58"/>
        <v>3.5439105219552611E-2</v>
      </c>
      <c r="M612">
        <f t="shared" si="59"/>
        <v>1.3481297486849797</v>
      </c>
      <c r="N612">
        <f t="shared" si="60"/>
        <v>0</v>
      </c>
      <c r="O612">
        <f t="shared" si="61"/>
        <v>-2306.65</v>
      </c>
      <c r="P612">
        <f t="shared" si="62"/>
        <v>0</v>
      </c>
      <c r="Q612" t="s">
        <v>4137</v>
      </c>
      <c r="R612" t="s">
        <v>4139</v>
      </c>
      <c r="S612">
        <f>YEAR(marketing_data[[#This Row],[Start_date]])</f>
        <v>2023</v>
      </c>
      <c r="T612" t="str">
        <f>TEXT(marketing_data[[#This Row],[Start_date]],"ddd")</f>
        <v>Wed</v>
      </c>
      <c r="U612">
        <f>marketing_data[[#This Row],[Cleaned End_date]]-marketing_data[[#This Row],[Start_date]]</f>
        <v>15</v>
      </c>
    </row>
    <row r="613" spans="1:21" x14ac:dyDescent="0.2">
      <c r="A613" t="s">
        <v>1284</v>
      </c>
      <c r="B613" t="s">
        <v>1285</v>
      </c>
      <c r="C613" s="2">
        <v>44955</v>
      </c>
      <c r="D613" t="str">
        <f t="shared" si="57"/>
        <v>Jan</v>
      </c>
      <c r="E613" s="2">
        <v>44981</v>
      </c>
      <c r="F613" t="s">
        <v>14</v>
      </c>
      <c r="G613">
        <v>80459</v>
      </c>
      <c r="H613">
        <v>1284</v>
      </c>
      <c r="I613">
        <v>72</v>
      </c>
      <c r="J613" t="b">
        <v>1</v>
      </c>
      <c r="K613" s="10">
        <v>1493.78</v>
      </c>
      <c r="L613" s="6">
        <f t="shared" si="58"/>
        <v>1.595843845933954E-2</v>
      </c>
      <c r="M613">
        <f t="shared" si="59"/>
        <v>1.1633800623052959</v>
      </c>
      <c r="N613">
        <f t="shared" si="60"/>
        <v>20.746944444444445</v>
      </c>
      <c r="O613">
        <f t="shared" si="61"/>
        <v>2106.2200000000003</v>
      </c>
      <c r="P613">
        <f t="shared" si="62"/>
        <v>5.6074766355140186E-2</v>
      </c>
      <c r="Q613" t="s">
        <v>4138</v>
      </c>
      <c r="R613" t="s">
        <v>4141</v>
      </c>
      <c r="S613">
        <f>YEAR(marketing_data[[#This Row],[Start_date]])</f>
        <v>2023</v>
      </c>
      <c r="T613" t="str">
        <f>TEXT(marketing_data[[#This Row],[Start_date]],"ddd")</f>
        <v>Sun</v>
      </c>
      <c r="U613">
        <f>marketing_data[[#This Row],[Cleaned End_date]]-marketing_data[[#This Row],[Start_date]]</f>
        <v>26</v>
      </c>
    </row>
    <row r="614" spans="1:21" x14ac:dyDescent="0.2">
      <c r="A614" t="s">
        <v>1286</v>
      </c>
      <c r="B614" t="s">
        <v>1287</v>
      </c>
      <c r="C614" s="2">
        <v>45082</v>
      </c>
      <c r="D614" t="str">
        <f t="shared" si="57"/>
        <v>Jun</v>
      </c>
      <c r="E614" s="2">
        <v>45083</v>
      </c>
      <c r="F614" t="s">
        <v>19</v>
      </c>
      <c r="G614">
        <v>17779</v>
      </c>
      <c r="H614">
        <v>672</v>
      </c>
      <c r="I614">
        <v>54</v>
      </c>
      <c r="J614" t="b">
        <v>0</v>
      </c>
      <c r="K614" s="10">
        <v>1139.5899999999999</v>
      </c>
      <c r="L614" s="6">
        <f t="shared" si="58"/>
        <v>3.7797401428651782E-2</v>
      </c>
      <c r="M614">
        <f t="shared" si="59"/>
        <v>1.6958184523809523</v>
      </c>
      <c r="N614">
        <f t="shared" si="60"/>
        <v>21.103518518518516</v>
      </c>
      <c r="O614">
        <f t="shared" si="61"/>
        <v>1560.41</v>
      </c>
      <c r="P614">
        <f t="shared" si="62"/>
        <v>8.0357142857142863E-2</v>
      </c>
      <c r="Q614" t="s">
        <v>4139</v>
      </c>
      <c r="R614" t="s">
        <v>4141</v>
      </c>
      <c r="S614">
        <f>YEAR(marketing_data[[#This Row],[Start_date]])</f>
        <v>2023</v>
      </c>
      <c r="T614" t="str">
        <f>TEXT(marketing_data[[#This Row],[Start_date]],"ddd")</f>
        <v>Mon</v>
      </c>
      <c r="U614">
        <f>marketing_data[[#This Row],[Cleaned End_date]]-marketing_data[[#This Row],[Start_date]]</f>
        <v>1</v>
      </c>
    </row>
    <row r="615" spans="1:21" x14ac:dyDescent="0.2">
      <c r="A615" t="s">
        <v>1288</v>
      </c>
      <c r="B615" t="s">
        <v>1289</v>
      </c>
      <c r="C615" s="2">
        <v>45290</v>
      </c>
      <c r="D615" t="str">
        <f t="shared" si="57"/>
        <v>Dec</v>
      </c>
      <c r="E615" s="2">
        <v>45311</v>
      </c>
      <c r="F615" t="s">
        <v>41</v>
      </c>
      <c r="G615">
        <v>64932</v>
      </c>
      <c r="H615">
        <v>2586</v>
      </c>
      <c r="J615" t="b">
        <v>1</v>
      </c>
      <c r="K615" s="10">
        <v>3631.7599999999998</v>
      </c>
      <c r="L615" s="6">
        <f t="shared" si="58"/>
        <v>3.982627980040658E-2</v>
      </c>
      <c r="M615">
        <f t="shared" si="59"/>
        <v>1.4043928847641143</v>
      </c>
      <c r="N615">
        <f t="shared" si="60"/>
        <v>0</v>
      </c>
      <c r="O615">
        <f t="shared" si="61"/>
        <v>-3631.7599999999998</v>
      </c>
      <c r="P615">
        <f t="shared" si="62"/>
        <v>0</v>
      </c>
      <c r="Q615" t="s">
        <v>4138</v>
      </c>
      <c r="R615" t="s">
        <v>4138</v>
      </c>
      <c r="S615">
        <f>YEAR(marketing_data[[#This Row],[Start_date]])</f>
        <v>2023</v>
      </c>
      <c r="T615" t="str">
        <f>TEXT(marketing_data[[#This Row],[Start_date]],"ddd")</f>
        <v>Sat</v>
      </c>
      <c r="U615">
        <f>marketing_data[[#This Row],[Cleaned End_date]]-marketing_data[[#This Row],[Start_date]]</f>
        <v>21</v>
      </c>
    </row>
    <row r="616" spans="1:21" x14ac:dyDescent="0.2">
      <c r="A616" t="s">
        <v>1290</v>
      </c>
      <c r="B616" t="s">
        <v>1291</v>
      </c>
      <c r="C616" s="2">
        <v>45192</v>
      </c>
      <c r="D616" t="str">
        <f t="shared" si="57"/>
        <v>Sep</v>
      </c>
      <c r="E616" s="2">
        <v>45194</v>
      </c>
      <c r="F616" t="s">
        <v>33</v>
      </c>
      <c r="G616">
        <v>73936</v>
      </c>
      <c r="H616">
        <v>3643</v>
      </c>
      <c r="I616">
        <v>382</v>
      </c>
      <c r="J616" t="b">
        <v>1</v>
      </c>
      <c r="K616" s="10">
        <v>3631.7599999999998</v>
      </c>
      <c r="L616" s="6">
        <f t="shared" si="58"/>
        <v>4.9272343648560916E-2</v>
      </c>
      <c r="M616">
        <f t="shared" si="59"/>
        <v>0.99691463079879217</v>
      </c>
      <c r="N616">
        <f t="shared" si="60"/>
        <v>9.5072251308900526</v>
      </c>
      <c r="O616">
        <f t="shared" si="61"/>
        <v>15468.24</v>
      </c>
      <c r="P616">
        <f t="shared" si="62"/>
        <v>0.10485863299478451</v>
      </c>
      <c r="Q616" t="s">
        <v>4136</v>
      </c>
      <c r="R616" t="s">
        <v>4141</v>
      </c>
      <c r="S616">
        <f>YEAR(marketing_data[[#This Row],[Start_date]])</f>
        <v>2023</v>
      </c>
      <c r="T616" t="str">
        <f>TEXT(marketing_data[[#This Row],[Start_date]],"ddd")</f>
        <v>Sat</v>
      </c>
      <c r="U616">
        <f>marketing_data[[#This Row],[Cleaned End_date]]-marketing_data[[#This Row],[Start_date]]</f>
        <v>2</v>
      </c>
    </row>
    <row r="617" spans="1:21" x14ac:dyDescent="0.2">
      <c r="A617" t="s">
        <v>1292</v>
      </c>
      <c r="B617" t="s">
        <v>1293</v>
      </c>
      <c r="C617" s="2">
        <v>45055</v>
      </c>
      <c r="D617" t="str">
        <f t="shared" si="57"/>
        <v>May</v>
      </c>
      <c r="E617" s="2">
        <v>45083</v>
      </c>
      <c r="F617" t="s">
        <v>41</v>
      </c>
      <c r="G617">
        <v>25466</v>
      </c>
      <c r="H617">
        <v>468</v>
      </c>
      <c r="I617">
        <v>30</v>
      </c>
      <c r="J617" t="b">
        <v>0</v>
      </c>
      <c r="K617" s="10">
        <v>473.06</v>
      </c>
      <c r="L617" s="6">
        <f t="shared" si="58"/>
        <v>1.8377444435718211E-2</v>
      </c>
      <c r="M617">
        <f t="shared" si="59"/>
        <v>1.0108119658119659</v>
      </c>
      <c r="N617">
        <f t="shared" si="60"/>
        <v>15.768666666666666</v>
      </c>
      <c r="O617">
        <f t="shared" si="61"/>
        <v>1026.94</v>
      </c>
      <c r="P617">
        <f t="shared" si="62"/>
        <v>6.4102564102564097E-2</v>
      </c>
      <c r="Q617" t="s">
        <v>4137</v>
      </c>
      <c r="R617" t="s">
        <v>4142</v>
      </c>
      <c r="S617">
        <f>YEAR(marketing_data[[#This Row],[Start_date]])</f>
        <v>2023</v>
      </c>
      <c r="T617" t="str">
        <f>TEXT(marketing_data[[#This Row],[Start_date]],"ddd")</f>
        <v>Tue</v>
      </c>
      <c r="U617">
        <f>marketing_data[[#This Row],[Cleaned End_date]]-marketing_data[[#This Row],[Start_date]]</f>
        <v>28</v>
      </c>
    </row>
    <row r="618" spans="1:21" x14ac:dyDescent="0.2">
      <c r="A618" t="s">
        <v>1294</v>
      </c>
      <c r="B618" t="s">
        <v>1295</v>
      </c>
      <c r="C618" s="2">
        <v>45067</v>
      </c>
      <c r="D618" t="str">
        <f t="shared" si="57"/>
        <v>May</v>
      </c>
      <c r="E618" s="2">
        <v>45086</v>
      </c>
      <c r="F618" t="s">
        <v>14</v>
      </c>
      <c r="G618">
        <v>37939</v>
      </c>
      <c r="H618">
        <v>1631</v>
      </c>
      <c r="I618">
        <v>253</v>
      </c>
      <c r="J618" t="b">
        <v>0</v>
      </c>
      <c r="K618" s="10">
        <v>2784.84</v>
      </c>
      <c r="L618" s="6">
        <f t="shared" si="58"/>
        <v>4.2990062995861777E-2</v>
      </c>
      <c r="M618">
        <f t="shared" si="59"/>
        <v>1.7074432863274065</v>
      </c>
      <c r="N618">
        <f t="shared" si="60"/>
        <v>11.007272727272728</v>
      </c>
      <c r="O618">
        <f t="shared" si="61"/>
        <v>9865.16</v>
      </c>
      <c r="P618">
        <f t="shared" si="62"/>
        <v>0.15511955855303494</v>
      </c>
      <c r="Q618" t="s">
        <v>4137</v>
      </c>
      <c r="R618" t="s">
        <v>4138</v>
      </c>
      <c r="S618">
        <f>YEAR(marketing_data[[#This Row],[Start_date]])</f>
        <v>2023</v>
      </c>
      <c r="T618" t="str">
        <f>TEXT(marketing_data[[#This Row],[Start_date]],"ddd")</f>
        <v>Sun</v>
      </c>
      <c r="U618">
        <f>marketing_data[[#This Row],[Cleaned End_date]]-marketing_data[[#This Row],[Start_date]]</f>
        <v>19</v>
      </c>
    </row>
    <row r="619" spans="1:21" x14ac:dyDescent="0.2">
      <c r="A619" t="s">
        <v>1296</v>
      </c>
      <c r="B619" t="s">
        <v>1297</v>
      </c>
      <c r="C619" s="2">
        <v>44936</v>
      </c>
      <c r="D619" t="str">
        <f t="shared" si="57"/>
        <v>Jan</v>
      </c>
      <c r="E619" s="2">
        <v>45227</v>
      </c>
      <c r="F619" t="s">
        <v>19</v>
      </c>
      <c r="G619">
        <v>70896</v>
      </c>
      <c r="H619">
        <v>2184</v>
      </c>
      <c r="I619">
        <v>207</v>
      </c>
      <c r="J619" t="b">
        <v>0</v>
      </c>
      <c r="K619" s="10">
        <v>1263.6300000000001</v>
      </c>
      <c r="L619" s="6">
        <f t="shared" si="58"/>
        <v>3.0805687203791468E-2</v>
      </c>
      <c r="M619">
        <f t="shared" si="59"/>
        <v>0.57858516483516487</v>
      </c>
      <c r="N619">
        <f t="shared" si="60"/>
        <v>6.1044927536231892</v>
      </c>
      <c r="O619">
        <f t="shared" si="61"/>
        <v>9086.369999999999</v>
      </c>
      <c r="P619">
        <f t="shared" si="62"/>
        <v>9.4780219780219777E-2</v>
      </c>
      <c r="Q619" t="s">
        <v>4138</v>
      </c>
      <c r="R619" t="s">
        <v>4141</v>
      </c>
      <c r="S619">
        <f>YEAR(marketing_data[[#This Row],[Start_date]])</f>
        <v>2023</v>
      </c>
      <c r="T619" t="str">
        <f>TEXT(marketing_data[[#This Row],[Start_date]],"ddd")</f>
        <v>Tue</v>
      </c>
      <c r="U619">
        <f>marketing_data[[#This Row],[Cleaned End_date]]-marketing_data[[#This Row],[Start_date]]</f>
        <v>291</v>
      </c>
    </row>
    <row r="620" spans="1:21" x14ac:dyDescent="0.2">
      <c r="A620" t="s">
        <v>1298</v>
      </c>
      <c r="B620" t="s">
        <v>1299</v>
      </c>
      <c r="C620" s="2">
        <v>45255</v>
      </c>
      <c r="D620" t="str">
        <f t="shared" si="57"/>
        <v>Nov</v>
      </c>
      <c r="E620" s="2">
        <v>45283</v>
      </c>
      <c r="F620" t="s">
        <v>14</v>
      </c>
      <c r="G620">
        <v>36270</v>
      </c>
      <c r="H620">
        <v>904</v>
      </c>
      <c r="I620">
        <v>81</v>
      </c>
      <c r="J620" t="b">
        <v>1</v>
      </c>
      <c r="K620" s="10">
        <v>668.45</v>
      </c>
      <c r="L620" s="6">
        <f t="shared" si="58"/>
        <v>2.492417976288944E-2</v>
      </c>
      <c r="M620">
        <f t="shared" si="59"/>
        <v>0.73943584070796464</v>
      </c>
      <c r="N620">
        <f t="shared" si="60"/>
        <v>8.2524691358024693</v>
      </c>
      <c r="O620">
        <f t="shared" si="61"/>
        <v>3381.55</v>
      </c>
      <c r="P620">
        <f t="shared" si="62"/>
        <v>8.9601769911504425E-2</v>
      </c>
      <c r="Q620" t="s">
        <v>4136</v>
      </c>
      <c r="R620" t="s">
        <v>4138</v>
      </c>
      <c r="S620">
        <f>YEAR(marketing_data[[#This Row],[Start_date]])</f>
        <v>2023</v>
      </c>
      <c r="T620" t="str">
        <f>TEXT(marketing_data[[#This Row],[Start_date]],"ddd")</f>
        <v>Sat</v>
      </c>
      <c r="U620">
        <f>marketing_data[[#This Row],[Cleaned End_date]]-marketing_data[[#This Row],[Start_date]]</f>
        <v>28</v>
      </c>
    </row>
    <row r="621" spans="1:21" x14ac:dyDescent="0.2">
      <c r="A621" t="s">
        <v>1300</v>
      </c>
      <c r="B621" t="s">
        <v>1301</v>
      </c>
      <c r="C621" s="2">
        <v>45005</v>
      </c>
      <c r="D621" t="str">
        <f t="shared" si="57"/>
        <v>Mar</v>
      </c>
      <c r="E621" s="2">
        <v>45019</v>
      </c>
      <c r="F621" t="s">
        <v>41</v>
      </c>
      <c r="G621">
        <v>60163</v>
      </c>
      <c r="H621">
        <v>896</v>
      </c>
      <c r="J621" t="b">
        <v>1</v>
      </c>
      <c r="K621" s="10">
        <v>899.08</v>
      </c>
      <c r="L621" s="6">
        <f t="shared" si="58"/>
        <v>1.4892874357994116E-2</v>
      </c>
      <c r="M621">
        <f t="shared" si="59"/>
        <v>1.0034375</v>
      </c>
      <c r="N621">
        <f t="shared" si="60"/>
        <v>0</v>
      </c>
      <c r="O621">
        <f t="shared" si="61"/>
        <v>-899.08</v>
      </c>
      <c r="P621">
        <f t="shared" si="62"/>
        <v>0</v>
      </c>
      <c r="Q621" t="s">
        <v>4137</v>
      </c>
      <c r="R621" t="s">
        <v>4139</v>
      </c>
      <c r="S621">
        <f>YEAR(marketing_data[[#This Row],[Start_date]])</f>
        <v>2023</v>
      </c>
      <c r="T621" t="str">
        <f>TEXT(marketing_data[[#This Row],[Start_date]],"ddd")</f>
        <v>Mon</v>
      </c>
      <c r="U621">
        <f>marketing_data[[#This Row],[Cleaned End_date]]-marketing_data[[#This Row],[Start_date]]</f>
        <v>14</v>
      </c>
    </row>
    <row r="622" spans="1:21" x14ac:dyDescent="0.2">
      <c r="A622" t="s">
        <v>1302</v>
      </c>
      <c r="B622" t="s">
        <v>1303</v>
      </c>
      <c r="C622" s="2">
        <v>45236</v>
      </c>
      <c r="D622" t="str">
        <f t="shared" si="57"/>
        <v>Nov</v>
      </c>
      <c r="E622" s="2">
        <v>45254</v>
      </c>
      <c r="F622" t="s">
        <v>41</v>
      </c>
      <c r="G622">
        <v>83637</v>
      </c>
      <c r="H622">
        <v>3296</v>
      </c>
      <c r="I622">
        <v>589</v>
      </c>
      <c r="J622" t="b">
        <v>1</v>
      </c>
      <c r="K622" s="10">
        <v>2027.74</v>
      </c>
      <c r="L622" s="6">
        <f t="shared" si="58"/>
        <v>3.9408395805684088E-2</v>
      </c>
      <c r="M622">
        <f t="shared" si="59"/>
        <v>0.61521237864077671</v>
      </c>
      <c r="N622">
        <f t="shared" si="60"/>
        <v>3.4426825127334464</v>
      </c>
      <c r="O622">
        <f t="shared" si="61"/>
        <v>27422.26</v>
      </c>
      <c r="P622">
        <f t="shared" si="62"/>
        <v>0.1787014563106796</v>
      </c>
      <c r="Q622" t="s">
        <v>4136</v>
      </c>
      <c r="R622" t="s">
        <v>4138</v>
      </c>
      <c r="S622">
        <f>YEAR(marketing_data[[#This Row],[Start_date]])</f>
        <v>2023</v>
      </c>
      <c r="T622" t="str">
        <f>TEXT(marketing_data[[#This Row],[Start_date]],"ddd")</f>
        <v>Mon</v>
      </c>
      <c r="U622">
        <f>marketing_data[[#This Row],[Cleaned End_date]]-marketing_data[[#This Row],[Start_date]]</f>
        <v>18</v>
      </c>
    </row>
    <row r="623" spans="1:21" x14ac:dyDescent="0.2">
      <c r="A623" t="s">
        <v>1304</v>
      </c>
      <c r="B623" t="s">
        <v>1305</v>
      </c>
      <c r="C623" s="2">
        <v>44948</v>
      </c>
      <c r="D623" t="str">
        <f t="shared" si="57"/>
        <v>Jan</v>
      </c>
      <c r="E623" s="2">
        <v>44971</v>
      </c>
      <c r="F623" t="s">
        <v>33</v>
      </c>
      <c r="G623">
        <v>52934</v>
      </c>
      <c r="H623">
        <v>1028</v>
      </c>
      <c r="I623">
        <v>114</v>
      </c>
      <c r="J623" t="b">
        <v>1</v>
      </c>
      <c r="K623" s="10">
        <v>876.36</v>
      </c>
      <c r="L623" s="6">
        <f t="shared" si="58"/>
        <v>1.9420410322288133E-2</v>
      </c>
      <c r="M623">
        <f t="shared" si="59"/>
        <v>0.85249027237354091</v>
      </c>
      <c r="N623">
        <f t="shared" si="60"/>
        <v>7.6873684210526321</v>
      </c>
      <c r="O623">
        <f t="shared" si="61"/>
        <v>4823.6400000000003</v>
      </c>
      <c r="P623">
        <f t="shared" si="62"/>
        <v>0.11089494163424124</v>
      </c>
      <c r="Q623" t="s">
        <v>4138</v>
      </c>
      <c r="R623" t="s">
        <v>4139</v>
      </c>
      <c r="S623">
        <f>YEAR(marketing_data[[#This Row],[Start_date]])</f>
        <v>2023</v>
      </c>
      <c r="T623" t="str">
        <f>TEXT(marketing_data[[#This Row],[Start_date]],"ddd")</f>
        <v>Sun</v>
      </c>
      <c r="U623">
        <f>marketing_data[[#This Row],[Cleaned End_date]]-marketing_data[[#This Row],[Start_date]]</f>
        <v>23</v>
      </c>
    </row>
    <row r="624" spans="1:21" x14ac:dyDescent="0.2">
      <c r="A624" t="s">
        <v>1306</v>
      </c>
      <c r="B624" t="s">
        <v>1307</v>
      </c>
      <c r="C624" s="2">
        <v>44950</v>
      </c>
      <c r="D624" t="str">
        <f t="shared" si="57"/>
        <v>Jan</v>
      </c>
      <c r="E624" s="2">
        <v>44966</v>
      </c>
      <c r="F624" t="s">
        <v>19</v>
      </c>
      <c r="G624">
        <v>65895</v>
      </c>
      <c r="H624">
        <v>1637</v>
      </c>
      <c r="I624">
        <v>322</v>
      </c>
      <c r="J624" t="b">
        <v>0</v>
      </c>
      <c r="K624" s="10">
        <v>2856.94</v>
      </c>
      <c r="L624" s="6">
        <f t="shared" si="58"/>
        <v>2.484255254571667E-2</v>
      </c>
      <c r="M624">
        <f t="shared" si="59"/>
        <v>1.7452290775809407</v>
      </c>
      <c r="N624">
        <f t="shared" si="60"/>
        <v>8.87248447204969</v>
      </c>
      <c r="O624">
        <f t="shared" si="61"/>
        <v>13243.06</v>
      </c>
      <c r="P624">
        <f t="shared" si="62"/>
        <v>0.19670128283445326</v>
      </c>
      <c r="Q624" t="s">
        <v>4138</v>
      </c>
      <c r="R624" t="s">
        <v>4138</v>
      </c>
      <c r="S624">
        <f>YEAR(marketing_data[[#This Row],[Start_date]])</f>
        <v>2023</v>
      </c>
      <c r="T624" t="str">
        <f>TEXT(marketing_data[[#This Row],[Start_date]],"ddd")</f>
        <v>Tue</v>
      </c>
      <c r="U624">
        <f>marketing_data[[#This Row],[Cleaned End_date]]-marketing_data[[#This Row],[Start_date]]</f>
        <v>16</v>
      </c>
    </row>
    <row r="625" spans="1:21" x14ac:dyDescent="0.2">
      <c r="A625" t="s">
        <v>1308</v>
      </c>
      <c r="B625" t="s">
        <v>1309</v>
      </c>
      <c r="C625" s="2">
        <v>45062</v>
      </c>
      <c r="D625" t="str">
        <f t="shared" si="57"/>
        <v>May</v>
      </c>
      <c r="E625" s="2">
        <v>45088</v>
      </c>
      <c r="F625" t="s">
        <v>19</v>
      </c>
      <c r="G625">
        <v>33307</v>
      </c>
      <c r="H625">
        <v>416</v>
      </c>
      <c r="I625">
        <v>61</v>
      </c>
      <c r="J625" t="b">
        <v>1</v>
      </c>
      <c r="K625" s="10">
        <v>799.71</v>
      </c>
      <c r="L625" s="6">
        <f t="shared" si="58"/>
        <v>1.2489866994925991E-2</v>
      </c>
      <c r="M625">
        <f t="shared" si="59"/>
        <v>1.9223798076923078</v>
      </c>
      <c r="N625">
        <f t="shared" si="60"/>
        <v>13.110000000000001</v>
      </c>
      <c r="O625">
        <f t="shared" si="61"/>
        <v>2250.29</v>
      </c>
      <c r="P625">
        <f t="shared" si="62"/>
        <v>0.14663461538461539</v>
      </c>
      <c r="Q625" t="s">
        <v>4137</v>
      </c>
      <c r="R625" t="s">
        <v>4139</v>
      </c>
      <c r="S625">
        <f>YEAR(marketing_data[[#This Row],[Start_date]])</f>
        <v>2023</v>
      </c>
      <c r="T625" t="str">
        <f>TEXT(marketing_data[[#This Row],[Start_date]],"ddd")</f>
        <v>Tue</v>
      </c>
      <c r="U625">
        <f>marketing_data[[#This Row],[Cleaned End_date]]-marketing_data[[#This Row],[Start_date]]</f>
        <v>26</v>
      </c>
    </row>
    <row r="626" spans="1:21" x14ac:dyDescent="0.2">
      <c r="A626" t="s">
        <v>1310</v>
      </c>
      <c r="B626" t="s">
        <v>1311</v>
      </c>
      <c r="C626" s="2">
        <v>45140</v>
      </c>
      <c r="D626" t="str">
        <f t="shared" si="57"/>
        <v>Aug</v>
      </c>
      <c r="E626" s="2">
        <v>45170</v>
      </c>
      <c r="F626" t="s">
        <v>41</v>
      </c>
      <c r="G626">
        <v>55098</v>
      </c>
      <c r="H626">
        <v>2317</v>
      </c>
      <c r="J626" t="b">
        <v>1</v>
      </c>
      <c r="K626" s="10">
        <v>2217.15</v>
      </c>
      <c r="L626" s="6">
        <f t="shared" si="58"/>
        <v>4.2052343097753096E-2</v>
      </c>
      <c r="M626">
        <f t="shared" si="59"/>
        <v>0.95690548122572294</v>
      </c>
      <c r="N626">
        <f t="shared" si="60"/>
        <v>0</v>
      </c>
      <c r="O626">
        <f t="shared" si="61"/>
        <v>-2217.15</v>
      </c>
      <c r="P626">
        <f t="shared" si="62"/>
        <v>0</v>
      </c>
      <c r="Q626" t="s">
        <v>4139</v>
      </c>
      <c r="R626" t="s">
        <v>4138</v>
      </c>
      <c r="S626">
        <f>YEAR(marketing_data[[#This Row],[Start_date]])</f>
        <v>2023</v>
      </c>
      <c r="T626" t="str">
        <f>TEXT(marketing_data[[#This Row],[Start_date]],"ddd")</f>
        <v>Wed</v>
      </c>
      <c r="U626">
        <f>marketing_data[[#This Row],[Cleaned End_date]]-marketing_data[[#This Row],[Start_date]]</f>
        <v>30</v>
      </c>
    </row>
    <row r="627" spans="1:21" x14ac:dyDescent="0.2">
      <c r="A627" t="s">
        <v>1312</v>
      </c>
      <c r="B627" t="s">
        <v>1313</v>
      </c>
      <c r="C627" s="2">
        <v>45248</v>
      </c>
      <c r="D627" t="str">
        <f t="shared" si="57"/>
        <v>Nov</v>
      </c>
      <c r="E627" s="2">
        <v>45271</v>
      </c>
      <c r="F627" t="s">
        <v>23</v>
      </c>
      <c r="G627">
        <v>61921</v>
      </c>
      <c r="H627">
        <v>2517</v>
      </c>
      <c r="I627">
        <v>137</v>
      </c>
      <c r="J627" t="b">
        <v>0</v>
      </c>
      <c r="K627" s="10">
        <v>2257.1799999999998</v>
      </c>
      <c r="L627" s="6">
        <f t="shared" si="58"/>
        <v>4.0648568337074663E-2</v>
      </c>
      <c r="M627">
        <f t="shared" si="59"/>
        <v>0.89677393722685728</v>
      </c>
      <c r="N627">
        <f t="shared" si="60"/>
        <v>16.475766423357662</v>
      </c>
      <c r="O627">
        <f t="shared" si="61"/>
        <v>4592.82</v>
      </c>
      <c r="P627">
        <f t="shared" si="62"/>
        <v>5.4429876837504963E-2</v>
      </c>
      <c r="Q627" t="s">
        <v>4136</v>
      </c>
      <c r="R627" t="s">
        <v>4138</v>
      </c>
      <c r="S627">
        <f>YEAR(marketing_data[[#This Row],[Start_date]])</f>
        <v>2023</v>
      </c>
      <c r="T627" t="str">
        <f>TEXT(marketing_data[[#This Row],[Start_date]],"ddd")</f>
        <v>Sat</v>
      </c>
      <c r="U627">
        <f>marketing_data[[#This Row],[Cleaned End_date]]-marketing_data[[#This Row],[Start_date]]</f>
        <v>23</v>
      </c>
    </row>
    <row r="628" spans="1:21" x14ac:dyDescent="0.2">
      <c r="A628" t="s">
        <v>1314</v>
      </c>
      <c r="B628" t="s">
        <v>1315</v>
      </c>
      <c r="C628" s="2">
        <v>45081</v>
      </c>
      <c r="D628" t="str">
        <f t="shared" si="57"/>
        <v>Jun</v>
      </c>
      <c r="E628" s="2">
        <v>45109</v>
      </c>
      <c r="F628" t="s">
        <v>14</v>
      </c>
      <c r="G628">
        <v>6486</v>
      </c>
      <c r="H628">
        <v>255</v>
      </c>
      <c r="I628">
        <v>17</v>
      </c>
      <c r="J628" t="b">
        <v>1</v>
      </c>
      <c r="K628" s="10">
        <v>329.13249999999999</v>
      </c>
      <c r="L628" s="6">
        <f t="shared" si="58"/>
        <v>3.9315448658649402E-2</v>
      </c>
      <c r="M628">
        <f t="shared" si="59"/>
        <v>1.2907156862745097</v>
      </c>
      <c r="N628">
        <f t="shared" si="60"/>
        <v>19.360735294117646</v>
      </c>
      <c r="O628">
        <f t="shared" si="61"/>
        <v>520.86750000000006</v>
      </c>
      <c r="P628">
        <f t="shared" si="62"/>
        <v>6.6666666666666666E-2</v>
      </c>
      <c r="Q628" t="s">
        <v>4139</v>
      </c>
      <c r="R628" t="s">
        <v>4139</v>
      </c>
      <c r="S628">
        <f>YEAR(marketing_data[[#This Row],[Start_date]])</f>
        <v>2023</v>
      </c>
      <c r="T628" t="str">
        <f>TEXT(marketing_data[[#This Row],[Start_date]],"ddd")</f>
        <v>Sun</v>
      </c>
      <c r="U628">
        <f>marketing_data[[#This Row],[Cleaned End_date]]-marketing_data[[#This Row],[Start_date]]</f>
        <v>28</v>
      </c>
    </row>
    <row r="629" spans="1:21" x14ac:dyDescent="0.2">
      <c r="A629" t="s">
        <v>1316</v>
      </c>
      <c r="B629" t="s">
        <v>1317</v>
      </c>
      <c r="C629" s="2">
        <v>45277</v>
      </c>
      <c r="D629" t="str">
        <f t="shared" si="57"/>
        <v>Dec</v>
      </c>
      <c r="E629" s="2">
        <v>45301</v>
      </c>
      <c r="F629" t="s">
        <v>19</v>
      </c>
      <c r="G629">
        <v>9335</v>
      </c>
      <c r="H629">
        <v>205</v>
      </c>
      <c r="I629">
        <v>29</v>
      </c>
      <c r="J629" t="b">
        <v>1</v>
      </c>
      <c r="K629" s="10">
        <v>329.13249999999999</v>
      </c>
      <c r="L629" s="6">
        <f t="shared" si="58"/>
        <v>2.1960364220674881E-2</v>
      </c>
      <c r="M629">
        <f t="shared" si="59"/>
        <v>1.6055243902439025</v>
      </c>
      <c r="N629">
        <f t="shared" si="60"/>
        <v>11.349396551724137</v>
      </c>
      <c r="O629">
        <f t="shared" si="61"/>
        <v>1120.8675000000001</v>
      </c>
      <c r="P629">
        <f t="shared" si="62"/>
        <v>0.14146341463414633</v>
      </c>
      <c r="Q629" t="s">
        <v>4138</v>
      </c>
      <c r="R629" t="s">
        <v>4142</v>
      </c>
      <c r="S629">
        <f>YEAR(marketing_data[[#This Row],[Start_date]])</f>
        <v>2023</v>
      </c>
      <c r="T629" t="str">
        <f>TEXT(marketing_data[[#This Row],[Start_date]],"ddd")</f>
        <v>Sun</v>
      </c>
      <c r="U629">
        <f>marketing_data[[#This Row],[Cleaned End_date]]-marketing_data[[#This Row],[Start_date]]</f>
        <v>24</v>
      </c>
    </row>
    <row r="630" spans="1:21" x14ac:dyDescent="0.2">
      <c r="A630" t="s">
        <v>1318</v>
      </c>
      <c r="B630" t="s">
        <v>1319</v>
      </c>
      <c r="C630" s="2">
        <v>45279</v>
      </c>
      <c r="D630" t="str">
        <f t="shared" si="57"/>
        <v>Dec</v>
      </c>
      <c r="E630" s="2">
        <v>45281</v>
      </c>
      <c r="F630" t="s">
        <v>41</v>
      </c>
      <c r="G630">
        <v>87900</v>
      </c>
      <c r="H630">
        <v>1488</v>
      </c>
      <c r="I630">
        <v>275</v>
      </c>
      <c r="J630" t="b">
        <v>0</v>
      </c>
      <c r="K630" s="10">
        <v>824.2</v>
      </c>
      <c r="L630" s="6">
        <f t="shared" si="58"/>
        <v>1.6928327645051193E-2</v>
      </c>
      <c r="M630">
        <f t="shared" si="59"/>
        <v>0.55389784946236564</v>
      </c>
      <c r="N630">
        <f t="shared" si="60"/>
        <v>2.9970909090909092</v>
      </c>
      <c r="O630">
        <f t="shared" si="61"/>
        <v>12925.8</v>
      </c>
      <c r="P630">
        <f t="shared" si="62"/>
        <v>0.18481182795698925</v>
      </c>
      <c r="Q630" t="s">
        <v>4138</v>
      </c>
      <c r="R630" t="s">
        <v>4142</v>
      </c>
      <c r="S630">
        <f>YEAR(marketing_data[[#This Row],[Start_date]])</f>
        <v>2023</v>
      </c>
      <c r="T630" t="str">
        <f>TEXT(marketing_data[[#This Row],[Start_date]],"ddd")</f>
        <v>Tue</v>
      </c>
      <c r="U630">
        <f>marketing_data[[#This Row],[Cleaned End_date]]-marketing_data[[#This Row],[Start_date]]</f>
        <v>2</v>
      </c>
    </row>
    <row r="631" spans="1:21" x14ac:dyDescent="0.2">
      <c r="A631" t="s">
        <v>1321</v>
      </c>
      <c r="B631" t="s">
        <v>1322</v>
      </c>
      <c r="C631" s="2">
        <v>45152</v>
      </c>
      <c r="D631" t="str">
        <f t="shared" si="57"/>
        <v>Aug</v>
      </c>
      <c r="E631" s="2">
        <v>45162</v>
      </c>
      <c r="F631" t="s">
        <v>41</v>
      </c>
      <c r="G631">
        <v>90112</v>
      </c>
      <c r="H631">
        <v>3199</v>
      </c>
      <c r="I631">
        <v>459</v>
      </c>
      <c r="J631" t="b">
        <v>1</v>
      </c>
      <c r="K631" s="10">
        <v>3631.7599999999998</v>
      </c>
      <c r="L631" s="6">
        <f t="shared" si="58"/>
        <v>3.5500266335227272E-2</v>
      </c>
      <c r="M631">
        <f t="shared" si="59"/>
        <v>1.1352797749296655</v>
      </c>
      <c r="N631">
        <f t="shared" si="60"/>
        <v>7.9123311546840958</v>
      </c>
      <c r="O631">
        <f t="shared" si="61"/>
        <v>19318.240000000002</v>
      </c>
      <c r="P631">
        <f t="shared" si="62"/>
        <v>0.14348233823069709</v>
      </c>
      <c r="Q631" t="s">
        <v>4139</v>
      </c>
      <c r="R631" t="s">
        <v>4141</v>
      </c>
      <c r="S631">
        <f>YEAR(marketing_data[[#This Row],[Start_date]])</f>
        <v>2023</v>
      </c>
      <c r="T631" t="str">
        <f>TEXT(marketing_data[[#This Row],[Start_date]],"ddd")</f>
        <v>Mon</v>
      </c>
      <c r="U631">
        <f>marketing_data[[#This Row],[Cleaned End_date]]-marketing_data[[#This Row],[Start_date]]</f>
        <v>10</v>
      </c>
    </row>
    <row r="632" spans="1:21" x14ac:dyDescent="0.2">
      <c r="A632" t="s">
        <v>1323</v>
      </c>
      <c r="B632" t="s">
        <v>1324</v>
      </c>
      <c r="C632" s="2">
        <v>45101</v>
      </c>
      <c r="D632" t="str">
        <f t="shared" si="57"/>
        <v>Jun</v>
      </c>
      <c r="E632" s="2">
        <v>45113</v>
      </c>
      <c r="F632" t="s">
        <v>41</v>
      </c>
      <c r="G632">
        <v>98203</v>
      </c>
      <c r="H632">
        <v>2931</v>
      </c>
      <c r="I632">
        <v>205</v>
      </c>
      <c r="J632" t="b">
        <v>1</v>
      </c>
      <c r="K632" s="10">
        <v>2405.02</v>
      </c>
      <c r="L632" s="6">
        <f t="shared" si="58"/>
        <v>2.9846338706556827E-2</v>
      </c>
      <c r="M632">
        <f t="shared" si="59"/>
        <v>0.8205458887751621</v>
      </c>
      <c r="N632">
        <f t="shared" si="60"/>
        <v>11.731804878048781</v>
      </c>
      <c r="O632">
        <f t="shared" si="61"/>
        <v>7844.98</v>
      </c>
      <c r="P632">
        <f t="shared" si="62"/>
        <v>6.9941999317639031E-2</v>
      </c>
      <c r="Q632" t="s">
        <v>4139</v>
      </c>
      <c r="R632" t="s">
        <v>4139</v>
      </c>
      <c r="S632">
        <f>YEAR(marketing_data[[#This Row],[Start_date]])</f>
        <v>2023</v>
      </c>
      <c r="T632" t="str">
        <f>TEXT(marketing_data[[#This Row],[Start_date]],"ddd")</f>
        <v>Sat</v>
      </c>
      <c r="U632">
        <f>marketing_data[[#This Row],[Cleaned End_date]]-marketing_data[[#This Row],[Start_date]]</f>
        <v>12</v>
      </c>
    </row>
    <row r="633" spans="1:21" x14ac:dyDescent="0.2">
      <c r="A633" t="s">
        <v>1325</v>
      </c>
      <c r="B633" t="s">
        <v>1326</v>
      </c>
      <c r="C633" s="2">
        <v>45090</v>
      </c>
      <c r="D633" t="str">
        <f t="shared" si="57"/>
        <v>Jun</v>
      </c>
      <c r="E633" s="2">
        <v>45093</v>
      </c>
      <c r="F633" t="s">
        <v>33</v>
      </c>
      <c r="G633">
        <v>12130</v>
      </c>
      <c r="H633">
        <v>207</v>
      </c>
      <c r="I633">
        <v>13</v>
      </c>
      <c r="J633" t="b">
        <v>1</v>
      </c>
      <c r="K633" s="10">
        <v>329.13249999999999</v>
      </c>
      <c r="L633" s="6">
        <f t="shared" si="58"/>
        <v>1.7065127782357789E-2</v>
      </c>
      <c r="M633">
        <f t="shared" si="59"/>
        <v>1.590012077294686</v>
      </c>
      <c r="N633">
        <f t="shared" si="60"/>
        <v>25.317884615384614</v>
      </c>
      <c r="O633">
        <f t="shared" si="61"/>
        <v>320.86750000000001</v>
      </c>
      <c r="P633">
        <f t="shared" si="62"/>
        <v>6.280193236714976E-2</v>
      </c>
      <c r="Q633" t="s">
        <v>4139</v>
      </c>
      <c r="R633" t="s">
        <v>4139</v>
      </c>
      <c r="S633">
        <f>YEAR(marketing_data[[#This Row],[Start_date]])</f>
        <v>2023</v>
      </c>
      <c r="T633" t="str">
        <f>TEXT(marketing_data[[#This Row],[Start_date]],"ddd")</f>
        <v>Tue</v>
      </c>
      <c r="U633">
        <f>marketing_data[[#This Row],[Cleaned End_date]]-marketing_data[[#This Row],[Start_date]]</f>
        <v>3</v>
      </c>
    </row>
    <row r="634" spans="1:21" x14ac:dyDescent="0.2">
      <c r="A634" t="s">
        <v>1327</v>
      </c>
      <c r="B634" t="s">
        <v>1328</v>
      </c>
      <c r="C634" s="2">
        <v>45131</v>
      </c>
      <c r="D634" t="str">
        <f t="shared" si="57"/>
        <v>Jul</v>
      </c>
      <c r="E634" s="2">
        <v>45151</v>
      </c>
      <c r="F634" t="s">
        <v>19</v>
      </c>
      <c r="G634">
        <v>88508</v>
      </c>
      <c r="H634">
        <v>3313</v>
      </c>
      <c r="I634">
        <v>585</v>
      </c>
      <c r="J634" t="b">
        <v>1</v>
      </c>
      <c r="K634" s="10">
        <v>1704.64</v>
      </c>
      <c r="L634" s="6">
        <f t="shared" si="58"/>
        <v>3.7431644597098565E-2</v>
      </c>
      <c r="M634">
        <f t="shared" si="59"/>
        <v>0.51453063688499856</v>
      </c>
      <c r="N634">
        <f t="shared" si="60"/>
        <v>2.9139145299145301</v>
      </c>
      <c r="O634">
        <f t="shared" si="61"/>
        <v>27545.360000000001</v>
      </c>
      <c r="P634">
        <f t="shared" si="62"/>
        <v>0.17657712043465137</v>
      </c>
      <c r="Q634" t="s">
        <v>4139</v>
      </c>
      <c r="R634" t="s">
        <v>4138</v>
      </c>
      <c r="S634">
        <f>YEAR(marketing_data[[#This Row],[Start_date]])</f>
        <v>2023</v>
      </c>
      <c r="T634" t="str">
        <f>TEXT(marketing_data[[#This Row],[Start_date]],"ddd")</f>
        <v>Mon</v>
      </c>
      <c r="U634">
        <f>marketing_data[[#This Row],[Cleaned End_date]]-marketing_data[[#This Row],[Start_date]]</f>
        <v>20</v>
      </c>
    </row>
    <row r="635" spans="1:21" x14ac:dyDescent="0.2">
      <c r="A635" t="s">
        <v>1329</v>
      </c>
      <c r="B635" t="s">
        <v>1330</v>
      </c>
      <c r="C635" s="2">
        <v>45214</v>
      </c>
      <c r="D635" t="str">
        <f t="shared" si="57"/>
        <v>Oct</v>
      </c>
      <c r="E635" s="2">
        <v>45226</v>
      </c>
      <c r="F635" t="s">
        <v>14</v>
      </c>
      <c r="G635">
        <v>61566</v>
      </c>
      <c r="H635">
        <v>3056</v>
      </c>
      <c r="I635">
        <v>216</v>
      </c>
      <c r="J635" t="b">
        <v>0</v>
      </c>
      <c r="K635" s="10">
        <v>3631.7599999999998</v>
      </c>
      <c r="L635" s="6">
        <f t="shared" si="58"/>
        <v>4.9637787090277101E-2</v>
      </c>
      <c r="M635">
        <f t="shared" si="59"/>
        <v>1.1884031413612566</v>
      </c>
      <c r="N635">
        <f t="shared" si="60"/>
        <v>16.813703703703702</v>
      </c>
      <c r="O635">
        <f t="shared" si="61"/>
        <v>7168.24</v>
      </c>
      <c r="P635">
        <f t="shared" si="62"/>
        <v>7.0680628272251314E-2</v>
      </c>
      <c r="Q635" t="s">
        <v>4136</v>
      </c>
      <c r="R635" t="s">
        <v>4142</v>
      </c>
      <c r="S635">
        <f>YEAR(marketing_data[[#This Row],[Start_date]])</f>
        <v>2023</v>
      </c>
      <c r="T635" t="str">
        <f>TEXT(marketing_data[[#This Row],[Start_date]],"ddd")</f>
        <v>Sun</v>
      </c>
      <c r="U635">
        <f>marketing_data[[#This Row],[Cleaned End_date]]-marketing_data[[#This Row],[Start_date]]</f>
        <v>12</v>
      </c>
    </row>
    <row r="636" spans="1:21" x14ac:dyDescent="0.2">
      <c r="A636" t="s">
        <v>1331</v>
      </c>
      <c r="B636" t="s">
        <v>1332</v>
      </c>
      <c r="C636" s="2">
        <v>44989</v>
      </c>
      <c r="D636" t="str">
        <f t="shared" si="57"/>
        <v>Mar</v>
      </c>
      <c r="E636" s="2">
        <v>45004</v>
      </c>
      <c r="F636" t="s">
        <v>19</v>
      </c>
      <c r="G636">
        <v>67703</v>
      </c>
      <c r="H636">
        <v>2700</v>
      </c>
      <c r="I636">
        <v>345</v>
      </c>
      <c r="J636" t="b">
        <v>1</v>
      </c>
      <c r="K636" s="10">
        <v>3631.7599999999998</v>
      </c>
      <c r="L636" s="6">
        <f t="shared" si="58"/>
        <v>3.9880064398918808E-2</v>
      </c>
      <c r="M636">
        <f t="shared" si="59"/>
        <v>1.3450962962962962</v>
      </c>
      <c r="N636">
        <f t="shared" si="60"/>
        <v>10.526840579710145</v>
      </c>
      <c r="O636">
        <f t="shared" si="61"/>
        <v>13618.24</v>
      </c>
      <c r="P636">
        <f t="shared" si="62"/>
        <v>0.12777777777777777</v>
      </c>
      <c r="Q636" t="s">
        <v>4137</v>
      </c>
      <c r="R636" t="s">
        <v>4141</v>
      </c>
      <c r="S636">
        <f>YEAR(marketing_data[[#This Row],[Start_date]])</f>
        <v>2023</v>
      </c>
      <c r="T636" t="str">
        <f>TEXT(marketing_data[[#This Row],[Start_date]],"ddd")</f>
        <v>Sat</v>
      </c>
      <c r="U636">
        <f>marketing_data[[#This Row],[Cleaned End_date]]-marketing_data[[#This Row],[Start_date]]</f>
        <v>15</v>
      </c>
    </row>
    <row r="637" spans="1:21" x14ac:dyDescent="0.2">
      <c r="A637" t="s">
        <v>1333</v>
      </c>
      <c r="B637" t="s">
        <v>1334</v>
      </c>
      <c r="C637" s="2">
        <v>44976</v>
      </c>
      <c r="D637" t="str">
        <f t="shared" si="57"/>
        <v>Feb</v>
      </c>
      <c r="E637" s="2">
        <v>45003</v>
      </c>
      <c r="F637" t="str">
        <f>F636</f>
        <v>Facebook</v>
      </c>
      <c r="G637">
        <v>28192</v>
      </c>
      <c r="H637">
        <v>1116</v>
      </c>
      <c r="I637">
        <v>62</v>
      </c>
      <c r="J637" t="b">
        <v>1</v>
      </c>
      <c r="K637" s="10">
        <v>2142.87</v>
      </c>
      <c r="L637" s="6">
        <f t="shared" si="58"/>
        <v>3.9585698070374577E-2</v>
      </c>
      <c r="M637">
        <f t="shared" si="59"/>
        <v>1.9201344086021503</v>
      </c>
      <c r="N637">
        <f t="shared" si="60"/>
        <v>34.56241935483871</v>
      </c>
      <c r="O637">
        <f t="shared" si="61"/>
        <v>957.13000000000011</v>
      </c>
      <c r="P637">
        <f t="shared" si="62"/>
        <v>5.5555555555555552E-2</v>
      </c>
      <c r="Q637" t="s">
        <v>4138</v>
      </c>
      <c r="R637" t="s">
        <v>4142</v>
      </c>
      <c r="S637">
        <f>YEAR(marketing_data[[#This Row],[Start_date]])</f>
        <v>2023</v>
      </c>
      <c r="T637" t="str">
        <f>TEXT(marketing_data[[#This Row],[Start_date]],"ddd")</f>
        <v>Sun</v>
      </c>
      <c r="U637">
        <f>marketing_data[[#This Row],[Cleaned End_date]]-marketing_data[[#This Row],[Start_date]]</f>
        <v>27</v>
      </c>
    </row>
    <row r="638" spans="1:21" x14ac:dyDescent="0.2">
      <c r="A638" t="s">
        <v>1336</v>
      </c>
      <c r="B638" t="s">
        <v>1337</v>
      </c>
      <c r="C638" s="2">
        <v>45123</v>
      </c>
      <c r="D638" t="str">
        <f t="shared" si="57"/>
        <v>Jul</v>
      </c>
      <c r="E638" s="2">
        <v>45139</v>
      </c>
      <c r="F638" t="s">
        <v>41</v>
      </c>
      <c r="G638">
        <v>2062</v>
      </c>
      <c r="H638">
        <v>99</v>
      </c>
      <c r="I638">
        <v>6</v>
      </c>
      <c r="J638" t="b">
        <v>1</v>
      </c>
      <c r="K638" s="10">
        <v>329.13249999999999</v>
      </c>
      <c r="L638" s="6">
        <f t="shared" si="58"/>
        <v>4.8011639185257034E-2</v>
      </c>
      <c r="M638">
        <f t="shared" si="59"/>
        <v>3.3245707070707069</v>
      </c>
      <c r="N638">
        <f t="shared" si="60"/>
        <v>54.855416666666663</v>
      </c>
      <c r="O638">
        <f t="shared" si="61"/>
        <v>-29.132499999999993</v>
      </c>
      <c r="P638">
        <f t="shared" si="62"/>
        <v>6.0606060606060608E-2</v>
      </c>
      <c r="Q638" t="s">
        <v>4139</v>
      </c>
      <c r="R638" t="s">
        <v>4138</v>
      </c>
      <c r="S638">
        <f>YEAR(marketing_data[[#This Row],[Start_date]])</f>
        <v>2023</v>
      </c>
      <c r="T638" t="str">
        <f>TEXT(marketing_data[[#This Row],[Start_date]],"ddd")</f>
        <v>Sun</v>
      </c>
      <c r="U638">
        <f>marketing_data[[#This Row],[Cleaned End_date]]-marketing_data[[#This Row],[Start_date]]</f>
        <v>16</v>
      </c>
    </row>
    <row r="639" spans="1:21" x14ac:dyDescent="0.2">
      <c r="A639" t="s">
        <v>1338</v>
      </c>
      <c r="B639" t="s">
        <v>1339</v>
      </c>
      <c r="C639" s="2">
        <v>45008</v>
      </c>
      <c r="D639" t="str">
        <f t="shared" si="57"/>
        <v>Mar</v>
      </c>
      <c r="E639" s="2">
        <v>45026</v>
      </c>
      <c r="F639" t="s">
        <v>14</v>
      </c>
      <c r="G639">
        <v>85076</v>
      </c>
      <c r="H639">
        <v>1541</v>
      </c>
      <c r="I639">
        <v>232</v>
      </c>
      <c r="J639" t="b">
        <v>1</v>
      </c>
      <c r="K639" s="10">
        <v>1495.63</v>
      </c>
      <c r="L639" s="6">
        <f t="shared" si="58"/>
        <v>1.8113216418261319E-2</v>
      </c>
      <c r="M639">
        <f t="shared" si="59"/>
        <v>0.97055807916937065</v>
      </c>
      <c r="N639">
        <f t="shared" si="60"/>
        <v>6.4466810344827588</v>
      </c>
      <c r="O639">
        <f t="shared" si="61"/>
        <v>10104.369999999999</v>
      </c>
      <c r="P639">
        <f t="shared" si="62"/>
        <v>0.15055158987670345</v>
      </c>
      <c r="Q639" t="s">
        <v>4137</v>
      </c>
      <c r="R639" t="s">
        <v>4142</v>
      </c>
      <c r="S639">
        <f>YEAR(marketing_data[[#This Row],[Start_date]])</f>
        <v>2023</v>
      </c>
      <c r="T639" t="str">
        <f>TEXT(marketing_data[[#This Row],[Start_date]],"ddd")</f>
        <v>Thu</v>
      </c>
      <c r="U639">
        <f>marketing_data[[#This Row],[Cleaned End_date]]-marketing_data[[#This Row],[Start_date]]</f>
        <v>18</v>
      </c>
    </row>
    <row r="640" spans="1:21" x14ac:dyDescent="0.2">
      <c r="A640" t="s">
        <v>1340</v>
      </c>
      <c r="B640" t="s">
        <v>1341</v>
      </c>
      <c r="C640" s="2">
        <v>45087</v>
      </c>
      <c r="D640" t="str">
        <f t="shared" si="57"/>
        <v>Jun</v>
      </c>
      <c r="E640" s="2">
        <v>45093</v>
      </c>
      <c r="F640" t="s">
        <v>19</v>
      </c>
      <c r="G640">
        <v>90780</v>
      </c>
      <c r="H640">
        <v>2961</v>
      </c>
      <c r="I640">
        <v>454</v>
      </c>
      <c r="J640" t="b">
        <v>1</v>
      </c>
      <c r="K640" s="10">
        <v>2581.4299999999998</v>
      </c>
      <c r="L640" s="6">
        <f t="shared" si="58"/>
        <v>3.2617316589557174E-2</v>
      </c>
      <c r="M640">
        <f t="shared" si="59"/>
        <v>0.87181019925700776</v>
      </c>
      <c r="N640">
        <f t="shared" si="60"/>
        <v>5.685969162995594</v>
      </c>
      <c r="O640">
        <f t="shared" si="61"/>
        <v>20118.57</v>
      </c>
      <c r="P640">
        <f t="shared" si="62"/>
        <v>0.15332657885849374</v>
      </c>
      <c r="Q640" t="s">
        <v>4139</v>
      </c>
      <c r="R640" t="s">
        <v>4139</v>
      </c>
      <c r="S640">
        <f>YEAR(marketing_data[[#This Row],[Start_date]])</f>
        <v>2023</v>
      </c>
      <c r="T640" t="str">
        <f>TEXT(marketing_data[[#This Row],[Start_date]],"ddd")</f>
        <v>Sat</v>
      </c>
      <c r="U640">
        <f>marketing_data[[#This Row],[Cleaned End_date]]-marketing_data[[#This Row],[Start_date]]</f>
        <v>6</v>
      </c>
    </row>
    <row r="641" spans="1:21" x14ac:dyDescent="0.2">
      <c r="A641" t="s">
        <v>1342</v>
      </c>
      <c r="B641" t="s">
        <v>1343</v>
      </c>
      <c r="C641" s="2">
        <v>45190</v>
      </c>
      <c r="D641" t="str">
        <f t="shared" si="57"/>
        <v>Sep</v>
      </c>
      <c r="E641" s="2">
        <v>45202</v>
      </c>
      <c r="F641" t="s">
        <v>33</v>
      </c>
      <c r="G641">
        <v>22545</v>
      </c>
      <c r="H641">
        <v>1108</v>
      </c>
      <c r="I641">
        <v>112</v>
      </c>
      <c r="J641" t="b">
        <v>0</v>
      </c>
      <c r="K641" s="10">
        <v>1713.6</v>
      </c>
      <c r="L641" s="6">
        <f t="shared" si="58"/>
        <v>4.9146152140164115E-2</v>
      </c>
      <c r="M641">
        <f t="shared" si="59"/>
        <v>1.5465703971119134</v>
      </c>
      <c r="N641">
        <f t="shared" si="60"/>
        <v>15.299999999999999</v>
      </c>
      <c r="O641">
        <f t="shared" si="61"/>
        <v>3886.4</v>
      </c>
      <c r="P641">
        <f t="shared" si="62"/>
        <v>0.10108303249097472</v>
      </c>
      <c r="Q641" t="s">
        <v>4136</v>
      </c>
      <c r="R641" t="s">
        <v>4141</v>
      </c>
      <c r="S641">
        <f>YEAR(marketing_data[[#This Row],[Start_date]])</f>
        <v>2023</v>
      </c>
      <c r="T641" t="str">
        <f>TEXT(marketing_data[[#This Row],[Start_date]],"ddd")</f>
        <v>Thu</v>
      </c>
      <c r="U641">
        <f>marketing_data[[#This Row],[Cleaned End_date]]-marketing_data[[#This Row],[Start_date]]</f>
        <v>12</v>
      </c>
    </row>
    <row r="642" spans="1:21" x14ac:dyDescent="0.2">
      <c r="A642" t="s">
        <v>1344</v>
      </c>
      <c r="B642" t="s">
        <v>1345</v>
      </c>
      <c r="C642" s="2">
        <v>45269</v>
      </c>
      <c r="D642" t="str">
        <f t="shared" si="57"/>
        <v>Dec</v>
      </c>
      <c r="E642" s="2">
        <v>45299</v>
      </c>
      <c r="F642" t="s">
        <v>23</v>
      </c>
      <c r="G642">
        <v>22689</v>
      </c>
      <c r="H642">
        <v>376</v>
      </c>
      <c r="I642">
        <v>30</v>
      </c>
      <c r="J642" t="b">
        <v>1</v>
      </c>
      <c r="K642" s="10">
        <v>393.36</v>
      </c>
      <c r="L642" s="6">
        <f t="shared" si="58"/>
        <v>1.6571907091542156E-2</v>
      </c>
      <c r="M642">
        <f t="shared" si="59"/>
        <v>1.0461702127659576</v>
      </c>
      <c r="N642">
        <f t="shared" si="60"/>
        <v>13.112</v>
      </c>
      <c r="O642">
        <f t="shared" si="61"/>
        <v>1106.6399999999999</v>
      </c>
      <c r="P642">
        <f t="shared" si="62"/>
        <v>7.9787234042553196E-2</v>
      </c>
      <c r="Q642" t="s">
        <v>4138</v>
      </c>
      <c r="R642" t="s">
        <v>4142</v>
      </c>
      <c r="S642">
        <f>YEAR(marketing_data[[#This Row],[Start_date]])</f>
        <v>2023</v>
      </c>
      <c r="T642" t="str">
        <f>TEXT(marketing_data[[#This Row],[Start_date]],"ddd")</f>
        <v>Sat</v>
      </c>
      <c r="U642">
        <f>marketing_data[[#This Row],[Cleaned End_date]]-marketing_data[[#This Row],[Start_date]]</f>
        <v>30</v>
      </c>
    </row>
    <row r="643" spans="1:21" x14ac:dyDescent="0.2">
      <c r="A643" t="s">
        <v>1346</v>
      </c>
      <c r="B643" t="s">
        <v>1347</v>
      </c>
      <c r="C643" s="2">
        <v>45128</v>
      </c>
      <c r="D643" t="str">
        <f t="shared" ref="D643:D706" si="63">TEXT(C643,"mmm")</f>
        <v>Jul</v>
      </c>
      <c r="E643" s="2">
        <v>45158</v>
      </c>
      <c r="F643" t="s">
        <v>19</v>
      </c>
      <c r="G643">
        <v>12174</v>
      </c>
      <c r="H643">
        <v>462</v>
      </c>
      <c r="I643">
        <v>79</v>
      </c>
      <c r="J643" t="b">
        <v>1</v>
      </c>
      <c r="K643" s="10">
        <v>623.39</v>
      </c>
      <c r="L643" s="6">
        <f t="shared" ref="L643:L706" si="64">H643/G643</f>
        <v>3.7949728930507638E-2</v>
      </c>
      <c r="M643">
        <f t="shared" ref="M643:M706" si="65">K643/H643</f>
        <v>1.3493290043290043</v>
      </c>
      <c r="N643">
        <f t="shared" ref="N643:N706" si="66">IFERROR(K643/I643,0)</f>
        <v>7.8910126582278481</v>
      </c>
      <c r="O643">
        <f t="shared" ref="O643:O706" si="67">(50*I643)-K643</f>
        <v>3326.61</v>
      </c>
      <c r="P643">
        <f t="shared" ref="P643:P706" si="68">I643/H643</f>
        <v>0.17099567099567101</v>
      </c>
      <c r="Q643" t="s">
        <v>4139</v>
      </c>
      <c r="R643" t="s">
        <v>4138</v>
      </c>
      <c r="S643">
        <f>YEAR(marketing_data[[#This Row],[Start_date]])</f>
        <v>2023</v>
      </c>
      <c r="T643" t="str">
        <f>TEXT(marketing_data[[#This Row],[Start_date]],"ddd")</f>
        <v>Fri</v>
      </c>
      <c r="U643">
        <f>marketing_data[[#This Row],[Cleaned End_date]]-marketing_data[[#This Row],[Start_date]]</f>
        <v>30</v>
      </c>
    </row>
    <row r="644" spans="1:21" x14ac:dyDescent="0.2">
      <c r="A644" t="s">
        <v>1348</v>
      </c>
      <c r="B644" t="s">
        <v>1349</v>
      </c>
      <c r="C644" s="2">
        <v>45037</v>
      </c>
      <c r="D644" t="str">
        <f t="shared" si="63"/>
        <v>Apr</v>
      </c>
      <c r="E644" s="2">
        <v>45049</v>
      </c>
      <c r="F644" t="s">
        <v>23</v>
      </c>
      <c r="G644">
        <v>89461</v>
      </c>
      <c r="H644">
        <v>2990</v>
      </c>
      <c r="I644">
        <v>246</v>
      </c>
      <c r="J644" t="b">
        <v>1</v>
      </c>
      <c r="K644" s="10">
        <v>1523.06</v>
      </c>
      <c r="L644" s="6">
        <f t="shared" si="64"/>
        <v>3.3422385173427528E-2</v>
      </c>
      <c r="M644">
        <f t="shared" si="65"/>
        <v>0.50938461538461532</v>
      </c>
      <c r="N644">
        <f t="shared" si="66"/>
        <v>6.1913008130081302</v>
      </c>
      <c r="O644">
        <f t="shared" si="67"/>
        <v>10776.94</v>
      </c>
      <c r="P644">
        <f t="shared" si="68"/>
        <v>8.2274247491638794E-2</v>
      </c>
      <c r="Q644" t="s">
        <v>4137</v>
      </c>
      <c r="R644" t="s">
        <v>4138</v>
      </c>
      <c r="S644">
        <f>YEAR(marketing_data[[#This Row],[Start_date]])</f>
        <v>2023</v>
      </c>
      <c r="T644" t="str">
        <f>TEXT(marketing_data[[#This Row],[Start_date]],"ddd")</f>
        <v>Fri</v>
      </c>
      <c r="U644">
        <f>marketing_data[[#This Row],[Cleaned End_date]]-marketing_data[[#This Row],[Start_date]]</f>
        <v>12</v>
      </c>
    </row>
    <row r="645" spans="1:21" x14ac:dyDescent="0.2">
      <c r="A645" t="s">
        <v>1350</v>
      </c>
      <c r="B645" t="s">
        <v>1351</v>
      </c>
      <c r="C645" s="2">
        <v>45071</v>
      </c>
      <c r="D645" t="str">
        <f t="shared" si="63"/>
        <v>May</v>
      </c>
      <c r="E645" s="2">
        <v>45095</v>
      </c>
      <c r="F645" t="s">
        <v>23</v>
      </c>
      <c r="G645">
        <v>10348</v>
      </c>
      <c r="H645">
        <v>346</v>
      </c>
      <c r="I645">
        <v>45</v>
      </c>
      <c r="J645" t="b">
        <v>1</v>
      </c>
      <c r="K645" s="10">
        <v>329.13249999999999</v>
      </c>
      <c r="L645" s="6">
        <f t="shared" si="64"/>
        <v>3.3436412833397759E-2</v>
      </c>
      <c r="M645">
        <f t="shared" si="65"/>
        <v>0.95124999999999993</v>
      </c>
      <c r="N645">
        <f t="shared" si="66"/>
        <v>7.3140555555555551</v>
      </c>
      <c r="O645">
        <f t="shared" si="67"/>
        <v>1920.8675000000001</v>
      </c>
      <c r="P645">
        <f t="shared" si="68"/>
        <v>0.13005780346820808</v>
      </c>
      <c r="Q645" t="s">
        <v>4137</v>
      </c>
      <c r="R645" t="s">
        <v>4138</v>
      </c>
      <c r="S645">
        <f>YEAR(marketing_data[[#This Row],[Start_date]])</f>
        <v>2023</v>
      </c>
      <c r="T645" t="str">
        <f>TEXT(marketing_data[[#This Row],[Start_date]],"ddd")</f>
        <v>Thu</v>
      </c>
      <c r="U645">
        <f>marketing_data[[#This Row],[Cleaned End_date]]-marketing_data[[#This Row],[Start_date]]</f>
        <v>24</v>
      </c>
    </row>
    <row r="646" spans="1:21" x14ac:dyDescent="0.2">
      <c r="A646" t="s">
        <v>1352</v>
      </c>
      <c r="B646" t="s">
        <v>1353</v>
      </c>
      <c r="C646" s="2">
        <v>45261</v>
      </c>
      <c r="D646" t="str">
        <f t="shared" si="63"/>
        <v>Dec</v>
      </c>
      <c r="E646" s="2">
        <v>45279</v>
      </c>
      <c r="F646" t="s">
        <v>19</v>
      </c>
      <c r="G646">
        <v>24714</v>
      </c>
      <c r="H646">
        <v>936</v>
      </c>
      <c r="I646">
        <v>182</v>
      </c>
      <c r="J646" t="b">
        <v>1</v>
      </c>
      <c r="K646" s="10">
        <v>1219.6600000000001</v>
      </c>
      <c r="L646" s="6">
        <f t="shared" si="64"/>
        <v>3.7873270211216316E-2</v>
      </c>
      <c r="M646">
        <f t="shared" si="65"/>
        <v>1.3030555555555556</v>
      </c>
      <c r="N646">
        <f t="shared" si="66"/>
        <v>6.701428571428572</v>
      </c>
      <c r="O646">
        <f t="shared" si="67"/>
        <v>7880.34</v>
      </c>
      <c r="P646">
        <f t="shared" si="68"/>
        <v>0.19444444444444445</v>
      </c>
      <c r="Q646" t="s">
        <v>4138</v>
      </c>
      <c r="R646" t="s">
        <v>4142</v>
      </c>
      <c r="S646">
        <f>YEAR(marketing_data[[#This Row],[Start_date]])</f>
        <v>2023</v>
      </c>
      <c r="T646" t="str">
        <f>TEXT(marketing_data[[#This Row],[Start_date]],"ddd")</f>
        <v>Fri</v>
      </c>
      <c r="U646">
        <f>marketing_data[[#This Row],[Cleaned End_date]]-marketing_data[[#This Row],[Start_date]]</f>
        <v>18</v>
      </c>
    </row>
    <row r="647" spans="1:21" x14ac:dyDescent="0.2">
      <c r="A647" t="s">
        <v>1354</v>
      </c>
      <c r="B647" t="s">
        <v>1355</v>
      </c>
      <c r="C647" s="2">
        <v>44931</v>
      </c>
      <c r="D647" t="str">
        <f t="shared" si="63"/>
        <v>Jan</v>
      </c>
      <c r="E647" s="2">
        <v>44949</v>
      </c>
      <c r="F647" t="s">
        <v>19</v>
      </c>
      <c r="G647">
        <v>39102</v>
      </c>
      <c r="H647">
        <v>1845</v>
      </c>
      <c r="I647">
        <v>133</v>
      </c>
      <c r="J647" t="b">
        <v>1</v>
      </c>
      <c r="K647" s="10">
        <v>2489.1</v>
      </c>
      <c r="L647" s="6">
        <f t="shared" si="64"/>
        <v>4.718428724873408E-2</v>
      </c>
      <c r="M647">
        <f t="shared" si="65"/>
        <v>1.3491056910569106</v>
      </c>
      <c r="N647">
        <f t="shared" si="66"/>
        <v>18.715037593984963</v>
      </c>
      <c r="O647">
        <f t="shared" si="67"/>
        <v>4160.8999999999996</v>
      </c>
      <c r="P647">
        <f t="shared" si="68"/>
        <v>7.2086720867208673E-2</v>
      </c>
      <c r="Q647" t="s">
        <v>4138</v>
      </c>
      <c r="R647" t="s">
        <v>4139</v>
      </c>
      <c r="S647">
        <f>YEAR(marketing_data[[#This Row],[Start_date]])</f>
        <v>2023</v>
      </c>
      <c r="T647" t="str">
        <f>TEXT(marketing_data[[#This Row],[Start_date]],"ddd")</f>
        <v>Thu</v>
      </c>
      <c r="U647">
        <f>marketing_data[[#This Row],[Cleaned End_date]]-marketing_data[[#This Row],[Start_date]]</f>
        <v>18</v>
      </c>
    </row>
    <row r="648" spans="1:21" x14ac:dyDescent="0.2">
      <c r="A648" t="s">
        <v>1356</v>
      </c>
      <c r="B648" t="s">
        <v>1357</v>
      </c>
      <c r="C648" s="2">
        <v>45062</v>
      </c>
      <c r="D648" t="str">
        <f t="shared" si="63"/>
        <v>May</v>
      </c>
      <c r="E648" s="2">
        <v>45067</v>
      </c>
      <c r="F648" t="s">
        <v>41</v>
      </c>
      <c r="G648">
        <v>75460</v>
      </c>
      <c r="H648">
        <v>3116</v>
      </c>
      <c r="J648" t="b">
        <v>1</v>
      </c>
      <c r="K648" s="10">
        <v>3631.7599999999998</v>
      </c>
      <c r="L648" s="6">
        <f t="shared" si="64"/>
        <v>4.1293400477073944E-2</v>
      </c>
      <c r="M648">
        <f t="shared" si="65"/>
        <v>1.1655198973042362</v>
      </c>
      <c r="N648">
        <f t="shared" si="66"/>
        <v>0</v>
      </c>
      <c r="O648">
        <f t="shared" si="67"/>
        <v>-3631.7599999999998</v>
      </c>
      <c r="P648">
        <f t="shared" si="68"/>
        <v>0</v>
      </c>
      <c r="Q648" t="s">
        <v>4137</v>
      </c>
      <c r="R648" t="s">
        <v>4141</v>
      </c>
      <c r="S648">
        <f>YEAR(marketing_data[[#This Row],[Start_date]])</f>
        <v>2023</v>
      </c>
      <c r="T648" t="str">
        <f>TEXT(marketing_data[[#This Row],[Start_date]],"ddd")</f>
        <v>Tue</v>
      </c>
      <c r="U648">
        <f>marketing_data[[#This Row],[Cleaned End_date]]-marketing_data[[#This Row],[Start_date]]</f>
        <v>5</v>
      </c>
    </row>
    <row r="649" spans="1:21" x14ac:dyDescent="0.2">
      <c r="A649" t="s">
        <v>1358</v>
      </c>
      <c r="B649" t="s">
        <v>1359</v>
      </c>
      <c r="C649" s="2">
        <v>45114</v>
      </c>
      <c r="D649" t="str">
        <f t="shared" si="63"/>
        <v>Jul</v>
      </c>
      <c r="E649" s="2">
        <v>45125</v>
      </c>
      <c r="F649" t="s">
        <v>23</v>
      </c>
      <c r="G649">
        <v>90930</v>
      </c>
      <c r="H649">
        <v>1113</v>
      </c>
      <c r="I649">
        <v>86</v>
      </c>
      <c r="J649" t="b">
        <v>0</v>
      </c>
      <c r="K649" s="10">
        <v>776.82</v>
      </c>
      <c r="L649" s="6">
        <f t="shared" si="64"/>
        <v>1.2240184757505773E-2</v>
      </c>
      <c r="M649">
        <f t="shared" si="65"/>
        <v>0.69795148247978445</v>
      </c>
      <c r="N649">
        <f t="shared" si="66"/>
        <v>9.0327906976744199</v>
      </c>
      <c r="O649">
        <f t="shared" si="67"/>
        <v>3523.18</v>
      </c>
      <c r="P649">
        <f t="shared" si="68"/>
        <v>7.7268643306379156E-2</v>
      </c>
      <c r="Q649" t="s">
        <v>4139</v>
      </c>
      <c r="R649" t="s">
        <v>4139</v>
      </c>
      <c r="S649">
        <f>YEAR(marketing_data[[#This Row],[Start_date]])</f>
        <v>2023</v>
      </c>
      <c r="T649" t="str">
        <f>TEXT(marketing_data[[#This Row],[Start_date]],"ddd")</f>
        <v>Fri</v>
      </c>
      <c r="U649">
        <f>marketing_data[[#This Row],[Cleaned End_date]]-marketing_data[[#This Row],[Start_date]]</f>
        <v>11</v>
      </c>
    </row>
    <row r="650" spans="1:21" x14ac:dyDescent="0.2">
      <c r="A650" t="s">
        <v>1360</v>
      </c>
      <c r="B650" t="s">
        <v>1361</v>
      </c>
      <c r="C650" s="2">
        <v>44953</v>
      </c>
      <c r="D650" t="str">
        <f t="shared" si="63"/>
        <v>Jan</v>
      </c>
      <c r="E650" s="2">
        <v>44977</v>
      </c>
      <c r="F650" t="s">
        <v>33</v>
      </c>
      <c r="G650">
        <v>7801</v>
      </c>
      <c r="H650">
        <v>344</v>
      </c>
      <c r="I650">
        <v>46</v>
      </c>
      <c r="J650" t="b">
        <v>1</v>
      </c>
      <c r="K650" s="10">
        <v>436.8</v>
      </c>
      <c r="L650" s="6">
        <f t="shared" si="64"/>
        <v>4.4096910652480455E-2</v>
      </c>
      <c r="M650">
        <f t="shared" si="65"/>
        <v>1.2697674418604652</v>
      </c>
      <c r="N650">
        <f t="shared" si="66"/>
        <v>9.4956521739130437</v>
      </c>
      <c r="O650">
        <f t="shared" si="67"/>
        <v>1863.2</v>
      </c>
      <c r="P650">
        <f t="shared" si="68"/>
        <v>0.13372093023255813</v>
      </c>
      <c r="Q650" t="s">
        <v>4138</v>
      </c>
      <c r="R650" t="s">
        <v>4141</v>
      </c>
      <c r="S650">
        <f>YEAR(marketing_data[[#This Row],[Start_date]])</f>
        <v>2023</v>
      </c>
      <c r="T650" t="str">
        <f>TEXT(marketing_data[[#This Row],[Start_date]],"ddd")</f>
        <v>Fri</v>
      </c>
      <c r="U650">
        <f>marketing_data[[#This Row],[Cleaned End_date]]-marketing_data[[#This Row],[Start_date]]</f>
        <v>24</v>
      </c>
    </row>
    <row r="651" spans="1:21" x14ac:dyDescent="0.2">
      <c r="A651" t="s">
        <v>1362</v>
      </c>
      <c r="B651" t="s">
        <v>1363</v>
      </c>
      <c r="C651" s="2">
        <v>45210</v>
      </c>
      <c r="D651" t="str">
        <f t="shared" si="63"/>
        <v>Oct</v>
      </c>
      <c r="E651" s="2">
        <v>45231</v>
      </c>
      <c r="F651" t="s">
        <v>33</v>
      </c>
      <c r="G651">
        <v>73267</v>
      </c>
      <c r="H651">
        <v>1393</v>
      </c>
      <c r="I651">
        <v>148</v>
      </c>
      <c r="J651" t="b">
        <v>0</v>
      </c>
      <c r="K651" s="10">
        <v>1102.8</v>
      </c>
      <c r="L651" s="6">
        <f t="shared" si="64"/>
        <v>1.9012652353719954E-2</v>
      </c>
      <c r="M651">
        <f t="shared" si="65"/>
        <v>0.79167264895908107</v>
      </c>
      <c r="N651">
        <f t="shared" si="66"/>
        <v>7.4513513513513514</v>
      </c>
      <c r="O651">
        <f t="shared" si="67"/>
        <v>6297.2</v>
      </c>
      <c r="P651">
        <f t="shared" si="68"/>
        <v>0.10624551328068917</v>
      </c>
      <c r="Q651" t="s">
        <v>4136</v>
      </c>
      <c r="R651" t="s">
        <v>4142</v>
      </c>
      <c r="S651">
        <f>YEAR(marketing_data[[#This Row],[Start_date]])</f>
        <v>2023</v>
      </c>
      <c r="T651" t="str">
        <f>TEXT(marketing_data[[#This Row],[Start_date]],"ddd")</f>
        <v>Wed</v>
      </c>
      <c r="U651">
        <f>marketing_data[[#This Row],[Cleaned End_date]]-marketing_data[[#This Row],[Start_date]]</f>
        <v>21</v>
      </c>
    </row>
    <row r="652" spans="1:21" x14ac:dyDescent="0.2">
      <c r="A652" t="s">
        <v>1364</v>
      </c>
      <c r="B652" t="s">
        <v>1365</v>
      </c>
      <c r="C652" s="2">
        <v>45157</v>
      </c>
      <c r="D652" t="str">
        <f t="shared" si="63"/>
        <v>Aug</v>
      </c>
      <c r="E652" s="2">
        <v>45169</v>
      </c>
      <c r="F652" t="s">
        <v>33</v>
      </c>
      <c r="G652">
        <v>49136</v>
      </c>
      <c r="H652">
        <v>1232</v>
      </c>
      <c r="I652">
        <v>239</v>
      </c>
      <c r="J652" t="b">
        <v>0</v>
      </c>
      <c r="K652" s="10">
        <v>788.23</v>
      </c>
      <c r="L652" s="6">
        <f t="shared" si="64"/>
        <v>2.5073266037121459E-2</v>
      </c>
      <c r="M652">
        <f t="shared" si="65"/>
        <v>0.63979707792207796</v>
      </c>
      <c r="N652">
        <f t="shared" si="66"/>
        <v>3.2980334728033474</v>
      </c>
      <c r="O652">
        <f t="shared" si="67"/>
        <v>11161.77</v>
      </c>
      <c r="P652">
        <f t="shared" si="68"/>
        <v>0.1939935064935065</v>
      </c>
      <c r="Q652" t="s">
        <v>4139</v>
      </c>
      <c r="R652" t="s">
        <v>4141</v>
      </c>
      <c r="S652">
        <f>YEAR(marketing_data[[#This Row],[Start_date]])</f>
        <v>2023</v>
      </c>
      <c r="T652" t="str">
        <f>TEXT(marketing_data[[#This Row],[Start_date]],"ddd")</f>
        <v>Sat</v>
      </c>
      <c r="U652">
        <f>marketing_data[[#This Row],[Cleaned End_date]]-marketing_data[[#This Row],[Start_date]]</f>
        <v>12</v>
      </c>
    </row>
    <row r="653" spans="1:21" x14ac:dyDescent="0.2">
      <c r="A653" t="s">
        <v>1366</v>
      </c>
      <c r="B653" t="s">
        <v>1367</v>
      </c>
      <c r="C653" s="2">
        <v>45246</v>
      </c>
      <c r="D653" t="str">
        <f t="shared" si="63"/>
        <v>Nov</v>
      </c>
      <c r="E653" s="2">
        <v>45260</v>
      </c>
      <c r="F653" t="s">
        <v>41</v>
      </c>
      <c r="G653">
        <v>24625</v>
      </c>
      <c r="H653">
        <v>701</v>
      </c>
      <c r="I653">
        <v>63</v>
      </c>
      <c r="J653" t="b">
        <v>1</v>
      </c>
      <c r="K653" s="10">
        <v>782.14</v>
      </c>
      <c r="L653" s="6">
        <f t="shared" si="64"/>
        <v>2.8467005076142131E-2</v>
      </c>
      <c r="M653">
        <f t="shared" si="65"/>
        <v>1.1157489300998573</v>
      </c>
      <c r="N653">
        <f t="shared" si="66"/>
        <v>12.414920634920636</v>
      </c>
      <c r="O653">
        <f t="shared" si="67"/>
        <v>2367.86</v>
      </c>
      <c r="P653">
        <f t="shared" si="68"/>
        <v>8.98716119828816E-2</v>
      </c>
      <c r="Q653" t="s">
        <v>4136</v>
      </c>
      <c r="R653" t="s">
        <v>4139</v>
      </c>
      <c r="S653">
        <f>YEAR(marketing_data[[#This Row],[Start_date]])</f>
        <v>2023</v>
      </c>
      <c r="T653" t="str">
        <f>TEXT(marketing_data[[#This Row],[Start_date]],"ddd")</f>
        <v>Thu</v>
      </c>
      <c r="U653">
        <f>marketing_data[[#This Row],[Cleaned End_date]]-marketing_data[[#This Row],[Start_date]]</f>
        <v>14</v>
      </c>
    </row>
    <row r="654" spans="1:21" x14ac:dyDescent="0.2">
      <c r="A654" t="s">
        <v>1368</v>
      </c>
      <c r="B654" t="s">
        <v>1369</v>
      </c>
      <c r="C654" s="2">
        <v>44976</v>
      </c>
      <c r="D654" t="str">
        <f t="shared" si="63"/>
        <v>Feb</v>
      </c>
      <c r="E654" s="2">
        <v>44982</v>
      </c>
      <c r="F654" t="s">
        <v>41</v>
      </c>
      <c r="G654">
        <v>83873</v>
      </c>
      <c r="H654">
        <v>2452</v>
      </c>
      <c r="I654">
        <v>269</v>
      </c>
      <c r="J654" t="b">
        <v>0</v>
      </c>
      <c r="K654" s="10">
        <v>1826.75</v>
      </c>
      <c r="L654" s="6">
        <f t="shared" si="64"/>
        <v>2.9234676236691189E-2</v>
      </c>
      <c r="M654">
        <f t="shared" si="65"/>
        <v>0.74500407830342574</v>
      </c>
      <c r="N654">
        <f t="shared" si="66"/>
        <v>6.79089219330855</v>
      </c>
      <c r="O654">
        <f t="shared" si="67"/>
        <v>11623.25</v>
      </c>
      <c r="P654">
        <f t="shared" si="68"/>
        <v>0.10970636215334421</v>
      </c>
      <c r="Q654" t="s">
        <v>4138</v>
      </c>
      <c r="R654" t="s">
        <v>4142</v>
      </c>
      <c r="S654">
        <f>YEAR(marketing_data[[#This Row],[Start_date]])</f>
        <v>2023</v>
      </c>
      <c r="T654" t="str">
        <f>TEXT(marketing_data[[#This Row],[Start_date]],"ddd")</f>
        <v>Sun</v>
      </c>
      <c r="U654">
        <f>marketing_data[[#This Row],[Cleaned End_date]]-marketing_data[[#This Row],[Start_date]]</f>
        <v>6</v>
      </c>
    </row>
    <row r="655" spans="1:21" x14ac:dyDescent="0.2">
      <c r="A655" t="s">
        <v>1370</v>
      </c>
      <c r="B655" t="s">
        <v>1371</v>
      </c>
      <c r="C655" s="2">
        <v>45100</v>
      </c>
      <c r="D655" t="str">
        <f t="shared" si="63"/>
        <v>Jun</v>
      </c>
      <c r="E655" s="2">
        <v>45119</v>
      </c>
      <c r="F655" t="s">
        <v>19</v>
      </c>
      <c r="G655">
        <v>73592</v>
      </c>
      <c r="H655">
        <v>2016</v>
      </c>
      <c r="I655">
        <v>398</v>
      </c>
      <c r="J655" t="b">
        <v>1</v>
      </c>
      <c r="K655" s="10">
        <v>1678.67</v>
      </c>
      <c r="L655" s="6">
        <f t="shared" si="64"/>
        <v>2.739428198717252E-2</v>
      </c>
      <c r="M655">
        <f t="shared" si="65"/>
        <v>0.83267361111111116</v>
      </c>
      <c r="N655">
        <f t="shared" si="66"/>
        <v>4.2177638190954774</v>
      </c>
      <c r="O655">
        <f t="shared" si="67"/>
        <v>18221.330000000002</v>
      </c>
      <c r="P655">
        <f t="shared" si="68"/>
        <v>0.19742063492063491</v>
      </c>
      <c r="Q655" t="s">
        <v>4139</v>
      </c>
      <c r="R655" t="s">
        <v>4141</v>
      </c>
      <c r="S655">
        <f>YEAR(marketing_data[[#This Row],[Start_date]])</f>
        <v>2023</v>
      </c>
      <c r="T655" t="str">
        <f>TEXT(marketing_data[[#This Row],[Start_date]],"ddd")</f>
        <v>Fri</v>
      </c>
      <c r="U655">
        <f>marketing_data[[#This Row],[Cleaned End_date]]-marketing_data[[#This Row],[Start_date]]</f>
        <v>19</v>
      </c>
    </row>
    <row r="656" spans="1:21" x14ac:dyDescent="0.2">
      <c r="A656" t="s">
        <v>1372</v>
      </c>
      <c r="B656" t="s">
        <v>1373</v>
      </c>
      <c r="C656" s="2">
        <v>45000</v>
      </c>
      <c r="D656" t="str">
        <f t="shared" si="63"/>
        <v>Mar</v>
      </c>
      <c r="E656" s="2">
        <v>45013</v>
      </c>
      <c r="F656" t="s">
        <v>41</v>
      </c>
      <c r="G656">
        <v>78052</v>
      </c>
      <c r="H656">
        <v>3707</v>
      </c>
      <c r="I656">
        <v>483</v>
      </c>
      <c r="J656" t="b">
        <v>1</v>
      </c>
      <c r="K656" s="10">
        <v>3619.26</v>
      </c>
      <c r="L656" s="6">
        <f t="shared" si="64"/>
        <v>4.7493978373392094E-2</v>
      </c>
      <c r="M656">
        <f t="shared" si="65"/>
        <v>0.97633126517399516</v>
      </c>
      <c r="N656">
        <f t="shared" si="66"/>
        <v>7.4932919254658392</v>
      </c>
      <c r="O656">
        <f t="shared" si="67"/>
        <v>20530.739999999998</v>
      </c>
      <c r="P656">
        <f t="shared" si="68"/>
        <v>0.13029403830590774</v>
      </c>
      <c r="Q656" t="s">
        <v>4137</v>
      </c>
      <c r="R656" t="s">
        <v>4141</v>
      </c>
      <c r="S656">
        <f>YEAR(marketing_data[[#This Row],[Start_date]])</f>
        <v>2023</v>
      </c>
      <c r="T656" t="str">
        <f>TEXT(marketing_data[[#This Row],[Start_date]],"ddd")</f>
        <v>Wed</v>
      </c>
      <c r="U656">
        <f>marketing_data[[#This Row],[Cleaned End_date]]-marketing_data[[#This Row],[Start_date]]</f>
        <v>13</v>
      </c>
    </row>
    <row r="657" spans="1:21" x14ac:dyDescent="0.2">
      <c r="A657" t="s">
        <v>1374</v>
      </c>
      <c r="B657" t="s">
        <v>1375</v>
      </c>
      <c r="C657" s="2">
        <v>45183</v>
      </c>
      <c r="D657" t="str">
        <f t="shared" si="63"/>
        <v>Sep</v>
      </c>
      <c r="E657" s="2">
        <v>45195</v>
      </c>
      <c r="F657" t="str">
        <f>F656</f>
        <v>Google Ads</v>
      </c>
      <c r="G657">
        <v>45261</v>
      </c>
      <c r="H657">
        <v>1730</v>
      </c>
      <c r="I657">
        <v>216</v>
      </c>
      <c r="J657" t="b">
        <v>0</v>
      </c>
      <c r="K657" s="10">
        <v>1538.11</v>
      </c>
      <c r="L657" s="6">
        <f t="shared" si="64"/>
        <v>3.8222752480060095E-2</v>
      </c>
      <c r="M657">
        <f t="shared" si="65"/>
        <v>0.88908092485549128</v>
      </c>
      <c r="N657">
        <f t="shared" si="66"/>
        <v>7.1208796296296288</v>
      </c>
      <c r="O657">
        <f t="shared" si="67"/>
        <v>9261.89</v>
      </c>
      <c r="P657">
        <f t="shared" si="68"/>
        <v>0.12485549132947976</v>
      </c>
      <c r="Q657" t="s">
        <v>4136</v>
      </c>
      <c r="R657" t="s">
        <v>4141</v>
      </c>
      <c r="S657">
        <f>YEAR(marketing_data[[#This Row],[Start_date]])</f>
        <v>2023</v>
      </c>
      <c r="T657" t="str">
        <f>TEXT(marketing_data[[#This Row],[Start_date]],"ddd")</f>
        <v>Thu</v>
      </c>
      <c r="U657">
        <f>marketing_data[[#This Row],[Cleaned End_date]]-marketing_data[[#This Row],[Start_date]]</f>
        <v>12</v>
      </c>
    </row>
    <row r="658" spans="1:21" x14ac:dyDescent="0.2">
      <c r="A658" t="s">
        <v>1377</v>
      </c>
      <c r="B658" t="s">
        <v>1378</v>
      </c>
      <c r="C658" s="2">
        <v>44946</v>
      </c>
      <c r="D658" t="str">
        <f t="shared" si="63"/>
        <v>Jan</v>
      </c>
      <c r="E658" s="2">
        <v>44961</v>
      </c>
      <c r="F658" t="s">
        <v>14</v>
      </c>
      <c r="G658">
        <v>2542</v>
      </c>
      <c r="H658">
        <v>89</v>
      </c>
      <c r="I658">
        <v>7</v>
      </c>
      <c r="J658" t="b">
        <v>0</v>
      </c>
      <c r="K658" s="10">
        <v>329.13249999999999</v>
      </c>
      <c r="L658" s="6">
        <f t="shared" si="64"/>
        <v>3.5011801730920535E-2</v>
      </c>
      <c r="M658">
        <f t="shared" si="65"/>
        <v>3.6981179775280899</v>
      </c>
      <c r="N658">
        <f t="shared" si="66"/>
        <v>47.018928571428567</v>
      </c>
      <c r="O658">
        <f t="shared" si="67"/>
        <v>20.867500000000007</v>
      </c>
      <c r="P658">
        <f t="shared" si="68"/>
        <v>7.8651685393258425E-2</v>
      </c>
      <c r="Q658" t="s">
        <v>4138</v>
      </c>
      <c r="R658" t="s">
        <v>4138</v>
      </c>
      <c r="S658">
        <f>YEAR(marketing_data[[#This Row],[Start_date]])</f>
        <v>2023</v>
      </c>
      <c r="T658" t="str">
        <f>TEXT(marketing_data[[#This Row],[Start_date]],"ddd")</f>
        <v>Fri</v>
      </c>
      <c r="U658">
        <f>marketing_data[[#This Row],[Cleaned End_date]]-marketing_data[[#This Row],[Start_date]]</f>
        <v>15</v>
      </c>
    </row>
    <row r="659" spans="1:21" x14ac:dyDescent="0.2">
      <c r="A659" t="s">
        <v>1379</v>
      </c>
      <c r="B659" t="s">
        <v>1380</v>
      </c>
      <c r="C659" s="2">
        <v>45169</v>
      </c>
      <c r="D659" t="str">
        <f t="shared" si="63"/>
        <v>Aug</v>
      </c>
      <c r="E659" s="2">
        <v>45181</v>
      </c>
      <c r="F659" t="s">
        <v>33</v>
      </c>
      <c r="G659">
        <v>22677</v>
      </c>
      <c r="H659">
        <v>271</v>
      </c>
      <c r="I659">
        <v>42</v>
      </c>
      <c r="J659" t="b">
        <v>1</v>
      </c>
      <c r="K659" s="10">
        <v>329.13249999999999</v>
      </c>
      <c r="L659" s="6">
        <f t="shared" si="64"/>
        <v>1.1950434360806103E-2</v>
      </c>
      <c r="M659">
        <f t="shared" si="65"/>
        <v>1.2145110701107011</v>
      </c>
      <c r="N659">
        <f t="shared" si="66"/>
        <v>7.8364880952380949</v>
      </c>
      <c r="O659">
        <f t="shared" si="67"/>
        <v>1770.8675000000001</v>
      </c>
      <c r="P659">
        <f t="shared" si="68"/>
        <v>0.15498154981549817</v>
      </c>
      <c r="Q659" t="s">
        <v>4139</v>
      </c>
      <c r="R659" t="s">
        <v>4141</v>
      </c>
      <c r="S659">
        <f>YEAR(marketing_data[[#This Row],[Start_date]])</f>
        <v>2023</v>
      </c>
      <c r="T659" t="str">
        <f>TEXT(marketing_data[[#This Row],[Start_date]],"ddd")</f>
        <v>Thu</v>
      </c>
      <c r="U659">
        <f>marketing_data[[#This Row],[Cleaned End_date]]-marketing_data[[#This Row],[Start_date]]</f>
        <v>12</v>
      </c>
    </row>
    <row r="660" spans="1:21" x14ac:dyDescent="0.2">
      <c r="A660" t="s">
        <v>1381</v>
      </c>
      <c r="B660" t="s">
        <v>1382</v>
      </c>
      <c r="C660" s="2">
        <v>45190</v>
      </c>
      <c r="D660" t="str">
        <f t="shared" si="63"/>
        <v>Sep</v>
      </c>
      <c r="E660" s="2">
        <v>45215</v>
      </c>
      <c r="F660" t="s">
        <v>33</v>
      </c>
      <c r="G660">
        <v>47732</v>
      </c>
      <c r="H660">
        <v>2203</v>
      </c>
      <c r="I660">
        <v>114</v>
      </c>
      <c r="J660" t="b">
        <v>0</v>
      </c>
      <c r="K660" s="10">
        <v>1740.09</v>
      </c>
      <c r="L660" s="6">
        <f t="shared" si="64"/>
        <v>4.6153523841448087E-2</v>
      </c>
      <c r="M660">
        <f t="shared" si="65"/>
        <v>0.7898729005901044</v>
      </c>
      <c r="N660">
        <f t="shared" si="66"/>
        <v>15.263947368421052</v>
      </c>
      <c r="O660">
        <f t="shared" si="67"/>
        <v>3959.91</v>
      </c>
      <c r="P660">
        <f t="shared" si="68"/>
        <v>5.1747616886064454E-2</v>
      </c>
      <c r="Q660" t="s">
        <v>4136</v>
      </c>
      <c r="R660" t="s">
        <v>4141</v>
      </c>
      <c r="S660">
        <f>YEAR(marketing_data[[#This Row],[Start_date]])</f>
        <v>2023</v>
      </c>
      <c r="T660" t="str">
        <f>TEXT(marketing_data[[#This Row],[Start_date]],"ddd")</f>
        <v>Thu</v>
      </c>
      <c r="U660">
        <f>marketing_data[[#This Row],[Cleaned End_date]]-marketing_data[[#This Row],[Start_date]]</f>
        <v>25</v>
      </c>
    </row>
    <row r="661" spans="1:21" x14ac:dyDescent="0.2">
      <c r="A661" t="s">
        <v>1383</v>
      </c>
      <c r="B661" t="s">
        <v>1384</v>
      </c>
      <c r="C661" s="2">
        <v>45090</v>
      </c>
      <c r="D661" t="str">
        <f t="shared" si="63"/>
        <v>Jun</v>
      </c>
      <c r="E661" s="2">
        <v>45100</v>
      </c>
      <c r="F661" t="s">
        <v>41</v>
      </c>
      <c r="G661">
        <v>51343</v>
      </c>
      <c r="H661">
        <v>2381</v>
      </c>
      <c r="I661">
        <v>136</v>
      </c>
      <c r="J661" t="b">
        <v>1</v>
      </c>
      <c r="K661" s="10">
        <v>1371.07</v>
      </c>
      <c r="L661" s="6">
        <f t="shared" si="64"/>
        <v>4.6374384044563038E-2</v>
      </c>
      <c r="M661">
        <f t="shared" si="65"/>
        <v>0.57583788324233509</v>
      </c>
      <c r="N661">
        <f t="shared" si="66"/>
        <v>10.081397058823528</v>
      </c>
      <c r="O661">
        <f t="shared" si="67"/>
        <v>5428.93</v>
      </c>
      <c r="P661">
        <f t="shared" si="68"/>
        <v>5.7118857622847546E-2</v>
      </c>
      <c r="Q661" t="s">
        <v>4139</v>
      </c>
      <c r="R661" t="s">
        <v>4142</v>
      </c>
      <c r="S661">
        <f>YEAR(marketing_data[[#This Row],[Start_date]])</f>
        <v>2023</v>
      </c>
      <c r="T661" t="str">
        <f>TEXT(marketing_data[[#This Row],[Start_date]],"ddd")</f>
        <v>Tue</v>
      </c>
      <c r="U661">
        <f>marketing_data[[#This Row],[Cleaned End_date]]-marketing_data[[#This Row],[Start_date]]</f>
        <v>10</v>
      </c>
    </row>
    <row r="662" spans="1:21" x14ac:dyDescent="0.2">
      <c r="A662" t="s">
        <v>1385</v>
      </c>
      <c r="B662" t="s">
        <v>1386</v>
      </c>
      <c r="C662" s="2">
        <v>45080</v>
      </c>
      <c r="D662" t="str">
        <f t="shared" si="63"/>
        <v>Jun</v>
      </c>
      <c r="E662" s="2">
        <v>45085</v>
      </c>
      <c r="F662" t="s">
        <v>19</v>
      </c>
      <c r="G662">
        <v>40081</v>
      </c>
      <c r="H662">
        <v>1651</v>
      </c>
      <c r="I662">
        <v>230</v>
      </c>
      <c r="J662" t="b">
        <v>0</v>
      </c>
      <c r="K662" s="10">
        <v>2376.92</v>
      </c>
      <c r="L662" s="6">
        <f t="shared" si="64"/>
        <v>4.1191587036251594E-2</v>
      </c>
      <c r="M662">
        <f t="shared" si="65"/>
        <v>1.4396850393700789</v>
      </c>
      <c r="N662">
        <f t="shared" si="66"/>
        <v>10.334434782608696</v>
      </c>
      <c r="O662">
        <f t="shared" si="67"/>
        <v>9123.08</v>
      </c>
      <c r="P662">
        <f t="shared" si="68"/>
        <v>0.13930950938824954</v>
      </c>
      <c r="Q662" t="s">
        <v>4139</v>
      </c>
      <c r="R662" t="s">
        <v>4142</v>
      </c>
      <c r="S662">
        <f>YEAR(marketing_data[[#This Row],[Start_date]])</f>
        <v>2023</v>
      </c>
      <c r="T662" t="str">
        <f>TEXT(marketing_data[[#This Row],[Start_date]],"ddd")</f>
        <v>Sat</v>
      </c>
      <c r="U662">
        <f>marketing_data[[#This Row],[Cleaned End_date]]-marketing_data[[#This Row],[Start_date]]</f>
        <v>5</v>
      </c>
    </row>
    <row r="663" spans="1:21" x14ac:dyDescent="0.2">
      <c r="A663" t="s">
        <v>1387</v>
      </c>
      <c r="B663" t="s">
        <v>1388</v>
      </c>
      <c r="C663" s="2">
        <v>45187</v>
      </c>
      <c r="D663" t="str">
        <f t="shared" si="63"/>
        <v>Sep</v>
      </c>
      <c r="E663" s="2">
        <v>45214</v>
      </c>
      <c r="F663" t="s">
        <v>23</v>
      </c>
      <c r="G663">
        <v>63856</v>
      </c>
      <c r="H663">
        <v>656</v>
      </c>
      <c r="J663" t="b">
        <v>0</v>
      </c>
      <c r="K663" s="10">
        <v>610.73</v>
      </c>
      <c r="L663" s="6">
        <f t="shared" si="64"/>
        <v>1.0273114507642195E-2</v>
      </c>
      <c r="M663">
        <f t="shared" si="65"/>
        <v>0.93099085365853662</v>
      </c>
      <c r="N663">
        <f t="shared" si="66"/>
        <v>0</v>
      </c>
      <c r="O663">
        <f t="shared" si="67"/>
        <v>-610.73</v>
      </c>
      <c r="P663">
        <f t="shared" si="68"/>
        <v>0</v>
      </c>
      <c r="Q663" t="s">
        <v>4136</v>
      </c>
      <c r="R663" t="s">
        <v>4142</v>
      </c>
      <c r="S663">
        <f>YEAR(marketing_data[[#This Row],[Start_date]])</f>
        <v>2023</v>
      </c>
      <c r="T663" t="str">
        <f>TEXT(marketing_data[[#This Row],[Start_date]],"ddd")</f>
        <v>Mon</v>
      </c>
      <c r="U663">
        <f>marketing_data[[#This Row],[Cleaned End_date]]-marketing_data[[#This Row],[Start_date]]</f>
        <v>27</v>
      </c>
    </row>
    <row r="664" spans="1:21" x14ac:dyDescent="0.2">
      <c r="A664" t="s">
        <v>1389</v>
      </c>
      <c r="B664" t="s">
        <v>1390</v>
      </c>
      <c r="C664" s="2">
        <v>45080</v>
      </c>
      <c r="D664" t="str">
        <f t="shared" si="63"/>
        <v>Jun</v>
      </c>
      <c r="E664" s="2">
        <v>45110</v>
      </c>
      <c r="F664" t="s">
        <v>19</v>
      </c>
      <c r="G664">
        <v>94105</v>
      </c>
      <c r="H664">
        <v>1156</v>
      </c>
      <c r="I664">
        <v>223</v>
      </c>
      <c r="J664" t="b">
        <v>1</v>
      </c>
      <c r="K664" s="10">
        <v>1063.08</v>
      </c>
      <c r="L664" s="6">
        <f t="shared" si="64"/>
        <v>1.2284150682747994E-2</v>
      </c>
      <c r="M664">
        <f t="shared" si="65"/>
        <v>0.91961937716262965</v>
      </c>
      <c r="N664">
        <f t="shared" si="66"/>
        <v>4.7671748878923763</v>
      </c>
      <c r="O664">
        <f t="shared" si="67"/>
        <v>10086.92</v>
      </c>
      <c r="P664">
        <f t="shared" si="68"/>
        <v>0.19290657439446368</v>
      </c>
      <c r="Q664" t="s">
        <v>4139</v>
      </c>
      <c r="R664" t="s">
        <v>4138</v>
      </c>
      <c r="S664">
        <f>YEAR(marketing_data[[#This Row],[Start_date]])</f>
        <v>2023</v>
      </c>
      <c r="T664" t="str">
        <f>TEXT(marketing_data[[#This Row],[Start_date]],"ddd")</f>
        <v>Sat</v>
      </c>
      <c r="U664">
        <f>marketing_data[[#This Row],[Cleaned End_date]]-marketing_data[[#This Row],[Start_date]]</f>
        <v>30</v>
      </c>
    </row>
    <row r="665" spans="1:21" x14ac:dyDescent="0.2">
      <c r="A665" t="s">
        <v>1391</v>
      </c>
      <c r="B665" t="s">
        <v>1392</v>
      </c>
      <c r="C665" s="2">
        <v>45096</v>
      </c>
      <c r="D665" t="str">
        <f t="shared" si="63"/>
        <v>Jun</v>
      </c>
      <c r="E665" s="2">
        <v>45121</v>
      </c>
      <c r="F665" t="str">
        <f>F664</f>
        <v>Facebook</v>
      </c>
      <c r="G665">
        <v>89858</v>
      </c>
      <c r="H665">
        <v>1708</v>
      </c>
      <c r="I665">
        <v>316</v>
      </c>
      <c r="J665" t="b">
        <v>1</v>
      </c>
      <c r="K665" s="10">
        <v>1704.58</v>
      </c>
      <c r="L665" s="6">
        <f t="shared" si="64"/>
        <v>1.900776781143582E-2</v>
      </c>
      <c r="M665">
        <f t="shared" si="65"/>
        <v>0.99799765807962526</v>
      </c>
      <c r="N665">
        <f t="shared" si="66"/>
        <v>5.3942405063291137</v>
      </c>
      <c r="O665">
        <f t="shared" si="67"/>
        <v>14095.42</v>
      </c>
      <c r="P665">
        <f t="shared" si="68"/>
        <v>0.18501170960187355</v>
      </c>
      <c r="Q665" t="s">
        <v>4139</v>
      </c>
      <c r="R665" t="s">
        <v>4142</v>
      </c>
      <c r="S665">
        <f>YEAR(marketing_data[[#This Row],[Start_date]])</f>
        <v>2023</v>
      </c>
      <c r="T665" t="str">
        <f>TEXT(marketing_data[[#This Row],[Start_date]],"ddd")</f>
        <v>Mon</v>
      </c>
      <c r="U665">
        <f>marketing_data[[#This Row],[Cleaned End_date]]-marketing_data[[#This Row],[Start_date]]</f>
        <v>25</v>
      </c>
    </row>
    <row r="666" spans="1:21" x14ac:dyDescent="0.2">
      <c r="A666" t="s">
        <v>1393</v>
      </c>
      <c r="B666" t="s">
        <v>1394</v>
      </c>
      <c r="C666" s="2">
        <v>45225</v>
      </c>
      <c r="D666" t="str">
        <f t="shared" si="63"/>
        <v>Oct</v>
      </c>
      <c r="E666" s="2">
        <v>45254</v>
      </c>
      <c r="F666" t="s">
        <v>14</v>
      </c>
      <c r="G666">
        <v>20065</v>
      </c>
      <c r="H666">
        <v>306</v>
      </c>
      <c r="I666">
        <v>48</v>
      </c>
      <c r="J666" t="b">
        <v>1</v>
      </c>
      <c r="K666" s="10">
        <v>457.22</v>
      </c>
      <c r="L666" s="6">
        <f t="shared" si="64"/>
        <v>1.5250436082731123E-2</v>
      </c>
      <c r="M666">
        <f t="shared" si="65"/>
        <v>1.4941830065359478</v>
      </c>
      <c r="N666">
        <f t="shared" si="66"/>
        <v>9.5254166666666666</v>
      </c>
      <c r="O666">
        <f t="shared" si="67"/>
        <v>1942.78</v>
      </c>
      <c r="P666">
        <f t="shared" si="68"/>
        <v>0.15686274509803921</v>
      </c>
      <c r="Q666" t="s">
        <v>4136</v>
      </c>
      <c r="R666" t="s">
        <v>4141</v>
      </c>
      <c r="S666">
        <f>YEAR(marketing_data[[#This Row],[Start_date]])</f>
        <v>2023</v>
      </c>
      <c r="T666" t="str">
        <f>TEXT(marketing_data[[#This Row],[Start_date]],"ddd")</f>
        <v>Thu</v>
      </c>
      <c r="U666">
        <f>marketing_data[[#This Row],[Cleaned End_date]]-marketing_data[[#This Row],[Start_date]]</f>
        <v>29</v>
      </c>
    </row>
    <row r="667" spans="1:21" x14ac:dyDescent="0.2">
      <c r="A667" t="s">
        <v>1395</v>
      </c>
      <c r="B667" t="s">
        <v>1396</v>
      </c>
      <c r="C667" s="2">
        <v>45279</v>
      </c>
      <c r="D667" t="str">
        <f t="shared" si="63"/>
        <v>Dec</v>
      </c>
      <c r="E667" s="2">
        <v>45295</v>
      </c>
      <c r="F667" t="s">
        <v>41</v>
      </c>
      <c r="G667">
        <v>84460</v>
      </c>
      <c r="H667">
        <v>2192</v>
      </c>
      <c r="I667">
        <v>378</v>
      </c>
      <c r="J667" t="b">
        <v>0</v>
      </c>
      <c r="K667" s="10">
        <v>3631.7599999999998</v>
      </c>
      <c r="L667" s="6">
        <f t="shared" si="64"/>
        <v>2.5953113900071038E-2</v>
      </c>
      <c r="M667">
        <f t="shared" si="65"/>
        <v>1.6568248175182481</v>
      </c>
      <c r="N667">
        <f t="shared" si="66"/>
        <v>9.6078306878306865</v>
      </c>
      <c r="O667">
        <f t="shared" si="67"/>
        <v>15268.24</v>
      </c>
      <c r="P667">
        <f t="shared" si="68"/>
        <v>0.17244525547445255</v>
      </c>
      <c r="Q667" t="s">
        <v>4138</v>
      </c>
      <c r="R667" t="s">
        <v>4139</v>
      </c>
      <c r="S667">
        <f>YEAR(marketing_data[[#This Row],[Start_date]])</f>
        <v>2023</v>
      </c>
      <c r="T667" t="str">
        <f>TEXT(marketing_data[[#This Row],[Start_date]],"ddd")</f>
        <v>Tue</v>
      </c>
      <c r="U667">
        <f>marketing_data[[#This Row],[Cleaned End_date]]-marketing_data[[#This Row],[Start_date]]</f>
        <v>16</v>
      </c>
    </row>
    <row r="668" spans="1:21" x14ac:dyDescent="0.2">
      <c r="A668" t="s">
        <v>1397</v>
      </c>
      <c r="B668" t="s">
        <v>1398</v>
      </c>
      <c r="C668" s="2">
        <v>45062</v>
      </c>
      <c r="D668" t="str">
        <f t="shared" si="63"/>
        <v>May</v>
      </c>
      <c r="E668" s="2">
        <v>45084</v>
      </c>
      <c r="F668" t="s">
        <v>19</v>
      </c>
      <c r="G668">
        <v>89092</v>
      </c>
      <c r="H668">
        <v>4178</v>
      </c>
      <c r="J668" t="b">
        <v>0</v>
      </c>
      <c r="K668" s="10">
        <v>3631.7599999999998</v>
      </c>
      <c r="L668" s="6">
        <f t="shared" si="64"/>
        <v>4.68953441386432E-2</v>
      </c>
      <c r="M668">
        <f t="shared" si="65"/>
        <v>0.86925801819052173</v>
      </c>
      <c r="N668">
        <f t="shared" si="66"/>
        <v>0</v>
      </c>
      <c r="O668">
        <f t="shared" si="67"/>
        <v>-3631.7599999999998</v>
      </c>
      <c r="P668">
        <f t="shared" si="68"/>
        <v>0</v>
      </c>
      <c r="Q668" t="s">
        <v>4137</v>
      </c>
      <c r="R668" t="s">
        <v>4142</v>
      </c>
      <c r="S668">
        <f>YEAR(marketing_data[[#This Row],[Start_date]])</f>
        <v>2023</v>
      </c>
      <c r="T668" t="str">
        <f>TEXT(marketing_data[[#This Row],[Start_date]],"ddd")</f>
        <v>Tue</v>
      </c>
      <c r="U668">
        <f>marketing_data[[#This Row],[Cleaned End_date]]-marketing_data[[#This Row],[Start_date]]</f>
        <v>22</v>
      </c>
    </row>
    <row r="669" spans="1:21" x14ac:dyDescent="0.2">
      <c r="A669" t="s">
        <v>1399</v>
      </c>
      <c r="B669" t="s">
        <v>1400</v>
      </c>
      <c r="C669" s="2">
        <v>45223</v>
      </c>
      <c r="D669" t="str">
        <f t="shared" si="63"/>
        <v>Oct</v>
      </c>
      <c r="E669" s="2">
        <v>45241</v>
      </c>
      <c r="F669" t="s">
        <v>33</v>
      </c>
      <c r="G669">
        <v>55693</v>
      </c>
      <c r="H669">
        <v>1608</v>
      </c>
      <c r="I669">
        <v>110</v>
      </c>
      <c r="J669" t="b">
        <v>1</v>
      </c>
      <c r="K669" s="10">
        <v>2558.8000000000002</v>
      </c>
      <c r="L669" s="6">
        <f t="shared" si="64"/>
        <v>2.8872569263641751E-2</v>
      </c>
      <c r="M669">
        <f t="shared" si="65"/>
        <v>1.5912935323383086</v>
      </c>
      <c r="N669">
        <f t="shared" si="66"/>
        <v>23.261818181818182</v>
      </c>
      <c r="O669">
        <f t="shared" si="67"/>
        <v>2941.2</v>
      </c>
      <c r="P669">
        <f t="shared" si="68"/>
        <v>6.8407960199004969E-2</v>
      </c>
      <c r="Q669" t="s">
        <v>4136</v>
      </c>
      <c r="R669" t="s">
        <v>4141</v>
      </c>
      <c r="S669">
        <f>YEAR(marketing_data[[#This Row],[Start_date]])</f>
        <v>2023</v>
      </c>
      <c r="T669" t="str">
        <f>TEXT(marketing_data[[#This Row],[Start_date]],"ddd")</f>
        <v>Tue</v>
      </c>
      <c r="U669">
        <f>marketing_data[[#This Row],[Cleaned End_date]]-marketing_data[[#This Row],[Start_date]]</f>
        <v>18</v>
      </c>
    </row>
    <row r="670" spans="1:21" x14ac:dyDescent="0.2">
      <c r="A670" t="s">
        <v>1401</v>
      </c>
      <c r="B670" t="s">
        <v>1402</v>
      </c>
      <c r="C670" s="2">
        <v>45225</v>
      </c>
      <c r="D670" t="str">
        <f t="shared" si="63"/>
        <v>Oct</v>
      </c>
      <c r="E670" s="2">
        <v>45239</v>
      </c>
      <c r="F670" t="s">
        <v>14</v>
      </c>
      <c r="G670">
        <v>27962</v>
      </c>
      <c r="H670">
        <v>294</v>
      </c>
      <c r="I670">
        <v>48</v>
      </c>
      <c r="J670" t="b">
        <v>0</v>
      </c>
      <c r="K670" s="10">
        <v>360.62</v>
      </c>
      <c r="L670" s="6">
        <f t="shared" si="64"/>
        <v>1.0514269365567557E-2</v>
      </c>
      <c r="M670">
        <f t="shared" si="65"/>
        <v>1.2265986394557824</v>
      </c>
      <c r="N670">
        <f t="shared" si="66"/>
        <v>7.5129166666666665</v>
      </c>
      <c r="O670">
        <f t="shared" si="67"/>
        <v>2039.38</v>
      </c>
      <c r="P670">
        <f t="shared" si="68"/>
        <v>0.16326530612244897</v>
      </c>
      <c r="Q670" t="s">
        <v>4136</v>
      </c>
      <c r="R670" t="s">
        <v>4138</v>
      </c>
      <c r="S670">
        <f>YEAR(marketing_data[[#This Row],[Start_date]])</f>
        <v>2023</v>
      </c>
      <c r="T670" t="str">
        <f>TEXT(marketing_data[[#This Row],[Start_date]],"ddd")</f>
        <v>Thu</v>
      </c>
      <c r="U670">
        <f>marketing_data[[#This Row],[Cleaned End_date]]-marketing_data[[#This Row],[Start_date]]</f>
        <v>14</v>
      </c>
    </row>
    <row r="671" spans="1:21" x14ac:dyDescent="0.2">
      <c r="A671" t="s">
        <v>1403</v>
      </c>
      <c r="B671" t="s">
        <v>1404</v>
      </c>
      <c r="C671" s="2">
        <v>45244</v>
      </c>
      <c r="D671" t="str">
        <f t="shared" si="63"/>
        <v>Nov</v>
      </c>
      <c r="E671" s="2">
        <v>45256</v>
      </c>
      <c r="F671" t="s">
        <v>14</v>
      </c>
      <c r="G671">
        <v>29295</v>
      </c>
      <c r="H671">
        <v>624</v>
      </c>
      <c r="I671">
        <v>50</v>
      </c>
      <c r="J671" t="b">
        <v>0</v>
      </c>
      <c r="K671" s="10">
        <v>961.4</v>
      </c>
      <c r="L671" s="6">
        <f t="shared" si="64"/>
        <v>2.1300563236047107E-2</v>
      </c>
      <c r="M671">
        <f t="shared" si="65"/>
        <v>1.5407051282051281</v>
      </c>
      <c r="N671">
        <f t="shared" si="66"/>
        <v>19.227999999999998</v>
      </c>
      <c r="O671">
        <f t="shared" si="67"/>
        <v>1538.6</v>
      </c>
      <c r="P671">
        <f t="shared" si="68"/>
        <v>8.0128205128205135E-2</v>
      </c>
      <c r="Q671" t="s">
        <v>4136</v>
      </c>
      <c r="R671" t="s">
        <v>4141</v>
      </c>
      <c r="S671">
        <f>YEAR(marketing_data[[#This Row],[Start_date]])</f>
        <v>2023</v>
      </c>
      <c r="T671" t="str">
        <f>TEXT(marketing_data[[#This Row],[Start_date]],"ddd")</f>
        <v>Tue</v>
      </c>
      <c r="U671">
        <f>marketing_data[[#This Row],[Cleaned End_date]]-marketing_data[[#This Row],[Start_date]]</f>
        <v>12</v>
      </c>
    </row>
    <row r="672" spans="1:21" x14ac:dyDescent="0.2">
      <c r="A672" t="s">
        <v>1405</v>
      </c>
      <c r="B672" t="s">
        <v>1406</v>
      </c>
      <c r="C672" s="2">
        <v>45275</v>
      </c>
      <c r="D672" t="str">
        <f t="shared" si="63"/>
        <v>Dec</v>
      </c>
      <c r="E672" s="2">
        <v>45289</v>
      </c>
      <c r="F672" t="s">
        <v>41</v>
      </c>
      <c r="G672">
        <v>14807</v>
      </c>
      <c r="H672">
        <v>174</v>
      </c>
      <c r="I672">
        <v>17</v>
      </c>
      <c r="J672" t="b">
        <v>0</v>
      </c>
      <c r="K672" s="10">
        <v>329.13249999999999</v>
      </c>
      <c r="L672" s="6">
        <f t="shared" si="64"/>
        <v>1.1751198757344499E-2</v>
      </c>
      <c r="M672">
        <f t="shared" si="65"/>
        <v>1.8915660919540229</v>
      </c>
      <c r="N672">
        <f t="shared" si="66"/>
        <v>19.360735294117646</v>
      </c>
      <c r="O672">
        <f t="shared" si="67"/>
        <v>520.86750000000006</v>
      </c>
      <c r="P672">
        <f t="shared" si="68"/>
        <v>9.7701149425287362E-2</v>
      </c>
      <c r="Q672" t="s">
        <v>4138</v>
      </c>
      <c r="R672" t="s">
        <v>4138</v>
      </c>
      <c r="S672">
        <f>YEAR(marketing_data[[#This Row],[Start_date]])</f>
        <v>2023</v>
      </c>
      <c r="T672" t="str">
        <f>TEXT(marketing_data[[#This Row],[Start_date]],"ddd")</f>
        <v>Fri</v>
      </c>
      <c r="U672">
        <f>marketing_data[[#This Row],[Cleaned End_date]]-marketing_data[[#This Row],[Start_date]]</f>
        <v>14</v>
      </c>
    </row>
    <row r="673" spans="1:21" x14ac:dyDescent="0.2">
      <c r="A673" t="s">
        <v>1407</v>
      </c>
      <c r="B673" t="s">
        <v>1408</v>
      </c>
      <c r="C673" s="2">
        <v>45285</v>
      </c>
      <c r="D673" t="str">
        <f t="shared" si="63"/>
        <v>Dec</v>
      </c>
      <c r="E673" s="2">
        <v>45288</v>
      </c>
      <c r="F673" t="s">
        <v>33</v>
      </c>
      <c r="G673">
        <v>43348</v>
      </c>
      <c r="H673">
        <v>496</v>
      </c>
      <c r="I673">
        <v>85</v>
      </c>
      <c r="J673" t="b">
        <v>0</v>
      </c>
      <c r="K673" s="10">
        <v>408.89</v>
      </c>
      <c r="L673" s="6">
        <f t="shared" si="64"/>
        <v>1.1442281074097997E-2</v>
      </c>
      <c r="M673">
        <f t="shared" si="65"/>
        <v>0.82437499999999997</v>
      </c>
      <c r="N673">
        <f t="shared" si="66"/>
        <v>4.8104705882352938</v>
      </c>
      <c r="O673">
        <f t="shared" si="67"/>
        <v>3841.11</v>
      </c>
      <c r="P673">
        <f t="shared" si="68"/>
        <v>0.17137096774193547</v>
      </c>
      <c r="Q673" t="s">
        <v>4138</v>
      </c>
      <c r="R673" t="s">
        <v>4142</v>
      </c>
      <c r="S673">
        <f>YEAR(marketing_data[[#This Row],[Start_date]])</f>
        <v>2023</v>
      </c>
      <c r="T673" t="str">
        <f>TEXT(marketing_data[[#This Row],[Start_date]],"ddd")</f>
        <v>Mon</v>
      </c>
      <c r="U673">
        <f>marketing_data[[#This Row],[Cleaned End_date]]-marketing_data[[#This Row],[Start_date]]</f>
        <v>3</v>
      </c>
    </row>
    <row r="674" spans="1:21" x14ac:dyDescent="0.2">
      <c r="A674" t="s">
        <v>1409</v>
      </c>
      <c r="B674" t="s">
        <v>1410</v>
      </c>
      <c r="C674" s="2">
        <v>45087</v>
      </c>
      <c r="D674" t="str">
        <f t="shared" si="63"/>
        <v>Jun</v>
      </c>
      <c r="E674" s="2">
        <v>45107</v>
      </c>
      <c r="F674" t="s">
        <v>33</v>
      </c>
      <c r="G674">
        <v>27432</v>
      </c>
      <c r="H674">
        <v>576</v>
      </c>
      <c r="I674">
        <v>75</v>
      </c>
      <c r="J674" t="b">
        <v>1</v>
      </c>
      <c r="K674" s="10">
        <v>468.22</v>
      </c>
      <c r="L674" s="6">
        <f t="shared" si="64"/>
        <v>2.0997375328083989E-2</v>
      </c>
      <c r="M674">
        <f t="shared" si="65"/>
        <v>0.8128819444444445</v>
      </c>
      <c r="N674">
        <f t="shared" si="66"/>
        <v>6.2429333333333341</v>
      </c>
      <c r="O674">
        <f t="shared" si="67"/>
        <v>3281.7799999999997</v>
      </c>
      <c r="P674">
        <f t="shared" si="68"/>
        <v>0.13020833333333334</v>
      </c>
      <c r="Q674" t="s">
        <v>4139</v>
      </c>
      <c r="R674" t="s">
        <v>4139</v>
      </c>
      <c r="S674">
        <f>YEAR(marketing_data[[#This Row],[Start_date]])</f>
        <v>2023</v>
      </c>
      <c r="T674" t="str">
        <f>TEXT(marketing_data[[#This Row],[Start_date]],"ddd")</f>
        <v>Sat</v>
      </c>
      <c r="U674">
        <f>marketing_data[[#This Row],[Cleaned End_date]]-marketing_data[[#This Row],[Start_date]]</f>
        <v>20</v>
      </c>
    </row>
    <row r="675" spans="1:21" x14ac:dyDescent="0.2">
      <c r="A675" t="s">
        <v>1411</v>
      </c>
      <c r="B675" t="s">
        <v>1412</v>
      </c>
      <c r="C675" s="2">
        <v>45031</v>
      </c>
      <c r="D675" t="str">
        <f t="shared" si="63"/>
        <v>Apr</v>
      </c>
      <c r="E675" s="2">
        <v>45040</v>
      </c>
      <c r="F675" t="s">
        <v>41</v>
      </c>
      <c r="G675">
        <v>84285</v>
      </c>
      <c r="H675">
        <v>1772</v>
      </c>
      <c r="I675">
        <v>317</v>
      </c>
      <c r="J675" t="b">
        <v>0</v>
      </c>
      <c r="K675" s="10">
        <v>1673.81</v>
      </c>
      <c r="L675" s="6">
        <f t="shared" si="64"/>
        <v>2.1023906982262561E-2</v>
      </c>
      <c r="M675">
        <f t="shared" si="65"/>
        <v>0.94458803611738151</v>
      </c>
      <c r="N675">
        <f t="shared" si="66"/>
        <v>5.2801577287066248</v>
      </c>
      <c r="O675">
        <f t="shared" si="67"/>
        <v>14176.19</v>
      </c>
      <c r="P675">
        <f t="shared" si="68"/>
        <v>0.17889390519187359</v>
      </c>
      <c r="Q675" t="s">
        <v>4137</v>
      </c>
      <c r="R675" t="s">
        <v>4142</v>
      </c>
      <c r="S675">
        <f>YEAR(marketing_data[[#This Row],[Start_date]])</f>
        <v>2023</v>
      </c>
      <c r="T675" t="str">
        <f>TEXT(marketing_data[[#This Row],[Start_date]],"ddd")</f>
        <v>Sat</v>
      </c>
      <c r="U675">
        <f>marketing_data[[#This Row],[Cleaned End_date]]-marketing_data[[#This Row],[Start_date]]</f>
        <v>9</v>
      </c>
    </row>
    <row r="676" spans="1:21" x14ac:dyDescent="0.2">
      <c r="A676" t="s">
        <v>1413</v>
      </c>
      <c r="B676" t="s">
        <v>1414</v>
      </c>
      <c r="C676" s="2">
        <v>45168</v>
      </c>
      <c r="D676" t="str">
        <f t="shared" si="63"/>
        <v>Aug</v>
      </c>
      <c r="E676" s="2">
        <v>45197</v>
      </c>
      <c r="F676" t="s">
        <v>14</v>
      </c>
      <c r="G676">
        <v>92792</v>
      </c>
      <c r="H676">
        <v>3849</v>
      </c>
      <c r="I676">
        <v>315</v>
      </c>
      <c r="J676" t="b">
        <v>1</v>
      </c>
      <c r="K676" s="10">
        <v>3631.7599999999998</v>
      </c>
      <c r="L676" s="6">
        <f t="shared" si="64"/>
        <v>4.1479868954220192E-2</v>
      </c>
      <c r="M676">
        <f t="shared" si="65"/>
        <v>0.94355936606910884</v>
      </c>
      <c r="N676">
        <f t="shared" si="66"/>
        <v>11.529396825396825</v>
      </c>
      <c r="O676">
        <f t="shared" si="67"/>
        <v>12118.24</v>
      </c>
      <c r="P676">
        <f t="shared" si="68"/>
        <v>8.1839438815276694E-2</v>
      </c>
      <c r="Q676" t="s">
        <v>4139</v>
      </c>
      <c r="R676" t="s">
        <v>4141</v>
      </c>
      <c r="S676">
        <f>YEAR(marketing_data[[#This Row],[Start_date]])</f>
        <v>2023</v>
      </c>
      <c r="T676" t="str">
        <f>TEXT(marketing_data[[#This Row],[Start_date]],"ddd")</f>
        <v>Wed</v>
      </c>
      <c r="U676">
        <f>marketing_data[[#This Row],[Cleaned End_date]]-marketing_data[[#This Row],[Start_date]]</f>
        <v>29</v>
      </c>
    </row>
    <row r="677" spans="1:21" x14ac:dyDescent="0.2">
      <c r="A677" t="s">
        <v>1415</v>
      </c>
      <c r="B677" t="s">
        <v>1416</v>
      </c>
      <c r="C677" s="2">
        <v>44958</v>
      </c>
      <c r="D677" t="str">
        <f t="shared" si="63"/>
        <v>Feb</v>
      </c>
      <c r="E677" s="2">
        <v>44963</v>
      </c>
      <c r="F677" t="str">
        <f>F676</f>
        <v>TikTok</v>
      </c>
      <c r="G677">
        <v>58854</v>
      </c>
      <c r="H677">
        <v>2883</v>
      </c>
      <c r="I677">
        <v>406</v>
      </c>
      <c r="J677" t="b">
        <v>0</v>
      </c>
      <c r="K677" s="10">
        <v>3631.7599999999998</v>
      </c>
      <c r="L677" s="6">
        <f t="shared" si="64"/>
        <v>4.8985625446018963E-2</v>
      </c>
      <c r="M677">
        <f t="shared" si="65"/>
        <v>1.2597155740548038</v>
      </c>
      <c r="N677">
        <f t="shared" si="66"/>
        <v>8.9452216748768461</v>
      </c>
      <c r="O677">
        <f t="shared" si="67"/>
        <v>16668.240000000002</v>
      </c>
      <c r="P677">
        <f t="shared" si="68"/>
        <v>0.14082552896288589</v>
      </c>
      <c r="Q677" t="s">
        <v>4138</v>
      </c>
      <c r="R677" t="s">
        <v>4142</v>
      </c>
      <c r="S677">
        <f>YEAR(marketing_data[[#This Row],[Start_date]])</f>
        <v>2023</v>
      </c>
      <c r="T677" t="str">
        <f>TEXT(marketing_data[[#This Row],[Start_date]],"ddd")</f>
        <v>Wed</v>
      </c>
      <c r="U677">
        <f>marketing_data[[#This Row],[Cleaned End_date]]-marketing_data[[#This Row],[Start_date]]</f>
        <v>5</v>
      </c>
    </row>
    <row r="678" spans="1:21" x14ac:dyDescent="0.2">
      <c r="A678" t="s">
        <v>1417</v>
      </c>
      <c r="B678" t="s">
        <v>1418</v>
      </c>
      <c r="C678" s="2">
        <v>45214</v>
      </c>
      <c r="D678" t="str">
        <f t="shared" si="63"/>
        <v>Oct</v>
      </c>
      <c r="E678" s="2">
        <v>45225</v>
      </c>
      <c r="F678" t="s">
        <v>14</v>
      </c>
      <c r="G678">
        <v>41262</v>
      </c>
      <c r="H678">
        <v>1025</v>
      </c>
      <c r="I678">
        <v>64</v>
      </c>
      <c r="J678" t="b">
        <v>0</v>
      </c>
      <c r="K678" s="10">
        <v>1640.88</v>
      </c>
      <c r="L678" s="6">
        <f t="shared" si="64"/>
        <v>2.4841258300615579E-2</v>
      </c>
      <c r="M678">
        <f t="shared" si="65"/>
        <v>1.600858536585366</v>
      </c>
      <c r="N678">
        <f t="shared" si="66"/>
        <v>25.638750000000002</v>
      </c>
      <c r="O678">
        <f t="shared" si="67"/>
        <v>1559.12</v>
      </c>
      <c r="P678">
        <f t="shared" si="68"/>
        <v>6.2439024390243902E-2</v>
      </c>
      <c r="Q678" t="s">
        <v>4136</v>
      </c>
      <c r="R678" t="s">
        <v>4142</v>
      </c>
      <c r="S678">
        <f>YEAR(marketing_data[[#This Row],[Start_date]])</f>
        <v>2023</v>
      </c>
      <c r="T678" t="str">
        <f>TEXT(marketing_data[[#This Row],[Start_date]],"ddd")</f>
        <v>Sun</v>
      </c>
      <c r="U678">
        <f>marketing_data[[#This Row],[Cleaned End_date]]-marketing_data[[#This Row],[Start_date]]</f>
        <v>11</v>
      </c>
    </row>
    <row r="679" spans="1:21" x14ac:dyDescent="0.2">
      <c r="A679" t="s">
        <v>1419</v>
      </c>
      <c r="B679" t="s">
        <v>1420</v>
      </c>
      <c r="C679" s="2">
        <v>45196</v>
      </c>
      <c r="D679" t="str">
        <f t="shared" si="63"/>
        <v>Sep</v>
      </c>
      <c r="E679" s="2">
        <v>45226</v>
      </c>
      <c r="F679" t="s">
        <v>14</v>
      </c>
      <c r="G679">
        <v>38080</v>
      </c>
      <c r="H679">
        <v>1034</v>
      </c>
      <c r="I679">
        <v>151</v>
      </c>
      <c r="J679" t="b">
        <v>0</v>
      </c>
      <c r="K679" s="10">
        <v>1054.51</v>
      </c>
      <c r="L679" s="6">
        <f t="shared" si="64"/>
        <v>2.7153361344537816E-2</v>
      </c>
      <c r="M679">
        <f t="shared" si="65"/>
        <v>1.0198355899419729</v>
      </c>
      <c r="N679">
        <f t="shared" si="66"/>
        <v>6.9835099337748341</v>
      </c>
      <c r="O679">
        <f t="shared" si="67"/>
        <v>6495.49</v>
      </c>
      <c r="P679">
        <f t="shared" si="68"/>
        <v>0.14603481624758222</v>
      </c>
      <c r="Q679" t="s">
        <v>4136</v>
      </c>
      <c r="R679" t="s">
        <v>4139</v>
      </c>
      <c r="S679">
        <f>YEAR(marketing_data[[#This Row],[Start_date]])</f>
        <v>2023</v>
      </c>
      <c r="T679" t="str">
        <f>TEXT(marketing_data[[#This Row],[Start_date]],"ddd")</f>
        <v>Wed</v>
      </c>
      <c r="U679">
        <f>marketing_data[[#This Row],[Cleaned End_date]]-marketing_data[[#This Row],[Start_date]]</f>
        <v>30</v>
      </c>
    </row>
    <row r="680" spans="1:21" x14ac:dyDescent="0.2">
      <c r="A680" t="s">
        <v>1421</v>
      </c>
      <c r="B680" t="s">
        <v>1422</v>
      </c>
      <c r="C680" s="2">
        <v>45162</v>
      </c>
      <c r="D680" t="str">
        <f t="shared" si="63"/>
        <v>Aug</v>
      </c>
      <c r="E680" s="2">
        <v>45174</v>
      </c>
      <c r="F680" t="s">
        <v>41</v>
      </c>
      <c r="G680">
        <v>2324</v>
      </c>
      <c r="H680">
        <v>101</v>
      </c>
      <c r="J680" t="b">
        <v>1</v>
      </c>
      <c r="K680" s="10">
        <v>329.13249999999999</v>
      </c>
      <c r="L680" s="6">
        <f t="shared" si="64"/>
        <v>4.3459552495697072E-2</v>
      </c>
      <c r="M680">
        <f t="shared" si="65"/>
        <v>3.258737623762376</v>
      </c>
      <c r="N680">
        <f t="shared" si="66"/>
        <v>0</v>
      </c>
      <c r="O680">
        <f t="shared" si="67"/>
        <v>-329.13249999999999</v>
      </c>
      <c r="P680">
        <f t="shared" si="68"/>
        <v>0</v>
      </c>
      <c r="Q680" t="s">
        <v>4139</v>
      </c>
      <c r="R680" t="s">
        <v>4142</v>
      </c>
      <c r="S680">
        <f>YEAR(marketing_data[[#This Row],[Start_date]])</f>
        <v>2023</v>
      </c>
      <c r="T680" t="str">
        <f>TEXT(marketing_data[[#This Row],[Start_date]],"ddd")</f>
        <v>Thu</v>
      </c>
      <c r="U680">
        <f>marketing_data[[#This Row],[Cleaned End_date]]-marketing_data[[#This Row],[Start_date]]</f>
        <v>12</v>
      </c>
    </row>
    <row r="681" spans="1:21" x14ac:dyDescent="0.2">
      <c r="A681" t="s">
        <v>1423</v>
      </c>
      <c r="B681" t="s">
        <v>1424</v>
      </c>
      <c r="C681" s="2">
        <v>45108</v>
      </c>
      <c r="D681" t="str">
        <f t="shared" si="63"/>
        <v>Jul</v>
      </c>
      <c r="E681" s="2">
        <v>45129</v>
      </c>
      <c r="F681" t="s">
        <v>19</v>
      </c>
      <c r="G681">
        <v>92267</v>
      </c>
      <c r="H681">
        <v>1912</v>
      </c>
      <c r="I681">
        <v>263</v>
      </c>
      <c r="J681" t="b">
        <v>1</v>
      </c>
      <c r="K681" s="10">
        <v>1316.12</v>
      </c>
      <c r="L681" s="6">
        <f t="shared" si="64"/>
        <v>2.0722468488191877E-2</v>
      </c>
      <c r="M681">
        <f t="shared" si="65"/>
        <v>0.68834728033472803</v>
      </c>
      <c r="N681">
        <f t="shared" si="66"/>
        <v>5.0042585551330792</v>
      </c>
      <c r="O681">
        <f t="shared" si="67"/>
        <v>11833.880000000001</v>
      </c>
      <c r="P681">
        <f t="shared" si="68"/>
        <v>0.13755230125523013</v>
      </c>
      <c r="Q681" t="s">
        <v>4139</v>
      </c>
      <c r="R681" t="s">
        <v>4142</v>
      </c>
      <c r="S681">
        <f>YEAR(marketing_data[[#This Row],[Start_date]])</f>
        <v>2023</v>
      </c>
      <c r="T681" t="str">
        <f>TEXT(marketing_data[[#This Row],[Start_date]],"ddd")</f>
        <v>Sat</v>
      </c>
      <c r="U681">
        <f>marketing_data[[#This Row],[Cleaned End_date]]-marketing_data[[#This Row],[Start_date]]</f>
        <v>21</v>
      </c>
    </row>
    <row r="682" spans="1:21" x14ac:dyDescent="0.2">
      <c r="A682" t="s">
        <v>1425</v>
      </c>
      <c r="B682" t="s">
        <v>1426</v>
      </c>
      <c r="C682" s="2">
        <v>45275</v>
      </c>
      <c r="D682" t="str">
        <f t="shared" si="63"/>
        <v>Dec</v>
      </c>
      <c r="E682" s="2">
        <v>45290</v>
      </c>
      <c r="F682" t="s">
        <v>41</v>
      </c>
      <c r="G682">
        <v>36909</v>
      </c>
      <c r="H682">
        <v>599</v>
      </c>
      <c r="I682">
        <v>53</v>
      </c>
      <c r="J682" t="b">
        <v>1</v>
      </c>
      <c r="K682" s="10">
        <v>453.41</v>
      </c>
      <c r="L682" s="6">
        <f t="shared" si="64"/>
        <v>1.6229104012571459E-2</v>
      </c>
      <c r="M682">
        <f t="shared" si="65"/>
        <v>0.75694490818030058</v>
      </c>
      <c r="N682">
        <f t="shared" si="66"/>
        <v>8.5549056603773597</v>
      </c>
      <c r="O682">
        <f t="shared" si="67"/>
        <v>2196.59</v>
      </c>
      <c r="P682">
        <f t="shared" si="68"/>
        <v>8.8480801335559259E-2</v>
      </c>
      <c r="Q682" t="s">
        <v>4138</v>
      </c>
      <c r="R682" t="s">
        <v>4141</v>
      </c>
      <c r="S682">
        <f>YEAR(marketing_data[[#This Row],[Start_date]])</f>
        <v>2023</v>
      </c>
      <c r="T682" t="str">
        <f>TEXT(marketing_data[[#This Row],[Start_date]],"ddd")</f>
        <v>Fri</v>
      </c>
      <c r="U682">
        <f>marketing_data[[#This Row],[Cleaned End_date]]-marketing_data[[#This Row],[Start_date]]</f>
        <v>15</v>
      </c>
    </row>
    <row r="683" spans="1:21" x14ac:dyDescent="0.2">
      <c r="A683" t="s">
        <v>1427</v>
      </c>
      <c r="B683" t="s">
        <v>1428</v>
      </c>
      <c r="C683" s="2">
        <v>45239</v>
      </c>
      <c r="D683" t="str">
        <f t="shared" si="63"/>
        <v>Nov</v>
      </c>
      <c r="E683" s="2">
        <v>45254</v>
      </c>
      <c r="F683" t="s">
        <v>41</v>
      </c>
      <c r="G683">
        <v>90339</v>
      </c>
      <c r="H683">
        <v>3986</v>
      </c>
      <c r="I683">
        <v>218</v>
      </c>
      <c r="J683" t="b">
        <v>1</v>
      </c>
      <c r="K683" s="10">
        <v>3631.7599999999998</v>
      </c>
      <c r="L683" s="6">
        <f t="shared" si="64"/>
        <v>4.4122693410376473E-2</v>
      </c>
      <c r="M683">
        <f t="shared" si="65"/>
        <v>0.91112895132965377</v>
      </c>
      <c r="N683">
        <f t="shared" si="66"/>
        <v>16.659449541284403</v>
      </c>
      <c r="O683">
        <f t="shared" si="67"/>
        <v>7268.24</v>
      </c>
      <c r="P683">
        <f t="shared" si="68"/>
        <v>5.4691419969894628E-2</v>
      </c>
      <c r="Q683" t="s">
        <v>4136</v>
      </c>
      <c r="R683" t="s">
        <v>4139</v>
      </c>
      <c r="S683">
        <f>YEAR(marketing_data[[#This Row],[Start_date]])</f>
        <v>2023</v>
      </c>
      <c r="T683" t="str">
        <f>TEXT(marketing_data[[#This Row],[Start_date]],"ddd")</f>
        <v>Thu</v>
      </c>
      <c r="U683">
        <f>marketing_data[[#This Row],[Cleaned End_date]]-marketing_data[[#This Row],[Start_date]]</f>
        <v>15</v>
      </c>
    </row>
    <row r="684" spans="1:21" x14ac:dyDescent="0.2">
      <c r="A684" t="s">
        <v>1429</v>
      </c>
      <c r="B684" t="s">
        <v>1430</v>
      </c>
      <c r="C684" s="2">
        <v>45069</v>
      </c>
      <c r="D684" t="str">
        <f t="shared" si="63"/>
        <v>May</v>
      </c>
      <c r="E684" s="2">
        <v>45094</v>
      </c>
      <c r="F684" t="s">
        <v>23</v>
      </c>
      <c r="G684">
        <v>20870</v>
      </c>
      <c r="H684">
        <v>247</v>
      </c>
      <c r="I684">
        <v>16</v>
      </c>
      <c r="J684" t="b">
        <v>0</v>
      </c>
      <c r="K684" s="10">
        <v>340.18</v>
      </c>
      <c r="L684" s="6">
        <f t="shared" si="64"/>
        <v>1.1835170100622903E-2</v>
      </c>
      <c r="M684">
        <f t="shared" si="65"/>
        <v>1.3772469635627531</v>
      </c>
      <c r="N684">
        <f t="shared" si="66"/>
        <v>21.26125</v>
      </c>
      <c r="O684">
        <f t="shared" si="67"/>
        <v>459.82</v>
      </c>
      <c r="P684">
        <f t="shared" si="68"/>
        <v>6.4777327935222673E-2</v>
      </c>
      <c r="Q684" t="s">
        <v>4137</v>
      </c>
      <c r="R684" t="s">
        <v>4139</v>
      </c>
      <c r="S684">
        <f>YEAR(marketing_data[[#This Row],[Start_date]])</f>
        <v>2023</v>
      </c>
      <c r="T684" t="str">
        <f>TEXT(marketing_data[[#This Row],[Start_date]],"ddd")</f>
        <v>Tue</v>
      </c>
      <c r="U684">
        <f>marketing_data[[#This Row],[Cleaned End_date]]-marketing_data[[#This Row],[Start_date]]</f>
        <v>25</v>
      </c>
    </row>
    <row r="685" spans="1:21" x14ac:dyDescent="0.2">
      <c r="A685" t="s">
        <v>1431</v>
      </c>
      <c r="B685" t="s">
        <v>1432</v>
      </c>
      <c r="C685" s="2">
        <v>45079</v>
      </c>
      <c r="D685" t="str">
        <f t="shared" si="63"/>
        <v>Jun</v>
      </c>
      <c r="E685" s="2">
        <v>45097</v>
      </c>
      <c r="F685" t="s">
        <v>14</v>
      </c>
      <c r="G685">
        <v>35578</v>
      </c>
      <c r="H685">
        <v>1237</v>
      </c>
      <c r="I685">
        <v>177</v>
      </c>
      <c r="J685" t="b">
        <v>1</v>
      </c>
      <c r="K685" s="10">
        <v>1244.79</v>
      </c>
      <c r="L685" s="6">
        <f t="shared" si="64"/>
        <v>3.4768677272471751E-2</v>
      </c>
      <c r="M685">
        <f t="shared" si="65"/>
        <v>1.0062974939369442</v>
      </c>
      <c r="N685">
        <f t="shared" si="66"/>
        <v>7.0327118644067799</v>
      </c>
      <c r="O685">
        <f t="shared" si="67"/>
        <v>7605.21</v>
      </c>
      <c r="P685">
        <f t="shared" si="68"/>
        <v>0.14308811641067098</v>
      </c>
      <c r="Q685" t="s">
        <v>4139</v>
      </c>
      <c r="R685" t="s">
        <v>4139</v>
      </c>
      <c r="S685">
        <f>YEAR(marketing_data[[#This Row],[Start_date]])</f>
        <v>2023</v>
      </c>
      <c r="T685" t="str">
        <f>TEXT(marketing_data[[#This Row],[Start_date]],"ddd")</f>
        <v>Fri</v>
      </c>
      <c r="U685">
        <f>marketing_data[[#This Row],[Cleaned End_date]]-marketing_data[[#This Row],[Start_date]]</f>
        <v>18</v>
      </c>
    </row>
    <row r="686" spans="1:21" x14ac:dyDescent="0.2">
      <c r="A686" t="s">
        <v>1433</v>
      </c>
      <c r="B686" t="s">
        <v>1434</v>
      </c>
      <c r="C686" s="2">
        <v>45280</v>
      </c>
      <c r="D686" t="str">
        <f t="shared" si="63"/>
        <v>Dec</v>
      </c>
      <c r="E686" s="2">
        <v>45308</v>
      </c>
      <c r="F686" t="s">
        <v>19</v>
      </c>
      <c r="G686">
        <v>73124</v>
      </c>
      <c r="H686">
        <v>2375</v>
      </c>
      <c r="I686">
        <v>451</v>
      </c>
      <c r="J686" t="b">
        <v>1</v>
      </c>
      <c r="K686" s="10">
        <v>3631.7599999999998</v>
      </c>
      <c r="L686" s="6">
        <f t="shared" si="64"/>
        <v>3.2479076636945464E-2</v>
      </c>
      <c r="M686">
        <f t="shared" si="65"/>
        <v>1.5291621052631579</v>
      </c>
      <c r="N686">
        <f t="shared" si="66"/>
        <v>8.0526829268292683</v>
      </c>
      <c r="O686">
        <f t="shared" si="67"/>
        <v>18918.240000000002</v>
      </c>
      <c r="P686">
        <f t="shared" si="68"/>
        <v>0.18989473684210526</v>
      </c>
      <c r="Q686" t="s">
        <v>4138</v>
      </c>
      <c r="R686" t="s">
        <v>4141</v>
      </c>
      <c r="S686">
        <f>YEAR(marketing_data[[#This Row],[Start_date]])</f>
        <v>2023</v>
      </c>
      <c r="T686" t="str">
        <f>TEXT(marketing_data[[#This Row],[Start_date]],"ddd")</f>
        <v>Wed</v>
      </c>
      <c r="U686">
        <f>marketing_data[[#This Row],[Cleaned End_date]]-marketing_data[[#This Row],[Start_date]]</f>
        <v>28</v>
      </c>
    </row>
    <row r="687" spans="1:21" x14ac:dyDescent="0.2">
      <c r="A687" t="s">
        <v>1435</v>
      </c>
      <c r="B687" t="s">
        <v>1436</v>
      </c>
      <c r="C687" s="2">
        <v>45105</v>
      </c>
      <c r="D687" t="str">
        <f t="shared" si="63"/>
        <v>Jun</v>
      </c>
      <c r="E687" s="2">
        <v>45127</v>
      </c>
      <c r="F687" t="s">
        <v>33</v>
      </c>
      <c r="G687">
        <v>27790</v>
      </c>
      <c r="H687">
        <v>662</v>
      </c>
      <c r="I687">
        <v>53</v>
      </c>
      <c r="J687" t="b">
        <v>1</v>
      </c>
      <c r="K687" s="10">
        <v>575.79</v>
      </c>
      <c r="L687" s="6">
        <f t="shared" si="64"/>
        <v>2.3821518531845987E-2</v>
      </c>
      <c r="M687">
        <f t="shared" si="65"/>
        <v>0.86977341389728091</v>
      </c>
      <c r="N687">
        <f t="shared" si="66"/>
        <v>10.863962264150942</v>
      </c>
      <c r="O687">
        <f t="shared" si="67"/>
        <v>2074.21</v>
      </c>
      <c r="P687">
        <f t="shared" si="68"/>
        <v>8.0060422960725075E-2</v>
      </c>
      <c r="Q687" t="s">
        <v>4139</v>
      </c>
      <c r="R687" t="s">
        <v>4141</v>
      </c>
      <c r="S687">
        <f>YEAR(marketing_data[[#This Row],[Start_date]])</f>
        <v>2023</v>
      </c>
      <c r="T687" t="str">
        <f>TEXT(marketing_data[[#This Row],[Start_date]],"ddd")</f>
        <v>Wed</v>
      </c>
      <c r="U687">
        <f>marketing_data[[#This Row],[Cleaned End_date]]-marketing_data[[#This Row],[Start_date]]</f>
        <v>22</v>
      </c>
    </row>
    <row r="688" spans="1:21" x14ac:dyDescent="0.2">
      <c r="A688" t="s">
        <v>1437</v>
      </c>
      <c r="B688" t="s">
        <v>1438</v>
      </c>
      <c r="C688" s="2">
        <v>45067</v>
      </c>
      <c r="D688" t="str">
        <f t="shared" si="63"/>
        <v>May</v>
      </c>
      <c r="E688" s="2">
        <v>45073</v>
      </c>
      <c r="F688" t="s">
        <v>33</v>
      </c>
      <c r="G688">
        <v>26289</v>
      </c>
      <c r="H688">
        <v>594</v>
      </c>
      <c r="J688" t="b">
        <v>0</v>
      </c>
      <c r="K688" s="10">
        <v>1166.6500000000001</v>
      </c>
      <c r="L688" s="6">
        <f t="shared" si="64"/>
        <v>2.2595001711742554E-2</v>
      </c>
      <c r="M688">
        <f t="shared" si="65"/>
        <v>1.9640572390572393</v>
      </c>
      <c r="N688">
        <f t="shared" si="66"/>
        <v>0</v>
      </c>
      <c r="O688">
        <f t="shared" si="67"/>
        <v>-1166.6500000000001</v>
      </c>
      <c r="P688">
        <f t="shared" si="68"/>
        <v>0</v>
      </c>
      <c r="Q688" t="s">
        <v>4137</v>
      </c>
      <c r="R688" t="s">
        <v>4139</v>
      </c>
      <c r="S688">
        <f>YEAR(marketing_data[[#This Row],[Start_date]])</f>
        <v>2023</v>
      </c>
      <c r="T688" t="str">
        <f>TEXT(marketing_data[[#This Row],[Start_date]],"ddd")</f>
        <v>Sun</v>
      </c>
      <c r="U688">
        <f>marketing_data[[#This Row],[Cleaned End_date]]-marketing_data[[#This Row],[Start_date]]</f>
        <v>6</v>
      </c>
    </row>
    <row r="689" spans="1:21" x14ac:dyDescent="0.2">
      <c r="A689" t="s">
        <v>1439</v>
      </c>
      <c r="B689" t="s">
        <v>1440</v>
      </c>
      <c r="C689" s="2">
        <v>45205</v>
      </c>
      <c r="D689" t="str">
        <f t="shared" si="63"/>
        <v>Oct</v>
      </c>
      <c r="E689" s="2">
        <v>45234</v>
      </c>
      <c r="F689" t="s">
        <v>33</v>
      </c>
      <c r="G689">
        <v>56129</v>
      </c>
      <c r="H689">
        <v>2294</v>
      </c>
      <c r="I689">
        <v>412</v>
      </c>
      <c r="J689" t="b">
        <v>1</v>
      </c>
      <c r="K689" s="10">
        <v>2333.52</v>
      </c>
      <c r="L689" s="6">
        <f t="shared" si="64"/>
        <v>4.0870138431114041E-2</v>
      </c>
      <c r="M689">
        <f t="shared" si="65"/>
        <v>1.0172275501307759</v>
      </c>
      <c r="N689">
        <f t="shared" si="66"/>
        <v>5.6638834951456314</v>
      </c>
      <c r="O689">
        <f t="shared" si="67"/>
        <v>18266.48</v>
      </c>
      <c r="P689">
        <f t="shared" si="68"/>
        <v>0.17959895379250218</v>
      </c>
      <c r="Q689" t="s">
        <v>4136</v>
      </c>
      <c r="R689" t="s">
        <v>4142</v>
      </c>
      <c r="S689">
        <f>YEAR(marketing_data[[#This Row],[Start_date]])</f>
        <v>2023</v>
      </c>
      <c r="T689" t="str">
        <f>TEXT(marketing_data[[#This Row],[Start_date]],"ddd")</f>
        <v>Fri</v>
      </c>
      <c r="U689">
        <f>marketing_data[[#This Row],[Cleaned End_date]]-marketing_data[[#This Row],[Start_date]]</f>
        <v>29</v>
      </c>
    </row>
    <row r="690" spans="1:21" x14ac:dyDescent="0.2">
      <c r="A690" t="s">
        <v>1441</v>
      </c>
      <c r="B690" t="s">
        <v>1442</v>
      </c>
      <c r="C690" s="2">
        <v>45103</v>
      </c>
      <c r="D690" t="str">
        <f t="shared" si="63"/>
        <v>Jun</v>
      </c>
      <c r="E690" s="2">
        <v>45105</v>
      </c>
      <c r="F690" t="s">
        <v>41</v>
      </c>
      <c r="G690">
        <v>94714</v>
      </c>
      <c r="H690">
        <v>1274</v>
      </c>
      <c r="I690">
        <v>163</v>
      </c>
      <c r="J690" t="b">
        <v>0</v>
      </c>
      <c r="K690" s="10">
        <v>1281.5999999999999</v>
      </c>
      <c r="L690" s="6">
        <f t="shared" si="64"/>
        <v>1.3451020968389045E-2</v>
      </c>
      <c r="M690">
        <f t="shared" si="65"/>
        <v>1.0059654631083201</v>
      </c>
      <c r="N690">
        <f t="shared" si="66"/>
        <v>7.8625766871165634</v>
      </c>
      <c r="O690">
        <f t="shared" si="67"/>
        <v>6868.4</v>
      </c>
      <c r="P690">
        <f t="shared" si="68"/>
        <v>0.12794348508634223</v>
      </c>
      <c r="Q690" t="s">
        <v>4139</v>
      </c>
      <c r="R690" t="s">
        <v>4141</v>
      </c>
      <c r="S690">
        <f>YEAR(marketing_data[[#This Row],[Start_date]])</f>
        <v>2023</v>
      </c>
      <c r="T690" t="str">
        <f>TEXT(marketing_data[[#This Row],[Start_date]],"ddd")</f>
        <v>Mon</v>
      </c>
      <c r="U690">
        <f>marketing_data[[#This Row],[Cleaned End_date]]-marketing_data[[#This Row],[Start_date]]</f>
        <v>2</v>
      </c>
    </row>
    <row r="691" spans="1:21" x14ac:dyDescent="0.2">
      <c r="A691" t="s">
        <v>1443</v>
      </c>
      <c r="B691" t="s">
        <v>1444</v>
      </c>
      <c r="C691" s="2">
        <v>45075</v>
      </c>
      <c r="D691" t="str">
        <f t="shared" si="63"/>
        <v>May</v>
      </c>
      <c r="E691" s="2">
        <v>45086</v>
      </c>
      <c r="F691" t="s">
        <v>19</v>
      </c>
      <c r="G691">
        <v>95246</v>
      </c>
      <c r="H691">
        <v>1854</v>
      </c>
      <c r="I691">
        <v>278</v>
      </c>
      <c r="J691" t="b">
        <v>0</v>
      </c>
      <c r="K691" s="10">
        <v>1794.43</v>
      </c>
      <c r="L691" s="6">
        <f t="shared" si="64"/>
        <v>1.9465384373097035E-2</v>
      </c>
      <c r="M691">
        <f t="shared" si="65"/>
        <v>0.96786947141316082</v>
      </c>
      <c r="N691">
        <f t="shared" si="66"/>
        <v>6.4547841726618707</v>
      </c>
      <c r="O691">
        <f t="shared" si="67"/>
        <v>12105.57</v>
      </c>
      <c r="P691">
        <f t="shared" si="68"/>
        <v>0.1499460625674218</v>
      </c>
      <c r="Q691" t="s">
        <v>4137</v>
      </c>
      <c r="R691" t="s">
        <v>4142</v>
      </c>
      <c r="S691">
        <f>YEAR(marketing_data[[#This Row],[Start_date]])</f>
        <v>2023</v>
      </c>
      <c r="T691" t="str">
        <f>TEXT(marketing_data[[#This Row],[Start_date]],"ddd")</f>
        <v>Mon</v>
      </c>
      <c r="U691">
        <f>marketing_data[[#This Row],[Cleaned End_date]]-marketing_data[[#This Row],[Start_date]]</f>
        <v>11</v>
      </c>
    </row>
    <row r="692" spans="1:21" x14ac:dyDescent="0.2">
      <c r="A692" t="s">
        <v>1446</v>
      </c>
      <c r="B692" t="s">
        <v>1447</v>
      </c>
      <c r="C692" s="2">
        <v>45292</v>
      </c>
      <c r="D692" t="str">
        <f t="shared" si="63"/>
        <v>Jan</v>
      </c>
      <c r="E692" s="2">
        <v>45309</v>
      </c>
      <c r="F692" t="s">
        <v>23</v>
      </c>
      <c r="G692">
        <v>16485</v>
      </c>
      <c r="H692">
        <v>647</v>
      </c>
      <c r="I692">
        <v>111</v>
      </c>
      <c r="J692" t="b">
        <v>0</v>
      </c>
      <c r="K692" s="10">
        <v>442.01</v>
      </c>
      <c r="L692" s="6">
        <f t="shared" si="64"/>
        <v>3.9247801031240523E-2</v>
      </c>
      <c r="M692">
        <f t="shared" si="65"/>
        <v>0.68316846986089641</v>
      </c>
      <c r="N692">
        <f t="shared" si="66"/>
        <v>3.9820720720720719</v>
      </c>
      <c r="O692">
        <f t="shared" si="67"/>
        <v>5107.99</v>
      </c>
      <c r="P692">
        <f t="shared" si="68"/>
        <v>0.17156105100463678</v>
      </c>
      <c r="Q692" t="s">
        <v>4138</v>
      </c>
      <c r="R692" t="s">
        <v>4142</v>
      </c>
      <c r="S692">
        <f>YEAR(marketing_data[[#This Row],[Start_date]])</f>
        <v>2024</v>
      </c>
      <c r="T692" t="str">
        <f>TEXT(marketing_data[[#This Row],[Start_date]],"ddd")</f>
        <v>Mon</v>
      </c>
      <c r="U692">
        <f>marketing_data[[#This Row],[Cleaned End_date]]-marketing_data[[#This Row],[Start_date]]</f>
        <v>17</v>
      </c>
    </row>
    <row r="693" spans="1:21" x14ac:dyDescent="0.2">
      <c r="A693" t="s">
        <v>1448</v>
      </c>
      <c r="B693" t="s">
        <v>1449</v>
      </c>
      <c r="C693" s="2">
        <v>45153</v>
      </c>
      <c r="D693" t="str">
        <f t="shared" si="63"/>
        <v>Aug</v>
      </c>
      <c r="E693" s="2">
        <v>45183</v>
      </c>
      <c r="F693" t="s">
        <v>33</v>
      </c>
      <c r="G693">
        <v>45482</v>
      </c>
      <c r="H693">
        <v>1452</v>
      </c>
      <c r="I693">
        <v>129</v>
      </c>
      <c r="J693" t="b">
        <v>1</v>
      </c>
      <c r="K693" s="10">
        <v>968.06</v>
      </c>
      <c r="L693" s="6">
        <f t="shared" si="64"/>
        <v>3.1924717470647727E-2</v>
      </c>
      <c r="M693">
        <f t="shared" si="65"/>
        <v>0.66670798898071626</v>
      </c>
      <c r="N693">
        <f t="shared" si="66"/>
        <v>7.5043410852713173</v>
      </c>
      <c r="O693">
        <f t="shared" si="67"/>
        <v>5481.9400000000005</v>
      </c>
      <c r="P693">
        <f t="shared" si="68"/>
        <v>8.8842975206611566E-2</v>
      </c>
      <c r="Q693" t="s">
        <v>4139</v>
      </c>
      <c r="R693" t="s">
        <v>4138</v>
      </c>
      <c r="S693">
        <f>YEAR(marketing_data[[#This Row],[Start_date]])</f>
        <v>2023</v>
      </c>
      <c r="T693" t="str">
        <f>TEXT(marketing_data[[#This Row],[Start_date]],"ddd")</f>
        <v>Tue</v>
      </c>
      <c r="U693">
        <f>marketing_data[[#This Row],[Cleaned End_date]]-marketing_data[[#This Row],[Start_date]]</f>
        <v>30</v>
      </c>
    </row>
    <row r="694" spans="1:21" x14ac:dyDescent="0.2">
      <c r="A694" t="s">
        <v>1450</v>
      </c>
      <c r="B694" t="s">
        <v>1451</v>
      </c>
      <c r="C694" s="2">
        <v>45036</v>
      </c>
      <c r="D694" t="str">
        <f t="shared" si="63"/>
        <v>Apr</v>
      </c>
      <c r="E694" s="2">
        <v>45064</v>
      </c>
      <c r="F694" t="str">
        <f>F693</f>
        <v>Instagram</v>
      </c>
      <c r="G694">
        <v>87188</v>
      </c>
      <c r="H694">
        <v>1318</v>
      </c>
      <c r="I694">
        <v>124</v>
      </c>
      <c r="J694" t="b">
        <v>1</v>
      </c>
      <c r="K694" s="10">
        <v>1940.3</v>
      </c>
      <c r="L694" s="6">
        <f t="shared" si="64"/>
        <v>1.5116759187044089E-2</v>
      </c>
      <c r="M694">
        <f t="shared" si="65"/>
        <v>1.4721547799696511</v>
      </c>
      <c r="N694">
        <f t="shared" si="66"/>
        <v>15.647580645161289</v>
      </c>
      <c r="O694">
        <f t="shared" si="67"/>
        <v>4259.7</v>
      </c>
      <c r="P694">
        <f t="shared" si="68"/>
        <v>9.4081942336874058E-2</v>
      </c>
      <c r="Q694" t="s">
        <v>4137</v>
      </c>
      <c r="R694" t="s">
        <v>4138</v>
      </c>
      <c r="S694">
        <f>YEAR(marketing_data[[#This Row],[Start_date]])</f>
        <v>2023</v>
      </c>
      <c r="T694" t="str">
        <f>TEXT(marketing_data[[#This Row],[Start_date]],"ddd")</f>
        <v>Thu</v>
      </c>
      <c r="U694">
        <f>marketing_data[[#This Row],[Cleaned End_date]]-marketing_data[[#This Row],[Start_date]]</f>
        <v>28</v>
      </c>
    </row>
    <row r="695" spans="1:21" x14ac:dyDescent="0.2">
      <c r="A695" t="s">
        <v>1452</v>
      </c>
      <c r="B695" t="s">
        <v>1453</v>
      </c>
      <c r="C695" s="2">
        <v>45214</v>
      </c>
      <c r="D695" t="str">
        <f t="shared" si="63"/>
        <v>Oct</v>
      </c>
      <c r="E695" s="2">
        <v>45244</v>
      </c>
      <c r="F695" t="s">
        <v>41</v>
      </c>
      <c r="G695">
        <v>5748</v>
      </c>
      <c r="H695">
        <v>260</v>
      </c>
      <c r="I695">
        <v>13</v>
      </c>
      <c r="J695" t="b">
        <v>0</v>
      </c>
      <c r="K695" s="10">
        <v>471.3</v>
      </c>
      <c r="L695" s="6">
        <f t="shared" si="64"/>
        <v>4.5233124565066112E-2</v>
      </c>
      <c r="M695">
        <f t="shared" si="65"/>
        <v>1.8126923076923078</v>
      </c>
      <c r="N695">
        <f t="shared" si="66"/>
        <v>36.253846153846155</v>
      </c>
      <c r="O695">
        <f t="shared" si="67"/>
        <v>178.7</v>
      </c>
      <c r="P695">
        <f t="shared" si="68"/>
        <v>0.05</v>
      </c>
      <c r="Q695" t="s">
        <v>4136</v>
      </c>
      <c r="R695" t="s">
        <v>4139</v>
      </c>
      <c r="S695">
        <f>YEAR(marketing_data[[#This Row],[Start_date]])</f>
        <v>2023</v>
      </c>
      <c r="T695" t="str">
        <f>TEXT(marketing_data[[#This Row],[Start_date]],"ddd")</f>
        <v>Sun</v>
      </c>
      <c r="U695">
        <f>marketing_data[[#This Row],[Cleaned End_date]]-marketing_data[[#This Row],[Start_date]]</f>
        <v>30</v>
      </c>
    </row>
    <row r="696" spans="1:21" x14ac:dyDescent="0.2">
      <c r="A696" t="s">
        <v>1454</v>
      </c>
      <c r="B696" t="s">
        <v>1455</v>
      </c>
      <c r="C696" s="2">
        <v>45242</v>
      </c>
      <c r="D696" t="str">
        <f t="shared" si="63"/>
        <v>Nov</v>
      </c>
      <c r="E696" s="2">
        <v>45247</v>
      </c>
      <c r="F696" t="s">
        <v>33</v>
      </c>
      <c r="G696">
        <v>87769</v>
      </c>
      <c r="H696">
        <v>2258</v>
      </c>
      <c r="I696">
        <v>439</v>
      </c>
      <c r="J696" t="b">
        <v>1</v>
      </c>
      <c r="K696" s="10">
        <v>3631.7599999999998</v>
      </c>
      <c r="L696" s="6">
        <f t="shared" si="64"/>
        <v>2.5726623295240916E-2</v>
      </c>
      <c r="M696">
        <f t="shared" si="65"/>
        <v>1.6083968113374667</v>
      </c>
      <c r="N696">
        <f t="shared" si="66"/>
        <v>8.2728018223234621</v>
      </c>
      <c r="O696">
        <f t="shared" si="67"/>
        <v>18318.240000000002</v>
      </c>
      <c r="P696">
        <f t="shared" si="68"/>
        <v>0.19441984056687334</v>
      </c>
      <c r="Q696" t="s">
        <v>4136</v>
      </c>
      <c r="R696" t="s">
        <v>4139</v>
      </c>
      <c r="S696">
        <f>YEAR(marketing_data[[#This Row],[Start_date]])</f>
        <v>2023</v>
      </c>
      <c r="T696" t="str">
        <f>TEXT(marketing_data[[#This Row],[Start_date]],"ddd")</f>
        <v>Sun</v>
      </c>
      <c r="U696">
        <f>marketing_data[[#This Row],[Cleaned End_date]]-marketing_data[[#This Row],[Start_date]]</f>
        <v>5</v>
      </c>
    </row>
    <row r="697" spans="1:21" x14ac:dyDescent="0.2">
      <c r="A697" t="s">
        <v>1456</v>
      </c>
      <c r="B697" t="s">
        <v>1457</v>
      </c>
      <c r="C697" s="2">
        <v>44952</v>
      </c>
      <c r="D697" t="str">
        <f t="shared" si="63"/>
        <v>Jan</v>
      </c>
      <c r="E697" s="2">
        <v>44972</v>
      </c>
      <c r="F697" t="str">
        <f>F696</f>
        <v>Instagram</v>
      </c>
      <c r="G697">
        <v>10435</v>
      </c>
      <c r="H697">
        <v>449</v>
      </c>
      <c r="I697">
        <v>84</v>
      </c>
      <c r="J697" t="b">
        <v>1</v>
      </c>
      <c r="K697" s="10">
        <v>329.13249999999999</v>
      </c>
      <c r="L697" s="6">
        <f t="shared" si="64"/>
        <v>4.3028270244369907E-2</v>
      </c>
      <c r="M697">
        <f t="shared" si="65"/>
        <v>0.73303452115812917</v>
      </c>
      <c r="N697">
        <f t="shared" si="66"/>
        <v>3.9182440476190474</v>
      </c>
      <c r="O697">
        <f t="shared" si="67"/>
        <v>3870.8674999999998</v>
      </c>
      <c r="P697">
        <f t="shared" si="68"/>
        <v>0.18708240534521159</v>
      </c>
      <c r="Q697" t="s">
        <v>4138</v>
      </c>
      <c r="R697" t="s">
        <v>4138</v>
      </c>
      <c r="S697">
        <f>YEAR(marketing_data[[#This Row],[Start_date]])</f>
        <v>2023</v>
      </c>
      <c r="T697" t="str">
        <f>TEXT(marketing_data[[#This Row],[Start_date]],"ddd")</f>
        <v>Thu</v>
      </c>
      <c r="U697">
        <f>marketing_data[[#This Row],[Cleaned End_date]]-marketing_data[[#This Row],[Start_date]]</f>
        <v>20</v>
      </c>
    </row>
    <row r="698" spans="1:21" x14ac:dyDescent="0.2">
      <c r="A698" t="s">
        <v>1458</v>
      </c>
      <c r="B698" t="s">
        <v>1459</v>
      </c>
      <c r="C698" s="2">
        <v>45253</v>
      </c>
      <c r="D698" t="str">
        <f t="shared" si="63"/>
        <v>Nov</v>
      </c>
      <c r="E698" s="2">
        <v>45264</v>
      </c>
      <c r="F698" t="s">
        <v>41</v>
      </c>
      <c r="G698">
        <v>4709</v>
      </c>
      <c r="H698">
        <v>195</v>
      </c>
      <c r="I698">
        <v>32</v>
      </c>
      <c r="J698" t="b">
        <v>1</v>
      </c>
      <c r="K698" s="10">
        <v>329.13249999999999</v>
      </c>
      <c r="L698" s="6">
        <f t="shared" si="64"/>
        <v>4.1410065831386705E-2</v>
      </c>
      <c r="M698">
        <f t="shared" si="65"/>
        <v>1.6878589743589743</v>
      </c>
      <c r="N698">
        <f t="shared" si="66"/>
        <v>10.285390625</v>
      </c>
      <c r="O698">
        <f t="shared" si="67"/>
        <v>1270.8675000000001</v>
      </c>
      <c r="P698">
        <f t="shared" si="68"/>
        <v>0.1641025641025641</v>
      </c>
      <c r="Q698" t="s">
        <v>4136</v>
      </c>
      <c r="R698" t="s">
        <v>4142</v>
      </c>
      <c r="S698">
        <f>YEAR(marketing_data[[#This Row],[Start_date]])</f>
        <v>2023</v>
      </c>
      <c r="T698" t="str">
        <f>TEXT(marketing_data[[#This Row],[Start_date]],"ddd")</f>
        <v>Thu</v>
      </c>
      <c r="U698">
        <f>marketing_data[[#This Row],[Cleaned End_date]]-marketing_data[[#This Row],[Start_date]]</f>
        <v>11</v>
      </c>
    </row>
    <row r="699" spans="1:21" x14ac:dyDescent="0.2">
      <c r="A699" t="s">
        <v>1460</v>
      </c>
      <c r="B699" t="s">
        <v>1461</v>
      </c>
      <c r="C699" s="2">
        <v>45096</v>
      </c>
      <c r="D699" t="str">
        <f t="shared" si="63"/>
        <v>Jun</v>
      </c>
      <c r="E699" s="2">
        <v>45114</v>
      </c>
      <c r="F699" t="s">
        <v>14</v>
      </c>
      <c r="G699">
        <v>31355</v>
      </c>
      <c r="H699">
        <v>1096</v>
      </c>
      <c r="I699">
        <v>67</v>
      </c>
      <c r="J699" t="b">
        <v>0</v>
      </c>
      <c r="K699" s="10">
        <v>721.59</v>
      </c>
      <c r="L699" s="6">
        <f t="shared" si="64"/>
        <v>3.4954552702918196E-2</v>
      </c>
      <c r="M699">
        <f t="shared" si="65"/>
        <v>0.65838503649635038</v>
      </c>
      <c r="N699">
        <f t="shared" si="66"/>
        <v>10.770000000000001</v>
      </c>
      <c r="O699">
        <f t="shared" si="67"/>
        <v>2628.41</v>
      </c>
      <c r="P699">
        <f t="shared" si="68"/>
        <v>6.113138686131387E-2</v>
      </c>
      <c r="Q699" t="s">
        <v>4139</v>
      </c>
      <c r="R699" t="s">
        <v>4138</v>
      </c>
      <c r="S699">
        <f>YEAR(marketing_data[[#This Row],[Start_date]])</f>
        <v>2023</v>
      </c>
      <c r="T699" t="str">
        <f>TEXT(marketing_data[[#This Row],[Start_date]],"ddd")</f>
        <v>Mon</v>
      </c>
      <c r="U699">
        <f>marketing_data[[#This Row],[Cleaned End_date]]-marketing_data[[#This Row],[Start_date]]</f>
        <v>18</v>
      </c>
    </row>
    <row r="700" spans="1:21" x14ac:dyDescent="0.2">
      <c r="A700" t="s">
        <v>1462</v>
      </c>
      <c r="B700" t="s">
        <v>1463</v>
      </c>
      <c r="C700" s="2">
        <v>45263</v>
      </c>
      <c r="D700" t="str">
        <f t="shared" si="63"/>
        <v>Dec</v>
      </c>
      <c r="E700" s="2">
        <v>45293</v>
      </c>
      <c r="F700" t="s">
        <v>14</v>
      </c>
      <c r="G700">
        <v>56771</v>
      </c>
      <c r="H700">
        <v>1690</v>
      </c>
      <c r="I700">
        <v>197</v>
      </c>
      <c r="J700" t="b">
        <v>1</v>
      </c>
      <c r="K700" s="10">
        <v>959.82</v>
      </c>
      <c r="L700" s="6">
        <f t="shared" si="64"/>
        <v>2.9768719945042363E-2</v>
      </c>
      <c r="M700">
        <f t="shared" si="65"/>
        <v>0.56794082840236693</v>
      </c>
      <c r="N700">
        <f t="shared" si="66"/>
        <v>4.8721827411167515</v>
      </c>
      <c r="O700">
        <f t="shared" si="67"/>
        <v>8890.18</v>
      </c>
      <c r="P700">
        <f t="shared" si="68"/>
        <v>0.1165680473372781</v>
      </c>
      <c r="Q700" t="s">
        <v>4138</v>
      </c>
      <c r="R700" t="s">
        <v>4142</v>
      </c>
      <c r="S700">
        <f>YEAR(marketing_data[[#This Row],[Start_date]])</f>
        <v>2023</v>
      </c>
      <c r="T700" t="str">
        <f>TEXT(marketing_data[[#This Row],[Start_date]],"ddd")</f>
        <v>Sun</v>
      </c>
      <c r="U700">
        <f>marketing_data[[#This Row],[Cleaned End_date]]-marketing_data[[#This Row],[Start_date]]</f>
        <v>30</v>
      </c>
    </row>
    <row r="701" spans="1:21" x14ac:dyDescent="0.2">
      <c r="A701" t="s">
        <v>1464</v>
      </c>
      <c r="B701" t="s">
        <v>1465</v>
      </c>
      <c r="C701" s="2">
        <v>45208</v>
      </c>
      <c r="D701" t="str">
        <f t="shared" si="63"/>
        <v>Oct</v>
      </c>
      <c r="E701" s="2">
        <v>45235</v>
      </c>
      <c r="F701" t="s">
        <v>23</v>
      </c>
      <c r="G701">
        <v>58799</v>
      </c>
      <c r="H701">
        <v>2891</v>
      </c>
      <c r="I701">
        <v>188</v>
      </c>
      <c r="J701" t="b">
        <v>1</v>
      </c>
      <c r="K701" s="10">
        <v>3631.7599999999998</v>
      </c>
      <c r="L701" s="6">
        <f t="shared" si="64"/>
        <v>4.91675028486879E-2</v>
      </c>
      <c r="M701">
        <f t="shared" si="65"/>
        <v>1.2562296783120026</v>
      </c>
      <c r="N701">
        <f t="shared" si="66"/>
        <v>19.317872340425531</v>
      </c>
      <c r="O701">
        <f t="shared" si="67"/>
        <v>5768.24</v>
      </c>
      <c r="P701">
        <f t="shared" si="68"/>
        <v>6.5029401591144939E-2</v>
      </c>
      <c r="Q701" t="s">
        <v>4136</v>
      </c>
      <c r="R701" t="s">
        <v>4139</v>
      </c>
      <c r="S701">
        <f>YEAR(marketing_data[[#This Row],[Start_date]])</f>
        <v>2023</v>
      </c>
      <c r="T701" t="str">
        <f>TEXT(marketing_data[[#This Row],[Start_date]],"ddd")</f>
        <v>Mon</v>
      </c>
      <c r="U701">
        <f>marketing_data[[#This Row],[Cleaned End_date]]-marketing_data[[#This Row],[Start_date]]</f>
        <v>27</v>
      </c>
    </row>
    <row r="702" spans="1:21" x14ac:dyDescent="0.2">
      <c r="A702" t="s">
        <v>1466</v>
      </c>
      <c r="B702" t="s">
        <v>1467</v>
      </c>
      <c r="C702" s="2">
        <v>45261</v>
      </c>
      <c r="D702" t="str">
        <f t="shared" si="63"/>
        <v>Dec</v>
      </c>
      <c r="E702" s="2">
        <v>45285</v>
      </c>
      <c r="F702" t="s">
        <v>19</v>
      </c>
      <c r="G702">
        <v>14116</v>
      </c>
      <c r="H702">
        <v>223</v>
      </c>
      <c r="I702">
        <v>11</v>
      </c>
      <c r="J702" t="b">
        <v>1</v>
      </c>
      <c r="K702" s="10">
        <v>329.13249999999999</v>
      </c>
      <c r="L702" s="6">
        <f t="shared" si="64"/>
        <v>1.5797676395579486E-2</v>
      </c>
      <c r="M702">
        <f t="shared" si="65"/>
        <v>1.4759304932735426</v>
      </c>
      <c r="N702">
        <f t="shared" si="66"/>
        <v>29.921136363636364</v>
      </c>
      <c r="O702">
        <f t="shared" si="67"/>
        <v>220.86750000000001</v>
      </c>
      <c r="P702">
        <f t="shared" si="68"/>
        <v>4.9327354260089683E-2</v>
      </c>
      <c r="Q702" t="s">
        <v>4138</v>
      </c>
      <c r="R702" t="s">
        <v>4139</v>
      </c>
      <c r="S702">
        <f>YEAR(marketing_data[[#This Row],[Start_date]])</f>
        <v>2023</v>
      </c>
      <c r="T702" t="str">
        <f>TEXT(marketing_data[[#This Row],[Start_date]],"ddd")</f>
        <v>Fri</v>
      </c>
      <c r="U702">
        <f>marketing_data[[#This Row],[Cleaned End_date]]-marketing_data[[#This Row],[Start_date]]</f>
        <v>24</v>
      </c>
    </row>
    <row r="703" spans="1:21" x14ac:dyDescent="0.2">
      <c r="A703" t="s">
        <v>1468</v>
      </c>
      <c r="B703" t="s">
        <v>1469</v>
      </c>
      <c r="C703" s="2">
        <v>45171</v>
      </c>
      <c r="D703" t="str">
        <f t="shared" si="63"/>
        <v>Sep</v>
      </c>
      <c r="E703" s="2">
        <v>45177</v>
      </c>
      <c r="F703" t="s">
        <v>23</v>
      </c>
      <c r="G703">
        <v>26470</v>
      </c>
      <c r="H703">
        <v>1032</v>
      </c>
      <c r="I703">
        <v>146</v>
      </c>
      <c r="J703" t="b">
        <v>0</v>
      </c>
      <c r="K703" s="10">
        <v>642.97</v>
      </c>
      <c r="L703" s="6">
        <f t="shared" si="64"/>
        <v>3.8987533056290137E-2</v>
      </c>
      <c r="M703">
        <f t="shared" si="65"/>
        <v>0.62303294573643409</v>
      </c>
      <c r="N703">
        <f t="shared" si="66"/>
        <v>4.4039041095890417</v>
      </c>
      <c r="O703">
        <f t="shared" si="67"/>
        <v>6657.03</v>
      </c>
      <c r="P703">
        <f t="shared" si="68"/>
        <v>0.14147286821705427</v>
      </c>
      <c r="Q703" t="s">
        <v>4136</v>
      </c>
      <c r="R703" t="s">
        <v>4142</v>
      </c>
      <c r="S703">
        <f>YEAR(marketing_data[[#This Row],[Start_date]])</f>
        <v>2023</v>
      </c>
      <c r="T703" t="str">
        <f>TEXT(marketing_data[[#This Row],[Start_date]],"ddd")</f>
        <v>Sat</v>
      </c>
      <c r="U703">
        <f>marketing_data[[#This Row],[Cleaned End_date]]-marketing_data[[#This Row],[Start_date]]</f>
        <v>6</v>
      </c>
    </row>
    <row r="704" spans="1:21" x14ac:dyDescent="0.2">
      <c r="A704" t="s">
        <v>1470</v>
      </c>
      <c r="B704" t="s">
        <v>1471</v>
      </c>
      <c r="C704" s="2">
        <v>45074</v>
      </c>
      <c r="D704" t="str">
        <f t="shared" si="63"/>
        <v>May</v>
      </c>
      <c r="E704" s="2">
        <v>45102</v>
      </c>
      <c r="F704" t="s">
        <v>19</v>
      </c>
      <c r="G704">
        <v>43344</v>
      </c>
      <c r="H704">
        <v>764</v>
      </c>
      <c r="I704">
        <v>148</v>
      </c>
      <c r="J704" t="b">
        <v>0</v>
      </c>
      <c r="K704" s="10">
        <v>422.04</v>
      </c>
      <c r="L704" s="6">
        <f t="shared" si="64"/>
        <v>1.7626430417128091E-2</v>
      </c>
      <c r="M704">
        <f t="shared" si="65"/>
        <v>0.55240837696335077</v>
      </c>
      <c r="N704">
        <f t="shared" si="66"/>
        <v>2.8516216216216219</v>
      </c>
      <c r="O704">
        <f t="shared" si="67"/>
        <v>6977.96</v>
      </c>
      <c r="P704">
        <f t="shared" si="68"/>
        <v>0.193717277486911</v>
      </c>
      <c r="Q704" t="s">
        <v>4137</v>
      </c>
      <c r="R704" t="s">
        <v>4139</v>
      </c>
      <c r="S704">
        <f>YEAR(marketing_data[[#This Row],[Start_date]])</f>
        <v>2023</v>
      </c>
      <c r="T704" t="str">
        <f>TEXT(marketing_data[[#This Row],[Start_date]],"ddd")</f>
        <v>Sun</v>
      </c>
      <c r="U704">
        <f>marketing_data[[#This Row],[Cleaned End_date]]-marketing_data[[#This Row],[Start_date]]</f>
        <v>28</v>
      </c>
    </row>
    <row r="705" spans="1:21" x14ac:dyDescent="0.2">
      <c r="A705" t="s">
        <v>1472</v>
      </c>
      <c r="B705" t="s">
        <v>1473</v>
      </c>
      <c r="C705" s="2">
        <v>44972</v>
      </c>
      <c r="D705" t="str">
        <f t="shared" si="63"/>
        <v>Feb</v>
      </c>
      <c r="E705" s="2">
        <v>44998</v>
      </c>
      <c r="F705" t="s">
        <v>33</v>
      </c>
      <c r="G705">
        <v>43918</v>
      </c>
      <c r="H705">
        <v>1033</v>
      </c>
      <c r="J705" t="b">
        <v>0</v>
      </c>
      <c r="K705" s="10">
        <v>2050.13</v>
      </c>
      <c r="L705" s="6">
        <f t="shared" si="64"/>
        <v>2.3521107518557311E-2</v>
      </c>
      <c r="M705">
        <f t="shared" si="65"/>
        <v>1.9846369796708616</v>
      </c>
      <c r="N705">
        <f t="shared" si="66"/>
        <v>0</v>
      </c>
      <c r="O705">
        <f t="shared" si="67"/>
        <v>-2050.13</v>
      </c>
      <c r="P705">
        <f t="shared" si="68"/>
        <v>0</v>
      </c>
      <c r="Q705" t="s">
        <v>4138</v>
      </c>
      <c r="R705" t="s">
        <v>4139</v>
      </c>
      <c r="S705">
        <f>YEAR(marketing_data[[#This Row],[Start_date]])</f>
        <v>2023</v>
      </c>
      <c r="T705" t="str">
        <f>TEXT(marketing_data[[#This Row],[Start_date]],"ddd")</f>
        <v>Wed</v>
      </c>
      <c r="U705">
        <f>marketing_data[[#This Row],[Cleaned End_date]]-marketing_data[[#This Row],[Start_date]]</f>
        <v>26</v>
      </c>
    </row>
    <row r="706" spans="1:21" x14ac:dyDescent="0.2">
      <c r="A706" t="s">
        <v>1474</v>
      </c>
      <c r="B706" t="s">
        <v>1475</v>
      </c>
      <c r="C706" s="2">
        <v>44946</v>
      </c>
      <c r="D706" t="str">
        <f t="shared" si="63"/>
        <v>Jan</v>
      </c>
      <c r="E706" s="2">
        <v>44965</v>
      </c>
      <c r="F706" t="s">
        <v>33</v>
      </c>
      <c r="G706">
        <v>53224</v>
      </c>
      <c r="H706">
        <v>1189</v>
      </c>
      <c r="I706">
        <v>183</v>
      </c>
      <c r="J706" t="b">
        <v>0</v>
      </c>
      <c r="K706" s="10">
        <v>648.04</v>
      </c>
      <c r="L706" s="6">
        <f t="shared" si="64"/>
        <v>2.2339546069442356E-2</v>
      </c>
      <c r="M706">
        <f t="shared" si="65"/>
        <v>0.54502943650126157</v>
      </c>
      <c r="N706">
        <f t="shared" si="66"/>
        <v>3.5412021857923497</v>
      </c>
      <c r="O706">
        <f t="shared" si="67"/>
        <v>8501.9599999999991</v>
      </c>
      <c r="P706">
        <f t="shared" si="68"/>
        <v>0.15391084945332212</v>
      </c>
      <c r="Q706" t="s">
        <v>4138</v>
      </c>
      <c r="R706" t="s">
        <v>4138</v>
      </c>
      <c r="S706">
        <f>YEAR(marketing_data[[#This Row],[Start_date]])</f>
        <v>2023</v>
      </c>
      <c r="T706" t="str">
        <f>TEXT(marketing_data[[#This Row],[Start_date]],"ddd")</f>
        <v>Fri</v>
      </c>
      <c r="U706">
        <f>marketing_data[[#This Row],[Cleaned End_date]]-marketing_data[[#This Row],[Start_date]]</f>
        <v>19</v>
      </c>
    </row>
    <row r="707" spans="1:21" x14ac:dyDescent="0.2">
      <c r="A707" t="s">
        <v>1476</v>
      </c>
      <c r="B707" t="s">
        <v>1477</v>
      </c>
      <c r="C707" s="2">
        <v>45017</v>
      </c>
      <c r="D707" t="str">
        <f t="shared" ref="D707:D770" si="69">TEXT(C707,"mmm")</f>
        <v>Apr</v>
      </c>
      <c r="E707" s="2">
        <v>45047</v>
      </c>
      <c r="F707" t="s">
        <v>23</v>
      </c>
      <c r="G707">
        <v>40298</v>
      </c>
      <c r="H707">
        <v>1929</v>
      </c>
      <c r="I707">
        <v>124</v>
      </c>
      <c r="J707" t="b">
        <v>1</v>
      </c>
      <c r="K707" s="10">
        <v>2250.7399999999998</v>
      </c>
      <c r="L707" s="6">
        <f t="shared" ref="L707:L770" si="70">H707/G707</f>
        <v>4.7868380564792298E-2</v>
      </c>
      <c r="M707">
        <f t="shared" ref="M707:M770" si="71">K707/H707</f>
        <v>1.166791083462934</v>
      </c>
      <c r="N707">
        <f t="shared" ref="N707:N770" si="72">IFERROR(K707/I707,0)</f>
        <v>18.151129032258062</v>
      </c>
      <c r="O707">
        <f t="shared" ref="O707:O770" si="73">(50*I707)-K707</f>
        <v>3949.26</v>
      </c>
      <c r="P707">
        <f t="shared" ref="P707:P770" si="74">I707/H707</f>
        <v>6.4282011404872996E-2</v>
      </c>
      <c r="Q707" t="s">
        <v>4137</v>
      </c>
      <c r="R707" t="s">
        <v>4142</v>
      </c>
      <c r="S707">
        <f>YEAR(marketing_data[[#This Row],[Start_date]])</f>
        <v>2023</v>
      </c>
      <c r="T707" t="str">
        <f>TEXT(marketing_data[[#This Row],[Start_date]],"ddd")</f>
        <v>Sat</v>
      </c>
      <c r="U707">
        <f>marketing_data[[#This Row],[Cleaned End_date]]-marketing_data[[#This Row],[Start_date]]</f>
        <v>30</v>
      </c>
    </row>
    <row r="708" spans="1:21" x14ac:dyDescent="0.2">
      <c r="A708" t="s">
        <v>1478</v>
      </c>
      <c r="B708" t="s">
        <v>1479</v>
      </c>
      <c r="C708" s="2">
        <v>45130</v>
      </c>
      <c r="D708" t="str">
        <f t="shared" si="69"/>
        <v>Jul</v>
      </c>
      <c r="E708" s="2">
        <v>45157</v>
      </c>
      <c r="F708" t="s">
        <v>41</v>
      </c>
      <c r="G708">
        <v>81219</v>
      </c>
      <c r="H708">
        <v>3954</v>
      </c>
      <c r="I708">
        <v>360</v>
      </c>
      <c r="J708" t="b">
        <v>1</v>
      </c>
      <c r="K708" s="10">
        <v>3631.7599999999998</v>
      </c>
      <c r="L708" s="6">
        <f t="shared" si="70"/>
        <v>4.8683189893990321E-2</v>
      </c>
      <c r="M708">
        <f t="shared" si="71"/>
        <v>0.91850278199291846</v>
      </c>
      <c r="N708">
        <f t="shared" si="72"/>
        <v>10.088222222222221</v>
      </c>
      <c r="O708">
        <f t="shared" si="73"/>
        <v>14368.24</v>
      </c>
      <c r="P708">
        <f t="shared" si="74"/>
        <v>9.1047040971168433E-2</v>
      </c>
      <c r="Q708" t="s">
        <v>4139</v>
      </c>
      <c r="R708" t="s">
        <v>4141</v>
      </c>
      <c r="S708">
        <f>YEAR(marketing_data[[#This Row],[Start_date]])</f>
        <v>2023</v>
      </c>
      <c r="T708" t="str">
        <f>TEXT(marketing_data[[#This Row],[Start_date]],"ddd")</f>
        <v>Sun</v>
      </c>
      <c r="U708">
        <f>marketing_data[[#This Row],[Cleaned End_date]]-marketing_data[[#This Row],[Start_date]]</f>
        <v>27</v>
      </c>
    </row>
    <row r="709" spans="1:21" x14ac:dyDescent="0.2">
      <c r="A709" t="s">
        <v>1480</v>
      </c>
      <c r="B709" t="s">
        <v>1481</v>
      </c>
      <c r="C709" s="2">
        <v>45075</v>
      </c>
      <c r="D709" t="str">
        <f t="shared" si="69"/>
        <v>May</v>
      </c>
      <c r="E709" s="2">
        <v>45101</v>
      </c>
      <c r="F709" t="s">
        <v>41</v>
      </c>
      <c r="G709">
        <v>62629</v>
      </c>
      <c r="H709">
        <v>1084</v>
      </c>
      <c r="I709">
        <v>106</v>
      </c>
      <c r="J709" t="b">
        <v>0</v>
      </c>
      <c r="K709" s="10">
        <v>732.7</v>
      </c>
      <c r="L709" s="6">
        <f t="shared" si="70"/>
        <v>1.7308275718916157E-2</v>
      </c>
      <c r="M709">
        <f t="shared" si="71"/>
        <v>0.67592250922509234</v>
      </c>
      <c r="N709">
        <f t="shared" si="72"/>
        <v>6.9122641509433969</v>
      </c>
      <c r="O709">
        <f t="shared" si="73"/>
        <v>4567.3</v>
      </c>
      <c r="P709">
        <f t="shared" si="74"/>
        <v>9.7785977859778592E-2</v>
      </c>
      <c r="Q709" t="s">
        <v>4137</v>
      </c>
      <c r="R709" t="s">
        <v>4141</v>
      </c>
      <c r="S709">
        <f>YEAR(marketing_data[[#This Row],[Start_date]])</f>
        <v>2023</v>
      </c>
      <c r="T709" t="str">
        <f>TEXT(marketing_data[[#This Row],[Start_date]],"ddd")</f>
        <v>Mon</v>
      </c>
      <c r="U709">
        <f>marketing_data[[#This Row],[Cleaned End_date]]-marketing_data[[#This Row],[Start_date]]</f>
        <v>26</v>
      </c>
    </row>
    <row r="710" spans="1:21" x14ac:dyDescent="0.2">
      <c r="A710" t="s">
        <v>1482</v>
      </c>
      <c r="B710" t="s">
        <v>1483</v>
      </c>
      <c r="C710" s="2">
        <v>45217</v>
      </c>
      <c r="D710" t="str">
        <f t="shared" si="69"/>
        <v>Oct</v>
      </c>
      <c r="E710" s="2">
        <v>45224</v>
      </c>
      <c r="F710" t="s">
        <v>23</v>
      </c>
      <c r="G710">
        <v>67040</v>
      </c>
      <c r="H710">
        <v>729</v>
      </c>
      <c r="I710">
        <v>119</v>
      </c>
      <c r="J710" t="b">
        <v>1</v>
      </c>
      <c r="K710" s="10">
        <v>549.37</v>
      </c>
      <c r="L710" s="6">
        <f t="shared" si="70"/>
        <v>1.0874105011933173E-2</v>
      </c>
      <c r="M710">
        <f t="shared" si="71"/>
        <v>0.75359396433470505</v>
      </c>
      <c r="N710">
        <f t="shared" si="72"/>
        <v>4.6165546218487394</v>
      </c>
      <c r="O710">
        <f t="shared" si="73"/>
        <v>5400.63</v>
      </c>
      <c r="P710">
        <f t="shared" si="74"/>
        <v>0.16323731138545952</v>
      </c>
      <c r="Q710" t="s">
        <v>4136</v>
      </c>
      <c r="R710" t="s">
        <v>4138</v>
      </c>
      <c r="S710">
        <f>YEAR(marketing_data[[#This Row],[Start_date]])</f>
        <v>2023</v>
      </c>
      <c r="T710" t="str">
        <f>TEXT(marketing_data[[#This Row],[Start_date]],"ddd")</f>
        <v>Wed</v>
      </c>
      <c r="U710">
        <f>marketing_data[[#This Row],[Cleaned End_date]]-marketing_data[[#This Row],[Start_date]]</f>
        <v>7</v>
      </c>
    </row>
    <row r="711" spans="1:21" x14ac:dyDescent="0.2">
      <c r="A711" t="s">
        <v>1484</v>
      </c>
      <c r="B711" t="s">
        <v>1485</v>
      </c>
      <c r="C711" s="2">
        <v>45098</v>
      </c>
      <c r="D711" t="str">
        <f t="shared" si="69"/>
        <v>Jun</v>
      </c>
      <c r="E711" s="2">
        <v>45125</v>
      </c>
      <c r="F711" t="s">
        <v>23</v>
      </c>
      <c r="G711">
        <v>29016</v>
      </c>
      <c r="H711">
        <v>1125</v>
      </c>
      <c r="I711">
        <v>191</v>
      </c>
      <c r="J711" t="b">
        <v>1</v>
      </c>
      <c r="K711" s="10">
        <v>1156.17</v>
      </c>
      <c r="L711" s="6">
        <f t="shared" si="70"/>
        <v>3.8771712158808931E-2</v>
      </c>
      <c r="M711">
        <f t="shared" si="71"/>
        <v>1.0277066666666668</v>
      </c>
      <c r="N711">
        <f t="shared" si="72"/>
        <v>6.0532460732984301</v>
      </c>
      <c r="O711">
        <f t="shared" si="73"/>
        <v>8393.83</v>
      </c>
      <c r="P711">
        <f t="shared" si="74"/>
        <v>0.16977777777777778</v>
      </c>
      <c r="Q711" t="s">
        <v>4139</v>
      </c>
      <c r="R711" t="s">
        <v>4142</v>
      </c>
      <c r="S711">
        <f>YEAR(marketing_data[[#This Row],[Start_date]])</f>
        <v>2023</v>
      </c>
      <c r="T711" t="str">
        <f>TEXT(marketing_data[[#This Row],[Start_date]],"ddd")</f>
        <v>Wed</v>
      </c>
      <c r="U711">
        <f>marketing_data[[#This Row],[Cleaned End_date]]-marketing_data[[#This Row],[Start_date]]</f>
        <v>27</v>
      </c>
    </row>
    <row r="712" spans="1:21" x14ac:dyDescent="0.2">
      <c r="A712" t="s">
        <v>1486</v>
      </c>
      <c r="B712" t="s">
        <v>1487</v>
      </c>
      <c r="C712" s="2">
        <v>45205</v>
      </c>
      <c r="D712" t="str">
        <f t="shared" si="69"/>
        <v>Oct</v>
      </c>
      <c r="E712" s="2">
        <v>45228</v>
      </c>
      <c r="F712" t="s">
        <v>14</v>
      </c>
      <c r="G712">
        <v>24960</v>
      </c>
      <c r="H712">
        <v>666</v>
      </c>
      <c r="I712">
        <v>71</v>
      </c>
      <c r="J712" t="b">
        <v>1</v>
      </c>
      <c r="K712" s="10">
        <v>1093.9100000000001</v>
      </c>
      <c r="L712" s="6">
        <f t="shared" si="70"/>
        <v>2.6682692307692307E-2</v>
      </c>
      <c r="M712">
        <f t="shared" si="71"/>
        <v>1.6425075075075077</v>
      </c>
      <c r="N712">
        <f t="shared" si="72"/>
        <v>15.407183098591551</v>
      </c>
      <c r="O712">
        <f t="shared" si="73"/>
        <v>2456.09</v>
      </c>
      <c r="P712">
        <f t="shared" si="74"/>
        <v>0.1066066066066066</v>
      </c>
      <c r="Q712" t="s">
        <v>4136</v>
      </c>
      <c r="R712" t="s">
        <v>4142</v>
      </c>
      <c r="S712">
        <f>YEAR(marketing_data[[#This Row],[Start_date]])</f>
        <v>2023</v>
      </c>
      <c r="T712" t="str">
        <f>TEXT(marketing_data[[#This Row],[Start_date]],"ddd")</f>
        <v>Fri</v>
      </c>
      <c r="U712">
        <f>marketing_data[[#This Row],[Cleaned End_date]]-marketing_data[[#This Row],[Start_date]]</f>
        <v>23</v>
      </c>
    </row>
    <row r="713" spans="1:21" x14ac:dyDescent="0.2">
      <c r="A713" t="s">
        <v>1488</v>
      </c>
      <c r="B713" t="s">
        <v>1489</v>
      </c>
      <c r="C713" s="2">
        <v>44995</v>
      </c>
      <c r="D713" t="str">
        <f t="shared" si="69"/>
        <v>Mar</v>
      </c>
      <c r="E713" s="2">
        <v>45008</v>
      </c>
      <c r="F713" t="s">
        <v>14</v>
      </c>
      <c r="G713">
        <v>34591</v>
      </c>
      <c r="H713">
        <v>468</v>
      </c>
      <c r="I713">
        <v>52</v>
      </c>
      <c r="J713" t="b">
        <v>0</v>
      </c>
      <c r="K713" s="10">
        <v>589.97</v>
      </c>
      <c r="L713" s="6">
        <f t="shared" si="70"/>
        <v>1.352953080280998E-2</v>
      </c>
      <c r="M713">
        <f t="shared" si="71"/>
        <v>1.2606196581196583</v>
      </c>
      <c r="N713">
        <f t="shared" si="72"/>
        <v>11.345576923076923</v>
      </c>
      <c r="O713">
        <f t="shared" si="73"/>
        <v>2010.03</v>
      </c>
      <c r="P713">
        <f t="shared" si="74"/>
        <v>0.1111111111111111</v>
      </c>
      <c r="Q713" t="s">
        <v>4137</v>
      </c>
      <c r="R713" t="s">
        <v>4142</v>
      </c>
      <c r="S713">
        <f>YEAR(marketing_data[[#This Row],[Start_date]])</f>
        <v>2023</v>
      </c>
      <c r="T713" t="str">
        <f>TEXT(marketing_data[[#This Row],[Start_date]],"ddd")</f>
        <v>Fri</v>
      </c>
      <c r="U713">
        <f>marketing_data[[#This Row],[Cleaned End_date]]-marketing_data[[#This Row],[Start_date]]</f>
        <v>13</v>
      </c>
    </row>
    <row r="714" spans="1:21" x14ac:dyDescent="0.2">
      <c r="A714" t="s">
        <v>1490</v>
      </c>
      <c r="B714" t="s">
        <v>1491</v>
      </c>
      <c r="C714" s="2">
        <v>45025</v>
      </c>
      <c r="D714" t="str">
        <f t="shared" si="69"/>
        <v>Apr</v>
      </c>
      <c r="E714" s="2">
        <v>45028</v>
      </c>
      <c r="F714" t="s">
        <v>33</v>
      </c>
      <c r="G714">
        <v>83848</v>
      </c>
      <c r="H714">
        <v>3131</v>
      </c>
      <c r="I714">
        <v>177</v>
      </c>
      <c r="J714" t="b">
        <v>1</v>
      </c>
      <c r="K714" s="10">
        <v>3631.7599999999998</v>
      </c>
      <c r="L714" s="6">
        <f t="shared" si="70"/>
        <v>3.7341379639347388E-2</v>
      </c>
      <c r="M714">
        <f t="shared" si="71"/>
        <v>1.1599361226445224</v>
      </c>
      <c r="N714">
        <f t="shared" si="72"/>
        <v>20.518418079096044</v>
      </c>
      <c r="O714">
        <f t="shared" si="73"/>
        <v>5218.24</v>
      </c>
      <c r="P714">
        <f t="shared" si="74"/>
        <v>5.6531459597572657E-2</v>
      </c>
      <c r="Q714" t="s">
        <v>4137</v>
      </c>
      <c r="R714" t="s">
        <v>4142</v>
      </c>
      <c r="S714">
        <f>YEAR(marketing_data[[#This Row],[Start_date]])</f>
        <v>2023</v>
      </c>
      <c r="T714" t="str">
        <f>TEXT(marketing_data[[#This Row],[Start_date]],"ddd")</f>
        <v>Sun</v>
      </c>
      <c r="U714">
        <f>marketing_data[[#This Row],[Cleaned End_date]]-marketing_data[[#This Row],[Start_date]]</f>
        <v>3</v>
      </c>
    </row>
    <row r="715" spans="1:21" x14ac:dyDescent="0.2">
      <c r="A715" t="s">
        <v>1492</v>
      </c>
      <c r="B715" t="s">
        <v>1493</v>
      </c>
      <c r="C715" s="2">
        <v>45161</v>
      </c>
      <c r="D715" t="str">
        <f t="shared" si="69"/>
        <v>Aug</v>
      </c>
      <c r="E715" s="2">
        <v>45188</v>
      </c>
      <c r="F715" t="str">
        <f>F714</f>
        <v>Instagram</v>
      </c>
      <c r="G715">
        <v>68641</v>
      </c>
      <c r="H715">
        <v>2183</v>
      </c>
      <c r="I715">
        <v>203</v>
      </c>
      <c r="J715" t="b">
        <v>1</v>
      </c>
      <c r="K715" s="10">
        <v>3631.7599999999998</v>
      </c>
      <c r="L715" s="6">
        <f t="shared" si="70"/>
        <v>3.1803149721012225E-2</v>
      </c>
      <c r="M715">
        <f t="shared" si="71"/>
        <v>1.6636555199267062</v>
      </c>
      <c r="N715">
        <f t="shared" si="72"/>
        <v>17.890443349753692</v>
      </c>
      <c r="O715">
        <f t="shared" si="73"/>
        <v>6518.24</v>
      </c>
      <c r="P715">
        <f t="shared" si="74"/>
        <v>9.2991296381126895E-2</v>
      </c>
      <c r="Q715" t="s">
        <v>4139</v>
      </c>
      <c r="R715" t="s">
        <v>4138</v>
      </c>
      <c r="S715">
        <f>YEAR(marketing_data[[#This Row],[Start_date]])</f>
        <v>2023</v>
      </c>
      <c r="T715" t="str">
        <f>TEXT(marketing_data[[#This Row],[Start_date]],"ddd")</f>
        <v>Wed</v>
      </c>
      <c r="U715">
        <f>marketing_data[[#This Row],[Cleaned End_date]]-marketing_data[[#This Row],[Start_date]]</f>
        <v>27</v>
      </c>
    </row>
    <row r="716" spans="1:21" x14ac:dyDescent="0.2">
      <c r="A716" t="s">
        <v>1494</v>
      </c>
      <c r="B716" t="s">
        <v>1495</v>
      </c>
      <c r="C716" s="2">
        <v>44934</v>
      </c>
      <c r="D716" t="str">
        <f t="shared" si="69"/>
        <v>Jan</v>
      </c>
      <c r="E716" s="2">
        <v>44948</v>
      </c>
      <c r="F716" t="s">
        <v>14</v>
      </c>
      <c r="G716">
        <v>37395</v>
      </c>
      <c r="H716">
        <v>1840</v>
      </c>
      <c r="I716">
        <v>216</v>
      </c>
      <c r="J716" t="b">
        <v>0</v>
      </c>
      <c r="K716" s="10">
        <v>3039.7</v>
      </c>
      <c r="L716" s="6">
        <f t="shared" si="70"/>
        <v>4.9204439096135845E-2</v>
      </c>
      <c r="M716">
        <f t="shared" si="71"/>
        <v>1.6520108695652174</v>
      </c>
      <c r="N716">
        <f t="shared" si="72"/>
        <v>14.072685185185184</v>
      </c>
      <c r="O716">
        <f t="shared" si="73"/>
        <v>7760.3</v>
      </c>
      <c r="P716">
        <f t="shared" si="74"/>
        <v>0.11739130434782609</v>
      </c>
      <c r="Q716" t="s">
        <v>4138</v>
      </c>
      <c r="R716" t="s">
        <v>4139</v>
      </c>
      <c r="S716">
        <f>YEAR(marketing_data[[#This Row],[Start_date]])</f>
        <v>2023</v>
      </c>
      <c r="T716" t="str">
        <f>TEXT(marketing_data[[#This Row],[Start_date]],"ddd")</f>
        <v>Sun</v>
      </c>
      <c r="U716">
        <f>marketing_data[[#This Row],[Cleaned End_date]]-marketing_data[[#This Row],[Start_date]]</f>
        <v>14</v>
      </c>
    </row>
    <row r="717" spans="1:21" x14ac:dyDescent="0.2">
      <c r="A717" t="s">
        <v>1496</v>
      </c>
      <c r="B717" t="s">
        <v>1497</v>
      </c>
      <c r="C717" s="2">
        <v>45217</v>
      </c>
      <c r="D717" t="str">
        <f t="shared" si="69"/>
        <v>Oct</v>
      </c>
      <c r="E717" s="2">
        <v>45246</v>
      </c>
      <c r="F717" t="s">
        <v>14</v>
      </c>
      <c r="G717">
        <v>23700</v>
      </c>
      <c r="H717">
        <v>452</v>
      </c>
      <c r="I717">
        <v>30</v>
      </c>
      <c r="J717" t="b">
        <v>0</v>
      </c>
      <c r="K717" s="10">
        <v>520.5</v>
      </c>
      <c r="L717" s="6">
        <f t="shared" si="70"/>
        <v>1.9071729957805907E-2</v>
      </c>
      <c r="M717">
        <f t="shared" si="71"/>
        <v>1.1515486725663717</v>
      </c>
      <c r="N717">
        <f t="shared" si="72"/>
        <v>17.350000000000001</v>
      </c>
      <c r="O717">
        <f t="shared" si="73"/>
        <v>979.5</v>
      </c>
      <c r="P717">
        <f t="shared" si="74"/>
        <v>6.637168141592921E-2</v>
      </c>
      <c r="Q717" t="s">
        <v>4136</v>
      </c>
      <c r="R717" t="s">
        <v>4138</v>
      </c>
      <c r="S717">
        <f>YEAR(marketing_data[[#This Row],[Start_date]])</f>
        <v>2023</v>
      </c>
      <c r="T717" t="str">
        <f>TEXT(marketing_data[[#This Row],[Start_date]],"ddd")</f>
        <v>Wed</v>
      </c>
      <c r="U717">
        <f>marketing_data[[#This Row],[Cleaned End_date]]-marketing_data[[#This Row],[Start_date]]</f>
        <v>29</v>
      </c>
    </row>
    <row r="718" spans="1:21" x14ac:dyDescent="0.2">
      <c r="A718" t="s">
        <v>1498</v>
      </c>
      <c r="B718" t="s">
        <v>1499</v>
      </c>
      <c r="C718" s="2">
        <v>45239</v>
      </c>
      <c r="D718" t="str">
        <f t="shared" si="69"/>
        <v>Nov</v>
      </c>
      <c r="E718" s="2">
        <v>45243</v>
      </c>
      <c r="F718" t="s">
        <v>23</v>
      </c>
      <c r="G718">
        <v>35620</v>
      </c>
      <c r="H718">
        <v>931</v>
      </c>
      <c r="I718">
        <v>109</v>
      </c>
      <c r="J718" t="b">
        <v>1</v>
      </c>
      <c r="K718" s="10">
        <v>1088.96</v>
      </c>
      <c r="L718" s="6">
        <f t="shared" si="70"/>
        <v>2.613700168444694E-2</v>
      </c>
      <c r="M718">
        <f t="shared" si="71"/>
        <v>1.1696670247046188</v>
      </c>
      <c r="N718">
        <f t="shared" si="72"/>
        <v>9.9904587155963309</v>
      </c>
      <c r="O718">
        <f t="shared" si="73"/>
        <v>4361.04</v>
      </c>
      <c r="P718">
        <f t="shared" si="74"/>
        <v>0.11707841031149302</v>
      </c>
      <c r="Q718" t="s">
        <v>4136</v>
      </c>
      <c r="R718" t="s">
        <v>4139</v>
      </c>
      <c r="S718">
        <f>YEAR(marketing_data[[#This Row],[Start_date]])</f>
        <v>2023</v>
      </c>
      <c r="T718" t="str">
        <f>TEXT(marketing_data[[#This Row],[Start_date]],"ddd")</f>
        <v>Thu</v>
      </c>
      <c r="U718">
        <f>marketing_data[[#This Row],[Cleaned End_date]]-marketing_data[[#This Row],[Start_date]]</f>
        <v>4</v>
      </c>
    </row>
    <row r="719" spans="1:21" x14ac:dyDescent="0.2">
      <c r="A719" t="s">
        <v>1500</v>
      </c>
      <c r="B719" t="s">
        <v>1501</v>
      </c>
      <c r="C719" s="2">
        <v>45145</v>
      </c>
      <c r="D719" t="str">
        <f t="shared" si="69"/>
        <v>Aug</v>
      </c>
      <c r="E719" s="2">
        <v>45175</v>
      </c>
      <c r="F719" t="s">
        <v>41</v>
      </c>
      <c r="G719">
        <v>21559</v>
      </c>
      <c r="H719">
        <v>683</v>
      </c>
      <c r="I719">
        <v>121</v>
      </c>
      <c r="J719" t="b">
        <v>0</v>
      </c>
      <c r="K719" s="10">
        <v>975.43</v>
      </c>
      <c r="L719" s="6">
        <f t="shared" si="70"/>
        <v>3.1680504661626238E-2</v>
      </c>
      <c r="M719">
        <f t="shared" si="71"/>
        <v>1.4281551976573938</v>
      </c>
      <c r="N719">
        <f t="shared" si="72"/>
        <v>8.0614049586776861</v>
      </c>
      <c r="O719">
        <f t="shared" si="73"/>
        <v>5074.57</v>
      </c>
      <c r="P719">
        <f t="shared" si="74"/>
        <v>0.17715959004392387</v>
      </c>
      <c r="Q719" t="s">
        <v>4139</v>
      </c>
      <c r="R719" t="s">
        <v>4142</v>
      </c>
      <c r="S719">
        <f>YEAR(marketing_data[[#This Row],[Start_date]])</f>
        <v>2023</v>
      </c>
      <c r="T719" t="str">
        <f>TEXT(marketing_data[[#This Row],[Start_date]],"ddd")</f>
        <v>Mon</v>
      </c>
      <c r="U719">
        <f>marketing_data[[#This Row],[Cleaned End_date]]-marketing_data[[#This Row],[Start_date]]</f>
        <v>30</v>
      </c>
    </row>
    <row r="720" spans="1:21" x14ac:dyDescent="0.2">
      <c r="A720" t="s">
        <v>1502</v>
      </c>
      <c r="B720" t="s">
        <v>1503</v>
      </c>
      <c r="C720" s="2">
        <v>45181</v>
      </c>
      <c r="D720" t="str">
        <f t="shared" si="69"/>
        <v>Sep</v>
      </c>
      <c r="E720" s="2">
        <v>45287</v>
      </c>
      <c r="F720" t="s">
        <v>33</v>
      </c>
      <c r="G720">
        <v>94045</v>
      </c>
      <c r="H720">
        <v>3918</v>
      </c>
      <c r="I720">
        <v>537</v>
      </c>
      <c r="J720" t="b">
        <v>1</v>
      </c>
      <c r="K720" s="10">
        <v>3631.7599999999998</v>
      </c>
      <c r="L720" s="6">
        <f t="shared" si="70"/>
        <v>4.1660907012600348E-2</v>
      </c>
      <c r="M720">
        <f t="shared" si="71"/>
        <v>0.92694231750893308</v>
      </c>
      <c r="N720">
        <f t="shared" si="72"/>
        <v>6.7630540037243945</v>
      </c>
      <c r="O720">
        <f t="shared" si="73"/>
        <v>23218.240000000002</v>
      </c>
      <c r="P720">
        <f t="shared" si="74"/>
        <v>0.13705972434915772</v>
      </c>
      <c r="Q720" t="s">
        <v>4136</v>
      </c>
      <c r="R720" t="s">
        <v>4138</v>
      </c>
      <c r="S720">
        <f>YEAR(marketing_data[[#This Row],[Start_date]])</f>
        <v>2023</v>
      </c>
      <c r="T720" t="str">
        <f>TEXT(marketing_data[[#This Row],[Start_date]],"ddd")</f>
        <v>Tue</v>
      </c>
      <c r="U720">
        <f>marketing_data[[#This Row],[Cleaned End_date]]-marketing_data[[#This Row],[Start_date]]</f>
        <v>106</v>
      </c>
    </row>
    <row r="721" spans="1:21" x14ac:dyDescent="0.2">
      <c r="A721" t="s">
        <v>1504</v>
      </c>
      <c r="B721" t="s">
        <v>1505</v>
      </c>
      <c r="C721" s="2">
        <v>44998</v>
      </c>
      <c r="D721" t="str">
        <f t="shared" si="69"/>
        <v>Mar</v>
      </c>
      <c r="E721" s="2">
        <v>45000</v>
      </c>
      <c r="F721" t="s">
        <v>14</v>
      </c>
      <c r="G721">
        <v>94396</v>
      </c>
      <c r="H721">
        <v>3016</v>
      </c>
      <c r="J721" t="b">
        <v>0</v>
      </c>
      <c r="K721" s="10">
        <v>3631.7599999999998</v>
      </c>
      <c r="L721" s="6">
        <f t="shared" si="70"/>
        <v>3.1950506377388874E-2</v>
      </c>
      <c r="M721">
        <f t="shared" si="71"/>
        <v>1.2041644562334217</v>
      </c>
      <c r="N721">
        <f t="shared" si="72"/>
        <v>0</v>
      </c>
      <c r="O721">
        <f t="shared" si="73"/>
        <v>-3631.7599999999998</v>
      </c>
      <c r="P721">
        <f t="shared" si="74"/>
        <v>0</v>
      </c>
      <c r="Q721" t="s">
        <v>4137</v>
      </c>
      <c r="R721" t="s">
        <v>4139</v>
      </c>
      <c r="S721">
        <f>YEAR(marketing_data[[#This Row],[Start_date]])</f>
        <v>2023</v>
      </c>
      <c r="T721" t="str">
        <f>TEXT(marketing_data[[#This Row],[Start_date]],"ddd")</f>
        <v>Mon</v>
      </c>
      <c r="U721">
        <f>marketing_data[[#This Row],[Cleaned End_date]]-marketing_data[[#This Row],[Start_date]]</f>
        <v>2</v>
      </c>
    </row>
    <row r="722" spans="1:21" x14ac:dyDescent="0.2">
      <c r="A722" t="s">
        <v>1506</v>
      </c>
      <c r="B722" t="s">
        <v>1507</v>
      </c>
      <c r="C722" s="2">
        <v>44930</v>
      </c>
      <c r="D722" t="str">
        <f t="shared" si="69"/>
        <v>Jan</v>
      </c>
      <c r="E722" s="2">
        <v>44947</v>
      </c>
      <c r="F722" t="str">
        <f>F721</f>
        <v>TikTok</v>
      </c>
      <c r="G722">
        <v>62642</v>
      </c>
      <c r="H722">
        <v>2162</v>
      </c>
      <c r="I722">
        <v>170</v>
      </c>
      <c r="J722" t="b">
        <v>1</v>
      </c>
      <c r="K722" s="10">
        <v>3172.28</v>
      </c>
      <c r="L722" s="6">
        <f t="shared" si="70"/>
        <v>3.4513585134574247E-2</v>
      </c>
      <c r="M722">
        <f t="shared" si="71"/>
        <v>1.4672895467160039</v>
      </c>
      <c r="N722">
        <f t="shared" si="72"/>
        <v>18.660470588235295</v>
      </c>
      <c r="O722">
        <f t="shared" si="73"/>
        <v>5327.7199999999993</v>
      </c>
      <c r="P722">
        <f t="shared" si="74"/>
        <v>7.8630897317298803E-2</v>
      </c>
      <c r="Q722" t="s">
        <v>4138</v>
      </c>
      <c r="R722" t="s">
        <v>4141</v>
      </c>
      <c r="S722">
        <f>YEAR(marketing_data[[#This Row],[Start_date]])</f>
        <v>2023</v>
      </c>
      <c r="T722" t="str">
        <f>TEXT(marketing_data[[#This Row],[Start_date]],"ddd")</f>
        <v>Wed</v>
      </c>
      <c r="U722">
        <f>marketing_data[[#This Row],[Cleaned End_date]]-marketing_data[[#This Row],[Start_date]]</f>
        <v>17</v>
      </c>
    </row>
    <row r="723" spans="1:21" x14ac:dyDescent="0.2">
      <c r="A723" t="s">
        <v>1508</v>
      </c>
      <c r="B723" t="s">
        <v>1509</v>
      </c>
      <c r="C723" s="2">
        <v>45063</v>
      </c>
      <c r="D723" t="str">
        <f t="shared" si="69"/>
        <v>May</v>
      </c>
      <c r="E723" s="2">
        <v>45067</v>
      </c>
      <c r="F723" t="s">
        <v>41</v>
      </c>
      <c r="G723">
        <v>77539</v>
      </c>
      <c r="H723">
        <v>1476</v>
      </c>
      <c r="I723">
        <v>178</v>
      </c>
      <c r="J723" t="b">
        <v>1</v>
      </c>
      <c r="K723" s="10">
        <v>790.1</v>
      </c>
      <c r="L723" s="6">
        <f t="shared" si="70"/>
        <v>1.9035582094171964E-2</v>
      </c>
      <c r="M723">
        <f t="shared" si="71"/>
        <v>0.53529810298102987</v>
      </c>
      <c r="N723">
        <f t="shared" si="72"/>
        <v>4.4387640449438202</v>
      </c>
      <c r="O723">
        <f t="shared" si="73"/>
        <v>8109.9</v>
      </c>
      <c r="P723">
        <f t="shared" si="74"/>
        <v>0.12059620596205962</v>
      </c>
      <c r="Q723" t="s">
        <v>4137</v>
      </c>
      <c r="R723" t="s">
        <v>4139</v>
      </c>
      <c r="S723">
        <f>YEAR(marketing_data[[#This Row],[Start_date]])</f>
        <v>2023</v>
      </c>
      <c r="T723" t="str">
        <f>TEXT(marketing_data[[#This Row],[Start_date]],"ddd")</f>
        <v>Wed</v>
      </c>
      <c r="U723">
        <f>marketing_data[[#This Row],[Cleaned End_date]]-marketing_data[[#This Row],[Start_date]]</f>
        <v>4</v>
      </c>
    </row>
    <row r="724" spans="1:21" x14ac:dyDescent="0.2">
      <c r="A724" t="s">
        <v>1510</v>
      </c>
      <c r="B724" t="s">
        <v>1511</v>
      </c>
      <c r="C724" s="2">
        <v>45220</v>
      </c>
      <c r="D724" t="str">
        <f t="shared" si="69"/>
        <v>Oct</v>
      </c>
      <c r="E724" s="2">
        <v>45239</v>
      </c>
      <c r="F724" t="s">
        <v>14</v>
      </c>
      <c r="G724">
        <v>22732</v>
      </c>
      <c r="H724">
        <v>997</v>
      </c>
      <c r="I724">
        <v>103</v>
      </c>
      <c r="J724" t="b">
        <v>1</v>
      </c>
      <c r="K724" s="10">
        <v>1141</v>
      </c>
      <c r="L724" s="6">
        <f t="shared" si="70"/>
        <v>4.3858877353510468E-2</v>
      </c>
      <c r="M724">
        <f t="shared" si="71"/>
        <v>1.1444332998996991</v>
      </c>
      <c r="N724">
        <f t="shared" si="72"/>
        <v>11.077669902912621</v>
      </c>
      <c r="O724">
        <f t="shared" si="73"/>
        <v>4009</v>
      </c>
      <c r="P724">
        <f t="shared" si="74"/>
        <v>0.10330992978936811</v>
      </c>
      <c r="Q724" t="s">
        <v>4136</v>
      </c>
      <c r="R724" t="s">
        <v>4141</v>
      </c>
      <c r="S724">
        <f>YEAR(marketing_data[[#This Row],[Start_date]])</f>
        <v>2023</v>
      </c>
      <c r="T724" t="str">
        <f>TEXT(marketing_data[[#This Row],[Start_date]],"ddd")</f>
        <v>Sat</v>
      </c>
      <c r="U724">
        <f>marketing_data[[#This Row],[Cleaned End_date]]-marketing_data[[#This Row],[Start_date]]</f>
        <v>19</v>
      </c>
    </row>
    <row r="725" spans="1:21" x14ac:dyDescent="0.2">
      <c r="A725" t="s">
        <v>1513</v>
      </c>
      <c r="B725" t="s">
        <v>1514</v>
      </c>
      <c r="C725" s="2">
        <v>45261</v>
      </c>
      <c r="D725" t="str">
        <f t="shared" si="69"/>
        <v>Dec</v>
      </c>
      <c r="E725" s="2">
        <v>45262</v>
      </c>
      <c r="F725" t="s">
        <v>41</v>
      </c>
      <c r="G725">
        <v>92362</v>
      </c>
      <c r="H725">
        <v>2507</v>
      </c>
      <c r="I725">
        <v>260</v>
      </c>
      <c r="J725" t="b">
        <v>1</v>
      </c>
      <c r="K725" s="10">
        <v>2302.4499999999998</v>
      </c>
      <c r="L725" s="6">
        <f t="shared" si="70"/>
        <v>2.7143197418851909E-2</v>
      </c>
      <c r="M725">
        <f t="shared" si="71"/>
        <v>0.91840845632229751</v>
      </c>
      <c r="N725">
        <f t="shared" si="72"/>
        <v>8.8555769230769226</v>
      </c>
      <c r="O725">
        <f t="shared" si="73"/>
        <v>10697.55</v>
      </c>
      <c r="P725">
        <f t="shared" si="74"/>
        <v>0.10370961308336657</v>
      </c>
      <c r="Q725" t="s">
        <v>4138</v>
      </c>
      <c r="R725" t="s">
        <v>4139</v>
      </c>
      <c r="S725">
        <f>YEAR(marketing_data[[#This Row],[Start_date]])</f>
        <v>2023</v>
      </c>
      <c r="T725" t="str">
        <f>TEXT(marketing_data[[#This Row],[Start_date]],"ddd")</f>
        <v>Fri</v>
      </c>
      <c r="U725">
        <f>marketing_data[[#This Row],[Cleaned End_date]]-marketing_data[[#This Row],[Start_date]]</f>
        <v>1</v>
      </c>
    </row>
    <row r="726" spans="1:21" x14ac:dyDescent="0.2">
      <c r="A726" t="s">
        <v>1515</v>
      </c>
      <c r="B726" t="s">
        <v>1516</v>
      </c>
      <c r="C726" s="2">
        <v>45268</v>
      </c>
      <c r="D726" t="str">
        <f t="shared" si="69"/>
        <v>Dec</v>
      </c>
      <c r="E726" s="2">
        <v>45277</v>
      </c>
      <c r="F726" t="s">
        <v>14</v>
      </c>
      <c r="G726">
        <v>31354</v>
      </c>
      <c r="H726">
        <v>490</v>
      </c>
      <c r="I726">
        <v>63</v>
      </c>
      <c r="J726" t="b">
        <v>0</v>
      </c>
      <c r="K726" s="10">
        <v>339.94</v>
      </c>
      <c r="L726" s="6">
        <f t="shared" si="70"/>
        <v>1.5627990049116539E-2</v>
      </c>
      <c r="M726">
        <f t="shared" si="71"/>
        <v>0.69375510204081636</v>
      </c>
      <c r="N726">
        <f t="shared" si="72"/>
        <v>5.3958730158730157</v>
      </c>
      <c r="O726">
        <f t="shared" si="73"/>
        <v>2810.06</v>
      </c>
      <c r="P726">
        <f t="shared" si="74"/>
        <v>0.12857142857142856</v>
      </c>
      <c r="Q726" t="s">
        <v>4138</v>
      </c>
      <c r="R726" t="s">
        <v>4141</v>
      </c>
      <c r="S726">
        <f>YEAR(marketing_data[[#This Row],[Start_date]])</f>
        <v>2023</v>
      </c>
      <c r="T726" t="str">
        <f>TEXT(marketing_data[[#This Row],[Start_date]],"ddd")</f>
        <v>Fri</v>
      </c>
      <c r="U726">
        <f>marketing_data[[#This Row],[Cleaned End_date]]-marketing_data[[#This Row],[Start_date]]</f>
        <v>9</v>
      </c>
    </row>
    <row r="727" spans="1:21" x14ac:dyDescent="0.2">
      <c r="A727" t="s">
        <v>1517</v>
      </c>
      <c r="B727" t="s">
        <v>1518</v>
      </c>
      <c r="C727" s="2">
        <v>45134</v>
      </c>
      <c r="D727" t="str">
        <f t="shared" si="69"/>
        <v>Jul</v>
      </c>
      <c r="E727" s="2">
        <v>45164</v>
      </c>
      <c r="F727" t="s">
        <v>14</v>
      </c>
      <c r="G727">
        <v>14843</v>
      </c>
      <c r="H727">
        <v>542</v>
      </c>
      <c r="I727">
        <v>74</v>
      </c>
      <c r="J727" t="b">
        <v>0</v>
      </c>
      <c r="K727" s="10">
        <v>351.93</v>
      </c>
      <c r="L727" s="6">
        <f t="shared" si="70"/>
        <v>3.6515529205686181E-2</v>
      </c>
      <c r="M727">
        <f t="shared" si="71"/>
        <v>0.6493173431734317</v>
      </c>
      <c r="N727">
        <f t="shared" si="72"/>
        <v>4.7558108108108108</v>
      </c>
      <c r="O727">
        <f t="shared" si="73"/>
        <v>3348.07</v>
      </c>
      <c r="P727">
        <f t="shared" si="74"/>
        <v>0.13653136531365315</v>
      </c>
      <c r="Q727" t="s">
        <v>4139</v>
      </c>
      <c r="R727" t="s">
        <v>4142</v>
      </c>
      <c r="S727">
        <f>YEAR(marketing_data[[#This Row],[Start_date]])</f>
        <v>2023</v>
      </c>
      <c r="T727" t="str">
        <f>TEXT(marketing_data[[#This Row],[Start_date]],"ddd")</f>
        <v>Thu</v>
      </c>
      <c r="U727">
        <f>marketing_data[[#This Row],[Cleaned End_date]]-marketing_data[[#This Row],[Start_date]]</f>
        <v>30</v>
      </c>
    </row>
    <row r="728" spans="1:21" x14ac:dyDescent="0.2">
      <c r="A728" t="s">
        <v>1519</v>
      </c>
      <c r="B728" t="s">
        <v>1520</v>
      </c>
      <c r="C728" s="2">
        <v>45287</v>
      </c>
      <c r="D728" t="str">
        <f t="shared" si="69"/>
        <v>Dec</v>
      </c>
      <c r="E728" s="2">
        <v>45305</v>
      </c>
      <c r="F728" t="s">
        <v>41</v>
      </c>
      <c r="G728">
        <v>72726</v>
      </c>
      <c r="H728">
        <v>1355</v>
      </c>
      <c r="I728">
        <v>229</v>
      </c>
      <c r="J728" t="b">
        <v>1</v>
      </c>
      <c r="K728" s="10">
        <v>1903.49</v>
      </c>
      <c r="L728" s="6">
        <f t="shared" si="70"/>
        <v>1.8631576052580919E-2</v>
      </c>
      <c r="M728">
        <f t="shared" si="71"/>
        <v>1.4047896678966789</v>
      </c>
      <c r="N728">
        <f t="shared" si="72"/>
        <v>8.3121834061135367</v>
      </c>
      <c r="O728">
        <f t="shared" si="73"/>
        <v>9546.51</v>
      </c>
      <c r="P728">
        <f t="shared" si="74"/>
        <v>0.16900369003690036</v>
      </c>
      <c r="Q728" t="s">
        <v>4138</v>
      </c>
      <c r="R728" t="s">
        <v>4142</v>
      </c>
      <c r="S728">
        <f>YEAR(marketing_data[[#This Row],[Start_date]])</f>
        <v>2023</v>
      </c>
      <c r="T728" t="str">
        <f>TEXT(marketing_data[[#This Row],[Start_date]],"ddd")</f>
        <v>Wed</v>
      </c>
      <c r="U728">
        <f>marketing_data[[#This Row],[Cleaned End_date]]-marketing_data[[#This Row],[Start_date]]</f>
        <v>18</v>
      </c>
    </row>
    <row r="729" spans="1:21" x14ac:dyDescent="0.2">
      <c r="A729" t="s">
        <v>1521</v>
      </c>
      <c r="B729" t="s">
        <v>1522</v>
      </c>
      <c r="C729" s="2">
        <v>45254</v>
      </c>
      <c r="D729" t="str">
        <f t="shared" si="69"/>
        <v>Nov</v>
      </c>
      <c r="E729" s="2">
        <v>45276</v>
      </c>
      <c r="F729" t="s">
        <v>14</v>
      </c>
      <c r="G729">
        <v>18640</v>
      </c>
      <c r="H729">
        <v>259</v>
      </c>
      <c r="I729">
        <v>26</v>
      </c>
      <c r="J729" t="b">
        <v>1</v>
      </c>
      <c r="K729" s="10">
        <v>332.92</v>
      </c>
      <c r="L729" s="6">
        <f t="shared" si="70"/>
        <v>1.3894849785407726E-2</v>
      </c>
      <c r="M729">
        <f t="shared" si="71"/>
        <v>1.2854054054054054</v>
      </c>
      <c r="N729">
        <f t="shared" si="72"/>
        <v>12.804615384615385</v>
      </c>
      <c r="O729">
        <f t="shared" si="73"/>
        <v>967.07999999999993</v>
      </c>
      <c r="P729">
        <f t="shared" si="74"/>
        <v>0.10038610038610038</v>
      </c>
      <c r="Q729" t="s">
        <v>4136</v>
      </c>
      <c r="R729" t="s">
        <v>4142</v>
      </c>
      <c r="S729">
        <f>YEAR(marketing_data[[#This Row],[Start_date]])</f>
        <v>2023</v>
      </c>
      <c r="T729" t="str">
        <f>TEXT(marketing_data[[#This Row],[Start_date]],"ddd")</f>
        <v>Fri</v>
      </c>
      <c r="U729">
        <f>marketing_data[[#This Row],[Cleaned End_date]]-marketing_data[[#This Row],[Start_date]]</f>
        <v>22</v>
      </c>
    </row>
    <row r="730" spans="1:21" x14ac:dyDescent="0.2">
      <c r="A730" t="s">
        <v>1523</v>
      </c>
      <c r="B730" t="s">
        <v>1524</v>
      </c>
      <c r="C730" s="2">
        <v>45241</v>
      </c>
      <c r="D730" t="str">
        <f t="shared" si="69"/>
        <v>Nov</v>
      </c>
      <c r="E730" s="2">
        <v>45247</v>
      </c>
      <c r="F730" t="s">
        <v>14</v>
      </c>
      <c r="G730">
        <v>53528</v>
      </c>
      <c r="H730">
        <v>2380</v>
      </c>
      <c r="I730">
        <v>406</v>
      </c>
      <c r="J730" t="b">
        <v>1</v>
      </c>
      <c r="K730" s="10">
        <v>2095.3000000000002</v>
      </c>
      <c r="L730" s="6">
        <f t="shared" si="70"/>
        <v>4.4462711104468693E-2</v>
      </c>
      <c r="M730">
        <f t="shared" si="71"/>
        <v>0.88037815126050423</v>
      </c>
      <c r="N730">
        <f t="shared" si="72"/>
        <v>5.1608374384236457</v>
      </c>
      <c r="O730">
        <f t="shared" si="73"/>
        <v>18204.7</v>
      </c>
      <c r="P730">
        <f t="shared" si="74"/>
        <v>0.17058823529411765</v>
      </c>
      <c r="Q730" t="s">
        <v>4136</v>
      </c>
      <c r="R730" t="s">
        <v>4142</v>
      </c>
      <c r="S730">
        <f>YEAR(marketing_data[[#This Row],[Start_date]])</f>
        <v>2023</v>
      </c>
      <c r="T730" t="str">
        <f>TEXT(marketing_data[[#This Row],[Start_date]],"ddd")</f>
        <v>Sat</v>
      </c>
      <c r="U730">
        <f>marketing_data[[#This Row],[Cleaned End_date]]-marketing_data[[#This Row],[Start_date]]</f>
        <v>6</v>
      </c>
    </row>
    <row r="731" spans="1:21" x14ac:dyDescent="0.2">
      <c r="A731" t="s">
        <v>1525</v>
      </c>
      <c r="B731" t="s">
        <v>1526</v>
      </c>
      <c r="C731" s="2">
        <v>45171</v>
      </c>
      <c r="D731" t="str">
        <f t="shared" si="69"/>
        <v>Sep</v>
      </c>
      <c r="E731" s="2">
        <v>45195</v>
      </c>
      <c r="F731" t="s">
        <v>23</v>
      </c>
      <c r="G731">
        <v>39413</v>
      </c>
      <c r="H731">
        <v>1119</v>
      </c>
      <c r="I731">
        <v>112</v>
      </c>
      <c r="J731" t="b">
        <v>1</v>
      </c>
      <c r="K731" s="10">
        <v>1349.99</v>
      </c>
      <c r="L731" s="6">
        <f t="shared" si="70"/>
        <v>2.8391647425976201E-2</v>
      </c>
      <c r="M731">
        <f t="shared" si="71"/>
        <v>1.2064253798033959</v>
      </c>
      <c r="N731">
        <f t="shared" si="72"/>
        <v>12.053482142857144</v>
      </c>
      <c r="O731">
        <f t="shared" si="73"/>
        <v>4250.01</v>
      </c>
      <c r="P731">
        <f t="shared" si="74"/>
        <v>0.10008936550491511</v>
      </c>
      <c r="Q731" t="s">
        <v>4136</v>
      </c>
      <c r="R731" t="s">
        <v>4141</v>
      </c>
      <c r="S731">
        <f>YEAR(marketing_data[[#This Row],[Start_date]])</f>
        <v>2023</v>
      </c>
      <c r="T731" t="str">
        <f>TEXT(marketing_data[[#This Row],[Start_date]],"ddd")</f>
        <v>Sat</v>
      </c>
      <c r="U731">
        <f>marketing_data[[#This Row],[Cleaned End_date]]-marketing_data[[#This Row],[Start_date]]</f>
        <v>24</v>
      </c>
    </row>
    <row r="732" spans="1:21" x14ac:dyDescent="0.2">
      <c r="A732" t="s">
        <v>1527</v>
      </c>
      <c r="B732" t="s">
        <v>1528</v>
      </c>
      <c r="C732" s="2">
        <v>45237</v>
      </c>
      <c r="D732" t="str">
        <f t="shared" si="69"/>
        <v>Nov</v>
      </c>
      <c r="E732" s="2">
        <v>45245</v>
      </c>
      <c r="F732" t="s">
        <v>19</v>
      </c>
      <c r="G732">
        <v>53638</v>
      </c>
      <c r="H732">
        <v>2143</v>
      </c>
      <c r="I732">
        <v>124</v>
      </c>
      <c r="J732" t="b">
        <v>1</v>
      </c>
      <c r="K732" s="10">
        <v>2653.78</v>
      </c>
      <c r="L732" s="6">
        <f t="shared" si="70"/>
        <v>3.9953018382490026E-2</v>
      </c>
      <c r="M732">
        <f t="shared" si="71"/>
        <v>1.2383481101259917</v>
      </c>
      <c r="N732">
        <f t="shared" si="72"/>
        <v>21.401451612903227</v>
      </c>
      <c r="O732">
        <f t="shared" si="73"/>
        <v>3546.22</v>
      </c>
      <c r="P732">
        <f t="shared" si="74"/>
        <v>5.7862809146056932E-2</v>
      </c>
      <c r="Q732" t="s">
        <v>4136</v>
      </c>
      <c r="R732" t="s">
        <v>4139</v>
      </c>
      <c r="S732">
        <f>YEAR(marketing_data[[#This Row],[Start_date]])</f>
        <v>2023</v>
      </c>
      <c r="T732" t="str">
        <f>TEXT(marketing_data[[#This Row],[Start_date]],"ddd")</f>
        <v>Tue</v>
      </c>
      <c r="U732">
        <f>marketing_data[[#This Row],[Cleaned End_date]]-marketing_data[[#This Row],[Start_date]]</f>
        <v>8</v>
      </c>
    </row>
    <row r="733" spans="1:21" x14ac:dyDescent="0.2">
      <c r="A733" t="s">
        <v>1529</v>
      </c>
      <c r="B733" t="s">
        <v>1530</v>
      </c>
      <c r="C733" s="2">
        <v>45168</v>
      </c>
      <c r="D733" t="str">
        <f t="shared" si="69"/>
        <v>Aug</v>
      </c>
      <c r="E733" s="2">
        <v>45190</v>
      </c>
      <c r="F733" t="s">
        <v>19</v>
      </c>
      <c r="G733">
        <v>53736</v>
      </c>
      <c r="H733">
        <v>1161</v>
      </c>
      <c r="I733">
        <v>154</v>
      </c>
      <c r="J733" t="b">
        <v>1</v>
      </c>
      <c r="K733" s="10">
        <v>920.11</v>
      </c>
      <c r="L733" s="6">
        <f t="shared" si="70"/>
        <v>2.1605627512282267E-2</v>
      </c>
      <c r="M733">
        <f t="shared" si="71"/>
        <v>0.79251507321274761</v>
      </c>
      <c r="N733">
        <f t="shared" si="72"/>
        <v>5.9747402597402601</v>
      </c>
      <c r="O733">
        <f t="shared" si="73"/>
        <v>6779.89</v>
      </c>
      <c r="P733">
        <f t="shared" si="74"/>
        <v>0.13264427217915589</v>
      </c>
      <c r="Q733" t="s">
        <v>4139</v>
      </c>
      <c r="R733" t="s">
        <v>4141</v>
      </c>
      <c r="S733">
        <f>YEAR(marketing_data[[#This Row],[Start_date]])</f>
        <v>2023</v>
      </c>
      <c r="T733" t="str">
        <f>TEXT(marketing_data[[#This Row],[Start_date]],"ddd")</f>
        <v>Wed</v>
      </c>
      <c r="U733">
        <f>marketing_data[[#This Row],[Cleaned End_date]]-marketing_data[[#This Row],[Start_date]]</f>
        <v>22</v>
      </c>
    </row>
    <row r="734" spans="1:21" x14ac:dyDescent="0.2">
      <c r="A734" t="s">
        <v>1531</v>
      </c>
      <c r="B734" t="s">
        <v>1532</v>
      </c>
      <c r="C734" s="2">
        <v>45038</v>
      </c>
      <c r="D734" t="str">
        <f t="shared" si="69"/>
        <v>Apr</v>
      </c>
      <c r="E734" s="2">
        <v>45061</v>
      </c>
      <c r="F734" t="s">
        <v>33</v>
      </c>
      <c r="G734">
        <v>69866</v>
      </c>
      <c r="H734">
        <v>2897</v>
      </c>
      <c r="I734">
        <v>400</v>
      </c>
      <c r="J734" t="b">
        <v>1</v>
      </c>
      <c r="K734" s="10">
        <v>3631.7599999999998</v>
      </c>
      <c r="L734" s="6">
        <f t="shared" si="70"/>
        <v>4.1465090315747286E-2</v>
      </c>
      <c r="M734">
        <f t="shared" si="71"/>
        <v>1.253627890921643</v>
      </c>
      <c r="N734">
        <f t="shared" si="72"/>
        <v>9.0793999999999997</v>
      </c>
      <c r="O734">
        <f t="shared" si="73"/>
        <v>16368.24</v>
      </c>
      <c r="P734">
        <f t="shared" si="74"/>
        <v>0.13807386952019329</v>
      </c>
      <c r="Q734" t="s">
        <v>4137</v>
      </c>
      <c r="R734" t="s">
        <v>4142</v>
      </c>
      <c r="S734">
        <f>YEAR(marketing_data[[#This Row],[Start_date]])</f>
        <v>2023</v>
      </c>
      <c r="T734" t="str">
        <f>TEXT(marketing_data[[#This Row],[Start_date]],"ddd")</f>
        <v>Sat</v>
      </c>
      <c r="U734">
        <f>marketing_data[[#This Row],[Cleaned End_date]]-marketing_data[[#This Row],[Start_date]]</f>
        <v>23</v>
      </c>
    </row>
    <row r="735" spans="1:21" x14ac:dyDescent="0.2">
      <c r="A735" t="s">
        <v>1533</v>
      </c>
      <c r="B735" t="s">
        <v>1534</v>
      </c>
      <c r="C735" s="2">
        <v>45232</v>
      </c>
      <c r="D735" t="str">
        <f t="shared" si="69"/>
        <v>Nov</v>
      </c>
      <c r="E735" s="2">
        <v>45262</v>
      </c>
      <c r="F735" t="s">
        <v>41</v>
      </c>
      <c r="G735">
        <v>20087</v>
      </c>
      <c r="H735">
        <v>290</v>
      </c>
      <c r="I735">
        <v>55</v>
      </c>
      <c r="J735" t="b">
        <v>0</v>
      </c>
      <c r="K735" s="10">
        <v>484.7</v>
      </c>
      <c r="L735" s="6">
        <f t="shared" si="70"/>
        <v>1.4437198187882709E-2</v>
      </c>
      <c r="M735">
        <f t="shared" si="71"/>
        <v>1.6713793103448276</v>
      </c>
      <c r="N735">
        <f t="shared" si="72"/>
        <v>8.8127272727272725</v>
      </c>
      <c r="O735">
        <f t="shared" si="73"/>
        <v>2265.3000000000002</v>
      </c>
      <c r="P735">
        <f t="shared" si="74"/>
        <v>0.18965517241379309</v>
      </c>
      <c r="Q735" t="s">
        <v>4136</v>
      </c>
      <c r="R735" t="s">
        <v>4142</v>
      </c>
      <c r="S735">
        <f>YEAR(marketing_data[[#This Row],[Start_date]])</f>
        <v>2023</v>
      </c>
      <c r="T735" t="str">
        <f>TEXT(marketing_data[[#This Row],[Start_date]],"ddd")</f>
        <v>Thu</v>
      </c>
      <c r="U735">
        <f>marketing_data[[#This Row],[Cleaned End_date]]-marketing_data[[#This Row],[Start_date]]</f>
        <v>30</v>
      </c>
    </row>
    <row r="736" spans="1:21" x14ac:dyDescent="0.2">
      <c r="A736" t="s">
        <v>1535</v>
      </c>
      <c r="B736" t="s">
        <v>1536</v>
      </c>
      <c r="C736" s="2">
        <v>45155</v>
      </c>
      <c r="D736" t="str">
        <f t="shared" si="69"/>
        <v>Aug</v>
      </c>
      <c r="E736" s="2">
        <v>45166</v>
      </c>
      <c r="F736" t="s">
        <v>23</v>
      </c>
      <c r="G736">
        <v>42430</v>
      </c>
      <c r="H736">
        <v>1028</v>
      </c>
      <c r="I736">
        <v>163</v>
      </c>
      <c r="J736" t="b">
        <v>1</v>
      </c>
      <c r="K736" s="10">
        <v>1734.44</v>
      </c>
      <c r="L736" s="6">
        <f t="shared" si="70"/>
        <v>2.4228140466650956E-2</v>
      </c>
      <c r="M736">
        <f t="shared" si="71"/>
        <v>1.6871984435797667</v>
      </c>
      <c r="N736">
        <f t="shared" si="72"/>
        <v>10.640736196319018</v>
      </c>
      <c r="O736">
        <f t="shared" si="73"/>
        <v>6415.5599999999995</v>
      </c>
      <c r="P736">
        <f t="shared" si="74"/>
        <v>0.15856031128404668</v>
      </c>
      <c r="Q736" t="s">
        <v>4139</v>
      </c>
      <c r="R736" t="s">
        <v>4142</v>
      </c>
      <c r="S736">
        <f>YEAR(marketing_data[[#This Row],[Start_date]])</f>
        <v>2023</v>
      </c>
      <c r="T736" t="str">
        <f>TEXT(marketing_data[[#This Row],[Start_date]],"ddd")</f>
        <v>Thu</v>
      </c>
      <c r="U736">
        <f>marketing_data[[#This Row],[Cleaned End_date]]-marketing_data[[#This Row],[Start_date]]</f>
        <v>11</v>
      </c>
    </row>
    <row r="737" spans="1:21" x14ac:dyDescent="0.2">
      <c r="A737" t="s">
        <v>1537</v>
      </c>
      <c r="B737" t="s">
        <v>1538</v>
      </c>
      <c r="C737" s="2">
        <v>45215</v>
      </c>
      <c r="D737" t="str">
        <f t="shared" si="69"/>
        <v>Oct</v>
      </c>
      <c r="E737" s="2">
        <v>45231</v>
      </c>
      <c r="F737" t="s">
        <v>19</v>
      </c>
      <c r="G737">
        <v>25504</v>
      </c>
      <c r="H737">
        <v>1252</v>
      </c>
      <c r="I737">
        <v>234</v>
      </c>
      <c r="J737" t="b">
        <v>0</v>
      </c>
      <c r="K737" s="10">
        <v>1757.44</v>
      </c>
      <c r="L737" s="6">
        <f t="shared" si="70"/>
        <v>4.9090338770388958E-2</v>
      </c>
      <c r="M737">
        <f t="shared" si="71"/>
        <v>1.4037060702875399</v>
      </c>
      <c r="N737">
        <f t="shared" si="72"/>
        <v>7.5104273504273511</v>
      </c>
      <c r="O737">
        <f t="shared" si="73"/>
        <v>9942.56</v>
      </c>
      <c r="P737">
        <f t="shared" si="74"/>
        <v>0.18690095846645369</v>
      </c>
      <c r="Q737" t="s">
        <v>4136</v>
      </c>
      <c r="R737" t="s">
        <v>4138</v>
      </c>
      <c r="S737">
        <f>YEAR(marketing_data[[#This Row],[Start_date]])</f>
        <v>2023</v>
      </c>
      <c r="T737" t="str">
        <f>TEXT(marketing_data[[#This Row],[Start_date]],"ddd")</f>
        <v>Mon</v>
      </c>
      <c r="U737">
        <f>marketing_data[[#This Row],[Cleaned End_date]]-marketing_data[[#This Row],[Start_date]]</f>
        <v>16</v>
      </c>
    </row>
    <row r="738" spans="1:21" x14ac:dyDescent="0.2">
      <c r="A738" t="s">
        <v>1539</v>
      </c>
      <c r="B738" t="s">
        <v>1540</v>
      </c>
      <c r="C738" s="2">
        <v>45185</v>
      </c>
      <c r="D738" t="str">
        <f t="shared" si="69"/>
        <v>Sep</v>
      </c>
      <c r="E738" s="2">
        <v>45189</v>
      </c>
      <c r="F738" t="s">
        <v>23</v>
      </c>
      <c r="G738">
        <v>8114</v>
      </c>
      <c r="H738">
        <v>338</v>
      </c>
      <c r="I738">
        <v>62</v>
      </c>
      <c r="J738" t="b">
        <v>1</v>
      </c>
      <c r="K738" s="10">
        <v>428.4</v>
      </c>
      <c r="L738" s="6">
        <f t="shared" si="70"/>
        <v>4.1656396351984225E-2</v>
      </c>
      <c r="M738">
        <f t="shared" si="71"/>
        <v>1.2674556213017751</v>
      </c>
      <c r="N738">
        <f t="shared" si="72"/>
        <v>6.9096774193548383</v>
      </c>
      <c r="O738">
        <f t="shared" si="73"/>
        <v>2671.6</v>
      </c>
      <c r="P738">
        <f t="shared" si="74"/>
        <v>0.18343195266272189</v>
      </c>
      <c r="Q738" t="s">
        <v>4136</v>
      </c>
      <c r="R738" t="s">
        <v>4141</v>
      </c>
      <c r="S738">
        <f>YEAR(marketing_data[[#This Row],[Start_date]])</f>
        <v>2023</v>
      </c>
      <c r="T738" t="str">
        <f>TEXT(marketing_data[[#This Row],[Start_date]],"ddd")</f>
        <v>Sat</v>
      </c>
      <c r="U738">
        <f>marketing_data[[#This Row],[Cleaned End_date]]-marketing_data[[#This Row],[Start_date]]</f>
        <v>4</v>
      </c>
    </row>
    <row r="739" spans="1:21" x14ac:dyDescent="0.2">
      <c r="A739" t="s">
        <v>1541</v>
      </c>
      <c r="B739" t="s">
        <v>1542</v>
      </c>
      <c r="C739" s="2">
        <v>45011</v>
      </c>
      <c r="D739" t="str">
        <f t="shared" si="69"/>
        <v>Mar</v>
      </c>
      <c r="E739" s="2">
        <v>45022</v>
      </c>
      <c r="F739" t="s">
        <v>41</v>
      </c>
      <c r="G739">
        <v>79859</v>
      </c>
      <c r="H739">
        <v>2387</v>
      </c>
      <c r="I739">
        <v>335</v>
      </c>
      <c r="J739" t="b">
        <v>0</v>
      </c>
      <c r="K739" s="10">
        <v>1411.94</v>
      </c>
      <c r="L739" s="6">
        <f t="shared" si="70"/>
        <v>2.9890181444796455E-2</v>
      </c>
      <c r="M739">
        <f t="shared" si="71"/>
        <v>0.59151235860913287</v>
      </c>
      <c r="N739">
        <f t="shared" si="72"/>
        <v>4.2147462686567163</v>
      </c>
      <c r="O739">
        <f t="shared" si="73"/>
        <v>15338.06</v>
      </c>
      <c r="P739">
        <f t="shared" si="74"/>
        <v>0.14034352744030162</v>
      </c>
      <c r="Q739" t="s">
        <v>4137</v>
      </c>
      <c r="R739" t="s">
        <v>4138</v>
      </c>
      <c r="S739">
        <f>YEAR(marketing_data[[#This Row],[Start_date]])</f>
        <v>2023</v>
      </c>
      <c r="T739" t="str">
        <f>TEXT(marketing_data[[#This Row],[Start_date]],"ddd")</f>
        <v>Sun</v>
      </c>
      <c r="U739">
        <f>marketing_data[[#This Row],[Cleaned End_date]]-marketing_data[[#This Row],[Start_date]]</f>
        <v>11</v>
      </c>
    </row>
    <row r="740" spans="1:21" x14ac:dyDescent="0.2">
      <c r="A740" t="s">
        <v>1543</v>
      </c>
      <c r="B740" t="s">
        <v>1544</v>
      </c>
      <c r="C740" s="2">
        <v>44986</v>
      </c>
      <c r="D740" t="str">
        <f t="shared" si="69"/>
        <v>Mar</v>
      </c>
      <c r="E740" s="2">
        <v>45010</v>
      </c>
      <c r="F740" t="s">
        <v>41</v>
      </c>
      <c r="G740">
        <v>11975</v>
      </c>
      <c r="H740">
        <v>282</v>
      </c>
      <c r="I740">
        <v>36</v>
      </c>
      <c r="J740" t="b">
        <v>1</v>
      </c>
      <c r="K740" s="10">
        <v>329.13249999999999</v>
      </c>
      <c r="L740" s="6">
        <f t="shared" si="70"/>
        <v>2.3549060542797495E-2</v>
      </c>
      <c r="M740">
        <f t="shared" si="71"/>
        <v>1.167136524822695</v>
      </c>
      <c r="N740">
        <f t="shared" si="72"/>
        <v>9.1425694444444439</v>
      </c>
      <c r="O740">
        <f t="shared" si="73"/>
        <v>1470.8675000000001</v>
      </c>
      <c r="P740">
        <f t="shared" si="74"/>
        <v>0.1276595744680851</v>
      </c>
      <c r="Q740" t="s">
        <v>4137</v>
      </c>
      <c r="R740" t="s">
        <v>4141</v>
      </c>
      <c r="S740">
        <f>YEAR(marketing_data[[#This Row],[Start_date]])</f>
        <v>2023</v>
      </c>
      <c r="T740" t="str">
        <f>TEXT(marketing_data[[#This Row],[Start_date]],"ddd")</f>
        <v>Wed</v>
      </c>
      <c r="U740">
        <f>marketing_data[[#This Row],[Cleaned End_date]]-marketing_data[[#This Row],[Start_date]]</f>
        <v>24</v>
      </c>
    </row>
    <row r="741" spans="1:21" x14ac:dyDescent="0.2">
      <c r="A741" t="s">
        <v>1545</v>
      </c>
      <c r="B741" t="s">
        <v>1546</v>
      </c>
      <c r="C741" s="2">
        <v>45147</v>
      </c>
      <c r="D741" t="str">
        <f t="shared" si="69"/>
        <v>Aug</v>
      </c>
      <c r="E741" s="2">
        <v>45204</v>
      </c>
      <c r="F741" t="s">
        <v>23</v>
      </c>
      <c r="G741">
        <v>12023</v>
      </c>
      <c r="H741">
        <v>539</v>
      </c>
      <c r="I741">
        <v>72</v>
      </c>
      <c r="J741" t="b">
        <v>0</v>
      </c>
      <c r="K741" s="10">
        <v>344.91</v>
      </c>
      <c r="L741" s="6">
        <f t="shared" si="70"/>
        <v>4.483074107959744E-2</v>
      </c>
      <c r="M741">
        <f t="shared" si="71"/>
        <v>0.63990723562152141</v>
      </c>
      <c r="N741">
        <f t="shared" si="72"/>
        <v>4.7904166666666672</v>
      </c>
      <c r="O741">
        <f t="shared" si="73"/>
        <v>3255.09</v>
      </c>
      <c r="P741">
        <f t="shared" si="74"/>
        <v>0.13358070500927643</v>
      </c>
      <c r="Q741" t="s">
        <v>4139</v>
      </c>
      <c r="R741" t="s">
        <v>4142</v>
      </c>
      <c r="S741">
        <f>YEAR(marketing_data[[#This Row],[Start_date]])</f>
        <v>2023</v>
      </c>
      <c r="T741" t="str">
        <f>TEXT(marketing_data[[#This Row],[Start_date]],"ddd")</f>
        <v>Wed</v>
      </c>
      <c r="U741">
        <f>marketing_data[[#This Row],[Cleaned End_date]]-marketing_data[[#This Row],[Start_date]]</f>
        <v>57</v>
      </c>
    </row>
    <row r="742" spans="1:21" x14ac:dyDescent="0.2">
      <c r="A742" t="s">
        <v>1547</v>
      </c>
      <c r="B742" t="s">
        <v>1548</v>
      </c>
      <c r="C742" s="2">
        <v>45188</v>
      </c>
      <c r="D742" t="str">
        <f t="shared" si="69"/>
        <v>Sep</v>
      </c>
      <c r="E742" s="2">
        <v>45214</v>
      </c>
      <c r="F742" t="s">
        <v>33</v>
      </c>
      <c r="G742">
        <v>22447</v>
      </c>
      <c r="H742">
        <v>713</v>
      </c>
      <c r="I742">
        <v>140</v>
      </c>
      <c r="J742" t="b">
        <v>0</v>
      </c>
      <c r="K742" s="10">
        <v>1387.31</v>
      </c>
      <c r="L742" s="6">
        <f t="shared" si="70"/>
        <v>3.1763710072615498E-2</v>
      </c>
      <c r="M742">
        <f t="shared" si="71"/>
        <v>1.9457363253856941</v>
      </c>
      <c r="N742">
        <f t="shared" si="72"/>
        <v>9.909357142857143</v>
      </c>
      <c r="O742">
        <f t="shared" si="73"/>
        <v>5612.6900000000005</v>
      </c>
      <c r="P742">
        <f t="shared" si="74"/>
        <v>0.19635343618513323</v>
      </c>
      <c r="Q742" t="s">
        <v>4136</v>
      </c>
      <c r="R742" t="s">
        <v>4142</v>
      </c>
      <c r="S742">
        <f>YEAR(marketing_data[[#This Row],[Start_date]])</f>
        <v>2023</v>
      </c>
      <c r="T742" t="str">
        <f>TEXT(marketing_data[[#This Row],[Start_date]],"ddd")</f>
        <v>Tue</v>
      </c>
      <c r="U742">
        <f>marketing_data[[#This Row],[Cleaned End_date]]-marketing_data[[#This Row],[Start_date]]</f>
        <v>26</v>
      </c>
    </row>
    <row r="743" spans="1:21" x14ac:dyDescent="0.2">
      <c r="A743" t="s">
        <v>1549</v>
      </c>
      <c r="B743" t="s">
        <v>1550</v>
      </c>
      <c r="C743" s="2">
        <v>44994</v>
      </c>
      <c r="D743" t="str">
        <f t="shared" si="69"/>
        <v>Mar</v>
      </c>
      <c r="E743" s="2">
        <v>45006</v>
      </c>
      <c r="F743" t="s">
        <v>23</v>
      </c>
      <c r="G743">
        <v>91469</v>
      </c>
      <c r="H743">
        <v>3689</v>
      </c>
      <c r="I743">
        <v>612</v>
      </c>
      <c r="J743" t="b">
        <v>1</v>
      </c>
      <c r="K743" s="10">
        <v>2591.9699999999998</v>
      </c>
      <c r="L743" s="6">
        <f t="shared" si="70"/>
        <v>4.0330603811127269E-2</v>
      </c>
      <c r="M743">
        <f t="shared" si="71"/>
        <v>0.70262130658715094</v>
      </c>
      <c r="N743">
        <f t="shared" si="72"/>
        <v>4.2352450980392158</v>
      </c>
      <c r="O743">
        <f t="shared" si="73"/>
        <v>28008.03</v>
      </c>
      <c r="P743">
        <f t="shared" si="74"/>
        <v>0.16589861751152074</v>
      </c>
      <c r="Q743" t="s">
        <v>4137</v>
      </c>
      <c r="R743" t="s">
        <v>4139</v>
      </c>
      <c r="S743">
        <f>YEAR(marketing_data[[#This Row],[Start_date]])</f>
        <v>2023</v>
      </c>
      <c r="T743" t="str">
        <f>TEXT(marketing_data[[#This Row],[Start_date]],"ddd")</f>
        <v>Thu</v>
      </c>
      <c r="U743">
        <f>marketing_data[[#This Row],[Cleaned End_date]]-marketing_data[[#This Row],[Start_date]]</f>
        <v>12</v>
      </c>
    </row>
    <row r="744" spans="1:21" x14ac:dyDescent="0.2">
      <c r="A744" t="s">
        <v>1551</v>
      </c>
      <c r="B744" t="s">
        <v>1552</v>
      </c>
      <c r="C744" s="2">
        <v>44956</v>
      </c>
      <c r="D744" t="str">
        <f t="shared" si="69"/>
        <v>Jan</v>
      </c>
      <c r="E744" s="2">
        <v>44974</v>
      </c>
      <c r="F744" t="s">
        <v>41</v>
      </c>
      <c r="G744">
        <v>24959</v>
      </c>
      <c r="H744">
        <v>1002</v>
      </c>
      <c r="I744">
        <v>66</v>
      </c>
      <c r="J744" t="b">
        <v>1</v>
      </c>
      <c r="K744" s="10">
        <v>729.12</v>
      </c>
      <c r="L744" s="6">
        <f t="shared" si="70"/>
        <v>4.0145839176249046E-2</v>
      </c>
      <c r="M744">
        <f t="shared" si="71"/>
        <v>0.72766467065868268</v>
      </c>
      <c r="N744">
        <f t="shared" si="72"/>
        <v>11.047272727272727</v>
      </c>
      <c r="O744">
        <f t="shared" si="73"/>
        <v>2570.88</v>
      </c>
      <c r="P744">
        <f t="shared" si="74"/>
        <v>6.5868263473053898E-2</v>
      </c>
      <c r="Q744" t="s">
        <v>4138</v>
      </c>
      <c r="R744" t="s">
        <v>4141</v>
      </c>
      <c r="S744">
        <f>YEAR(marketing_data[[#This Row],[Start_date]])</f>
        <v>2023</v>
      </c>
      <c r="T744" t="str">
        <f>TEXT(marketing_data[[#This Row],[Start_date]],"ddd")</f>
        <v>Mon</v>
      </c>
      <c r="U744">
        <f>marketing_data[[#This Row],[Cleaned End_date]]-marketing_data[[#This Row],[Start_date]]</f>
        <v>18</v>
      </c>
    </row>
    <row r="745" spans="1:21" x14ac:dyDescent="0.2">
      <c r="A745" t="s">
        <v>1553</v>
      </c>
      <c r="B745" t="s">
        <v>1554</v>
      </c>
      <c r="C745" s="2">
        <v>45084</v>
      </c>
      <c r="D745" t="str">
        <f t="shared" si="69"/>
        <v>Jun</v>
      </c>
      <c r="E745" s="2">
        <v>45114</v>
      </c>
      <c r="F745" t="s">
        <v>33</v>
      </c>
      <c r="G745">
        <v>67203</v>
      </c>
      <c r="H745">
        <v>720</v>
      </c>
      <c r="I745">
        <v>120</v>
      </c>
      <c r="J745" t="b">
        <v>0</v>
      </c>
      <c r="K745" s="10">
        <v>1320.74</v>
      </c>
      <c r="L745" s="6">
        <f t="shared" si="70"/>
        <v>1.0713807419311638E-2</v>
      </c>
      <c r="M745">
        <f t="shared" si="71"/>
        <v>1.8343611111111111</v>
      </c>
      <c r="N745">
        <f t="shared" si="72"/>
        <v>11.006166666666667</v>
      </c>
      <c r="O745">
        <f t="shared" si="73"/>
        <v>4679.26</v>
      </c>
      <c r="P745">
        <f t="shared" si="74"/>
        <v>0.16666666666666666</v>
      </c>
      <c r="Q745" t="s">
        <v>4139</v>
      </c>
      <c r="R745" t="s">
        <v>4138</v>
      </c>
      <c r="S745">
        <f>YEAR(marketing_data[[#This Row],[Start_date]])</f>
        <v>2023</v>
      </c>
      <c r="T745" t="str">
        <f>TEXT(marketing_data[[#This Row],[Start_date]],"ddd")</f>
        <v>Wed</v>
      </c>
      <c r="U745">
        <f>marketing_data[[#This Row],[Cleaned End_date]]-marketing_data[[#This Row],[Start_date]]</f>
        <v>30</v>
      </c>
    </row>
    <row r="746" spans="1:21" x14ac:dyDescent="0.2">
      <c r="A746" t="s">
        <v>1555</v>
      </c>
      <c r="B746" t="s">
        <v>1556</v>
      </c>
      <c r="C746" s="2">
        <v>44928</v>
      </c>
      <c r="D746" t="str">
        <f t="shared" si="69"/>
        <v>Jan</v>
      </c>
      <c r="E746" s="2">
        <v>44941</v>
      </c>
      <c r="F746" t="s">
        <v>23</v>
      </c>
      <c r="G746">
        <v>30703</v>
      </c>
      <c r="H746">
        <v>462</v>
      </c>
      <c r="I746">
        <v>34</v>
      </c>
      <c r="J746" t="b">
        <v>0</v>
      </c>
      <c r="K746" s="10">
        <v>885.14</v>
      </c>
      <c r="L746" s="6">
        <f t="shared" si="70"/>
        <v>1.5047389505911474E-2</v>
      </c>
      <c r="M746">
        <f t="shared" si="71"/>
        <v>1.9158874458874458</v>
      </c>
      <c r="N746">
        <f t="shared" si="72"/>
        <v>26.033529411764704</v>
      </c>
      <c r="O746">
        <f t="shared" si="73"/>
        <v>814.86</v>
      </c>
      <c r="P746">
        <f t="shared" si="74"/>
        <v>7.3593073593073599E-2</v>
      </c>
      <c r="Q746" t="s">
        <v>4138</v>
      </c>
      <c r="R746" t="s">
        <v>4138</v>
      </c>
      <c r="S746">
        <f>YEAR(marketing_data[[#This Row],[Start_date]])</f>
        <v>2023</v>
      </c>
      <c r="T746" t="str">
        <f>TEXT(marketing_data[[#This Row],[Start_date]],"ddd")</f>
        <v>Mon</v>
      </c>
      <c r="U746">
        <f>marketing_data[[#This Row],[Cleaned End_date]]-marketing_data[[#This Row],[Start_date]]</f>
        <v>13</v>
      </c>
    </row>
    <row r="747" spans="1:21" x14ac:dyDescent="0.2">
      <c r="A747" t="s">
        <v>1557</v>
      </c>
      <c r="B747" t="s">
        <v>1558</v>
      </c>
      <c r="C747" s="2">
        <v>44950</v>
      </c>
      <c r="D747" t="str">
        <f t="shared" si="69"/>
        <v>Jan</v>
      </c>
      <c r="E747" s="2">
        <v>44967</v>
      </c>
      <c r="F747" t="s">
        <v>41</v>
      </c>
      <c r="G747">
        <v>10337</v>
      </c>
      <c r="H747">
        <v>376</v>
      </c>
      <c r="I747">
        <v>44</v>
      </c>
      <c r="J747" t="b">
        <v>0</v>
      </c>
      <c r="K747" s="10">
        <v>619.92999999999995</v>
      </c>
      <c r="L747" s="6">
        <f t="shared" si="70"/>
        <v>3.6374189803618069E-2</v>
      </c>
      <c r="M747">
        <f t="shared" si="71"/>
        <v>1.6487499999999999</v>
      </c>
      <c r="N747">
        <f t="shared" si="72"/>
        <v>14.089318181818181</v>
      </c>
      <c r="O747">
        <f t="shared" si="73"/>
        <v>1580.0700000000002</v>
      </c>
      <c r="P747">
        <f t="shared" si="74"/>
        <v>0.11702127659574468</v>
      </c>
      <c r="Q747" t="s">
        <v>4138</v>
      </c>
      <c r="R747" t="s">
        <v>4141</v>
      </c>
      <c r="S747">
        <f>YEAR(marketing_data[[#This Row],[Start_date]])</f>
        <v>2023</v>
      </c>
      <c r="T747" t="str">
        <f>TEXT(marketing_data[[#This Row],[Start_date]],"ddd")</f>
        <v>Tue</v>
      </c>
      <c r="U747">
        <f>marketing_data[[#This Row],[Cleaned End_date]]-marketing_data[[#This Row],[Start_date]]</f>
        <v>17</v>
      </c>
    </row>
    <row r="748" spans="1:21" x14ac:dyDescent="0.2">
      <c r="A748" t="s">
        <v>1559</v>
      </c>
      <c r="B748" t="s">
        <v>1560</v>
      </c>
      <c r="C748" s="2">
        <v>45204</v>
      </c>
      <c r="D748" t="str">
        <f t="shared" si="69"/>
        <v>Oct</v>
      </c>
      <c r="E748" s="2">
        <v>45226</v>
      </c>
      <c r="F748" t="s">
        <v>19</v>
      </c>
      <c r="G748">
        <v>47427</v>
      </c>
      <c r="H748">
        <v>780</v>
      </c>
      <c r="I748">
        <v>63</v>
      </c>
      <c r="J748" t="b">
        <v>1</v>
      </c>
      <c r="K748" s="10">
        <v>396.32</v>
      </c>
      <c r="L748" s="6">
        <f t="shared" si="70"/>
        <v>1.6446328040989309E-2</v>
      </c>
      <c r="M748">
        <f t="shared" si="71"/>
        <v>0.50810256410256405</v>
      </c>
      <c r="N748">
        <f t="shared" si="72"/>
        <v>6.2907936507936508</v>
      </c>
      <c r="O748">
        <f t="shared" si="73"/>
        <v>2753.68</v>
      </c>
      <c r="P748">
        <f t="shared" si="74"/>
        <v>8.0769230769230774E-2</v>
      </c>
      <c r="Q748" t="s">
        <v>4136</v>
      </c>
      <c r="R748" t="s">
        <v>4138</v>
      </c>
      <c r="S748">
        <f>YEAR(marketing_data[[#This Row],[Start_date]])</f>
        <v>2023</v>
      </c>
      <c r="T748" t="str">
        <f>TEXT(marketing_data[[#This Row],[Start_date]],"ddd")</f>
        <v>Thu</v>
      </c>
      <c r="U748">
        <f>marketing_data[[#This Row],[Cleaned End_date]]-marketing_data[[#This Row],[Start_date]]</f>
        <v>22</v>
      </c>
    </row>
    <row r="749" spans="1:21" x14ac:dyDescent="0.2">
      <c r="A749" t="s">
        <v>1561</v>
      </c>
      <c r="B749" t="s">
        <v>1562</v>
      </c>
      <c r="C749" s="2">
        <v>44962</v>
      </c>
      <c r="D749" t="str">
        <f t="shared" si="69"/>
        <v>Feb</v>
      </c>
      <c r="E749" s="2">
        <v>44989</v>
      </c>
      <c r="F749" t="s">
        <v>14</v>
      </c>
      <c r="G749">
        <v>62529</v>
      </c>
      <c r="H749">
        <v>1264</v>
      </c>
      <c r="I749">
        <v>193</v>
      </c>
      <c r="J749" t="b">
        <v>0</v>
      </c>
      <c r="K749" s="10">
        <v>634.54999999999995</v>
      </c>
      <c r="L749" s="6">
        <f t="shared" si="70"/>
        <v>2.0214620416126917E-2</v>
      </c>
      <c r="M749">
        <f t="shared" si="71"/>
        <v>0.50201740506329107</v>
      </c>
      <c r="N749">
        <f t="shared" si="72"/>
        <v>3.2878238341968911</v>
      </c>
      <c r="O749">
        <f t="shared" si="73"/>
        <v>9015.4500000000007</v>
      </c>
      <c r="P749">
        <f t="shared" si="74"/>
        <v>0.15268987341772153</v>
      </c>
      <c r="Q749" t="s">
        <v>4138</v>
      </c>
      <c r="R749" t="s">
        <v>4141</v>
      </c>
      <c r="S749">
        <f>YEAR(marketing_data[[#This Row],[Start_date]])</f>
        <v>2023</v>
      </c>
      <c r="T749" t="str">
        <f>TEXT(marketing_data[[#This Row],[Start_date]],"ddd")</f>
        <v>Sun</v>
      </c>
      <c r="U749">
        <f>marketing_data[[#This Row],[Cleaned End_date]]-marketing_data[[#This Row],[Start_date]]</f>
        <v>27</v>
      </c>
    </row>
    <row r="750" spans="1:21" x14ac:dyDescent="0.2">
      <c r="A750" t="s">
        <v>1563</v>
      </c>
      <c r="B750" t="s">
        <v>1564</v>
      </c>
      <c r="C750" s="2">
        <v>45073</v>
      </c>
      <c r="D750" t="str">
        <f t="shared" si="69"/>
        <v>May</v>
      </c>
      <c r="E750" s="2">
        <v>45086</v>
      </c>
      <c r="F750" t="s">
        <v>41</v>
      </c>
      <c r="G750">
        <v>85665</v>
      </c>
      <c r="H750">
        <v>4100</v>
      </c>
      <c r="I750">
        <v>744</v>
      </c>
      <c r="J750" t="b">
        <v>1</v>
      </c>
      <c r="K750" s="10">
        <v>3631.7599999999998</v>
      </c>
      <c r="L750" s="6">
        <f t="shared" si="70"/>
        <v>4.7860853323994632E-2</v>
      </c>
      <c r="M750">
        <f t="shared" si="71"/>
        <v>0.88579512195121946</v>
      </c>
      <c r="N750">
        <f t="shared" si="72"/>
        <v>4.8813978494623651</v>
      </c>
      <c r="O750">
        <f t="shared" si="73"/>
        <v>33568.239999999998</v>
      </c>
      <c r="P750">
        <f t="shared" si="74"/>
        <v>0.18146341463414634</v>
      </c>
      <c r="Q750" t="s">
        <v>4137</v>
      </c>
      <c r="R750" t="s">
        <v>4141</v>
      </c>
      <c r="S750">
        <f>YEAR(marketing_data[[#This Row],[Start_date]])</f>
        <v>2023</v>
      </c>
      <c r="T750" t="str">
        <f>TEXT(marketing_data[[#This Row],[Start_date]],"ddd")</f>
        <v>Sat</v>
      </c>
      <c r="U750">
        <f>marketing_data[[#This Row],[Cleaned End_date]]-marketing_data[[#This Row],[Start_date]]</f>
        <v>13</v>
      </c>
    </row>
    <row r="751" spans="1:21" x14ac:dyDescent="0.2">
      <c r="A751" t="s">
        <v>1565</v>
      </c>
      <c r="B751" t="s">
        <v>1566</v>
      </c>
      <c r="C751" s="2">
        <v>45255</v>
      </c>
      <c r="D751" t="str">
        <f t="shared" si="69"/>
        <v>Nov</v>
      </c>
      <c r="E751" s="2">
        <v>45263</v>
      </c>
      <c r="F751" t="s">
        <v>14</v>
      </c>
      <c r="G751">
        <v>32921</v>
      </c>
      <c r="H751">
        <v>1066</v>
      </c>
      <c r="I751">
        <v>99</v>
      </c>
      <c r="J751" t="b">
        <v>0</v>
      </c>
      <c r="K751" s="10">
        <v>762.29</v>
      </c>
      <c r="L751" s="6">
        <f t="shared" si="70"/>
        <v>3.2380547370979007E-2</v>
      </c>
      <c r="M751">
        <f t="shared" si="71"/>
        <v>0.71509380863039396</v>
      </c>
      <c r="N751">
        <f t="shared" si="72"/>
        <v>7.6998989898989896</v>
      </c>
      <c r="O751">
        <f t="shared" si="73"/>
        <v>4187.71</v>
      </c>
      <c r="P751">
        <f t="shared" si="74"/>
        <v>9.2870544090056281E-2</v>
      </c>
      <c r="Q751" t="s">
        <v>4136</v>
      </c>
      <c r="R751" t="s">
        <v>4138</v>
      </c>
      <c r="S751">
        <f>YEAR(marketing_data[[#This Row],[Start_date]])</f>
        <v>2023</v>
      </c>
      <c r="T751" t="str">
        <f>TEXT(marketing_data[[#This Row],[Start_date]],"ddd")</f>
        <v>Sat</v>
      </c>
      <c r="U751">
        <f>marketing_data[[#This Row],[Cleaned End_date]]-marketing_data[[#This Row],[Start_date]]</f>
        <v>8</v>
      </c>
    </row>
    <row r="752" spans="1:21" x14ac:dyDescent="0.2">
      <c r="A752" t="s">
        <v>1567</v>
      </c>
      <c r="B752" t="s">
        <v>1568</v>
      </c>
      <c r="C752" s="2">
        <v>45142</v>
      </c>
      <c r="D752" t="str">
        <f t="shared" si="69"/>
        <v>Aug</v>
      </c>
      <c r="E752" s="2">
        <v>45161</v>
      </c>
      <c r="F752" t="s">
        <v>41</v>
      </c>
      <c r="G752">
        <v>34307</v>
      </c>
      <c r="H752">
        <v>1373</v>
      </c>
      <c r="I752">
        <v>85</v>
      </c>
      <c r="J752" t="b">
        <v>1</v>
      </c>
      <c r="K752" s="10">
        <v>724.37</v>
      </c>
      <c r="L752" s="6">
        <f t="shared" si="70"/>
        <v>4.002098697058909E-2</v>
      </c>
      <c r="M752">
        <f t="shared" si="71"/>
        <v>0.52758193736343773</v>
      </c>
      <c r="N752">
        <f t="shared" si="72"/>
        <v>8.5220000000000002</v>
      </c>
      <c r="O752">
        <f t="shared" si="73"/>
        <v>3525.63</v>
      </c>
      <c r="P752">
        <f t="shared" si="74"/>
        <v>6.1908230152949745E-2</v>
      </c>
      <c r="Q752" t="s">
        <v>4139</v>
      </c>
      <c r="R752" t="s">
        <v>4141</v>
      </c>
      <c r="S752">
        <f>YEAR(marketing_data[[#This Row],[Start_date]])</f>
        <v>2023</v>
      </c>
      <c r="T752" t="str">
        <f>TEXT(marketing_data[[#This Row],[Start_date]],"ddd")</f>
        <v>Fri</v>
      </c>
      <c r="U752">
        <f>marketing_data[[#This Row],[Cleaned End_date]]-marketing_data[[#This Row],[Start_date]]</f>
        <v>19</v>
      </c>
    </row>
    <row r="753" spans="1:21" x14ac:dyDescent="0.2">
      <c r="A753" t="s">
        <v>1569</v>
      </c>
      <c r="B753" t="s">
        <v>1570</v>
      </c>
      <c r="C753" s="2">
        <v>45156</v>
      </c>
      <c r="D753" t="str">
        <f t="shared" si="69"/>
        <v>Aug</v>
      </c>
      <c r="E753" s="2">
        <v>45168</v>
      </c>
      <c r="F753" t="s">
        <v>41</v>
      </c>
      <c r="G753">
        <v>28355</v>
      </c>
      <c r="H753">
        <v>916</v>
      </c>
      <c r="I753">
        <v>86</v>
      </c>
      <c r="J753" t="b">
        <v>1</v>
      </c>
      <c r="K753" s="10">
        <v>1095.6300000000001</v>
      </c>
      <c r="L753" s="6">
        <f t="shared" si="70"/>
        <v>3.2304708164344914E-2</v>
      </c>
      <c r="M753">
        <f t="shared" si="71"/>
        <v>1.1961026200873364</v>
      </c>
      <c r="N753">
        <f t="shared" si="72"/>
        <v>12.739883720930234</v>
      </c>
      <c r="O753">
        <f t="shared" si="73"/>
        <v>3204.37</v>
      </c>
      <c r="P753">
        <f t="shared" si="74"/>
        <v>9.3886462882096067E-2</v>
      </c>
      <c r="Q753" t="s">
        <v>4139</v>
      </c>
      <c r="R753" t="s">
        <v>4138</v>
      </c>
      <c r="S753">
        <f>YEAR(marketing_data[[#This Row],[Start_date]])</f>
        <v>2023</v>
      </c>
      <c r="T753" t="str">
        <f>TEXT(marketing_data[[#This Row],[Start_date]],"ddd")</f>
        <v>Fri</v>
      </c>
      <c r="U753">
        <f>marketing_data[[#This Row],[Cleaned End_date]]-marketing_data[[#This Row],[Start_date]]</f>
        <v>12</v>
      </c>
    </row>
    <row r="754" spans="1:21" x14ac:dyDescent="0.2">
      <c r="A754" t="s">
        <v>1571</v>
      </c>
      <c r="B754" t="s">
        <v>1572</v>
      </c>
      <c r="C754" s="2">
        <v>45267</v>
      </c>
      <c r="D754" t="str">
        <f t="shared" si="69"/>
        <v>Dec</v>
      </c>
      <c r="E754" s="2">
        <v>45297</v>
      </c>
      <c r="F754" t="s">
        <v>14</v>
      </c>
      <c r="G754">
        <v>5835</v>
      </c>
      <c r="H754">
        <v>187</v>
      </c>
      <c r="I754">
        <v>28</v>
      </c>
      <c r="J754" t="b">
        <v>1</v>
      </c>
      <c r="K754" s="10">
        <v>358.03</v>
      </c>
      <c r="L754" s="6">
        <f t="shared" si="70"/>
        <v>3.2047986289631535E-2</v>
      </c>
      <c r="M754">
        <f t="shared" si="71"/>
        <v>1.9145989304812834</v>
      </c>
      <c r="N754">
        <f t="shared" si="72"/>
        <v>12.786785714285713</v>
      </c>
      <c r="O754">
        <f t="shared" si="73"/>
        <v>1041.97</v>
      </c>
      <c r="P754">
        <f t="shared" si="74"/>
        <v>0.1497326203208556</v>
      </c>
      <c r="Q754" t="s">
        <v>4138</v>
      </c>
      <c r="R754" t="s">
        <v>4138</v>
      </c>
      <c r="S754">
        <f>YEAR(marketing_data[[#This Row],[Start_date]])</f>
        <v>2023</v>
      </c>
      <c r="T754" t="str">
        <f>TEXT(marketing_data[[#This Row],[Start_date]],"ddd")</f>
        <v>Thu</v>
      </c>
      <c r="U754">
        <f>marketing_data[[#This Row],[Cleaned End_date]]-marketing_data[[#This Row],[Start_date]]</f>
        <v>30</v>
      </c>
    </row>
    <row r="755" spans="1:21" x14ac:dyDescent="0.2">
      <c r="A755" t="s">
        <v>1573</v>
      </c>
      <c r="B755" t="s">
        <v>1574</v>
      </c>
      <c r="C755" s="2">
        <v>45265</v>
      </c>
      <c r="D755" t="str">
        <f t="shared" si="69"/>
        <v>Dec</v>
      </c>
      <c r="E755" s="2">
        <v>45279</v>
      </c>
      <c r="F755" t="s">
        <v>41</v>
      </c>
      <c r="G755">
        <v>21159</v>
      </c>
      <c r="H755">
        <v>291</v>
      </c>
      <c r="I755">
        <v>28</v>
      </c>
      <c r="J755" t="b">
        <v>1</v>
      </c>
      <c r="K755" s="10">
        <v>329.13249999999999</v>
      </c>
      <c r="L755" s="6">
        <f t="shared" si="70"/>
        <v>1.3753012902311073E-2</v>
      </c>
      <c r="M755">
        <f t="shared" si="71"/>
        <v>1.1310395189003437</v>
      </c>
      <c r="N755">
        <f t="shared" si="72"/>
        <v>11.754732142857142</v>
      </c>
      <c r="O755">
        <f t="shared" si="73"/>
        <v>1070.8675000000001</v>
      </c>
      <c r="P755">
        <f t="shared" si="74"/>
        <v>9.6219931271477668E-2</v>
      </c>
      <c r="Q755" t="s">
        <v>4138</v>
      </c>
      <c r="R755" t="s">
        <v>4141</v>
      </c>
      <c r="S755">
        <f>YEAR(marketing_data[[#This Row],[Start_date]])</f>
        <v>2023</v>
      </c>
      <c r="T755" t="str">
        <f>TEXT(marketing_data[[#This Row],[Start_date]],"ddd")</f>
        <v>Tue</v>
      </c>
      <c r="U755">
        <f>marketing_data[[#This Row],[Cleaned End_date]]-marketing_data[[#This Row],[Start_date]]</f>
        <v>14</v>
      </c>
    </row>
    <row r="756" spans="1:21" x14ac:dyDescent="0.2">
      <c r="A756" t="s">
        <v>1575</v>
      </c>
      <c r="B756" t="s">
        <v>1576</v>
      </c>
      <c r="C756" s="2">
        <v>45105</v>
      </c>
      <c r="D756" t="str">
        <f t="shared" si="69"/>
        <v>Jun</v>
      </c>
      <c r="E756" s="2">
        <v>45128</v>
      </c>
      <c r="F756" t="s">
        <v>14</v>
      </c>
      <c r="G756">
        <v>48605</v>
      </c>
      <c r="H756">
        <v>1154</v>
      </c>
      <c r="I756">
        <v>105</v>
      </c>
      <c r="J756" t="b">
        <v>0</v>
      </c>
      <c r="K756" s="10">
        <v>1721.43</v>
      </c>
      <c r="L756" s="6">
        <f t="shared" si="70"/>
        <v>2.3742413331961733E-2</v>
      </c>
      <c r="M756">
        <f t="shared" si="71"/>
        <v>1.4917071057192375</v>
      </c>
      <c r="N756">
        <f t="shared" si="72"/>
        <v>16.394571428571428</v>
      </c>
      <c r="O756">
        <f t="shared" si="73"/>
        <v>3528.5699999999997</v>
      </c>
      <c r="P756">
        <f t="shared" si="74"/>
        <v>9.0987868284228765E-2</v>
      </c>
      <c r="Q756" t="s">
        <v>4139</v>
      </c>
      <c r="R756" t="s">
        <v>4138</v>
      </c>
      <c r="S756">
        <f>YEAR(marketing_data[[#This Row],[Start_date]])</f>
        <v>2023</v>
      </c>
      <c r="T756" t="str">
        <f>TEXT(marketing_data[[#This Row],[Start_date]],"ddd")</f>
        <v>Wed</v>
      </c>
      <c r="U756">
        <f>marketing_data[[#This Row],[Cleaned End_date]]-marketing_data[[#This Row],[Start_date]]</f>
        <v>23</v>
      </c>
    </row>
    <row r="757" spans="1:21" x14ac:dyDescent="0.2">
      <c r="A757" t="s">
        <v>1577</v>
      </c>
      <c r="B757" t="s">
        <v>1578</v>
      </c>
      <c r="C757" s="2">
        <v>45128</v>
      </c>
      <c r="D757" t="str">
        <f t="shared" si="69"/>
        <v>Jul</v>
      </c>
      <c r="E757" s="2">
        <v>45153</v>
      </c>
      <c r="F757" t="s">
        <v>33</v>
      </c>
      <c r="G757">
        <v>39088</v>
      </c>
      <c r="H757">
        <v>832</v>
      </c>
      <c r="I757">
        <v>64</v>
      </c>
      <c r="J757" t="b">
        <v>1</v>
      </c>
      <c r="K757" s="10">
        <v>1229.99</v>
      </c>
      <c r="L757" s="6">
        <f t="shared" si="70"/>
        <v>2.1285304952926729E-2</v>
      </c>
      <c r="M757">
        <f t="shared" si="71"/>
        <v>1.4783533653846155</v>
      </c>
      <c r="N757">
        <f t="shared" si="72"/>
        <v>19.21859375</v>
      </c>
      <c r="O757">
        <f t="shared" si="73"/>
        <v>1970.01</v>
      </c>
      <c r="P757">
        <f t="shared" si="74"/>
        <v>7.6923076923076927E-2</v>
      </c>
      <c r="Q757" t="s">
        <v>4139</v>
      </c>
      <c r="R757" t="s">
        <v>4138</v>
      </c>
      <c r="S757">
        <f>YEAR(marketing_data[[#This Row],[Start_date]])</f>
        <v>2023</v>
      </c>
      <c r="T757" t="str">
        <f>TEXT(marketing_data[[#This Row],[Start_date]],"ddd")</f>
        <v>Fri</v>
      </c>
      <c r="U757">
        <f>marketing_data[[#This Row],[Cleaned End_date]]-marketing_data[[#This Row],[Start_date]]</f>
        <v>25</v>
      </c>
    </row>
    <row r="758" spans="1:21" x14ac:dyDescent="0.2">
      <c r="A758" t="s">
        <v>1579</v>
      </c>
      <c r="B758" t="s">
        <v>1580</v>
      </c>
      <c r="C758" s="2">
        <v>45041</v>
      </c>
      <c r="D758" t="str">
        <f t="shared" si="69"/>
        <v>Apr</v>
      </c>
      <c r="E758" s="2">
        <v>45045</v>
      </c>
      <c r="F758" t="s">
        <v>14</v>
      </c>
      <c r="G758">
        <v>79752</v>
      </c>
      <c r="H758">
        <v>2043</v>
      </c>
      <c r="I758">
        <v>254</v>
      </c>
      <c r="J758" t="b">
        <v>0</v>
      </c>
      <c r="K758" s="10">
        <v>1790.93</v>
      </c>
      <c r="L758" s="6">
        <f t="shared" si="70"/>
        <v>2.5616912428528437E-2</v>
      </c>
      <c r="M758">
        <f t="shared" si="71"/>
        <v>0.87661771904062658</v>
      </c>
      <c r="N758">
        <f t="shared" si="72"/>
        <v>7.050905511811024</v>
      </c>
      <c r="O758">
        <f t="shared" si="73"/>
        <v>10909.07</v>
      </c>
      <c r="P758">
        <f t="shared" si="74"/>
        <v>0.12432697014194811</v>
      </c>
      <c r="Q758" t="s">
        <v>4137</v>
      </c>
      <c r="R758" t="s">
        <v>4139</v>
      </c>
      <c r="S758">
        <f>YEAR(marketing_data[[#This Row],[Start_date]])</f>
        <v>2023</v>
      </c>
      <c r="T758" t="str">
        <f>TEXT(marketing_data[[#This Row],[Start_date]],"ddd")</f>
        <v>Tue</v>
      </c>
      <c r="U758">
        <f>marketing_data[[#This Row],[Cleaned End_date]]-marketing_data[[#This Row],[Start_date]]</f>
        <v>4</v>
      </c>
    </row>
    <row r="759" spans="1:21" x14ac:dyDescent="0.2">
      <c r="A759" t="s">
        <v>1581</v>
      </c>
      <c r="B759" t="s">
        <v>1582</v>
      </c>
      <c r="C759" s="2">
        <v>45079</v>
      </c>
      <c r="D759" t="str">
        <f t="shared" si="69"/>
        <v>Jun</v>
      </c>
      <c r="E759" s="2">
        <v>45087</v>
      </c>
      <c r="F759" t="s">
        <v>33</v>
      </c>
      <c r="G759">
        <v>56284</v>
      </c>
      <c r="H759">
        <v>2360</v>
      </c>
      <c r="I759">
        <v>215</v>
      </c>
      <c r="J759" t="b">
        <v>0</v>
      </c>
      <c r="K759" s="10">
        <v>3482.51</v>
      </c>
      <c r="L759" s="6">
        <f t="shared" si="70"/>
        <v>4.1930211072418448E-2</v>
      </c>
      <c r="M759">
        <f t="shared" si="71"/>
        <v>1.4756398305084746</v>
      </c>
      <c r="N759">
        <f t="shared" si="72"/>
        <v>16.19772093023256</v>
      </c>
      <c r="O759">
        <f t="shared" si="73"/>
        <v>7267.49</v>
      </c>
      <c r="P759">
        <f t="shared" si="74"/>
        <v>9.110169491525423E-2</v>
      </c>
      <c r="Q759" t="s">
        <v>4139</v>
      </c>
      <c r="R759" t="s">
        <v>4142</v>
      </c>
      <c r="S759">
        <f>YEAR(marketing_data[[#This Row],[Start_date]])</f>
        <v>2023</v>
      </c>
      <c r="T759" t="str">
        <f>TEXT(marketing_data[[#This Row],[Start_date]],"ddd")</f>
        <v>Fri</v>
      </c>
      <c r="U759">
        <f>marketing_data[[#This Row],[Cleaned End_date]]-marketing_data[[#This Row],[Start_date]]</f>
        <v>8</v>
      </c>
    </row>
    <row r="760" spans="1:21" x14ac:dyDescent="0.2">
      <c r="A760" t="s">
        <v>1583</v>
      </c>
      <c r="B760" t="s">
        <v>1584</v>
      </c>
      <c r="C760" s="2">
        <v>45144</v>
      </c>
      <c r="D760" t="str">
        <f t="shared" si="69"/>
        <v>Aug</v>
      </c>
      <c r="E760" s="2">
        <v>45165</v>
      </c>
      <c r="F760" t="s">
        <v>33</v>
      </c>
      <c r="G760">
        <v>58043</v>
      </c>
      <c r="H760">
        <v>1443</v>
      </c>
      <c r="I760">
        <v>230</v>
      </c>
      <c r="J760" t="b">
        <v>0</v>
      </c>
      <c r="K760" s="10">
        <v>1181.0999999999999</v>
      </c>
      <c r="L760" s="6">
        <f t="shared" si="70"/>
        <v>2.4860879003497406E-2</v>
      </c>
      <c r="M760">
        <f t="shared" si="71"/>
        <v>0.81850311850311841</v>
      </c>
      <c r="N760">
        <f t="shared" si="72"/>
        <v>5.1352173913043471</v>
      </c>
      <c r="O760">
        <f t="shared" si="73"/>
        <v>10318.9</v>
      </c>
      <c r="P760">
        <f t="shared" si="74"/>
        <v>0.15939015939015938</v>
      </c>
      <c r="Q760" t="s">
        <v>4139</v>
      </c>
      <c r="R760" t="s">
        <v>4139</v>
      </c>
      <c r="S760">
        <f>YEAR(marketing_data[[#This Row],[Start_date]])</f>
        <v>2023</v>
      </c>
      <c r="T760" t="str">
        <f>TEXT(marketing_data[[#This Row],[Start_date]],"ddd")</f>
        <v>Sun</v>
      </c>
      <c r="U760">
        <f>marketing_data[[#This Row],[Cleaned End_date]]-marketing_data[[#This Row],[Start_date]]</f>
        <v>21</v>
      </c>
    </row>
    <row r="761" spans="1:21" x14ac:dyDescent="0.2">
      <c r="A761" t="s">
        <v>1585</v>
      </c>
      <c r="B761" t="s">
        <v>1586</v>
      </c>
      <c r="C761" s="2">
        <v>45053</v>
      </c>
      <c r="D761" t="str">
        <f t="shared" si="69"/>
        <v>May</v>
      </c>
      <c r="E761" s="2">
        <v>45074</v>
      </c>
      <c r="F761" t="str">
        <f>F760</f>
        <v>Instagram</v>
      </c>
      <c r="G761">
        <v>36547</v>
      </c>
      <c r="H761">
        <v>1025</v>
      </c>
      <c r="J761" t="b">
        <v>1</v>
      </c>
      <c r="K761" s="10">
        <v>700.09</v>
      </c>
      <c r="L761" s="6">
        <f t="shared" si="70"/>
        <v>2.8046077653432568E-2</v>
      </c>
      <c r="M761">
        <f t="shared" si="71"/>
        <v>0.68301463414634145</v>
      </c>
      <c r="N761">
        <f t="shared" si="72"/>
        <v>0</v>
      </c>
      <c r="O761">
        <f t="shared" si="73"/>
        <v>-700.09</v>
      </c>
      <c r="P761">
        <f t="shared" si="74"/>
        <v>0</v>
      </c>
      <c r="Q761" t="s">
        <v>4137</v>
      </c>
      <c r="R761" t="s">
        <v>4142</v>
      </c>
      <c r="S761">
        <f>YEAR(marketing_data[[#This Row],[Start_date]])</f>
        <v>2023</v>
      </c>
      <c r="T761" t="str">
        <f>TEXT(marketing_data[[#This Row],[Start_date]],"ddd")</f>
        <v>Sun</v>
      </c>
      <c r="U761">
        <f>marketing_data[[#This Row],[Cleaned End_date]]-marketing_data[[#This Row],[Start_date]]</f>
        <v>21</v>
      </c>
    </row>
    <row r="762" spans="1:21" x14ac:dyDescent="0.2">
      <c r="A762" t="s">
        <v>1587</v>
      </c>
      <c r="B762" t="s">
        <v>1588</v>
      </c>
      <c r="C762" s="2">
        <v>45023</v>
      </c>
      <c r="D762" t="str">
        <f t="shared" si="69"/>
        <v>Apr</v>
      </c>
      <c r="E762" s="2">
        <v>45038</v>
      </c>
      <c r="F762" t="s">
        <v>14</v>
      </c>
      <c r="G762">
        <v>98007</v>
      </c>
      <c r="H762">
        <v>2537</v>
      </c>
      <c r="I762">
        <v>379</v>
      </c>
      <c r="J762" t="b">
        <v>1</v>
      </c>
      <c r="K762" s="10">
        <v>3631.7599999999998</v>
      </c>
      <c r="L762" s="6">
        <f t="shared" si="70"/>
        <v>2.5885906108747334E-2</v>
      </c>
      <c r="M762">
        <f t="shared" si="71"/>
        <v>1.4315175404020495</v>
      </c>
      <c r="N762">
        <f t="shared" si="72"/>
        <v>9.5824802110817942</v>
      </c>
      <c r="O762">
        <f t="shared" si="73"/>
        <v>15318.24</v>
      </c>
      <c r="P762">
        <f t="shared" si="74"/>
        <v>0.14938904217579818</v>
      </c>
      <c r="Q762" t="s">
        <v>4137</v>
      </c>
      <c r="R762" t="s">
        <v>4141</v>
      </c>
      <c r="S762">
        <f>YEAR(marketing_data[[#This Row],[Start_date]])</f>
        <v>2023</v>
      </c>
      <c r="T762" t="str">
        <f>TEXT(marketing_data[[#This Row],[Start_date]],"ddd")</f>
        <v>Fri</v>
      </c>
      <c r="U762">
        <f>marketing_data[[#This Row],[Cleaned End_date]]-marketing_data[[#This Row],[Start_date]]</f>
        <v>15</v>
      </c>
    </row>
    <row r="763" spans="1:21" x14ac:dyDescent="0.2">
      <c r="A763" t="s">
        <v>1589</v>
      </c>
      <c r="B763" t="s">
        <v>1590</v>
      </c>
      <c r="C763" s="2">
        <v>44984</v>
      </c>
      <c r="D763" t="str">
        <f t="shared" si="69"/>
        <v>Feb</v>
      </c>
      <c r="E763" s="2">
        <v>44989</v>
      </c>
      <c r="F763" t="s">
        <v>14</v>
      </c>
      <c r="G763">
        <v>83844</v>
      </c>
      <c r="H763">
        <v>1151</v>
      </c>
      <c r="I763">
        <v>98</v>
      </c>
      <c r="J763" t="b">
        <v>1</v>
      </c>
      <c r="K763" s="10">
        <v>771.36</v>
      </c>
      <c r="L763" s="6">
        <f t="shared" si="70"/>
        <v>1.3727875578455227E-2</v>
      </c>
      <c r="M763">
        <f t="shared" si="71"/>
        <v>0.67016507384882706</v>
      </c>
      <c r="N763">
        <f t="shared" si="72"/>
        <v>7.8710204081632655</v>
      </c>
      <c r="O763">
        <f t="shared" si="73"/>
        <v>4128.6400000000003</v>
      </c>
      <c r="P763">
        <f t="shared" si="74"/>
        <v>8.5143353605560385E-2</v>
      </c>
      <c r="Q763" t="s">
        <v>4138</v>
      </c>
      <c r="R763" t="s">
        <v>4141</v>
      </c>
      <c r="S763">
        <f>YEAR(marketing_data[[#This Row],[Start_date]])</f>
        <v>2023</v>
      </c>
      <c r="T763" t="str">
        <f>TEXT(marketing_data[[#This Row],[Start_date]],"ddd")</f>
        <v>Mon</v>
      </c>
      <c r="U763">
        <f>marketing_data[[#This Row],[Cleaned End_date]]-marketing_data[[#This Row],[Start_date]]</f>
        <v>5</v>
      </c>
    </row>
    <row r="764" spans="1:21" x14ac:dyDescent="0.2">
      <c r="A764" t="s">
        <v>1592</v>
      </c>
      <c r="B764" t="s">
        <v>1593</v>
      </c>
      <c r="C764" s="2">
        <v>45265</v>
      </c>
      <c r="D764" t="str">
        <f t="shared" si="69"/>
        <v>Dec</v>
      </c>
      <c r="E764" s="2">
        <v>45292</v>
      </c>
      <c r="F764" t="s">
        <v>41</v>
      </c>
      <c r="G764">
        <v>28532</v>
      </c>
      <c r="H764">
        <v>788</v>
      </c>
      <c r="I764">
        <v>97</v>
      </c>
      <c r="J764" t="b">
        <v>0</v>
      </c>
      <c r="K764" s="10">
        <v>1572.35</v>
      </c>
      <c r="L764" s="6">
        <f t="shared" si="70"/>
        <v>2.7618112995934391E-2</v>
      </c>
      <c r="M764">
        <f t="shared" si="71"/>
        <v>1.9953680203045685</v>
      </c>
      <c r="N764">
        <f t="shared" si="72"/>
        <v>16.209793814432988</v>
      </c>
      <c r="O764">
        <f t="shared" si="73"/>
        <v>3277.65</v>
      </c>
      <c r="P764">
        <f t="shared" si="74"/>
        <v>0.12309644670050761</v>
      </c>
      <c r="Q764" t="s">
        <v>4138</v>
      </c>
      <c r="R764" t="s">
        <v>4141</v>
      </c>
      <c r="S764">
        <f>YEAR(marketing_data[[#This Row],[Start_date]])</f>
        <v>2023</v>
      </c>
      <c r="T764" t="str">
        <f>TEXT(marketing_data[[#This Row],[Start_date]],"ddd")</f>
        <v>Tue</v>
      </c>
      <c r="U764">
        <f>marketing_data[[#This Row],[Cleaned End_date]]-marketing_data[[#This Row],[Start_date]]</f>
        <v>27</v>
      </c>
    </row>
    <row r="765" spans="1:21" x14ac:dyDescent="0.2">
      <c r="A765" t="s">
        <v>1594</v>
      </c>
      <c r="B765" t="s">
        <v>1595</v>
      </c>
      <c r="C765" s="2">
        <v>44935</v>
      </c>
      <c r="D765" t="str">
        <f t="shared" si="69"/>
        <v>Jan</v>
      </c>
      <c r="E765" s="2">
        <v>45193</v>
      </c>
      <c r="F765" t="s">
        <v>23</v>
      </c>
      <c r="G765">
        <v>35349</v>
      </c>
      <c r="H765">
        <v>630</v>
      </c>
      <c r="I765">
        <v>58</v>
      </c>
      <c r="J765" t="b">
        <v>0</v>
      </c>
      <c r="K765" s="10">
        <v>488.36</v>
      </c>
      <c r="L765" s="6">
        <f t="shared" si="70"/>
        <v>1.7822286344733939E-2</v>
      </c>
      <c r="M765">
        <f t="shared" si="71"/>
        <v>0.77517460317460318</v>
      </c>
      <c r="N765">
        <f t="shared" si="72"/>
        <v>8.42</v>
      </c>
      <c r="O765">
        <f t="shared" si="73"/>
        <v>2411.64</v>
      </c>
      <c r="P765">
        <f t="shared" si="74"/>
        <v>9.2063492063492069E-2</v>
      </c>
      <c r="Q765" t="s">
        <v>4138</v>
      </c>
      <c r="R765" t="s">
        <v>4138</v>
      </c>
      <c r="S765">
        <f>YEAR(marketing_data[[#This Row],[Start_date]])</f>
        <v>2023</v>
      </c>
      <c r="T765" t="str">
        <f>TEXT(marketing_data[[#This Row],[Start_date]],"ddd")</f>
        <v>Mon</v>
      </c>
      <c r="U765">
        <f>marketing_data[[#This Row],[Cleaned End_date]]-marketing_data[[#This Row],[Start_date]]</f>
        <v>258</v>
      </c>
    </row>
    <row r="766" spans="1:21" x14ac:dyDescent="0.2">
      <c r="A766" t="s">
        <v>1596</v>
      </c>
      <c r="B766" t="s">
        <v>1597</v>
      </c>
      <c r="C766" s="2">
        <v>44937</v>
      </c>
      <c r="D766" t="str">
        <f t="shared" si="69"/>
        <v>Jan</v>
      </c>
      <c r="E766" s="2">
        <v>45260</v>
      </c>
      <c r="F766" t="s">
        <v>14</v>
      </c>
      <c r="G766">
        <v>46445</v>
      </c>
      <c r="H766">
        <v>811</v>
      </c>
      <c r="I766">
        <v>128</v>
      </c>
      <c r="J766" t="b">
        <v>0</v>
      </c>
      <c r="K766" s="10">
        <v>1128.27</v>
      </c>
      <c r="L766" s="6">
        <f t="shared" si="70"/>
        <v>1.7461513618258154E-2</v>
      </c>
      <c r="M766">
        <f t="shared" si="71"/>
        <v>1.3912083847102343</v>
      </c>
      <c r="N766">
        <f t="shared" si="72"/>
        <v>8.8146093749999999</v>
      </c>
      <c r="O766">
        <f t="shared" si="73"/>
        <v>5271.73</v>
      </c>
      <c r="P766">
        <f t="shared" si="74"/>
        <v>0.15782983970406905</v>
      </c>
      <c r="Q766" t="s">
        <v>4138</v>
      </c>
      <c r="R766" t="s">
        <v>4138</v>
      </c>
      <c r="S766">
        <f>YEAR(marketing_data[[#This Row],[Start_date]])</f>
        <v>2023</v>
      </c>
      <c r="T766" t="str">
        <f>TEXT(marketing_data[[#This Row],[Start_date]],"ddd")</f>
        <v>Wed</v>
      </c>
      <c r="U766">
        <f>marketing_data[[#This Row],[Cleaned End_date]]-marketing_data[[#This Row],[Start_date]]</f>
        <v>323</v>
      </c>
    </row>
    <row r="767" spans="1:21" x14ac:dyDescent="0.2">
      <c r="A767" t="s">
        <v>1598</v>
      </c>
      <c r="B767" t="s">
        <v>1599</v>
      </c>
      <c r="C767" s="2">
        <v>45233</v>
      </c>
      <c r="D767" t="str">
        <f t="shared" si="69"/>
        <v>Nov</v>
      </c>
      <c r="E767" s="2">
        <v>45258</v>
      </c>
      <c r="F767" t="s">
        <v>33</v>
      </c>
      <c r="G767">
        <v>6713</v>
      </c>
      <c r="H767">
        <v>92</v>
      </c>
      <c r="I767">
        <v>17</v>
      </c>
      <c r="J767" t="b">
        <v>0</v>
      </c>
      <c r="K767" s="10">
        <v>329.13249999999999</v>
      </c>
      <c r="L767" s="6">
        <f t="shared" si="70"/>
        <v>1.3704751973782214E-2</v>
      </c>
      <c r="M767">
        <f t="shared" si="71"/>
        <v>3.5775271739130434</v>
      </c>
      <c r="N767">
        <f t="shared" si="72"/>
        <v>19.360735294117646</v>
      </c>
      <c r="O767">
        <f t="shared" si="73"/>
        <v>520.86750000000006</v>
      </c>
      <c r="P767">
        <f t="shared" si="74"/>
        <v>0.18478260869565216</v>
      </c>
      <c r="Q767" t="s">
        <v>4136</v>
      </c>
      <c r="R767" t="s">
        <v>4142</v>
      </c>
      <c r="S767">
        <f>YEAR(marketing_data[[#This Row],[Start_date]])</f>
        <v>2023</v>
      </c>
      <c r="T767" t="str">
        <f>TEXT(marketing_data[[#This Row],[Start_date]],"ddd")</f>
        <v>Fri</v>
      </c>
      <c r="U767">
        <f>marketing_data[[#This Row],[Cleaned End_date]]-marketing_data[[#This Row],[Start_date]]</f>
        <v>25</v>
      </c>
    </row>
    <row r="768" spans="1:21" x14ac:dyDescent="0.2">
      <c r="A768" t="s">
        <v>1600</v>
      </c>
      <c r="B768" t="s">
        <v>1601</v>
      </c>
      <c r="C768" s="2">
        <v>45052</v>
      </c>
      <c r="D768" t="str">
        <f t="shared" si="69"/>
        <v>May</v>
      </c>
      <c r="E768" s="2">
        <v>45059</v>
      </c>
      <c r="F768" t="s">
        <v>19</v>
      </c>
      <c r="G768">
        <v>57178</v>
      </c>
      <c r="H768">
        <v>1387</v>
      </c>
      <c r="J768" t="b">
        <v>1</v>
      </c>
      <c r="K768" s="10">
        <v>956.45</v>
      </c>
      <c r="L768" s="6">
        <f t="shared" si="70"/>
        <v>2.4257581587323798E-2</v>
      </c>
      <c r="M768">
        <f t="shared" si="71"/>
        <v>0.68958183129055517</v>
      </c>
      <c r="N768">
        <f t="shared" si="72"/>
        <v>0</v>
      </c>
      <c r="O768">
        <f t="shared" si="73"/>
        <v>-956.45</v>
      </c>
      <c r="P768">
        <f t="shared" si="74"/>
        <v>0</v>
      </c>
      <c r="Q768" t="s">
        <v>4137</v>
      </c>
      <c r="R768" t="s">
        <v>4141</v>
      </c>
      <c r="S768">
        <f>YEAR(marketing_data[[#This Row],[Start_date]])</f>
        <v>2023</v>
      </c>
      <c r="T768" t="str">
        <f>TEXT(marketing_data[[#This Row],[Start_date]],"ddd")</f>
        <v>Sat</v>
      </c>
      <c r="U768">
        <f>marketing_data[[#This Row],[Cleaned End_date]]-marketing_data[[#This Row],[Start_date]]</f>
        <v>7</v>
      </c>
    </row>
    <row r="769" spans="1:21" x14ac:dyDescent="0.2">
      <c r="A769" t="s">
        <v>1602</v>
      </c>
      <c r="B769" t="s">
        <v>1603</v>
      </c>
      <c r="C769" s="2">
        <v>45046</v>
      </c>
      <c r="D769" t="str">
        <f t="shared" si="69"/>
        <v>Apr</v>
      </c>
      <c r="E769" s="2">
        <v>45069</v>
      </c>
      <c r="F769" t="s">
        <v>41</v>
      </c>
      <c r="G769">
        <v>50407</v>
      </c>
      <c r="H769">
        <v>2031</v>
      </c>
      <c r="I769">
        <v>279</v>
      </c>
      <c r="J769" t="b">
        <v>0</v>
      </c>
      <c r="K769" s="10">
        <v>1100.33</v>
      </c>
      <c r="L769" s="6">
        <f t="shared" si="70"/>
        <v>4.0292022933322756E-2</v>
      </c>
      <c r="M769">
        <f t="shared" si="71"/>
        <v>0.54176760216642039</v>
      </c>
      <c r="N769">
        <f t="shared" si="72"/>
        <v>3.9438351254480284</v>
      </c>
      <c r="O769">
        <f t="shared" si="73"/>
        <v>12849.67</v>
      </c>
      <c r="P769">
        <f t="shared" si="74"/>
        <v>0.13737075332348597</v>
      </c>
      <c r="Q769" t="s">
        <v>4137</v>
      </c>
      <c r="R769" t="s">
        <v>4141</v>
      </c>
      <c r="S769">
        <f>YEAR(marketing_data[[#This Row],[Start_date]])</f>
        <v>2023</v>
      </c>
      <c r="T769" t="str">
        <f>TEXT(marketing_data[[#This Row],[Start_date]],"ddd")</f>
        <v>Sun</v>
      </c>
      <c r="U769">
        <f>marketing_data[[#This Row],[Cleaned End_date]]-marketing_data[[#This Row],[Start_date]]</f>
        <v>23</v>
      </c>
    </row>
    <row r="770" spans="1:21" x14ac:dyDescent="0.2">
      <c r="A770" t="s">
        <v>1604</v>
      </c>
      <c r="B770" t="s">
        <v>1605</v>
      </c>
      <c r="C770" s="2">
        <v>44955</v>
      </c>
      <c r="D770" t="str">
        <f t="shared" si="69"/>
        <v>Jan</v>
      </c>
      <c r="E770" s="2">
        <v>44956</v>
      </c>
      <c r="F770" t="s">
        <v>33</v>
      </c>
      <c r="G770">
        <v>71340</v>
      </c>
      <c r="H770">
        <v>1502</v>
      </c>
      <c r="J770" t="b">
        <v>1</v>
      </c>
      <c r="K770" s="10">
        <v>2154.02</v>
      </c>
      <c r="L770" s="6">
        <f t="shared" si="70"/>
        <v>2.1054107092795066E-2</v>
      </c>
      <c r="M770">
        <f t="shared" si="71"/>
        <v>1.4341011984021306</v>
      </c>
      <c r="N770">
        <f t="shared" si="72"/>
        <v>0</v>
      </c>
      <c r="O770">
        <f t="shared" si="73"/>
        <v>-2154.02</v>
      </c>
      <c r="P770">
        <f t="shared" si="74"/>
        <v>0</v>
      </c>
      <c r="Q770" t="s">
        <v>4138</v>
      </c>
      <c r="R770" t="s">
        <v>4142</v>
      </c>
      <c r="S770">
        <f>YEAR(marketing_data[[#This Row],[Start_date]])</f>
        <v>2023</v>
      </c>
      <c r="T770" t="str">
        <f>TEXT(marketing_data[[#This Row],[Start_date]],"ddd")</f>
        <v>Sun</v>
      </c>
      <c r="U770">
        <f>marketing_data[[#This Row],[Cleaned End_date]]-marketing_data[[#This Row],[Start_date]]</f>
        <v>1</v>
      </c>
    </row>
    <row r="771" spans="1:21" x14ac:dyDescent="0.2">
      <c r="A771" t="s">
        <v>1606</v>
      </c>
      <c r="B771" t="s">
        <v>1607</v>
      </c>
      <c r="C771" s="2">
        <v>45046</v>
      </c>
      <c r="D771" t="str">
        <f t="shared" ref="D771:D834" si="75">TEXT(C771,"mmm")</f>
        <v>Apr</v>
      </c>
      <c r="E771" s="2">
        <v>45075</v>
      </c>
      <c r="F771" t="s">
        <v>41</v>
      </c>
      <c r="G771">
        <v>51990</v>
      </c>
      <c r="H771">
        <v>1169</v>
      </c>
      <c r="I771">
        <v>201</v>
      </c>
      <c r="J771" t="b">
        <v>1</v>
      </c>
      <c r="K771" s="10">
        <v>1999.15</v>
      </c>
      <c r="L771" s="6">
        <f t="shared" ref="L771:L834" si="76">H771/G771</f>
        <v>2.2485093287170611E-2</v>
      </c>
      <c r="M771">
        <f t="shared" ref="M771:M834" si="77">K771/H771</f>
        <v>1.7101368691189052</v>
      </c>
      <c r="N771">
        <f t="shared" ref="N771:N834" si="78">IFERROR(K771/I771,0)</f>
        <v>9.9460199004975127</v>
      </c>
      <c r="O771">
        <f t="shared" ref="O771:O834" si="79">(50*I771)-K771</f>
        <v>8050.85</v>
      </c>
      <c r="P771">
        <f t="shared" ref="P771:P834" si="80">I771/H771</f>
        <v>0.17194183062446536</v>
      </c>
      <c r="Q771" t="s">
        <v>4137</v>
      </c>
      <c r="R771" t="s">
        <v>4138</v>
      </c>
      <c r="S771">
        <f>YEAR(marketing_data[[#This Row],[Start_date]])</f>
        <v>2023</v>
      </c>
      <c r="T771" t="str">
        <f>TEXT(marketing_data[[#This Row],[Start_date]],"ddd")</f>
        <v>Sun</v>
      </c>
      <c r="U771">
        <f>marketing_data[[#This Row],[Cleaned End_date]]-marketing_data[[#This Row],[Start_date]]</f>
        <v>29</v>
      </c>
    </row>
    <row r="772" spans="1:21" x14ac:dyDescent="0.2">
      <c r="A772" t="s">
        <v>1608</v>
      </c>
      <c r="B772" t="s">
        <v>1609</v>
      </c>
      <c r="C772" s="2">
        <v>45090</v>
      </c>
      <c r="D772" t="str">
        <f t="shared" si="75"/>
        <v>Jun</v>
      </c>
      <c r="E772" s="2">
        <v>45116</v>
      </c>
      <c r="F772" t="s">
        <v>23</v>
      </c>
      <c r="G772">
        <v>76672</v>
      </c>
      <c r="H772">
        <v>2737</v>
      </c>
      <c r="I772">
        <v>417</v>
      </c>
      <c r="J772" t="b">
        <v>1</v>
      </c>
      <c r="K772" s="10">
        <v>3631.7599999999998</v>
      </c>
      <c r="L772" s="6">
        <f t="shared" si="76"/>
        <v>3.5697516694490818E-2</v>
      </c>
      <c r="M772">
        <f t="shared" si="77"/>
        <v>1.326912678114724</v>
      </c>
      <c r="N772">
        <f t="shared" si="78"/>
        <v>8.70925659472422</v>
      </c>
      <c r="O772">
        <f t="shared" si="79"/>
        <v>17218.240000000002</v>
      </c>
      <c r="P772">
        <f t="shared" si="80"/>
        <v>0.15235659481183778</v>
      </c>
      <c r="Q772" t="s">
        <v>4139</v>
      </c>
      <c r="R772" t="s">
        <v>4141</v>
      </c>
      <c r="S772">
        <f>YEAR(marketing_data[[#This Row],[Start_date]])</f>
        <v>2023</v>
      </c>
      <c r="T772" t="str">
        <f>TEXT(marketing_data[[#This Row],[Start_date]],"ddd")</f>
        <v>Tue</v>
      </c>
      <c r="U772">
        <f>marketing_data[[#This Row],[Cleaned End_date]]-marketing_data[[#This Row],[Start_date]]</f>
        <v>26</v>
      </c>
    </row>
    <row r="773" spans="1:21" x14ac:dyDescent="0.2">
      <c r="A773" t="s">
        <v>1610</v>
      </c>
      <c r="B773" t="s">
        <v>1611</v>
      </c>
      <c r="C773" s="2">
        <v>45091</v>
      </c>
      <c r="D773" t="str">
        <f t="shared" si="75"/>
        <v>Jun</v>
      </c>
      <c r="E773" s="2">
        <v>45108</v>
      </c>
      <c r="F773" t="s">
        <v>19</v>
      </c>
      <c r="G773">
        <v>66545</v>
      </c>
      <c r="H773">
        <v>1186</v>
      </c>
      <c r="I773">
        <v>91</v>
      </c>
      <c r="J773" t="b">
        <v>0</v>
      </c>
      <c r="K773" s="10">
        <v>1451.75</v>
      </c>
      <c r="L773" s="6">
        <f t="shared" si="76"/>
        <v>1.7822526110151025E-2</v>
      </c>
      <c r="M773">
        <f t="shared" si="77"/>
        <v>1.2240725126475549</v>
      </c>
      <c r="N773">
        <f t="shared" si="78"/>
        <v>15.953296703296703</v>
      </c>
      <c r="O773">
        <f t="shared" si="79"/>
        <v>3098.25</v>
      </c>
      <c r="P773">
        <f t="shared" si="80"/>
        <v>7.672849915682968E-2</v>
      </c>
      <c r="Q773" t="s">
        <v>4139</v>
      </c>
      <c r="R773" t="s">
        <v>4139</v>
      </c>
      <c r="S773">
        <f>YEAR(marketing_data[[#This Row],[Start_date]])</f>
        <v>2023</v>
      </c>
      <c r="T773" t="str">
        <f>TEXT(marketing_data[[#This Row],[Start_date]],"ddd")</f>
        <v>Wed</v>
      </c>
      <c r="U773">
        <f>marketing_data[[#This Row],[Cleaned End_date]]-marketing_data[[#This Row],[Start_date]]</f>
        <v>17</v>
      </c>
    </row>
    <row r="774" spans="1:21" x14ac:dyDescent="0.2">
      <c r="A774" t="s">
        <v>1612</v>
      </c>
      <c r="B774" t="s">
        <v>1613</v>
      </c>
      <c r="C774" s="2">
        <v>45265</v>
      </c>
      <c r="D774" t="str">
        <f t="shared" si="75"/>
        <v>Dec</v>
      </c>
      <c r="E774" s="2">
        <v>45291</v>
      </c>
      <c r="F774" t="s">
        <v>23</v>
      </c>
      <c r="G774">
        <v>85791</v>
      </c>
      <c r="H774">
        <v>3935</v>
      </c>
      <c r="I774">
        <v>681</v>
      </c>
      <c r="J774" t="b">
        <v>1</v>
      </c>
      <c r="K774" s="10">
        <v>3631.7599999999998</v>
      </c>
      <c r="L774" s="6">
        <f t="shared" si="76"/>
        <v>4.586728211583966E-2</v>
      </c>
      <c r="M774">
        <f t="shared" si="77"/>
        <v>0.92293773824650571</v>
      </c>
      <c r="N774">
        <f t="shared" si="78"/>
        <v>5.3329809104258441</v>
      </c>
      <c r="O774">
        <f t="shared" si="79"/>
        <v>30418.240000000002</v>
      </c>
      <c r="P774">
        <f t="shared" si="80"/>
        <v>0.17306226175349429</v>
      </c>
      <c r="Q774" t="s">
        <v>4138</v>
      </c>
      <c r="R774" t="s">
        <v>4142</v>
      </c>
      <c r="S774">
        <f>YEAR(marketing_data[[#This Row],[Start_date]])</f>
        <v>2023</v>
      </c>
      <c r="T774" t="str">
        <f>TEXT(marketing_data[[#This Row],[Start_date]],"ddd")</f>
        <v>Tue</v>
      </c>
      <c r="U774">
        <f>marketing_data[[#This Row],[Cleaned End_date]]-marketing_data[[#This Row],[Start_date]]</f>
        <v>26</v>
      </c>
    </row>
    <row r="775" spans="1:21" x14ac:dyDescent="0.2">
      <c r="A775" t="s">
        <v>1614</v>
      </c>
      <c r="B775" t="s">
        <v>1615</v>
      </c>
      <c r="C775" s="2">
        <v>45067</v>
      </c>
      <c r="D775" t="str">
        <f t="shared" si="75"/>
        <v>May</v>
      </c>
      <c r="E775" s="2">
        <v>45071</v>
      </c>
      <c r="F775" t="s">
        <v>19</v>
      </c>
      <c r="G775">
        <v>59141</v>
      </c>
      <c r="H775">
        <v>1821</v>
      </c>
      <c r="I775">
        <v>208</v>
      </c>
      <c r="J775" t="b">
        <v>0</v>
      </c>
      <c r="K775" s="10">
        <v>2748.38</v>
      </c>
      <c r="L775" s="6">
        <f t="shared" si="76"/>
        <v>3.0790821934022081E-2</v>
      </c>
      <c r="M775">
        <f t="shared" si="77"/>
        <v>1.5092696320702912</v>
      </c>
      <c r="N775">
        <f t="shared" si="78"/>
        <v>13.213365384615384</v>
      </c>
      <c r="O775">
        <f t="shared" si="79"/>
        <v>7651.62</v>
      </c>
      <c r="P775">
        <f t="shared" si="80"/>
        <v>0.11422295442064799</v>
      </c>
      <c r="Q775" t="s">
        <v>4137</v>
      </c>
      <c r="R775" t="s">
        <v>4141</v>
      </c>
      <c r="S775">
        <f>YEAR(marketing_data[[#This Row],[Start_date]])</f>
        <v>2023</v>
      </c>
      <c r="T775" t="str">
        <f>TEXT(marketing_data[[#This Row],[Start_date]],"ddd")</f>
        <v>Sun</v>
      </c>
      <c r="U775">
        <f>marketing_data[[#This Row],[Cleaned End_date]]-marketing_data[[#This Row],[Start_date]]</f>
        <v>4</v>
      </c>
    </row>
    <row r="776" spans="1:21" x14ac:dyDescent="0.2">
      <c r="A776" t="s">
        <v>1617</v>
      </c>
      <c r="B776" t="s">
        <v>1618</v>
      </c>
      <c r="C776" s="2">
        <v>45229</v>
      </c>
      <c r="D776" t="str">
        <f t="shared" si="75"/>
        <v>Oct</v>
      </c>
      <c r="E776" s="2">
        <v>45245</v>
      </c>
      <c r="F776" t="s">
        <v>14</v>
      </c>
      <c r="G776">
        <v>24793</v>
      </c>
      <c r="H776">
        <v>691</v>
      </c>
      <c r="I776">
        <v>54</v>
      </c>
      <c r="J776" t="b">
        <v>0</v>
      </c>
      <c r="K776" s="10">
        <v>1096.19</v>
      </c>
      <c r="L776" s="6">
        <f t="shared" si="76"/>
        <v>2.7870769975396281E-2</v>
      </c>
      <c r="M776">
        <f t="shared" si="77"/>
        <v>1.5863820549927641</v>
      </c>
      <c r="N776">
        <f t="shared" si="78"/>
        <v>20.299814814814816</v>
      </c>
      <c r="O776">
        <f t="shared" si="79"/>
        <v>1603.81</v>
      </c>
      <c r="P776">
        <f t="shared" si="80"/>
        <v>7.8147612156295218E-2</v>
      </c>
      <c r="Q776" t="s">
        <v>4136</v>
      </c>
      <c r="R776" t="s">
        <v>4138</v>
      </c>
      <c r="S776">
        <f>YEAR(marketing_data[[#This Row],[Start_date]])</f>
        <v>2023</v>
      </c>
      <c r="T776" t="str">
        <f>TEXT(marketing_data[[#This Row],[Start_date]],"ddd")</f>
        <v>Mon</v>
      </c>
      <c r="U776">
        <f>marketing_data[[#This Row],[Cleaned End_date]]-marketing_data[[#This Row],[Start_date]]</f>
        <v>16</v>
      </c>
    </row>
    <row r="777" spans="1:21" x14ac:dyDescent="0.2">
      <c r="A777" t="s">
        <v>1619</v>
      </c>
      <c r="B777" t="s">
        <v>1620</v>
      </c>
      <c r="C777" s="2">
        <v>45247</v>
      </c>
      <c r="D777" t="str">
        <f t="shared" si="75"/>
        <v>Nov</v>
      </c>
      <c r="E777" s="2">
        <v>45252</v>
      </c>
      <c r="F777" t="s">
        <v>41</v>
      </c>
      <c r="G777">
        <v>57570</v>
      </c>
      <c r="H777">
        <v>1860</v>
      </c>
      <c r="I777">
        <v>171</v>
      </c>
      <c r="J777" t="b">
        <v>1</v>
      </c>
      <c r="K777" s="10">
        <v>2304.35</v>
      </c>
      <c r="L777" s="6">
        <f t="shared" si="76"/>
        <v>3.2308494007295463E-2</v>
      </c>
      <c r="M777">
        <f t="shared" si="77"/>
        <v>1.2388978494623655</v>
      </c>
      <c r="N777">
        <f t="shared" si="78"/>
        <v>13.475730994152046</v>
      </c>
      <c r="O777">
        <f t="shared" si="79"/>
        <v>6245.65</v>
      </c>
      <c r="P777">
        <f t="shared" si="80"/>
        <v>9.1935483870967741E-2</v>
      </c>
      <c r="Q777" t="s">
        <v>4136</v>
      </c>
      <c r="R777" t="s">
        <v>4139</v>
      </c>
      <c r="S777">
        <f>YEAR(marketing_data[[#This Row],[Start_date]])</f>
        <v>2023</v>
      </c>
      <c r="T777" t="str">
        <f>TEXT(marketing_data[[#This Row],[Start_date]],"ddd")</f>
        <v>Fri</v>
      </c>
      <c r="U777">
        <f>marketing_data[[#This Row],[Cleaned End_date]]-marketing_data[[#This Row],[Start_date]]</f>
        <v>5</v>
      </c>
    </row>
    <row r="778" spans="1:21" x14ac:dyDescent="0.2">
      <c r="A778" t="s">
        <v>1621</v>
      </c>
      <c r="B778" t="s">
        <v>1622</v>
      </c>
      <c r="C778" s="2">
        <v>44951</v>
      </c>
      <c r="D778" t="str">
        <f t="shared" si="75"/>
        <v>Jan</v>
      </c>
      <c r="E778" s="2">
        <v>44981</v>
      </c>
      <c r="F778" t="s">
        <v>19</v>
      </c>
      <c r="G778">
        <v>96084</v>
      </c>
      <c r="H778">
        <v>1598</v>
      </c>
      <c r="I778">
        <v>144</v>
      </c>
      <c r="J778" t="b">
        <v>1</v>
      </c>
      <c r="K778" s="10">
        <v>2317.29</v>
      </c>
      <c r="L778" s="6">
        <f t="shared" si="76"/>
        <v>1.6631280962491155E-2</v>
      </c>
      <c r="M778">
        <f t="shared" si="77"/>
        <v>1.4501188986232791</v>
      </c>
      <c r="N778">
        <f t="shared" si="78"/>
        <v>16.092291666666668</v>
      </c>
      <c r="O778">
        <f t="shared" si="79"/>
        <v>4882.71</v>
      </c>
      <c r="P778">
        <f t="shared" si="80"/>
        <v>9.0112640801001245E-2</v>
      </c>
      <c r="Q778" t="s">
        <v>4138</v>
      </c>
      <c r="R778" t="s">
        <v>4141</v>
      </c>
      <c r="S778">
        <f>YEAR(marketing_data[[#This Row],[Start_date]])</f>
        <v>2023</v>
      </c>
      <c r="T778" t="str">
        <f>TEXT(marketing_data[[#This Row],[Start_date]],"ddd")</f>
        <v>Wed</v>
      </c>
      <c r="U778">
        <f>marketing_data[[#This Row],[Cleaned End_date]]-marketing_data[[#This Row],[Start_date]]</f>
        <v>30</v>
      </c>
    </row>
    <row r="779" spans="1:21" x14ac:dyDescent="0.2">
      <c r="A779" t="s">
        <v>1623</v>
      </c>
      <c r="B779" t="s">
        <v>1624</v>
      </c>
      <c r="C779" s="2">
        <v>45270</v>
      </c>
      <c r="D779" t="str">
        <f t="shared" si="75"/>
        <v>Dec</v>
      </c>
      <c r="E779" s="2">
        <v>45273</v>
      </c>
      <c r="F779" t="s">
        <v>23</v>
      </c>
      <c r="G779">
        <v>38892</v>
      </c>
      <c r="H779">
        <v>1343</v>
      </c>
      <c r="J779" t="b">
        <v>0</v>
      </c>
      <c r="K779" s="10">
        <v>2294.23</v>
      </c>
      <c r="L779" s="6">
        <f t="shared" si="76"/>
        <v>3.4531523192430323E-2</v>
      </c>
      <c r="M779">
        <f t="shared" si="77"/>
        <v>1.7082874162323156</v>
      </c>
      <c r="N779">
        <f t="shared" si="78"/>
        <v>0</v>
      </c>
      <c r="O779">
        <f t="shared" si="79"/>
        <v>-2294.23</v>
      </c>
      <c r="P779">
        <f t="shared" si="80"/>
        <v>0</v>
      </c>
      <c r="Q779" t="s">
        <v>4138</v>
      </c>
      <c r="R779" t="s">
        <v>4142</v>
      </c>
      <c r="S779">
        <f>YEAR(marketing_data[[#This Row],[Start_date]])</f>
        <v>2023</v>
      </c>
      <c r="T779" t="str">
        <f>TEXT(marketing_data[[#This Row],[Start_date]],"ddd")</f>
        <v>Sun</v>
      </c>
      <c r="U779">
        <f>marketing_data[[#This Row],[Cleaned End_date]]-marketing_data[[#This Row],[Start_date]]</f>
        <v>3</v>
      </c>
    </row>
    <row r="780" spans="1:21" x14ac:dyDescent="0.2">
      <c r="A780" t="s">
        <v>1625</v>
      </c>
      <c r="B780" t="s">
        <v>1626</v>
      </c>
      <c r="C780" s="2">
        <v>45283</v>
      </c>
      <c r="D780" t="str">
        <f t="shared" si="75"/>
        <v>Dec</v>
      </c>
      <c r="E780" s="2">
        <v>45306</v>
      </c>
      <c r="F780" t="s">
        <v>19</v>
      </c>
      <c r="G780">
        <v>2015</v>
      </c>
      <c r="H780">
        <v>49</v>
      </c>
      <c r="I780">
        <v>4</v>
      </c>
      <c r="J780" t="b">
        <v>0</v>
      </c>
      <c r="K780" s="10">
        <v>329.13249999999999</v>
      </c>
      <c r="L780" s="6">
        <f t="shared" si="76"/>
        <v>2.4317617866004962E-2</v>
      </c>
      <c r="M780">
        <f t="shared" si="77"/>
        <v>6.7169897959183675</v>
      </c>
      <c r="N780">
        <f t="shared" si="78"/>
        <v>82.283124999999998</v>
      </c>
      <c r="O780">
        <f t="shared" si="79"/>
        <v>-129.13249999999999</v>
      </c>
      <c r="P780">
        <f t="shared" si="80"/>
        <v>8.1632653061224483E-2</v>
      </c>
      <c r="Q780" t="s">
        <v>4138</v>
      </c>
      <c r="R780" t="s">
        <v>4142</v>
      </c>
      <c r="S780">
        <f>YEAR(marketing_data[[#This Row],[Start_date]])</f>
        <v>2023</v>
      </c>
      <c r="T780" t="str">
        <f>TEXT(marketing_data[[#This Row],[Start_date]],"ddd")</f>
        <v>Sat</v>
      </c>
      <c r="U780">
        <f>marketing_data[[#This Row],[Cleaned End_date]]-marketing_data[[#This Row],[Start_date]]</f>
        <v>23</v>
      </c>
    </row>
    <row r="781" spans="1:21" x14ac:dyDescent="0.2">
      <c r="A781" t="s">
        <v>1627</v>
      </c>
      <c r="B781" t="s">
        <v>1628</v>
      </c>
      <c r="C781" s="2">
        <v>45119</v>
      </c>
      <c r="D781" t="str">
        <f t="shared" si="75"/>
        <v>Jul</v>
      </c>
      <c r="E781" s="2">
        <v>45129</v>
      </c>
      <c r="F781" t="s">
        <v>33</v>
      </c>
      <c r="G781">
        <v>62813</v>
      </c>
      <c r="H781">
        <v>2882</v>
      </c>
      <c r="I781">
        <v>197</v>
      </c>
      <c r="J781" t="b">
        <v>1</v>
      </c>
      <c r="K781" s="10">
        <v>3631.7599999999998</v>
      </c>
      <c r="L781" s="6">
        <f t="shared" si="76"/>
        <v>4.5882221833060038E-2</v>
      </c>
      <c r="M781">
        <f t="shared" si="77"/>
        <v>1.2601526717557252</v>
      </c>
      <c r="N781">
        <f t="shared" si="78"/>
        <v>18.435329949238579</v>
      </c>
      <c r="O781">
        <f t="shared" si="79"/>
        <v>6218.24</v>
      </c>
      <c r="P781">
        <f t="shared" si="80"/>
        <v>6.8355308813324078E-2</v>
      </c>
      <c r="Q781" t="s">
        <v>4139</v>
      </c>
      <c r="R781" t="s">
        <v>4138</v>
      </c>
      <c r="S781">
        <f>YEAR(marketing_data[[#This Row],[Start_date]])</f>
        <v>2023</v>
      </c>
      <c r="T781" t="str">
        <f>TEXT(marketing_data[[#This Row],[Start_date]],"ddd")</f>
        <v>Wed</v>
      </c>
      <c r="U781">
        <f>marketing_data[[#This Row],[Cleaned End_date]]-marketing_data[[#This Row],[Start_date]]</f>
        <v>10</v>
      </c>
    </row>
    <row r="782" spans="1:21" x14ac:dyDescent="0.2">
      <c r="A782" t="s">
        <v>1629</v>
      </c>
      <c r="B782" t="s">
        <v>1630</v>
      </c>
      <c r="C782" s="2">
        <v>45050</v>
      </c>
      <c r="D782" t="str">
        <f t="shared" si="75"/>
        <v>May</v>
      </c>
      <c r="E782" s="2">
        <v>45058</v>
      </c>
      <c r="F782" t="str">
        <f>F781</f>
        <v>Instagram</v>
      </c>
      <c r="G782">
        <v>28712</v>
      </c>
      <c r="H782">
        <v>481</v>
      </c>
      <c r="I782">
        <v>32</v>
      </c>
      <c r="J782" t="b">
        <v>1</v>
      </c>
      <c r="K782" s="10">
        <v>667.64</v>
      </c>
      <c r="L782" s="6">
        <f t="shared" si="76"/>
        <v>1.6752577319587628E-2</v>
      </c>
      <c r="M782">
        <f t="shared" si="77"/>
        <v>1.388024948024948</v>
      </c>
      <c r="N782">
        <f t="shared" si="78"/>
        <v>20.86375</v>
      </c>
      <c r="O782">
        <f t="shared" si="79"/>
        <v>932.36</v>
      </c>
      <c r="P782">
        <f t="shared" si="80"/>
        <v>6.6528066528066532E-2</v>
      </c>
      <c r="Q782" t="s">
        <v>4137</v>
      </c>
      <c r="R782" t="s">
        <v>4142</v>
      </c>
      <c r="S782">
        <f>YEAR(marketing_data[[#This Row],[Start_date]])</f>
        <v>2023</v>
      </c>
      <c r="T782" t="str">
        <f>TEXT(marketing_data[[#This Row],[Start_date]],"ddd")</f>
        <v>Thu</v>
      </c>
      <c r="U782">
        <f>marketing_data[[#This Row],[Cleaned End_date]]-marketing_data[[#This Row],[Start_date]]</f>
        <v>8</v>
      </c>
    </row>
    <row r="783" spans="1:21" x14ac:dyDescent="0.2">
      <c r="A783" t="s">
        <v>1631</v>
      </c>
      <c r="B783" t="s">
        <v>1632</v>
      </c>
      <c r="C783" s="2">
        <v>45289</v>
      </c>
      <c r="D783" t="str">
        <f t="shared" si="75"/>
        <v>Dec</v>
      </c>
      <c r="E783" s="2">
        <v>45314</v>
      </c>
      <c r="F783" t="s">
        <v>14</v>
      </c>
      <c r="G783">
        <v>9415</v>
      </c>
      <c r="H783">
        <v>285</v>
      </c>
      <c r="I783">
        <v>39</v>
      </c>
      <c r="J783" t="b">
        <v>1</v>
      </c>
      <c r="K783" s="10">
        <v>329.13249999999999</v>
      </c>
      <c r="L783" s="6">
        <f t="shared" si="76"/>
        <v>3.0270844397238449E-2</v>
      </c>
      <c r="M783">
        <f t="shared" si="77"/>
        <v>1.1548508771929824</v>
      </c>
      <c r="N783">
        <f t="shared" si="78"/>
        <v>8.4392948717948713</v>
      </c>
      <c r="O783">
        <f t="shared" si="79"/>
        <v>1620.8675000000001</v>
      </c>
      <c r="P783">
        <f t="shared" si="80"/>
        <v>0.1368421052631579</v>
      </c>
      <c r="Q783" t="s">
        <v>4138</v>
      </c>
      <c r="R783" t="s">
        <v>4141</v>
      </c>
      <c r="S783">
        <f>YEAR(marketing_data[[#This Row],[Start_date]])</f>
        <v>2023</v>
      </c>
      <c r="T783" t="str">
        <f>TEXT(marketing_data[[#This Row],[Start_date]],"ddd")</f>
        <v>Fri</v>
      </c>
      <c r="U783">
        <f>marketing_data[[#This Row],[Cleaned End_date]]-marketing_data[[#This Row],[Start_date]]</f>
        <v>25</v>
      </c>
    </row>
    <row r="784" spans="1:21" x14ac:dyDescent="0.2">
      <c r="A784" t="s">
        <v>1633</v>
      </c>
      <c r="B784" t="s">
        <v>1634</v>
      </c>
      <c r="C784" s="2">
        <v>44956</v>
      </c>
      <c r="D784" t="str">
        <f t="shared" si="75"/>
        <v>Jan</v>
      </c>
      <c r="E784" s="2">
        <v>44969</v>
      </c>
      <c r="F784" t="s">
        <v>41</v>
      </c>
      <c r="G784">
        <v>63292</v>
      </c>
      <c r="H784">
        <v>2147</v>
      </c>
      <c r="I784">
        <v>343</v>
      </c>
      <c r="J784" t="b">
        <v>0</v>
      </c>
      <c r="K784" s="10">
        <v>1153</v>
      </c>
      <c r="L784" s="6">
        <f t="shared" si="76"/>
        <v>3.392213865891424E-2</v>
      </c>
      <c r="M784">
        <f t="shared" si="77"/>
        <v>0.53702841173730786</v>
      </c>
      <c r="N784">
        <f t="shared" si="78"/>
        <v>3.361516034985423</v>
      </c>
      <c r="O784">
        <f t="shared" si="79"/>
        <v>15997</v>
      </c>
      <c r="P784">
        <f t="shared" si="80"/>
        <v>0.15975780158360503</v>
      </c>
      <c r="Q784" t="s">
        <v>4138</v>
      </c>
      <c r="R784" t="s">
        <v>4138</v>
      </c>
      <c r="S784">
        <f>YEAR(marketing_data[[#This Row],[Start_date]])</f>
        <v>2023</v>
      </c>
      <c r="T784" t="str">
        <f>TEXT(marketing_data[[#This Row],[Start_date]],"ddd")</f>
        <v>Mon</v>
      </c>
      <c r="U784">
        <f>marketing_data[[#This Row],[Cleaned End_date]]-marketing_data[[#This Row],[Start_date]]</f>
        <v>13</v>
      </c>
    </row>
    <row r="785" spans="1:21" x14ac:dyDescent="0.2">
      <c r="A785" t="s">
        <v>1635</v>
      </c>
      <c r="B785" t="s">
        <v>1636</v>
      </c>
      <c r="C785" s="2">
        <v>45212</v>
      </c>
      <c r="D785" t="str">
        <f t="shared" si="75"/>
        <v>Oct</v>
      </c>
      <c r="E785" s="2">
        <v>45222</v>
      </c>
      <c r="F785" t="s">
        <v>19</v>
      </c>
      <c r="G785">
        <v>24833</v>
      </c>
      <c r="H785">
        <v>281</v>
      </c>
      <c r="I785">
        <v>27</v>
      </c>
      <c r="J785" t="b">
        <v>0</v>
      </c>
      <c r="K785" s="10">
        <v>329.13249999999999</v>
      </c>
      <c r="L785" s="6">
        <f t="shared" si="76"/>
        <v>1.1315588128699714E-2</v>
      </c>
      <c r="M785">
        <f t="shared" si="77"/>
        <v>1.1712900355871887</v>
      </c>
      <c r="N785">
        <f t="shared" si="78"/>
        <v>12.190092592592592</v>
      </c>
      <c r="O785">
        <f t="shared" si="79"/>
        <v>1020.8675000000001</v>
      </c>
      <c r="P785">
        <f t="shared" si="80"/>
        <v>9.6085409252669035E-2</v>
      </c>
      <c r="Q785" t="s">
        <v>4136</v>
      </c>
      <c r="R785" t="s">
        <v>4142</v>
      </c>
      <c r="S785">
        <f>YEAR(marketing_data[[#This Row],[Start_date]])</f>
        <v>2023</v>
      </c>
      <c r="T785" t="str">
        <f>TEXT(marketing_data[[#This Row],[Start_date]],"ddd")</f>
        <v>Fri</v>
      </c>
      <c r="U785">
        <f>marketing_data[[#This Row],[Cleaned End_date]]-marketing_data[[#This Row],[Start_date]]</f>
        <v>10</v>
      </c>
    </row>
    <row r="786" spans="1:21" x14ac:dyDescent="0.2">
      <c r="A786" t="s">
        <v>1637</v>
      </c>
      <c r="B786" t="s">
        <v>1638</v>
      </c>
      <c r="C786" s="2">
        <v>45057</v>
      </c>
      <c r="D786" t="str">
        <f t="shared" si="75"/>
        <v>May</v>
      </c>
      <c r="E786" s="2">
        <v>45084</v>
      </c>
      <c r="F786" t="s">
        <v>19</v>
      </c>
      <c r="G786">
        <v>5158</v>
      </c>
      <c r="H786">
        <v>126</v>
      </c>
      <c r="I786">
        <v>6</v>
      </c>
      <c r="J786" t="b">
        <v>0</v>
      </c>
      <c r="K786" s="10">
        <v>329.13249999999999</v>
      </c>
      <c r="L786" s="6">
        <f t="shared" si="76"/>
        <v>2.44280728964715E-2</v>
      </c>
      <c r="M786">
        <f t="shared" si="77"/>
        <v>2.6121626984126984</v>
      </c>
      <c r="N786">
        <f t="shared" si="78"/>
        <v>54.855416666666663</v>
      </c>
      <c r="O786">
        <f t="shared" si="79"/>
        <v>-29.132499999999993</v>
      </c>
      <c r="P786">
        <f t="shared" si="80"/>
        <v>4.7619047619047616E-2</v>
      </c>
      <c r="Q786" t="s">
        <v>4137</v>
      </c>
      <c r="R786" t="s">
        <v>4139</v>
      </c>
      <c r="S786">
        <f>YEAR(marketing_data[[#This Row],[Start_date]])</f>
        <v>2023</v>
      </c>
      <c r="T786" t="str">
        <f>TEXT(marketing_data[[#This Row],[Start_date]],"ddd")</f>
        <v>Thu</v>
      </c>
      <c r="U786">
        <f>marketing_data[[#This Row],[Cleaned End_date]]-marketing_data[[#This Row],[Start_date]]</f>
        <v>27</v>
      </c>
    </row>
    <row r="787" spans="1:21" x14ac:dyDescent="0.2">
      <c r="A787" t="s">
        <v>1639</v>
      </c>
      <c r="B787" t="s">
        <v>1640</v>
      </c>
      <c r="C787" s="2">
        <v>45157</v>
      </c>
      <c r="D787" t="str">
        <f t="shared" si="75"/>
        <v>Aug</v>
      </c>
      <c r="E787" s="2">
        <v>45164</v>
      </c>
      <c r="F787" t="s">
        <v>14</v>
      </c>
      <c r="G787">
        <v>63680</v>
      </c>
      <c r="H787">
        <v>2502</v>
      </c>
      <c r="I787">
        <v>172</v>
      </c>
      <c r="J787" t="b">
        <v>1</v>
      </c>
      <c r="K787" s="10">
        <v>3631.7599999999998</v>
      </c>
      <c r="L787" s="6">
        <f t="shared" si="76"/>
        <v>3.9290201005025123E-2</v>
      </c>
      <c r="M787">
        <f t="shared" si="77"/>
        <v>1.4515427657873701</v>
      </c>
      <c r="N787">
        <f t="shared" si="78"/>
        <v>21.11488372093023</v>
      </c>
      <c r="O787">
        <f t="shared" si="79"/>
        <v>4968.24</v>
      </c>
      <c r="P787">
        <f t="shared" si="80"/>
        <v>6.8745003996802556E-2</v>
      </c>
      <c r="Q787" t="s">
        <v>4139</v>
      </c>
      <c r="R787" t="s">
        <v>4142</v>
      </c>
      <c r="S787">
        <f>YEAR(marketing_data[[#This Row],[Start_date]])</f>
        <v>2023</v>
      </c>
      <c r="T787" t="str">
        <f>TEXT(marketing_data[[#This Row],[Start_date]],"ddd")</f>
        <v>Sat</v>
      </c>
      <c r="U787">
        <f>marketing_data[[#This Row],[Cleaned End_date]]-marketing_data[[#This Row],[Start_date]]</f>
        <v>7</v>
      </c>
    </row>
    <row r="788" spans="1:21" x14ac:dyDescent="0.2">
      <c r="A788" t="s">
        <v>1641</v>
      </c>
      <c r="B788" t="s">
        <v>1642</v>
      </c>
      <c r="C788" s="2">
        <v>45142</v>
      </c>
      <c r="D788" t="str">
        <f t="shared" si="75"/>
        <v>Aug</v>
      </c>
      <c r="E788" s="2">
        <v>45172</v>
      </c>
      <c r="F788" t="s">
        <v>23</v>
      </c>
      <c r="G788">
        <v>21309</v>
      </c>
      <c r="H788">
        <v>912</v>
      </c>
      <c r="I788">
        <v>170</v>
      </c>
      <c r="J788" t="b">
        <v>1</v>
      </c>
      <c r="K788" s="10">
        <v>630.4</v>
      </c>
      <c r="L788" s="6">
        <f t="shared" si="76"/>
        <v>4.279881740109813E-2</v>
      </c>
      <c r="M788">
        <f t="shared" si="77"/>
        <v>0.69122807017543852</v>
      </c>
      <c r="N788">
        <f t="shared" si="78"/>
        <v>3.7082352941176469</v>
      </c>
      <c r="O788">
        <f t="shared" si="79"/>
        <v>7869.6</v>
      </c>
      <c r="P788">
        <f t="shared" si="80"/>
        <v>0.18640350877192982</v>
      </c>
      <c r="Q788" t="s">
        <v>4139</v>
      </c>
      <c r="R788" t="s">
        <v>4139</v>
      </c>
      <c r="S788">
        <f>YEAR(marketing_data[[#This Row],[Start_date]])</f>
        <v>2023</v>
      </c>
      <c r="T788" t="str">
        <f>TEXT(marketing_data[[#This Row],[Start_date]],"ddd")</f>
        <v>Fri</v>
      </c>
      <c r="U788">
        <f>marketing_data[[#This Row],[Cleaned End_date]]-marketing_data[[#This Row],[Start_date]]</f>
        <v>30</v>
      </c>
    </row>
    <row r="789" spans="1:21" x14ac:dyDescent="0.2">
      <c r="A789" t="s">
        <v>1643</v>
      </c>
      <c r="B789" t="s">
        <v>1644</v>
      </c>
      <c r="C789" s="2">
        <v>45120</v>
      </c>
      <c r="D789" t="str">
        <f t="shared" si="75"/>
        <v>Jul</v>
      </c>
      <c r="E789" s="2">
        <v>45141</v>
      </c>
      <c r="F789" t="s">
        <v>19</v>
      </c>
      <c r="G789">
        <v>7970</v>
      </c>
      <c r="H789">
        <v>179</v>
      </c>
      <c r="I789">
        <v>22</v>
      </c>
      <c r="J789" t="b">
        <v>1</v>
      </c>
      <c r="K789" s="10">
        <v>329.13249999999999</v>
      </c>
      <c r="L789" s="6">
        <f t="shared" si="76"/>
        <v>2.2459222082810541E-2</v>
      </c>
      <c r="M789">
        <f t="shared" si="77"/>
        <v>1.8387290502793296</v>
      </c>
      <c r="N789">
        <f t="shared" si="78"/>
        <v>14.960568181818182</v>
      </c>
      <c r="O789">
        <f t="shared" si="79"/>
        <v>770.86750000000006</v>
      </c>
      <c r="P789">
        <f t="shared" si="80"/>
        <v>0.12290502793296089</v>
      </c>
      <c r="Q789" t="s">
        <v>4139</v>
      </c>
      <c r="R789" t="s">
        <v>4138</v>
      </c>
      <c r="S789">
        <f>YEAR(marketing_data[[#This Row],[Start_date]])</f>
        <v>2023</v>
      </c>
      <c r="T789" t="str">
        <f>TEXT(marketing_data[[#This Row],[Start_date]],"ddd")</f>
        <v>Thu</v>
      </c>
      <c r="U789">
        <f>marketing_data[[#This Row],[Cleaned End_date]]-marketing_data[[#This Row],[Start_date]]</f>
        <v>21</v>
      </c>
    </row>
    <row r="790" spans="1:21" x14ac:dyDescent="0.2">
      <c r="A790" t="s">
        <v>1645</v>
      </c>
      <c r="B790" t="s">
        <v>1646</v>
      </c>
      <c r="C790" s="2">
        <v>44964</v>
      </c>
      <c r="D790" t="str">
        <f t="shared" si="75"/>
        <v>Feb</v>
      </c>
      <c r="E790" s="2">
        <v>44968</v>
      </c>
      <c r="F790" t="s">
        <v>41</v>
      </c>
      <c r="G790">
        <v>73474</v>
      </c>
      <c r="H790">
        <v>3081</v>
      </c>
      <c r="I790">
        <v>363</v>
      </c>
      <c r="J790" t="b">
        <v>1</v>
      </c>
      <c r="K790" s="10">
        <v>3631.7599999999998</v>
      </c>
      <c r="L790" s="6">
        <f t="shared" si="76"/>
        <v>4.1933200860168225E-2</v>
      </c>
      <c r="M790">
        <f t="shared" si="77"/>
        <v>1.1787601428107757</v>
      </c>
      <c r="N790">
        <f t="shared" si="78"/>
        <v>10.004848484848484</v>
      </c>
      <c r="O790">
        <f t="shared" si="79"/>
        <v>14518.24</v>
      </c>
      <c r="P790">
        <f t="shared" si="80"/>
        <v>0.11781888997078871</v>
      </c>
      <c r="Q790" t="s">
        <v>4138</v>
      </c>
      <c r="R790" t="s">
        <v>4139</v>
      </c>
      <c r="S790">
        <f>YEAR(marketing_data[[#This Row],[Start_date]])</f>
        <v>2023</v>
      </c>
      <c r="T790" t="str">
        <f>TEXT(marketing_data[[#This Row],[Start_date]],"ddd")</f>
        <v>Tue</v>
      </c>
      <c r="U790">
        <f>marketing_data[[#This Row],[Cleaned End_date]]-marketing_data[[#This Row],[Start_date]]</f>
        <v>4</v>
      </c>
    </row>
    <row r="791" spans="1:21" x14ac:dyDescent="0.2">
      <c r="A791" t="s">
        <v>1647</v>
      </c>
      <c r="B791" t="s">
        <v>1648</v>
      </c>
      <c r="C791" s="2">
        <v>45270</v>
      </c>
      <c r="D791" t="str">
        <f t="shared" si="75"/>
        <v>Dec</v>
      </c>
      <c r="E791" s="2">
        <v>45297</v>
      </c>
      <c r="F791" t="s">
        <v>19</v>
      </c>
      <c r="G791">
        <v>87704</v>
      </c>
      <c r="H791">
        <v>4272</v>
      </c>
      <c r="I791">
        <v>237</v>
      </c>
      <c r="J791" t="b">
        <v>0</v>
      </c>
      <c r="K791" s="10">
        <v>3631.7599999999998</v>
      </c>
      <c r="L791" s="6">
        <f t="shared" si="76"/>
        <v>4.8709294901030736E-2</v>
      </c>
      <c r="M791">
        <f t="shared" si="77"/>
        <v>0.85013108614232202</v>
      </c>
      <c r="N791">
        <f t="shared" si="78"/>
        <v>15.323881856540083</v>
      </c>
      <c r="O791">
        <f t="shared" si="79"/>
        <v>8218.24</v>
      </c>
      <c r="P791">
        <f t="shared" si="80"/>
        <v>5.5477528089887637E-2</v>
      </c>
      <c r="Q791" t="s">
        <v>4138</v>
      </c>
      <c r="R791" t="s">
        <v>4139</v>
      </c>
      <c r="S791">
        <f>YEAR(marketing_data[[#This Row],[Start_date]])</f>
        <v>2023</v>
      </c>
      <c r="T791" t="str">
        <f>TEXT(marketing_data[[#This Row],[Start_date]],"ddd")</f>
        <v>Sun</v>
      </c>
      <c r="U791">
        <f>marketing_data[[#This Row],[Cleaned End_date]]-marketing_data[[#This Row],[Start_date]]</f>
        <v>27</v>
      </c>
    </row>
    <row r="792" spans="1:21" x14ac:dyDescent="0.2">
      <c r="A792" t="s">
        <v>1649</v>
      </c>
      <c r="B792" t="s">
        <v>1650</v>
      </c>
      <c r="C792" s="2">
        <v>45097</v>
      </c>
      <c r="D792" t="str">
        <f t="shared" si="75"/>
        <v>Jun</v>
      </c>
      <c r="E792" s="2">
        <v>45104</v>
      </c>
      <c r="F792" t="s">
        <v>23</v>
      </c>
      <c r="G792">
        <v>47540</v>
      </c>
      <c r="H792">
        <v>2104</v>
      </c>
      <c r="I792">
        <v>335</v>
      </c>
      <c r="J792" t="b">
        <v>0</v>
      </c>
      <c r="K792" s="10">
        <v>3631.7599999999998</v>
      </c>
      <c r="L792" s="6">
        <f t="shared" si="76"/>
        <v>4.4257467395877159E-2</v>
      </c>
      <c r="M792">
        <f t="shared" si="77"/>
        <v>1.7261216730038023</v>
      </c>
      <c r="N792">
        <f t="shared" si="78"/>
        <v>10.841074626865671</v>
      </c>
      <c r="O792">
        <f t="shared" si="79"/>
        <v>13118.24</v>
      </c>
      <c r="P792">
        <f t="shared" si="80"/>
        <v>0.15922053231939162</v>
      </c>
      <c r="Q792" t="s">
        <v>4139</v>
      </c>
      <c r="R792" t="s">
        <v>4139</v>
      </c>
      <c r="S792">
        <f>YEAR(marketing_data[[#This Row],[Start_date]])</f>
        <v>2023</v>
      </c>
      <c r="T792" t="str">
        <f>TEXT(marketing_data[[#This Row],[Start_date]],"ddd")</f>
        <v>Tue</v>
      </c>
      <c r="U792">
        <f>marketing_data[[#This Row],[Cleaned End_date]]-marketing_data[[#This Row],[Start_date]]</f>
        <v>7</v>
      </c>
    </row>
    <row r="793" spans="1:21" x14ac:dyDescent="0.2">
      <c r="A793" t="s">
        <v>1651</v>
      </c>
      <c r="B793" t="s">
        <v>1652</v>
      </c>
      <c r="C793" s="2">
        <v>45035</v>
      </c>
      <c r="D793" t="str">
        <f t="shared" si="75"/>
        <v>Apr</v>
      </c>
      <c r="E793" s="2">
        <v>45036</v>
      </c>
      <c r="F793" t="s">
        <v>14</v>
      </c>
      <c r="G793">
        <v>21384</v>
      </c>
      <c r="H793">
        <v>314</v>
      </c>
      <c r="I793">
        <v>40</v>
      </c>
      <c r="J793" t="b">
        <v>0</v>
      </c>
      <c r="K793" s="10">
        <v>623.97</v>
      </c>
      <c r="L793" s="6">
        <f t="shared" si="76"/>
        <v>1.4683875794986907E-2</v>
      </c>
      <c r="M793">
        <f t="shared" si="77"/>
        <v>1.9871656050955415</v>
      </c>
      <c r="N793">
        <f t="shared" si="78"/>
        <v>15.599250000000001</v>
      </c>
      <c r="O793">
        <f t="shared" si="79"/>
        <v>1376.03</v>
      </c>
      <c r="P793">
        <f t="shared" si="80"/>
        <v>0.12738853503184713</v>
      </c>
      <c r="Q793" t="s">
        <v>4137</v>
      </c>
      <c r="R793" t="s">
        <v>4138</v>
      </c>
      <c r="S793">
        <f>YEAR(marketing_data[[#This Row],[Start_date]])</f>
        <v>2023</v>
      </c>
      <c r="T793" t="str">
        <f>TEXT(marketing_data[[#This Row],[Start_date]],"ddd")</f>
        <v>Wed</v>
      </c>
      <c r="U793">
        <f>marketing_data[[#This Row],[Cleaned End_date]]-marketing_data[[#This Row],[Start_date]]</f>
        <v>1</v>
      </c>
    </row>
    <row r="794" spans="1:21" x14ac:dyDescent="0.2">
      <c r="A794" t="s">
        <v>1653</v>
      </c>
      <c r="B794" t="s">
        <v>1654</v>
      </c>
      <c r="C794" s="2">
        <v>44987</v>
      </c>
      <c r="D794" t="str">
        <f t="shared" si="75"/>
        <v>Mar</v>
      </c>
      <c r="E794" s="2">
        <v>44988</v>
      </c>
      <c r="F794" t="s">
        <v>41</v>
      </c>
      <c r="G794">
        <v>19017</v>
      </c>
      <c r="H794">
        <v>752</v>
      </c>
      <c r="I794">
        <v>60</v>
      </c>
      <c r="J794" t="b">
        <v>0</v>
      </c>
      <c r="K794" s="10">
        <v>1195.8699999999999</v>
      </c>
      <c r="L794" s="6">
        <f t="shared" si="76"/>
        <v>3.9543566282799598E-2</v>
      </c>
      <c r="M794">
        <f t="shared" si="77"/>
        <v>1.5902526595744679</v>
      </c>
      <c r="N794">
        <f t="shared" si="78"/>
        <v>19.931166666666666</v>
      </c>
      <c r="O794">
        <f t="shared" si="79"/>
        <v>1804.13</v>
      </c>
      <c r="P794">
        <f t="shared" si="80"/>
        <v>7.9787234042553196E-2</v>
      </c>
      <c r="Q794" t="s">
        <v>4137</v>
      </c>
      <c r="R794" t="s">
        <v>4141</v>
      </c>
      <c r="S794">
        <f>YEAR(marketing_data[[#This Row],[Start_date]])</f>
        <v>2023</v>
      </c>
      <c r="T794" t="str">
        <f>TEXT(marketing_data[[#This Row],[Start_date]],"ddd")</f>
        <v>Thu</v>
      </c>
      <c r="U794">
        <f>marketing_data[[#This Row],[Cleaned End_date]]-marketing_data[[#This Row],[Start_date]]</f>
        <v>1</v>
      </c>
    </row>
    <row r="795" spans="1:21" x14ac:dyDescent="0.2">
      <c r="A795" t="s">
        <v>1655</v>
      </c>
      <c r="B795" t="s">
        <v>1656</v>
      </c>
      <c r="C795" s="2">
        <v>45051</v>
      </c>
      <c r="D795" t="str">
        <f t="shared" si="75"/>
        <v>May</v>
      </c>
      <c r="E795" s="2">
        <v>45052</v>
      </c>
      <c r="F795" t="s">
        <v>14</v>
      </c>
      <c r="G795">
        <v>76880</v>
      </c>
      <c r="H795">
        <v>1751</v>
      </c>
      <c r="I795">
        <v>116</v>
      </c>
      <c r="J795" t="b">
        <v>1</v>
      </c>
      <c r="K795" s="10">
        <v>2936.7</v>
      </c>
      <c r="L795" s="6">
        <f t="shared" si="76"/>
        <v>2.2775754422476587E-2</v>
      </c>
      <c r="M795">
        <f t="shared" si="77"/>
        <v>1.6771559109080525</v>
      </c>
      <c r="N795">
        <f t="shared" si="78"/>
        <v>25.316379310344825</v>
      </c>
      <c r="O795">
        <f t="shared" si="79"/>
        <v>2863.3</v>
      </c>
      <c r="P795">
        <f t="shared" si="80"/>
        <v>6.6247858366647636E-2</v>
      </c>
      <c r="Q795" t="s">
        <v>4137</v>
      </c>
      <c r="R795" t="s">
        <v>4138</v>
      </c>
      <c r="S795">
        <f>YEAR(marketing_data[[#This Row],[Start_date]])</f>
        <v>2023</v>
      </c>
      <c r="T795" t="str">
        <f>TEXT(marketing_data[[#This Row],[Start_date]],"ddd")</f>
        <v>Fri</v>
      </c>
      <c r="U795">
        <f>marketing_data[[#This Row],[Cleaned End_date]]-marketing_data[[#This Row],[Start_date]]</f>
        <v>1</v>
      </c>
    </row>
    <row r="796" spans="1:21" x14ac:dyDescent="0.2">
      <c r="A796" t="s">
        <v>1657</v>
      </c>
      <c r="B796" t="s">
        <v>1658</v>
      </c>
      <c r="C796" s="2">
        <v>45130</v>
      </c>
      <c r="D796" t="str">
        <f t="shared" si="75"/>
        <v>Jul</v>
      </c>
      <c r="E796" s="2">
        <v>45140</v>
      </c>
      <c r="F796" t="s">
        <v>33</v>
      </c>
      <c r="G796">
        <v>9702</v>
      </c>
      <c r="H796">
        <v>480</v>
      </c>
      <c r="I796">
        <v>51</v>
      </c>
      <c r="J796" t="b">
        <v>0</v>
      </c>
      <c r="K796" s="10">
        <v>955.98</v>
      </c>
      <c r="L796" s="6">
        <f t="shared" si="76"/>
        <v>4.9474335188620905E-2</v>
      </c>
      <c r="M796">
        <f t="shared" si="77"/>
        <v>1.991625</v>
      </c>
      <c r="N796">
        <f t="shared" si="78"/>
        <v>18.744705882352942</v>
      </c>
      <c r="O796">
        <f t="shared" si="79"/>
        <v>1594.02</v>
      </c>
      <c r="P796">
        <f t="shared" si="80"/>
        <v>0.10625</v>
      </c>
      <c r="Q796" t="s">
        <v>4139</v>
      </c>
      <c r="R796" t="s">
        <v>4142</v>
      </c>
      <c r="S796">
        <f>YEAR(marketing_data[[#This Row],[Start_date]])</f>
        <v>2023</v>
      </c>
      <c r="T796" t="str">
        <f>TEXT(marketing_data[[#This Row],[Start_date]],"ddd")</f>
        <v>Sun</v>
      </c>
      <c r="U796">
        <f>marketing_data[[#This Row],[Cleaned End_date]]-marketing_data[[#This Row],[Start_date]]</f>
        <v>10</v>
      </c>
    </row>
    <row r="797" spans="1:21" x14ac:dyDescent="0.2">
      <c r="A797" t="s">
        <v>1659</v>
      </c>
      <c r="B797" t="s">
        <v>1660</v>
      </c>
      <c r="C797" s="2">
        <v>45071</v>
      </c>
      <c r="D797" t="str">
        <f t="shared" si="75"/>
        <v>May</v>
      </c>
      <c r="E797" s="2">
        <v>45075</v>
      </c>
      <c r="F797" t="s">
        <v>14</v>
      </c>
      <c r="G797">
        <v>1384</v>
      </c>
      <c r="H797">
        <v>40</v>
      </c>
      <c r="I797">
        <v>7</v>
      </c>
      <c r="J797" t="b">
        <v>0</v>
      </c>
      <c r="K797" s="10">
        <v>329.13249999999999</v>
      </c>
      <c r="L797" s="6">
        <f t="shared" si="76"/>
        <v>2.8901734104046242E-2</v>
      </c>
      <c r="M797">
        <f t="shared" si="77"/>
        <v>8.2283124999999995</v>
      </c>
      <c r="N797">
        <f t="shared" si="78"/>
        <v>47.018928571428567</v>
      </c>
      <c r="O797">
        <f t="shared" si="79"/>
        <v>20.867500000000007</v>
      </c>
      <c r="P797">
        <f t="shared" si="80"/>
        <v>0.17499999999999999</v>
      </c>
      <c r="Q797" t="s">
        <v>4137</v>
      </c>
      <c r="R797" t="s">
        <v>4139</v>
      </c>
      <c r="S797">
        <f>YEAR(marketing_data[[#This Row],[Start_date]])</f>
        <v>2023</v>
      </c>
      <c r="T797" t="str">
        <f>TEXT(marketing_data[[#This Row],[Start_date]],"ddd")</f>
        <v>Thu</v>
      </c>
      <c r="U797">
        <f>marketing_data[[#This Row],[Cleaned End_date]]-marketing_data[[#This Row],[Start_date]]</f>
        <v>4</v>
      </c>
    </row>
    <row r="798" spans="1:21" x14ac:dyDescent="0.2">
      <c r="A798" t="s">
        <v>1661</v>
      </c>
      <c r="B798" t="s">
        <v>1662</v>
      </c>
      <c r="C798" s="2">
        <v>45110</v>
      </c>
      <c r="D798" t="str">
        <f t="shared" si="75"/>
        <v>Jul</v>
      </c>
      <c r="E798" s="2">
        <v>45117</v>
      </c>
      <c r="F798" t="s">
        <v>33</v>
      </c>
      <c r="G798">
        <v>1404</v>
      </c>
      <c r="H798">
        <v>20</v>
      </c>
      <c r="I798">
        <v>3</v>
      </c>
      <c r="J798" t="b">
        <v>1</v>
      </c>
      <c r="K798" s="10">
        <v>329.13249999999999</v>
      </c>
      <c r="L798" s="6">
        <f t="shared" si="76"/>
        <v>1.4245014245014245E-2</v>
      </c>
      <c r="M798">
        <f t="shared" si="77"/>
        <v>16.456624999999999</v>
      </c>
      <c r="N798">
        <f t="shared" si="78"/>
        <v>109.71083333333333</v>
      </c>
      <c r="O798">
        <f t="shared" si="79"/>
        <v>-179.13249999999999</v>
      </c>
      <c r="P798">
        <f t="shared" si="80"/>
        <v>0.15</v>
      </c>
      <c r="Q798" t="s">
        <v>4139</v>
      </c>
      <c r="R798" t="s">
        <v>4141</v>
      </c>
      <c r="S798">
        <f>YEAR(marketing_data[[#This Row],[Start_date]])</f>
        <v>2023</v>
      </c>
      <c r="T798" t="str">
        <f>TEXT(marketing_data[[#This Row],[Start_date]],"ddd")</f>
        <v>Mon</v>
      </c>
      <c r="U798">
        <f>marketing_data[[#This Row],[Cleaned End_date]]-marketing_data[[#This Row],[Start_date]]</f>
        <v>7</v>
      </c>
    </row>
    <row r="799" spans="1:21" x14ac:dyDescent="0.2">
      <c r="A799" t="s">
        <v>1663</v>
      </c>
      <c r="B799" t="s">
        <v>1664</v>
      </c>
      <c r="C799" s="2">
        <v>45181</v>
      </c>
      <c r="D799" t="str">
        <f t="shared" si="75"/>
        <v>Sep</v>
      </c>
      <c r="E799" s="2">
        <v>45187</v>
      </c>
      <c r="F799" t="s">
        <v>14</v>
      </c>
      <c r="G799">
        <v>41943</v>
      </c>
      <c r="H799">
        <v>1636</v>
      </c>
      <c r="I799">
        <v>229</v>
      </c>
      <c r="J799" t="b">
        <v>1</v>
      </c>
      <c r="K799" s="10">
        <v>2873.3</v>
      </c>
      <c r="L799" s="6">
        <f t="shared" si="76"/>
        <v>3.9005316739384406E-2</v>
      </c>
      <c r="M799">
        <f t="shared" si="77"/>
        <v>1.7562958435207825</v>
      </c>
      <c r="N799">
        <f t="shared" si="78"/>
        <v>12.547161572052403</v>
      </c>
      <c r="O799">
        <f t="shared" si="79"/>
        <v>8576.7000000000007</v>
      </c>
      <c r="P799">
        <f t="shared" si="80"/>
        <v>0.13997555012224938</v>
      </c>
      <c r="Q799" t="s">
        <v>4136</v>
      </c>
      <c r="R799" t="s">
        <v>4142</v>
      </c>
      <c r="S799">
        <f>YEAR(marketing_data[[#This Row],[Start_date]])</f>
        <v>2023</v>
      </c>
      <c r="T799" t="str">
        <f>TEXT(marketing_data[[#This Row],[Start_date]],"ddd")</f>
        <v>Tue</v>
      </c>
      <c r="U799">
        <f>marketing_data[[#This Row],[Cleaned End_date]]-marketing_data[[#This Row],[Start_date]]</f>
        <v>6</v>
      </c>
    </row>
    <row r="800" spans="1:21" x14ac:dyDescent="0.2">
      <c r="A800" t="s">
        <v>1665</v>
      </c>
      <c r="B800" t="s">
        <v>1666</v>
      </c>
      <c r="C800" s="2">
        <v>45167</v>
      </c>
      <c r="D800" t="str">
        <f t="shared" si="75"/>
        <v>Aug</v>
      </c>
      <c r="E800" s="2">
        <v>45194</v>
      </c>
      <c r="F800" t="s">
        <v>41</v>
      </c>
      <c r="G800">
        <v>48926</v>
      </c>
      <c r="H800">
        <v>1121</v>
      </c>
      <c r="I800">
        <v>178</v>
      </c>
      <c r="J800" t="b">
        <v>1</v>
      </c>
      <c r="K800" s="10">
        <v>1593.76</v>
      </c>
      <c r="L800" s="6">
        <f t="shared" si="76"/>
        <v>2.291215304745943E-2</v>
      </c>
      <c r="M800">
        <f t="shared" si="77"/>
        <v>1.4217305976806422</v>
      </c>
      <c r="N800">
        <f t="shared" si="78"/>
        <v>8.9537078651685391</v>
      </c>
      <c r="O800">
        <f t="shared" si="79"/>
        <v>7306.24</v>
      </c>
      <c r="P800">
        <f t="shared" si="80"/>
        <v>0.15878679750223015</v>
      </c>
      <c r="Q800" t="s">
        <v>4139</v>
      </c>
      <c r="R800" t="s">
        <v>4138</v>
      </c>
      <c r="S800">
        <f>YEAR(marketing_data[[#This Row],[Start_date]])</f>
        <v>2023</v>
      </c>
      <c r="T800" t="str">
        <f>TEXT(marketing_data[[#This Row],[Start_date]],"ddd")</f>
        <v>Tue</v>
      </c>
      <c r="U800">
        <f>marketing_data[[#This Row],[Cleaned End_date]]-marketing_data[[#This Row],[Start_date]]</f>
        <v>27</v>
      </c>
    </row>
    <row r="801" spans="1:21" x14ac:dyDescent="0.2">
      <c r="A801" t="s">
        <v>1667</v>
      </c>
      <c r="B801" t="s">
        <v>1668</v>
      </c>
      <c r="C801" s="2">
        <v>45031</v>
      </c>
      <c r="D801" t="str">
        <f t="shared" si="75"/>
        <v>Apr</v>
      </c>
      <c r="E801" s="2">
        <v>45056</v>
      </c>
      <c r="F801" t="s">
        <v>23</v>
      </c>
      <c r="G801">
        <v>30189</v>
      </c>
      <c r="H801">
        <v>1505</v>
      </c>
      <c r="I801">
        <v>101</v>
      </c>
      <c r="J801" t="b">
        <v>1</v>
      </c>
      <c r="K801" s="10">
        <v>2064.5500000000002</v>
      </c>
      <c r="L801" s="6">
        <f t="shared" si="76"/>
        <v>4.9852595316174766E-2</v>
      </c>
      <c r="M801">
        <f t="shared" si="77"/>
        <v>1.371794019933555</v>
      </c>
      <c r="N801">
        <f t="shared" si="78"/>
        <v>20.441089108910894</v>
      </c>
      <c r="O801">
        <f t="shared" si="79"/>
        <v>2985.45</v>
      </c>
      <c r="P801">
        <f t="shared" si="80"/>
        <v>6.7109634551495018E-2</v>
      </c>
      <c r="Q801" t="s">
        <v>4137</v>
      </c>
      <c r="R801" t="s">
        <v>4139</v>
      </c>
      <c r="S801">
        <f>YEAR(marketing_data[[#This Row],[Start_date]])</f>
        <v>2023</v>
      </c>
      <c r="T801" t="str">
        <f>TEXT(marketing_data[[#This Row],[Start_date]],"ddd")</f>
        <v>Sat</v>
      </c>
      <c r="U801">
        <f>marketing_data[[#This Row],[Cleaned End_date]]-marketing_data[[#This Row],[Start_date]]</f>
        <v>25</v>
      </c>
    </row>
    <row r="802" spans="1:21" x14ac:dyDescent="0.2">
      <c r="A802" t="s">
        <v>1669</v>
      </c>
      <c r="B802" t="s">
        <v>1670</v>
      </c>
      <c r="C802" s="2">
        <v>45215</v>
      </c>
      <c r="D802" t="str">
        <f t="shared" si="75"/>
        <v>Oct</v>
      </c>
      <c r="E802" s="2">
        <v>45237</v>
      </c>
      <c r="F802" t="s">
        <v>19</v>
      </c>
      <c r="G802">
        <v>13763</v>
      </c>
      <c r="H802">
        <v>677</v>
      </c>
      <c r="I802">
        <v>93</v>
      </c>
      <c r="J802" t="b">
        <v>1</v>
      </c>
      <c r="K802" s="10">
        <v>596.07000000000005</v>
      </c>
      <c r="L802" s="6">
        <f t="shared" si="76"/>
        <v>4.9189856862602632E-2</v>
      </c>
      <c r="M802">
        <f t="shared" si="77"/>
        <v>0.88045790251107836</v>
      </c>
      <c r="N802">
        <f t="shared" si="78"/>
        <v>6.4093548387096781</v>
      </c>
      <c r="O802">
        <f t="shared" si="79"/>
        <v>4053.93</v>
      </c>
      <c r="P802">
        <f t="shared" si="80"/>
        <v>0.13737075332348597</v>
      </c>
      <c r="Q802" t="s">
        <v>4136</v>
      </c>
      <c r="R802" t="s">
        <v>4139</v>
      </c>
      <c r="S802">
        <f>YEAR(marketing_data[[#This Row],[Start_date]])</f>
        <v>2023</v>
      </c>
      <c r="T802" t="str">
        <f>TEXT(marketing_data[[#This Row],[Start_date]],"ddd")</f>
        <v>Mon</v>
      </c>
      <c r="U802">
        <f>marketing_data[[#This Row],[Cleaned End_date]]-marketing_data[[#This Row],[Start_date]]</f>
        <v>22</v>
      </c>
    </row>
    <row r="803" spans="1:21" x14ac:dyDescent="0.2">
      <c r="A803" t="s">
        <v>1671</v>
      </c>
      <c r="B803" t="s">
        <v>1672</v>
      </c>
      <c r="C803" s="2">
        <v>44935</v>
      </c>
      <c r="D803" t="str">
        <f t="shared" si="75"/>
        <v>Jan</v>
      </c>
      <c r="E803" s="2">
        <v>44938</v>
      </c>
      <c r="F803" t="s">
        <v>23</v>
      </c>
      <c r="G803">
        <v>19384</v>
      </c>
      <c r="H803">
        <v>702</v>
      </c>
      <c r="I803">
        <v>105</v>
      </c>
      <c r="J803" t="b">
        <v>1</v>
      </c>
      <c r="K803" s="10">
        <v>1147.42</v>
      </c>
      <c r="L803" s="6">
        <f t="shared" si="76"/>
        <v>3.6215435410647957E-2</v>
      </c>
      <c r="M803">
        <f t="shared" si="77"/>
        <v>1.6345014245014247</v>
      </c>
      <c r="N803">
        <f t="shared" si="78"/>
        <v>10.927809523809524</v>
      </c>
      <c r="O803">
        <f t="shared" si="79"/>
        <v>4102.58</v>
      </c>
      <c r="P803">
        <f t="shared" si="80"/>
        <v>0.14957264957264957</v>
      </c>
      <c r="Q803" t="s">
        <v>4138</v>
      </c>
      <c r="R803" t="s">
        <v>4139</v>
      </c>
      <c r="S803">
        <f>YEAR(marketing_data[[#This Row],[Start_date]])</f>
        <v>2023</v>
      </c>
      <c r="T803" t="str">
        <f>TEXT(marketing_data[[#This Row],[Start_date]],"ddd")</f>
        <v>Mon</v>
      </c>
      <c r="U803">
        <f>marketing_data[[#This Row],[Cleaned End_date]]-marketing_data[[#This Row],[Start_date]]</f>
        <v>3</v>
      </c>
    </row>
    <row r="804" spans="1:21" x14ac:dyDescent="0.2">
      <c r="A804" t="s">
        <v>1673</v>
      </c>
      <c r="B804" t="s">
        <v>1674</v>
      </c>
      <c r="C804" s="2">
        <v>45223</v>
      </c>
      <c r="D804" t="str">
        <f t="shared" si="75"/>
        <v>Oct</v>
      </c>
      <c r="E804" s="2">
        <v>45253</v>
      </c>
      <c r="F804" t="s">
        <v>14</v>
      </c>
      <c r="G804">
        <v>61100</v>
      </c>
      <c r="H804">
        <v>928</v>
      </c>
      <c r="I804">
        <v>74</v>
      </c>
      <c r="J804" t="b">
        <v>1</v>
      </c>
      <c r="K804" s="10">
        <v>577.67999999999995</v>
      </c>
      <c r="L804" s="6">
        <f t="shared" si="76"/>
        <v>1.5188216039279868E-2</v>
      </c>
      <c r="M804">
        <f t="shared" si="77"/>
        <v>0.62249999999999994</v>
      </c>
      <c r="N804">
        <f t="shared" si="78"/>
        <v>7.8064864864864862</v>
      </c>
      <c r="O804">
        <f t="shared" si="79"/>
        <v>3122.32</v>
      </c>
      <c r="P804">
        <f t="shared" si="80"/>
        <v>7.9741379310344834E-2</v>
      </c>
      <c r="Q804" t="s">
        <v>4136</v>
      </c>
      <c r="R804" t="s">
        <v>4138</v>
      </c>
      <c r="S804">
        <f>YEAR(marketing_data[[#This Row],[Start_date]])</f>
        <v>2023</v>
      </c>
      <c r="T804" t="str">
        <f>TEXT(marketing_data[[#This Row],[Start_date]],"ddd")</f>
        <v>Tue</v>
      </c>
      <c r="U804">
        <f>marketing_data[[#This Row],[Cleaned End_date]]-marketing_data[[#This Row],[Start_date]]</f>
        <v>30</v>
      </c>
    </row>
    <row r="805" spans="1:21" x14ac:dyDescent="0.2">
      <c r="A805" t="s">
        <v>1675</v>
      </c>
      <c r="B805" t="s">
        <v>1676</v>
      </c>
      <c r="C805" s="2">
        <v>45027</v>
      </c>
      <c r="D805" t="str">
        <f t="shared" si="75"/>
        <v>Apr</v>
      </c>
      <c r="E805" s="2">
        <v>45057</v>
      </c>
      <c r="F805" t="s">
        <v>14</v>
      </c>
      <c r="G805">
        <v>99142</v>
      </c>
      <c r="H805">
        <v>3715</v>
      </c>
      <c r="I805">
        <v>676</v>
      </c>
      <c r="J805" t="b">
        <v>1</v>
      </c>
      <c r="K805" s="10">
        <v>3631.7599999999998</v>
      </c>
      <c r="L805" s="6">
        <f t="shared" si="76"/>
        <v>3.7471505517338764E-2</v>
      </c>
      <c r="M805">
        <f t="shared" si="77"/>
        <v>0.97759353970390306</v>
      </c>
      <c r="N805">
        <f t="shared" si="78"/>
        <v>5.3724260355029578</v>
      </c>
      <c r="O805">
        <f t="shared" si="79"/>
        <v>30168.240000000002</v>
      </c>
      <c r="P805">
        <f t="shared" si="80"/>
        <v>0.1819650067294751</v>
      </c>
      <c r="Q805" t="s">
        <v>4137</v>
      </c>
      <c r="R805" t="s">
        <v>4142</v>
      </c>
      <c r="S805">
        <f>YEAR(marketing_data[[#This Row],[Start_date]])</f>
        <v>2023</v>
      </c>
      <c r="T805" t="str">
        <f>TEXT(marketing_data[[#This Row],[Start_date]],"ddd")</f>
        <v>Tue</v>
      </c>
      <c r="U805">
        <f>marketing_data[[#This Row],[Cleaned End_date]]-marketing_data[[#This Row],[Start_date]]</f>
        <v>30</v>
      </c>
    </row>
    <row r="806" spans="1:21" x14ac:dyDescent="0.2">
      <c r="A806" t="s">
        <v>1677</v>
      </c>
      <c r="B806" t="s">
        <v>1678</v>
      </c>
      <c r="C806" s="2">
        <v>45052</v>
      </c>
      <c r="D806" t="str">
        <f t="shared" si="75"/>
        <v>May</v>
      </c>
      <c r="E806" s="2">
        <v>45082</v>
      </c>
      <c r="F806" t="str">
        <f>F805</f>
        <v>TikTok</v>
      </c>
      <c r="G806">
        <v>10860</v>
      </c>
      <c r="H806">
        <v>149</v>
      </c>
      <c r="I806">
        <v>11</v>
      </c>
      <c r="J806" t="b">
        <v>1</v>
      </c>
      <c r="K806" s="10">
        <v>329.13249999999999</v>
      </c>
      <c r="L806" s="6">
        <f t="shared" si="76"/>
        <v>1.3720073664825047E-2</v>
      </c>
      <c r="M806">
        <f t="shared" si="77"/>
        <v>2.2089429530201343</v>
      </c>
      <c r="N806">
        <f t="shared" si="78"/>
        <v>29.921136363636364</v>
      </c>
      <c r="O806">
        <f t="shared" si="79"/>
        <v>220.86750000000001</v>
      </c>
      <c r="P806">
        <f t="shared" si="80"/>
        <v>7.3825503355704702E-2</v>
      </c>
      <c r="Q806" t="s">
        <v>4137</v>
      </c>
      <c r="R806" t="s">
        <v>4139</v>
      </c>
      <c r="S806">
        <f>YEAR(marketing_data[[#This Row],[Start_date]])</f>
        <v>2023</v>
      </c>
      <c r="T806" t="str">
        <f>TEXT(marketing_data[[#This Row],[Start_date]],"ddd")</f>
        <v>Sat</v>
      </c>
      <c r="U806">
        <f>marketing_data[[#This Row],[Cleaned End_date]]-marketing_data[[#This Row],[Start_date]]</f>
        <v>30</v>
      </c>
    </row>
    <row r="807" spans="1:21" x14ac:dyDescent="0.2">
      <c r="A807" t="s">
        <v>1679</v>
      </c>
      <c r="B807" t="s">
        <v>1680</v>
      </c>
      <c r="C807" s="2">
        <v>45277</v>
      </c>
      <c r="D807" t="str">
        <f t="shared" si="75"/>
        <v>Dec</v>
      </c>
      <c r="E807" s="2">
        <v>45281</v>
      </c>
      <c r="F807" t="s">
        <v>14</v>
      </c>
      <c r="G807">
        <v>81642</v>
      </c>
      <c r="H807">
        <v>912</v>
      </c>
      <c r="I807">
        <v>88</v>
      </c>
      <c r="J807" t="b">
        <v>1</v>
      </c>
      <c r="K807" s="10">
        <v>630.79999999999995</v>
      </c>
      <c r="L807" s="6">
        <f t="shared" si="76"/>
        <v>1.1170720952450945E-2</v>
      </c>
      <c r="M807">
        <f t="shared" si="77"/>
        <v>0.69166666666666665</v>
      </c>
      <c r="N807">
        <f t="shared" si="78"/>
        <v>7.168181818181818</v>
      </c>
      <c r="O807">
        <f t="shared" si="79"/>
        <v>3769.2</v>
      </c>
      <c r="P807">
        <f t="shared" si="80"/>
        <v>9.6491228070175433E-2</v>
      </c>
      <c r="Q807" t="s">
        <v>4138</v>
      </c>
      <c r="R807" t="s">
        <v>4139</v>
      </c>
      <c r="S807">
        <f>YEAR(marketing_data[[#This Row],[Start_date]])</f>
        <v>2023</v>
      </c>
      <c r="T807" t="str">
        <f>TEXT(marketing_data[[#This Row],[Start_date]],"ddd")</f>
        <v>Sun</v>
      </c>
      <c r="U807">
        <f>marketing_data[[#This Row],[Cleaned End_date]]-marketing_data[[#This Row],[Start_date]]</f>
        <v>4</v>
      </c>
    </row>
    <row r="808" spans="1:21" x14ac:dyDescent="0.2">
      <c r="A808" t="s">
        <v>1681</v>
      </c>
      <c r="B808" t="s">
        <v>1682</v>
      </c>
      <c r="C808" s="2">
        <v>45177</v>
      </c>
      <c r="D808" t="str">
        <f t="shared" si="75"/>
        <v>Sep</v>
      </c>
      <c r="E808" s="2">
        <v>45191</v>
      </c>
      <c r="F808" t="s">
        <v>23</v>
      </c>
      <c r="G808">
        <v>51612</v>
      </c>
      <c r="H808">
        <v>2215</v>
      </c>
      <c r="I808">
        <v>316</v>
      </c>
      <c r="J808" t="b">
        <v>0</v>
      </c>
      <c r="K808" s="10">
        <v>2577.2600000000002</v>
      </c>
      <c r="L808" s="6">
        <f t="shared" si="76"/>
        <v>4.291637603658064E-2</v>
      </c>
      <c r="M808">
        <f t="shared" si="77"/>
        <v>1.163548532731377</v>
      </c>
      <c r="N808">
        <f t="shared" si="78"/>
        <v>8.1558860759493683</v>
      </c>
      <c r="O808">
        <f t="shared" si="79"/>
        <v>13222.74</v>
      </c>
      <c r="P808">
        <f t="shared" si="80"/>
        <v>0.14266365688487584</v>
      </c>
      <c r="Q808" t="s">
        <v>4136</v>
      </c>
      <c r="R808" t="s">
        <v>4139</v>
      </c>
      <c r="S808">
        <f>YEAR(marketing_data[[#This Row],[Start_date]])</f>
        <v>2023</v>
      </c>
      <c r="T808" t="str">
        <f>TEXT(marketing_data[[#This Row],[Start_date]],"ddd")</f>
        <v>Fri</v>
      </c>
      <c r="U808">
        <f>marketing_data[[#This Row],[Cleaned End_date]]-marketing_data[[#This Row],[Start_date]]</f>
        <v>14</v>
      </c>
    </row>
    <row r="809" spans="1:21" x14ac:dyDescent="0.2">
      <c r="A809" t="s">
        <v>1683</v>
      </c>
      <c r="B809" t="s">
        <v>1684</v>
      </c>
      <c r="C809" s="2">
        <v>45178</v>
      </c>
      <c r="D809" t="str">
        <f t="shared" si="75"/>
        <v>Sep</v>
      </c>
      <c r="E809" s="2">
        <v>45190</v>
      </c>
      <c r="F809" t="s">
        <v>14</v>
      </c>
      <c r="G809">
        <v>24574</v>
      </c>
      <c r="H809">
        <v>451</v>
      </c>
      <c r="I809">
        <v>65</v>
      </c>
      <c r="J809" t="b">
        <v>1</v>
      </c>
      <c r="K809" s="10">
        <v>329.13249999999999</v>
      </c>
      <c r="L809" s="6">
        <f t="shared" si="76"/>
        <v>1.8352730528200537E-2</v>
      </c>
      <c r="M809">
        <f t="shared" si="77"/>
        <v>0.72978381374722834</v>
      </c>
      <c r="N809">
        <f t="shared" si="78"/>
        <v>5.0635769230769228</v>
      </c>
      <c r="O809">
        <f t="shared" si="79"/>
        <v>2920.8674999999998</v>
      </c>
      <c r="P809">
        <f t="shared" si="80"/>
        <v>0.14412416851441243</v>
      </c>
      <c r="Q809" t="s">
        <v>4136</v>
      </c>
      <c r="R809" t="s">
        <v>4138</v>
      </c>
      <c r="S809">
        <f>YEAR(marketing_data[[#This Row],[Start_date]])</f>
        <v>2023</v>
      </c>
      <c r="T809" t="str">
        <f>TEXT(marketing_data[[#This Row],[Start_date]],"ddd")</f>
        <v>Sat</v>
      </c>
      <c r="U809">
        <f>marketing_data[[#This Row],[Cleaned End_date]]-marketing_data[[#This Row],[Start_date]]</f>
        <v>12</v>
      </c>
    </row>
    <row r="810" spans="1:21" x14ac:dyDescent="0.2">
      <c r="A810" t="s">
        <v>1685</v>
      </c>
      <c r="B810" t="s">
        <v>1686</v>
      </c>
      <c r="C810" s="2">
        <v>45107</v>
      </c>
      <c r="D810" t="str">
        <f t="shared" si="75"/>
        <v>Jun</v>
      </c>
      <c r="E810" s="2">
        <v>45129</v>
      </c>
      <c r="F810" t="s">
        <v>23</v>
      </c>
      <c r="G810">
        <v>24524</v>
      </c>
      <c r="H810">
        <v>617</v>
      </c>
      <c r="I810">
        <v>95</v>
      </c>
      <c r="J810" t="b">
        <v>1</v>
      </c>
      <c r="K810" s="10">
        <v>942.12</v>
      </c>
      <c r="L810" s="6">
        <f t="shared" si="76"/>
        <v>2.5159027891045505E-2</v>
      </c>
      <c r="M810">
        <f t="shared" si="77"/>
        <v>1.5269367909238249</v>
      </c>
      <c r="N810">
        <f t="shared" si="78"/>
        <v>9.9170526315789473</v>
      </c>
      <c r="O810">
        <f t="shared" si="79"/>
        <v>3807.88</v>
      </c>
      <c r="P810">
        <f t="shared" si="80"/>
        <v>0.1539708265802269</v>
      </c>
      <c r="Q810" t="s">
        <v>4139</v>
      </c>
      <c r="R810" t="s">
        <v>4139</v>
      </c>
      <c r="S810">
        <f>YEAR(marketing_data[[#This Row],[Start_date]])</f>
        <v>2023</v>
      </c>
      <c r="T810" t="str">
        <f>TEXT(marketing_data[[#This Row],[Start_date]],"ddd")</f>
        <v>Fri</v>
      </c>
      <c r="U810">
        <f>marketing_data[[#This Row],[Cleaned End_date]]-marketing_data[[#This Row],[Start_date]]</f>
        <v>22</v>
      </c>
    </row>
    <row r="811" spans="1:21" x14ac:dyDescent="0.2">
      <c r="A811" t="s">
        <v>1687</v>
      </c>
      <c r="B811" t="s">
        <v>1688</v>
      </c>
      <c r="C811" s="2">
        <v>45177</v>
      </c>
      <c r="D811" t="str">
        <f t="shared" si="75"/>
        <v>Sep</v>
      </c>
      <c r="E811" s="2">
        <v>45190</v>
      </c>
      <c r="F811" t="str">
        <f>F810</f>
        <v>Email</v>
      </c>
      <c r="G811">
        <v>70172</v>
      </c>
      <c r="H811">
        <v>3434</v>
      </c>
      <c r="I811">
        <v>229</v>
      </c>
      <c r="J811" t="b">
        <v>1</v>
      </c>
      <c r="K811" s="10">
        <v>3631.7599999999998</v>
      </c>
      <c r="L811" s="6">
        <f t="shared" si="76"/>
        <v>4.893689790799749E-2</v>
      </c>
      <c r="M811">
        <f t="shared" si="77"/>
        <v>1.0575888177052999</v>
      </c>
      <c r="N811">
        <f t="shared" si="78"/>
        <v>15.859213973799125</v>
      </c>
      <c r="O811">
        <f t="shared" si="79"/>
        <v>7818.24</v>
      </c>
      <c r="P811">
        <f t="shared" si="80"/>
        <v>6.6686080372743151E-2</v>
      </c>
      <c r="Q811" t="s">
        <v>4136</v>
      </c>
      <c r="R811" t="s">
        <v>4138</v>
      </c>
      <c r="S811">
        <f>YEAR(marketing_data[[#This Row],[Start_date]])</f>
        <v>2023</v>
      </c>
      <c r="T811" t="str">
        <f>TEXT(marketing_data[[#This Row],[Start_date]],"ddd")</f>
        <v>Fri</v>
      </c>
      <c r="U811">
        <f>marketing_data[[#This Row],[Cleaned End_date]]-marketing_data[[#This Row],[Start_date]]</f>
        <v>13</v>
      </c>
    </row>
    <row r="812" spans="1:21" x14ac:dyDescent="0.2">
      <c r="A812" t="s">
        <v>1689</v>
      </c>
      <c r="B812" t="s">
        <v>1690</v>
      </c>
      <c r="C812" s="2">
        <v>45255</v>
      </c>
      <c r="D812" t="str">
        <f t="shared" si="75"/>
        <v>Nov</v>
      </c>
      <c r="E812" s="2">
        <v>45256</v>
      </c>
      <c r="F812" t="s">
        <v>33</v>
      </c>
      <c r="G812">
        <v>11916</v>
      </c>
      <c r="H812">
        <v>279</v>
      </c>
      <c r="J812" t="b">
        <v>1</v>
      </c>
      <c r="K812" s="10">
        <v>489.89</v>
      </c>
      <c r="L812" s="6">
        <f t="shared" si="76"/>
        <v>2.3413897280966767E-2</v>
      </c>
      <c r="M812">
        <f t="shared" si="77"/>
        <v>1.7558781362007168</v>
      </c>
      <c r="N812">
        <f t="shared" si="78"/>
        <v>0</v>
      </c>
      <c r="O812">
        <f t="shared" si="79"/>
        <v>-489.89</v>
      </c>
      <c r="P812">
        <f t="shared" si="80"/>
        <v>0</v>
      </c>
      <c r="Q812" t="s">
        <v>4136</v>
      </c>
      <c r="R812" t="s">
        <v>4138</v>
      </c>
      <c r="S812">
        <f>YEAR(marketing_data[[#This Row],[Start_date]])</f>
        <v>2023</v>
      </c>
      <c r="T812" t="str">
        <f>TEXT(marketing_data[[#This Row],[Start_date]],"ddd")</f>
        <v>Sat</v>
      </c>
      <c r="U812">
        <f>marketing_data[[#This Row],[Cleaned End_date]]-marketing_data[[#This Row],[Start_date]]</f>
        <v>1</v>
      </c>
    </row>
    <row r="813" spans="1:21" x14ac:dyDescent="0.2">
      <c r="A813" t="s">
        <v>1691</v>
      </c>
      <c r="B813" t="s">
        <v>1692</v>
      </c>
      <c r="C813" s="2">
        <v>44965</v>
      </c>
      <c r="D813" t="str">
        <f t="shared" si="75"/>
        <v>Feb</v>
      </c>
      <c r="E813" s="2">
        <v>44988</v>
      </c>
      <c r="F813" t="s">
        <v>23</v>
      </c>
      <c r="G813">
        <v>5809</v>
      </c>
      <c r="H813">
        <v>126</v>
      </c>
      <c r="I813">
        <v>16</v>
      </c>
      <c r="J813" t="b">
        <v>1</v>
      </c>
      <c r="K813" s="10">
        <v>329.13249999999999</v>
      </c>
      <c r="L813" s="6">
        <f t="shared" si="76"/>
        <v>2.1690480289206403E-2</v>
      </c>
      <c r="M813">
        <f t="shared" si="77"/>
        <v>2.6121626984126984</v>
      </c>
      <c r="N813">
        <f t="shared" si="78"/>
        <v>20.57078125</v>
      </c>
      <c r="O813">
        <f t="shared" si="79"/>
        <v>470.86750000000001</v>
      </c>
      <c r="P813">
        <f t="shared" si="80"/>
        <v>0.12698412698412698</v>
      </c>
      <c r="Q813" t="s">
        <v>4138</v>
      </c>
      <c r="R813" t="s">
        <v>4142</v>
      </c>
      <c r="S813">
        <f>YEAR(marketing_data[[#This Row],[Start_date]])</f>
        <v>2023</v>
      </c>
      <c r="T813" t="str">
        <f>TEXT(marketing_data[[#This Row],[Start_date]],"ddd")</f>
        <v>Wed</v>
      </c>
      <c r="U813">
        <f>marketing_data[[#This Row],[Cleaned End_date]]-marketing_data[[#This Row],[Start_date]]</f>
        <v>23</v>
      </c>
    </row>
    <row r="814" spans="1:21" x14ac:dyDescent="0.2">
      <c r="A814" t="s">
        <v>1693</v>
      </c>
      <c r="B814" t="s">
        <v>1694</v>
      </c>
      <c r="C814" s="2">
        <v>44930</v>
      </c>
      <c r="D814" t="str">
        <f t="shared" si="75"/>
        <v>Jan</v>
      </c>
      <c r="E814" s="2">
        <v>44950</v>
      </c>
      <c r="F814" t="s">
        <v>23</v>
      </c>
      <c r="G814">
        <v>33201</v>
      </c>
      <c r="H814">
        <v>1551</v>
      </c>
      <c r="I814">
        <v>187</v>
      </c>
      <c r="J814" t="b">
        <v>1</v>
      </c>
      <c r="K814" s="10">
        <v>1069.27</v>
      </c>
      <c r="L814" s="6">
        <f t="shared" si="76"/>
        <v>4.6715460377699469E-2</v>
      </c>
      <c r="M814">
        <f t="shared" si="77"/>
        <v>0.68940683430045135</v>
      </c>
      <c r="N814">
        <f t="shared" si="78"/>
        <v>5.7180213903743313</v>
      </c>
      <c r="O814">
        <f t="shared" si="79"/>
        <v>8280.73</v>
      </c>
      <c r="P814">
        <f t="shared" si="80"/>
        <v>0.12056737588652482</v>
      </c>
      <c r="Q814" t="s">
        <v>4138</v>
      </c>
      <c r="R814" t="s">
        <v>4138</v>
      </c>
      <c r="S814">
        <f>YEAR(marketing_data[[#This Row],[Start_date]])</f>
        <v>2023</v>
      </c>
      <c r="T814" t="str">
        <f>TEXT(marketing_data[[#This Row],[Start_date]],"ddd")</f>
        <v>Wed</v>
      </c>
      <c r="U814">
        <f>marketing_data[[#This Row],[Cleaned End_date]]-marketing_data[[#This Row],[Start_date]]</f>
        <v>20</v>
      </c>
    </row>
    <row r="815" spans="1:21" x14ac:dyDescent="0.2">
      <c r="A815" t="s">
        <v>1695</v>
      </c>
      <c r="B815" t="s">
        <v>1696</v>
      </c>
      <c r="C815" s="2">
        <v>45045</v>
      </c>
      <c r="D815" t="str">
        <f t="shared" si="75"/>
        <v>Apr</v>
      </c>
      <c r="E815" s="2">
        <v>45055</v>
      </c>
      <c r="F815" t="s">
        <v>14</v>
      </c>
      <c r="G815">
        <v>54330</v>
      </c>
      <c r="H815">
        <v>783</v>
      </c>
      <c r="I815">
        <v>154</v>
      </c>
      <c r="J815" t="b">
        <v>0</v>
      </c>
      <c r="K815" s="10">
        <v>1346.88</v>
      </c>
      <c r="L815" s="6">
        <f t="shared" si="76"/>
        <v>1.4411927112092767E-2</v>
      </c>
      <c r="M815">
        <f t="shared" si="77"/>
        <v>1.7201532567049811</v>
      </c>
      <c r="N815">
        <f t="shared" si="78"/>
        <v>8.7459740259740268</v>
      </c>
      <c r="O815">
        <f t="shared" si="79"/>
        <v>6353.12</v>
      </c>
      <c r="P815">
        <f t="shared" si="80"/>
        <v>0.19667943805874841</v>
      </c>
      <c r="Q815" t="s">
        <v>4137</v>
      </c>
      <c r="R815" t="s">
        <v>4138</v>
      </c>
      <c r="S815">
        <f>YEAR(marketing_data[[#This Row],[Start_date]])</f>
        <v>2023</v>
      </c>
      <c r="T815" t="str">
        <f>TEXT(marketing_data[[#This Row],[Start_date]],"ddd")</f>
        <v>Sat</v>
      </c>
      <c r="U815">
        <f>marketing_data[[#This Row],[Cleaned End_date]]-marketing_data[[#This Row],[Start_date]]</f>
        <v>10</v>
      </c>
    </row>
    <row r="816" spans="1:21" x14ac:dyDescent="0.2">
      <c r="A816" t="s">
        <v>1698</v>
      </c>
      <c r="B816" t="s">
        <v>1699</v>
      </c>
      <c r="C816" s="2">
        <v>45004</v>
      </c>
      <c r="D816" t="str">
        <f t="shared" si="75"/>
        <v>Mar</v>
      </c>
      <c r="E816" s="2">
        <v>45015</v>
      </c>
      <c r="F816" t="s">
        <v>14</v>
      </c>
      <c r="G816">
        <v>14456</v>
      </c>
      <c r="H816">
        <v>583</v>
      </c>
      <c r="I816">
        <v>93</v>
      </c>
      <c r="J816" t="b">
        <v>0</v>
      </c>
      <c r="K816" s="10">
        <v>1099.76</v>
      </c>
      <c r="L816" s="6">
        <f t="shared" si="76"/>
        <v>4.0329275041505255E-2</v>
      </c>
      <c r="M816">
        <f t="shared" si="77"/>
        <v>1.8863807890222983</v>
      </c>
      <c r="N816">
        <f t="shared" si="78"/>
        <v>11.825376344086022</v>
      </c>
      <c r="O816">
        <f t="shared" si="79"/>
        <v>3550.24</v>
      </c>
      <c r="P816">
        <f t="shared" si="80"/>
        <v>0.15951972555746141</v>
      </c>
      <c r="Q816" t="s">
        <v>4137</v>
      </c>
      <c r="R816" t="s">
        <v>4142</v>
      </c>
      <c r="S816">
        <f>YEAR(marketing_data[[#This Row],[Start_date]])</f>
        <v>2023</v>
      </c>
      <c r="T816" t="str">
        <f>TEXT(marketing_data[[#This Row],[Start_date]],"ddd")</f>
        <v>Sun</v>
      </c>
      <c r="U816">
        <f>marketing_data[[#This Row],[Cleaned End_date]]-marketing_data[[#This Row],[Start_date]]</f>
        <v>11</v>
      </c>
    </row>
    <row r="817" spans="1:21" x14ac:dyDescent="0.2">
      <c r="A817" t="s">
        <v>1701</v>
      </c>
      <c r="B817" t="s">
        <v>1702</v>
      </c>
      <c r="C817" s="2">
        <v>45185</v>
      </c>
      <c r="D817" t="str">
        <f t="shared" si="75"/>
        <v>Sep</v>
      </c>
      <c r="E817" s="2">
        <v>45198</v>
      </c>
      <c r="F817" t="s">
        <v>33</v>
      </c>
      <c r="G817">
        <v>57397</v>
      </c>
      <c r="H817">
        <v>2842</v>
      </c>
      <c r="I817">
        <v>192</v>
      </c>
      <c r="J817" t="b">
        <v>0</v>
      </c>
      <c r="K817" s="10">
        <v>3384.84</v>
      </c>
      <c r="L817" s="6">
        <f t="shared" si="76"/>
        <v>4.9514783002595958E-2</v>
      </c>
      <c r="M817">
        <f t="shared" si="77"/>
        <v>1.19100633356791</v>
      </c>
      <c r="N817">
        <f t="shared" si="78"/>
        <v>17.629375</v>
      </c>
      <c r="O817">
        <f t="shared" si="79"/>
        <v>6215.16</v>
      </c>
      <c r="P817">
        <f t="shared" si="80"/>
        <v>6.755805770584096E-2</v>
      </c>
      <c r="Q817" t="s">
        <v>4136</v>
      </c>
      <c r="R817" t="s">
        <v>4138</v>
      </c>
      <c r="S817">
        <f>YEAR(marketing_data[[#This Row],[Start_date]])</f>
        <v>2023</v>
      </c>
      <c r="T817" t="str">
        <f>TEXT(marketing_data[[#This Row],[Start_date]],"ddd")</f>
        <v>Sat</v>
      </c>
      <c r="U817">
        <f>marketing_data[[#This Row],[Cleaned End_date]]-marketing_data[[#This Row],[Start_date]]</f>
        <v>13</v>
      </c>
    </row>
    <row r="818" spans="1:21" x14ac:dyDescent="0.2">
      <c r="A818" t="s">
        <v>1703</v>
      </c>
      <c r="B818" t="s">
        <v>1704</v>
      </c>
      <c r="C818" s="2">
        <v>45253</v>
      </c>
      <c r="D818" t="str">
        <f t="shared" si="75"/>
        <v>Nov</v>
      </c>
      <c r="E818" s="2">
        <v>45265</v>
      </c>
      <c r="F818" t="s">
        <v>41</v>
      </c>
      <c r="G818">
        <v>39765</v>
      </c>
      <c r="H818">
        <v>1831</v>
      </c>
      <c r="I818">
        <v>299</v>
      </c>
      <c r="J818" t="b">
        <v>1</v>
      </c>
      <c r="K818" s="10">
        <v>2285.92</v>
      </c>
      <c r="L818" s="6">
        <f t="shared" si="76"/>
        <v>4.6045517414812019E-2</v>
      </c>
      <c r="M818">
        <f t="shared" si="77"/>
        <v>1.2484543965046424</v>
      </c>
      <c r="N818">
        <f t="shared" si="78"/>
        <v>7.6452173913043477</v>
      </c>
      <c r="O818">
        <f t="shared" si="79"/>
        <v>12664.08</v>
      </c>
      <c r="P818">
        <f t="shared" si="80"/>
        <v>0.1632987438558165</v>
      </c>
      <c r="Q818" t="s">
        <v>4136</v>
      </c>
      <c r="R818" t="s">
        <v>4138</v>
      </c>
      <c r="S818">
        <f>YEAR(marketing_data[[#This Row],[Start_date]])</f>
        <v>2023</v>
      </c>
      <c r="T818" t="str">
        <f>TEXT(marketing_data[[#This Row],[Start_date]],"ddd")</f>
        <v>Thu</v>
      </c>
      <c r="U818">
        <f>marketing_data[[#This Row],[Cleaned End_date]]-marketing_data[[#This Row],[Start_date]]</f>
        <v>12</v>
      </c>
    </row>
    <row r="819" spans="1:21" x14ac:dyDescent="0.2">
      <c r="A819" t="s">
        <v>1705</v>
      </c>
      <c r="B819" t="s">
        <v>1706</v>
      </c>
      <c r="C819" s="2">
        <v>45174</v>
      </c>
      <c r="D819" t="str">
        <f t="shared" si="75"/>
        <v>Sep</v>
      </c>
      <c r="E819" s="2">
        <v>45204</v>
      </c>
      <c r="F819" t="s">
        <v>23</v>
      </c>
      <c r="G819">
        <v>35816</v>
      </c>
      <c r="H819">
        <v>1291</v>
      </c>
      <c r="I819">
        <v>82</v>
      </c>
      <c r="J819" t="b">
        <v>1</v>
      </c>
      <c r="K819" s="10">
        <v>1261.81</v>
      </c>
      <c r="L819" s="6">
        <f t="shared" si="76"/>
        <v>3.6045342863524683E-2</v>
      </c>
      <c r="M819">
        <f t="shared" si="77"/>
        <v>0.97738962044926414</v>
      </c>
      <c r="N819">
        <f t="shared" si="78"/>
        <v>15.387926829268292</v>
      </c>
      <c r="O819">
        <f t="shared" si="79"/>
        <v>2838.19</v>
      </c>
      <c r="P819">
        <f t="shared" si="80"/>
        <v>6.3516653756777688E-2</v>
      </c>
      <c r="Q819" t="s">
        <v>4136</v>
      </c>
      <c r="R819" t="s">
        <v>4141</v>
      </c>
      <c r="S819">
        <f>YEAR(marketing_data[[#This Row],[Start_date]])</f>
        <v>2023</v>
      </c>
      <c r="T819" t="str">
        <f>TEXT(marketing_data[[#This Row],[Start_date]],"ddd")</f>
        <v>Tue</v>
      </c>
      <c r="U819">
        <f>marketing_data[[#This Row],[Cleaned End_date]]-marketing_data[[#This Row],[Start_date]]</f>
        <v>30</v>
      </c>
    </row>
    <row r="820" spans="1:21" x14ac:dyDescent="0.2">
      <c r="A820" t="s">
        <v>1707</v>
      </c>
      <c r="B820" t="s">
        <v>1708</v>
      </c>
      <c r="C820" s="2">
        <v>45199</v>
      </c>
      <c r="D820" t="str">
        <f t="shared" si="75"/>
        <v>Sep</v>
      </c>
      <c r="E820" s="2">
        <v>45209</v>
      </c>
      <c r="F820" t="s">
        <v>23</v>
      </c>
      <c r="G820">
        <v>46106</v>
      </c>
      <c r="H820">
        <v>1040</v>
      </c>
      <c r="I820">
        <v>56</v>
      </c>
      <c r="J820" t="b">
        <v>0</v>
      </c>
      <c r="K820" s="10">
        <v>1915.05</v>
      </c>
      <c r="L820" s="6">
        <f t="shared" si="76"/>
        <v>2.2556717130091528E-2</v>
      </c>
      <c r="M820">
        <f t="shared" si="77"/>
        <v>1.8413942307692308</v>
      </c>
      <c r="N820">
        <f t="shared" si="78"/>
        <v>34.197321428571428</v>
      </c>
      <c r="O820">
        <f t="shared" si="79"/>
        <v>884.95</v>
      </c>
      <c r="P820">
        <f t="shared" si="80"/>
        <v>5.3846153846153849E-2</v>
      </c>
      <c r="Q820" t="s">
        <v>4136</v>
      </c>
      <c r="R820" t="s">
        <v>4141</v>
      </c>
      <c r="S820">
        <f>YEAR(marketing_data[[#This Row],[Start_date]])</f>
        <v>2023</v>
      </c>
      <c r="T820" t="str">
        <f>TEXT(marketing_data[[#This Row],[Start_date]],"ddd")</f>
        <v>Sat</v>
      </c>
      <c r="U820">
        <f>marketing_data[[#This Row],[Cleaned End_date]]-marketing_data[[#This Row],[Start_date]]</f>
        <v>10</v>
      </c>
    </row>
    <row r="821" spans="1:21" x14ac:dyDescent="0.2">
      <c r="A821" t="s">
        <v>1709</v>
      </c>
      <c r="B821" t="s">
        <v>1710</v>
      </c>
      <c r="C821" s="2">
        <v>45198</v>
      </c>
      <c r="D821" t="str">
        <f t="shared" si="75"/>
        <v>Sep</v>
      </c>
      <c r="E821" s="2">
        <v>45212</v>
      </c>
      <c r="F821" t="s">
        <v>19</v>
      </c>
      <c r="G821">
        <v>54932</v>
      </c>
      <c r="H821">
        <v>1108</v>
      </c>
      <c r="I821">
        <v>122</v>
      </c>
      <c r="J821" t="b">
        <v>0</v>
      </c>
      <c r="K821" s="10">
        <v>1625.83</v>
      </c>
      <c r="L821" s="6">
        <f t="shared" si="76"/>
        <v>2.0170392485254495E-2</v>
      </c>
      <c r="M821">
        <f t="shared" si="77"/>
        <v>1.4673555956678699</v>
      </c>
      <c r="N821">
        <f t="shared" si="78"/>
        <v>13.326475409836066</v>
      </c>
      <c r="O821">
        <f t="shared" si="79"/>
        <v>4474.17</v>
      </c>
      <c r="P821">
        <f t="shared" si="80"/>
        <v>0.11010830324909747</v>
      </c>
      <c r="Q821" t="s">
        <v>4136</v>
      </c>
      <c r="R821" t="s">
        <v>4138</v>
      </c>
      <c r="S821">
        <f>YEAR(marketing_data[[#This Row],[Start_date]])</f>
        <v>2023</v>
      </c>
      <c r="T821" t="str">
        <f>TEXT(marketing_data[[#This Row],[Start_date]],"ddd")</f>
        <v>Fri</v>
      </c>
      <c r="U821">
        <f>marketing_data[[#This Row],[Cleaned End_date]]-marketing_data[[#This Row],[Start_date]]</f>
        <v>14</v>
      </c>
    </row>
    <row r="822" spans="1:21" x14ac:dyDescent="0.2">
      <c r="A822" t="s">
        <v>1711</v>
      </c>
      <c r="B822" t="s">
        <v>1712</v>
      </c>
      <c r="C822" s="2">
        <v>45073</v>
      </c>
      <c r="D822" t="str">
        <f t="shared" si="75"/>
        <v>May</v>
      </c>
      <c r="E822" s="2">
        <v>45093</v>
      </c>
      <c r="F822" t="s">
        <v>23</v>
      </c>
      <c r="G822">
        <v>18100</v>
      </c>
      <c r="H822">
        <v>774</v>
      </c>
      <c r="I822">
        <v>154</v>
      </c>
      <c r="J822" t="b">
        <v>1</v>
      </c>
      <c r="K822" s="10">
        <v>721.66</v>
      </c>
      <c r="L822" s="6">
        <f t="shared" si="76"/>
        <v>4.276243093922652E-2</v>
      </c>
      <c r="M822">
        <f t="shared" si="77"/>
        <v>0.93237726098191209</v>
      </c>
      <c r="N822">
        <f t="shared" si="78"/>
        <v>4.6861038961038961</v>
      </c>
      <c r="O822">
        <f t="shared" si="79"/>
        <v>6978.34</v>
      </c>
      <c r="P822">
        <f t="shared" si="80"/>
        <v>0.19896640826873385</v>
      </c>
      <c r="Q822" t="s">
        <v>4137</v>
      </c>
      <c r="R822" t="s">
        <v>4141</v>
      </c>
      <c r="S822">
        <f>YEAR(marketing_data[[#This Row],[Start_date]])</f>
        <v>2023</v>
      </c>
      <c r="T822" t="str">
        <f>TEXT(marketing_data[[#This Row],[Start_date]],"ddd")</f>
        <v>Sat</v>
      </c>
      <c r="U822">
        <f>marketing_data[[#This Row],[Cleaned End_date]]-marketing_data[[#This Row],[Start_date]]</f>
        <v>20</v>
      </c>
    </row>
    <row r="823" spans="1:21" x14ac:dyDescent="0.2">
      <c r="A823" t="s">
        <v>1714</v>
      </c>
      <c r="B823" t="s">
        <v>1715</v>
      </c>
      <c r="C823" s="2">
        <v>45284</v>
      </c>
      <c r="D823" t="str">
        <f t="shared" si="75"/>
        <v>Dec</v>
      </c>
      <c r="E823" s="2">
        <v>45303</v>
      </c>
      <c r="F823" t="s">
        <v>14</v>
      </c>
      <c r="G823">
        <v>58091</v>
      </c>
      <c r="H823">
        <v>2625</v>
      </c>
      <c r="I823">
        <v>200</v>
      </c>
      <c r="J823" t="b">
        <v>0</v>
      </c>
      <c r="K823" s="10">
        <v>2488.96</v>
      </c>
      <c r="L823" s="6">
        <f t="shared" si="76"/>
        <v>4.5187722710919073E-2</v>
      </c>
      <c r="M823">
        <f t="shared" si="77"/>
        <v>0.94817523809523807</v>
      </c>
      <c r="N823">
        <f t="shared" si="78"/>
        <v>12.444800000000001</v>
      </c>
      <c r="O823">
        <f t="shared" si="79"/>
        <v>7511.04</v>
      </c>
      <c r="P823">
        <f t="shared" si="80"/>
        <v>7.6190476190476197E-2</v>
      </c>
      <c r="Q823" t="s">
        <v>4138</v>
      </c>
      <c r="R823" t="s">
        <v>4141</v>
      </c>
      <c r="S823">
        <f>YEAR(marketing_data[[#This Row],[Start_date]])</f>
        <v>2023</v>
      </c>
      <c r="T823" t="str">
        <f>TEXT(marketing_data[[#This Row],[Start_date]],"ddd")</f>
        <v>Sun</v>
      </c>
      <c r="U823">
        <f>marketing_data[[#This Row],[Cleaned End_date]]-marketing_data[[#This Row],[Start_date]]</f>
        <v>19</v>
      </c>
    </row>
    <row r="824" spans="1:21" x14ac:dyDescent="0.2">
      <c r="A824" t="s">
        <v>1716</v>
      </c>
      <c r="B824" t="s">
        <v>1717</v>
      </c>
      <c r="C824" s="2">
        <v>45018</v>
      </c>
      <c r="D824" t="str">
        <f t="shared" si="75"/>
        <v>Apr</v>
      </c>
      <c r="E824" s="2">
        <v>45048</v>
      </c>
      <c r="F824" t="s">
        <v>14</v>
      </c>
      <c r="G824">
        <v>22949</v>
      </c>
      <c r="H824">
        <v>711</v>
      </c>
      <c r="I824">
        <v>107</v>
      </c>
      <c r="J824" t="b">
        <v>1</v>
      </c>
      <c r="K824" s="10">
        <v>1305.96</v>
      </c>
      <c r="L824" s="6">
        <f t="shared" si="76"/>
        <v>3.098174212383982E-2</v>
      </c>
      <c r="M824">
        <f t="shared" si="77"/>
        <v>1.8367932489451477</v>
      </c>
      <c r="N824">
        <f t="shared" si="78"/>
        <v>12.205233644859813</v>
      </c>
      <c r="O824">
        <f t="shared" si="79"/>
        <v>4044.04</v>
      </c>
      <c r="P824">
        <f t="shared" si="80"/>
        <v>0.15049226441631505</v>
      </c>
      <c r="Q824" t="s">
        <v>4137</v>
      </c>
      <c r="R824" t="s">
        <v>4142</v>
      </c>
      <c r="S824">
        <f>YEAR(marketing_data[[#This Row],[Start_date]])</f>
        <v>2023</v>
      </c>
      <c r="T824" t="str">
        <f>TEXT(marketing_data[[#This Row],[Start_date]],"ddd")</f>
        <v>Sun</v>
      </c>
      <c r="U824">
        <f>marketing_data[[#This Row],[Cleaned End_date]]-marketing_data[[#This Row],[Start_date]]</f>
        <v>30</v>
      </c>
    </row>
    <row r="825" spans="1:21" x14ac:dyDescent="0.2">
      <c r="A825" t="s">
        <v>1718</v>
      </c>
      <c r="B825" t="s">
        <v>1719</v>
      </c>
      <c r="C825" s="2">
        <v>45003</v>
      </c>
      <c r="D825" t="str">
        <f t="shared" si="75"/>
        <v>Mar</v>
      </c>
      <c r="E825" s="2">
        <v>45019</v>
      </c>
      <c r="F825" t="s">
        <v>23</v>
      </c>
      <c r="G825">
        <v>71080</v>
      </c>
      <c r="H825">
        <v>1405</v>
      </c>
      <c r="I825">
        <v>106</v>
      </c>
      <c r="J825" t="b">
        <v>1</v>
      </c>
      <c r="K825" s="10">
        <v>731.23</v>
      </c>
      <c r="L825" s="6">
        <f t="shared" si="76"/>
        <v>1.9766460326392798E-2</v>
      </c>
      <c r="M825">
        <f t="shared" si="77"/>
        <v>0.52044839857651248</v>
      </c>
      <c r="N825">
        <f t="shared" si="78"/>
        <v>6.8983962264150946</v>
      </c>
      <c r="O825">
        <f t="shared" si="79"/>
        <v>4568.7700000000004</v>
      </c>
      <c r="P825">
        <f t="shared" si="80"/>
        <v>7.5444839857651241E-2</v>
      </c>
      <c r="Q825" t="s">
        <v>4137</v>
      </c>
      <c r="R825" t="s">
        <v>4138</v>
      </c>
      <c r="S825">
        <f>YEAR(marketing_data[[#This Row],[Start_date]])</f>
        <v>2023</v>
      </c>
      <c r="T825" t="str">
        <f>TEXT(marketing_data[[#This Row],[Start_date]],"ddd")</f>
        <v>Sat</v>
      </c>
      <c r="U825">
        <f>marketing_data[[#This Row],[Cleaned End_date]]-marketing_data[[#This Row],[Start_date]]</f>
        <v>16</v>
      </c>
    </row>
    <row r="826" spans="1:21" x14ac:dyDescent="0.2">
      <c r="A826" t="s">
        <v>1720</v>
      </c>
      <c r="B826" t="s">
        <v>1721</v>
      </c>
      <c r="C826" s="2">
        <v>45056</v>
      </c>
      <c r="D826" t="str">
        <f t="shared" si="75"/>
        <v>May</v>
      </c>
      <c r="E826" s="2">
        <v>45077</v>
      </c>
      <c r="F826" t="s">
        <v>41</v>
      </c>
      <c r="G826">
        <v>38744</v>
      </c>
      <c r="H826">
        <v>562</v>
      </c>
      <c r="I826">
        <v>89</v>
      </c>
      <c r="J826" t="b">
        <v>0</v>
      </c>
      <c r="K826" s="10">
        <v>553.05999999999995</v>
      </c>
      <c r="L826" s="6">
        <f t="shared" si="76"/>
        <v>1.4505471814990708E-2</v>
      </c>
      <c r="M826">
        <f t="shared" si="77"/>
        <v>0.98409252669039138</v>
      </c>
      <c r="N826">
        <f t="shared" si="78"/>
        <v>6.2141573033707855</v>
      </c>
      <c r="O826">
        <f t="shared" si="79"/>
        <v>3896.94</v>
      </c>
      <c r="P826">
        <f t="shared" si="80"/>
        <v>0.15836298932384341</v>
      </c>
      <c r="Q826" t="s">
        <v>4137</v>
      </c>
      <c r="R826" t="s">
        <v>4138</v>
      </c>
      <c r="S826">
        <f>YEAR(marketing_data[[#This Row],[Start_date]])</f>
        <v>2023</v>
      </c>
      <c r="T826" t="str">
        <f>TEXT(marketing_data[[#This Row],[Start_date]],"ddd")</f>
        <v>Wed</v>
      </c>
      <c r="U826">
        <f>marketing_data[[#This Row],[Cleaned End_date]]-marketing_data[[#This Row],[Start_date]]</f>
        <v>21</v>
      </c>
    </row>
    <row r="827" spans="1:21" x14ac:dyDescent="0.2">
      <c r="A827" t="s">
        <v>1722</v>
      </c>
      <c r="B827" t="s">
        <v>1723</v>
      </c>
      <c r="C827" s="2">
        <v>45130</v>
      </c>
      <c r="D827" t="str">
        <f t="shared" si="75"/>
        <v>Jul</v>
      </c>
      <c r="E827" s="2">
        <v>45150</v>
      </c>
      <c r="F827" t="s">
        <v>19</v>
      </c>
      <c r="G827">
        <v>46543</v>
      </c>
      <c r="H827">
        <v>627</v>
      </c>
      <c r="I827">
        <v>78</v>
      </c>
      <c r="J827" t="b">
        <v>1</v>
      </c>
      <c r="K827" s="10">
        <v>834.87</v>
      </c>
      <c r="L827" s="6">
        <f t="shared" si="76"/>
        <v>1.3471413531572954E-2</v>
      </c>
      <c r="M827">
        <f t="shared" si="77"/>
        <v>1.3315311004784689</v>
      </c>
      <c r="N827">
        <f t="shared" si="78"/>
        <v>10.703461538461539</v>
      </c>
      <c r="O827">
        <f t="shared" si="79"/>
        <v>3065.13</v>
      </c>
      <c r="P827">
        <f t="shared" si="80"/>
        <v>0.12440191387559808</v>
      </c>
      <c r="Q827" t="s">
        <v>4139</v>
      </c>
      <c r="R827" t="s">
        <v>4141</v>
      </c>
      <c r="S827">
        <f>YEAR(marketing_data[[#This Row],[Start_date]])</f>
        <v>2023</v>
      </c>
      <c r="T827" t="str">
        <f>TEXT(marketing_data[[#This Row],[Start_date]],"ddd")</f>
        <v>Sun</v>
      </c>
      <c r="U827">
        <f>marketing_data[[#This Row],[Cleaned End_date]]-marketing_data[[#This Row],[Start_date]]</f>
        <v>20</v>
      </c>
    </row>
    <row r="828" spans="1:21" x14ac:dyDescent="0.2">
      <c r="A828" t="s">
        <v>1725</v>
      </c>
      <c r="B828" t="s">
        <v>1726</v>
      </c>
      <c r="C828" s="2">
        <v>45134</v>
      </c>
      <c r="D828" t="str">
        <f t="shared" si="75"/>
        <v>Jul</v>
      </c>
      <c r="E828" s="2">
        <v>45153</v>
      </c>
      <c r="F828" t="s">
        <v>19</v>
      </c>
      <c r="G828">
        <v>93193</v>
      </c>
      <c r="H828">
        <v>3612</v>
      </c>
      <c r="I828">
        <v>549</v>
      </c>
      <c r="J828" t="b">
        <v>0</v>
      </c>
      <c r="K828" s="10">
        <v>2609.04</v>
      </c>
      <c r="L828" s="6">
        <f t="shared" si="76"/>
        <v>3.8758275836167949E-2</v>
      </c>
      <c r="M828">
        <f t="shared" si="77"/>
        <v>0.72232558139534886</v>
      </c>
      <c r="N828">
        <f t="shared" si="78"/>
        <v>4.7523497267759565</v>
      </c>
      <c r="O828">
        <f t="shared" si="79"/>
        <v>24840.959999999999</v>
      </c>
      <c r="P828">
        <f t="shared" si="80"/>
        <v>0.15199335548172757</v>
      </c>
      <c r="Q828" t="s">
        <v>4139</v>
      </c>
      <c r="R828" t="s">
        <v>4141</v>
      </c>
      <c r="S828">
        <f>YEAR(marketing_data[[#This Row],[Start_date]])</f>
        <v>2023</v>
      </c>
      <c r="T828" t="str">
        <f>TEXT(marketing_data[[#This Row],[Start_date]],"ddd")</f>
        <v>Thu</v>
      </c>
      <c r="U828">
        <f>marketing_data[[#This Row],[Cleaned End_date]]-marketing_data[[#This Row],[Start_date]]</f>
        <v>19</v>
      </c>
    </row>
    <row r="829" spans="1:21" x14ac:dyDescent="0.2">
      <c r="A829" t="s">
        <v>1727</v>
      </c>
      <c r="B829" t="s">
        <v>1728</v>
      </c>
      <c r="C829" s="2">
        <v>45283</v>
      </c>
      <c r="D829" t="str">
        <f t="shared" si="75"/>
        <v>Dec</v>
      </c>
      <c r="E829" s="2">
        <v>45285</v>
      </c>
      <c r="F829" t="s">
        <v>14</v>
      </c>
      <c r="G829">
        <v>37187</v>
      </c>
      <c r="H829">
        <v>996</v>
      </c>
      <c r="I829">
        <v>80</v>
      </c>
      <c r="J829" t="b">
        <v>1</v>
      </c>
      <c r="K829" s="10">
        <v>635.6</v>
      </c>
      <c r="L829" s="6">
        <f t="shared" si="76"/>
        <v>2.6783553392314519E-2</v>
      </c>
      <c r="M829">
        <f t="shared" si="77"/>
        <v>0.63815261044176708</v>
      </c>
      <c r="N829">
        <f t="shared" si="78"/>
        <v>7.9450000000000003</v>
      </c>
      <c r="O829">
        <f t="shared" si="79"/>
        <v>3364.4</v>
      </c>
      <c r="P829">
        <f t="shared" si="80"/>
        <v>8.0321285140562249E-2</v>
      </c>
      <c r="Q829" t="s">
        <v>4138</v>
      </c>
      <c r="R829" t="s">
        <v>4141</v>
      </c>
      <c r="S829">
        <f>YEAR(marketing_data[[#This Row],[Start_date]])</f>
        <v>2023</v>
      </c>
      <c r="T829" t="str">
        <f>TEXT(marketing_data[[#This Row],[Start_date]],"ddd")</f>
        <v>Sat</v>
      </c>
      <c r="U829">
        <f>marketing_data[[#This Row],[Cleaned End_date]]-marketing_data[[#This Row],[Start_date]]</f>
        <v>2</v>
      </c>
    </row>
    <row r="830" spans="1:21" x14ac:dyDescent="0.2">
      <c r="A830" t="s">
        <v>1729</v>
      </c>
      <c r="B830" t="s">
        <v>1730</v>
      </c>
      <c r="C830" s="2">
        <v>44968</v>
      </c>
      <c r="D830" t="str">
        <f t="shared" si="75"/>
        <v>Feb</v>
      </c>
      <c r="E830" s="2">
        <v>44990</v>
      </c>
      <c r="F830" t="s">
        <v>33</v>
      </c>
      <c r="G830">
        <v>8239</v>
      </c>
      <c r="H830">
        <v>380</v>
      </c>
      <c r="I830">
        <v>61</v>
      </c>
      <c r="J830" t="b">
        <v>1</v>
      </c>
      <c r="K830" s="10">
        <v>654.71</v>
      </c>
      <c r="L830" s="6">
        <f t="shared" si="76"/>
        <v>4.6122102196868554E-2</v>
      </c>
      <c r="M830">
        <f t="shared" si="77"/>
        <v>1.722921052631579</v>
      </c>
      <c r="N830">
        <f t="shared" si="78"/>
        <v>10.732950819672132</v>
      </c>
      <c r="O830">
        <f t="shared" si="79"/>
        <v>2395.29</v>
      </c>
      <c r="P830">
        <f t="shared" si="80"/>
        <v>0.16052631578947368</v>
      </c>
      <c r="Q830" t="s">
        <v>4138</v>
      </c>
      <c r="R830" t="s">
        <v>4139</v>
      </c>
      <c r="S830">
        <f>YEAR(marketing_data[[#This Row],[Start_date]])</f>
        <v>2023</v>
      </c>
      <c r="T830" t="str">
        <f>TEXT(marketing_data[[#This Row],[Start_date]],"ddd")</f>
        <v>Sat</v>
      </c>
      <c r="U830">
        <f>marketing_data[[#This Row],[Cleaned End_date]]-marketing_data[[#This Row],[Start_date]]</f>
        <v>22</v>
      </c>
    </row>
    <row r="831" spans="1:21" x14ac:dyDescent="0.2">
      <c r="A831" t="s">
        <v>1731</v>
      </c>
      <c r="B831" t="s">
        <v>1732</v>
      </c>
      <c r="C831" s="2">
        <v>44943</v>
      </c>
      <c r="D831" t="str">
        <f t="shared" si="75"/>
        <v>Jan</v>
      </c>
      <c r="E831" s="2">
        <v>44959</v>
      </c>
      <c r="F831" t="s">
        <v>19</v>
      </c>
      <c r="G831">
        <v>15489</v>
      </c>
      <c r="H831">
        <v>613</v>
      </c>
      <c r="J831" t="b">
        <v>1</v>
      </c>
      <c r="K831" s="10">
        <v>1128.9000000000001</v>
      </c>
      <c r="L831" s="6">
        <f t="shared" si="76"/>
        <v>3.9576473626444571E-2</v>
      </c>
      <c r="M831">
        <f t="shared" si="77"/>
        <v>1.841598694942904</v>
      </c>
      <c r="N831">
        <f t="shared" si="78"/>
        <v>0</v>
      </c>
      <c r="O831">
        <f t="shared" si="79"/>
        <v>-1128.9000000000001</v>
      </c>
      <c r="P831">
        <f t="shared" si="80"/>
        <v>0</v>
      </c>
      <c r="Q831" t="s">
        <v>4138</v>
      </c>
      <c r="R831" t="s">
        <v>4139</v>
      </c>
      <c r="S831">
        <f>YEAR(marketing_data[[#This Row],[Start_date]])</f>
        <v>2023</v>
      </c>
      <c r="T831" t="str">
        <f>TEXT(marketing_data[[#This Row],[Start_date]],"ddd")</f>
        <v>Tue</v>
      </c>
      <c r="U831">
        <f>marketing_data[[#This Row],[Cleaned End_date]]-marketing_data[[#This Row],[Start_date]]</f>
        <v>16</v>
      </c>
    </row>
    <row r="832" spans="1:21" x14ac:dyDescent="0.2">
      <c r="A832" t="s">
        <v>1734</v>
      </c>
      <c r="B832" t="s">
        <v>1735</v>
      </c>
      <c r="C832" s="2">
        <v>45121</v>
      </c>
      <c r="D832" t="str">
        <f t="shared" si="75"/>
        <v>Jul</v>
      </c>
      <c r="E832" s="2">
        <v>45123</v>
      </c>
      <c r="F832" t="s">
        <v>41</v>
      </c>
      <c r="G832">
        <v>59017</v>
      </c>
      <c r="H832">
        <v>1041</v>
      </c>
      <c r="I832">
        <v>155</v>
      </c>
      <c r="J832" t="b">
        <v>0</v>
      </c>
      <c r="K832" s="10">
        <v>1806.56</v>
      </c>
      <c r="L832" s="6">
        <f t="shared" si="76"/>
        <v>1.7638985377094737E-2</v>
      </c>
      <c r="M832">
        <f t="shared" si="77"/>
        <v>1.7354082612872237</v>
      </c>
      <c r="N832">
        <f t="shared" si="78"/>
        <v>11.655225806451613</v>
      </c>
      <c r="O832">
        <f t="shared" si="79"/>
        <v>5943.4400000000005</v>
      </c>
      <c r="P832">
        <f t="shared" si="80"/>
        <v>0.148895292987512</v>
      </c>
      <c r="Q832" t="s">
        <v>4139</v>
      </c>
      <c r="R832" t="s">
        <v>4141</v>
      </c>
      <c r="S832">
        <f>YEAR(marketing_data[[#This Row],[Start_date]])</f>
        <v>2023</v>
      </c>
      <c r="T832" t="str">
        <f>TEXT(marketing_data[[#This Row],[Start_date]],"ddd")</f>
        <v>Fri</v>
      </c>
      <c r="U832">
        <f>marketing_data[[#This Row],[Cleaned End_date]]-marketing_data[[#This Row],[Start_date]]</f>
        <v>2</v>
      </c>
    </row>
    <row r="833" spans="1:21" x14ac:dyDescent="0.2">
      <c r="A833" t="s">
        <v>1736</v>
      </c>
      <c r="B833" t="s">
        <v>1737</v>
      </c>
      <c r="C833" s="2">
        <v>45253</v>
      </c>
      <c r="D833" t="str">
        <f t="shared" si="75"/>
        <v>Nov</v>
      </c>
      <c r="E833" s="2">
        <v>45269</v>
      </c>
      <c r="F833" t="s">
        <v>14</v>
      </c>
      <c r="G833">
        <v>62877</v>
      </c>
      <c r="H833">
        <v>2172</v>
      </c>
      <c r="I833">
        <v>269</v>
      </c>
      <c r="J833" t="b">
        <v>1</v>
      </c>
      <c r="K833" s="10">
        <v>3631.7599999999998</v>
      </c>
      <c r="L833" s="6">
        <f t="shared" si="76"/>
        <v>3.4543632806908725E-2</v>
      </c>
      <c r="M833">
        <f t="shared" si="77"/>
        <v>1.6720810313075505</v>
      </c>
      <c r="N833">
        <f t="shared" si="78"/>
        <v>13.500966542750929</v>
      </c>
      <c r="O833">
        <f t="shared" si="79"/>
        <v>9818.24</v>
      </c>
      <c r="P833">
        <f t="shared" si="80"/>
        <v>0.12384898710865562</v>
      </c>
      <c r="Q833" t="s">
        <v>4136</v>
      </c>
      <c r="R833" t="s">
        <v>4142</v>
      </c>
      <c r="S833">
        <f>YEAR(marketing_data[[#This Row],[Start_date]])</f>
        <v>2023</v>
      </c>
      <c r="T833" t="str">
        <f>TEXT(marketing_data[[#This Row],[Start_date]],"ddd")</f>
        <v>Thu</v>
      </c>
      <c r="U833">
        <f>marketing_data[[#This Row],[Cleaned End_date]]-marketing_data[[#This Row],[Start_date]]</f>
        <v>16</v>
      </c>
    </row>
    <row r="834" spans="1:21" x14ac:dyDescent="0.2">
      <c r="A834" t="s">
        <v>1739</v>
      </c>
      <c r="B834" t="s">
        <v>1740</v>
      </c>
      <c r="C834" s="2">
        <v>45014</v>
      </c>
      <c r="D834" t="str">
        <f t="shared" si="75"/>
        <v>Mar</v>
      </c>
      <c r="E834" s="2">
        <v>45025</v>
      </c>
      <c r="F834" t="s">
        <v>14</v>
      </c>
      <c r="G834">
        <v>44125</v>
      </c>
      <c r="H834">
        <v>1209</v>
      </c>
      <c r="I834">
        <v>227</v>
      </c>
      <c r="J834" t="b">
        <v>1</v>
      </c>
      <c r="K834" s="10">
        <v>1607.57</v>
      </c>
      <c r="L834" s="6">
        <f t="shared" si="76"/>
        <v>2.7399433427762038E-2</v>
      </c>
      <c r="M834">
        <f t="shared" si="77"/>
        <v>1.3296691480562448</v>
      </c>
      <c r="N834">
        <f t="shared" si="78"/>
        <v>7.081806167400881</v>
      </c>
      <c r="O834">
        <f t="shared" si="79"/>
        <v>9742.43</v>
      </c>
      <c r="P834">
        <f t="shared" si="80"/>
        <v>0.18775847808105872</v>
      </c>
      <c r="Q834" t="s">
        <v>4137</v>
      </c>
      <c r="R834" t="s">
        <v>4141</v>
      </c>
      <c r="S834">
        <f>YEAR(marketing_data[[#This Row],[Start_date]])</f>
        <v>2023</v>
      </c>
      <c r="T834" t="str">
        <f>TEXT(marketing_data[[#This Row],[Start_date]],"ddd")</f>
        <v>Wed</v>
      </c>
      <c r="U834">
        <f>marketing_data[[#This Row],[Cleaned End_date]]-marketing_data[[#This Row],[Start_date]]</f>
        <v>11</v>
      </c>
    </row>
    <row r="835" spans="1:21" x14ac:dyDescent="0.2">
      <c r="A835" t="s">
        <v>1742</v>
      </c>
      <c r="B835" t="s">
        <v>1743</v>
      </c>
      <c r="C835" s="2">
        <v>45149</v>
      </c>
      <c r="D835" t="str">
        <f t="shared" ref="D835:D898" si="81">TEXT(C835,"mmm")</f>
        <v>Aug</v>
      </c>
      <c r="E835" s="2">
        <v>45161</v>
      </c>
      <c r="F835" t="s">
        <v>41</v>
      </c>
      <c r="G835">
        <v>50922</v>
      </c>
      <c r="H835">
        <v>1685</v>
      </c>
      <c r="I835">
        <v>88</v>
      </c>
      <c r="J835" t="b">
        <v>0</v>
      </c>
      <c r="K835" s="10">
        <v>2895.48</v>
      </c>
      <c r="L835" s="6">
        <f t="shared" ref="L835:L898" si="82">H835/G835</f>
        <v>3.3089823651859709E-2</v>
      </c>
      <c r="M835">
        <f t="shared" ref="M835:M898" si="83">K835/H835</f>
        <v>1.7183857566765579</v>
      </c>
      <c r="N835">
        <f t="shared" ref="N835:N898" si="84">IFERROR(K835/I835,0)</f>
        <v>32.903181818181821</v>
      </c>
      <c r="O835">
        <f t="shared" ref="O835:O898" si="85">(50*I835)-K835</f>
        <v>1504.52</v>
      </c>
      <c r="P835">
        <f t="shared" ref="P835:P898" si="86">I835/H835</f>
        <v>5.2225519287833831E-2</v>
      </c>
      <c r="Q835" t="s">
        <v>4139</v>
      </c>
      <c r="R835" t="s">
        <v>4138</v>
      </c>
      <c r="S835">
        <f>YEAR(marketing_data[[#This Row],[Start_date]])</f>
        <v>2023</v>
      </c>
      <c r="T835" t="str">
        <f>TEXT(marketing_data[[#This Row],[Start_date]],"ddd")</f>
        <v>Fri</v>
      </c>
      <c r="U835">
        <f>marketing_data[[#This Row],[Cleaned End_date]]-marketing_data[[#This Row],[Start_date]]</f>
        <v>12</v>
      </c>
    </row>
    <row r="836" spans="1:21" x14ac:dyDescent="0.2">
      <c r="A836" t="s">
        <v>1744</v>
      </c>
      <c r="B836" t="s">
        <v>1745</v>
      </c>
      <c r="C836" s="2">
        <v>44975</v>
      </c>
      <c r="D836" t="str">
        <f t="shared" si="81"/>
        <v>Feb</v>
      </c>
      <c r="E836" s="2">
        <v>44976</v>
      </c>
      <c r="F836" t="s">
        <v>33</v>
      </c>
      <c r="G836">
        <v>95074</v>
      </c>
      <c r="H836">
        <v>3757</v>
      </c>
      <c r="I836">
        <v>599</v>
      </c>
      <c r="J836" t="b">
        <v>0</v>
      </c>
      <c r="K836" s="10">
        <v>3631.7599999999998</v>
      </c>
      <c r="L836" s="6">
        <f t="shared" si="82"/>
        <v>3.9516587079538042E-2</v>
      </c>
      <c r="M836">
        <f t="shared" si="83"/>
        <v>0.96666489220122431</v>
      </c>
      <c r="N836">
        <f t="shared" si="84"/>
        <v>6.0630383973288815</v>
      </c>
      <c r="O836">
        <f t="shared" si="85"/>
        <v>26318.240000000002</v>
      </c>
      <c r="P836">
        <f t="shared" si="86"/>
        <v>0.15943571998935321</v>
      </c>
      <c r="Q836" t="s">
        <v>4138</v>
      </c>
      <c r="R836" t="s">
        <v>4142</v>
      </c>
      <c r="S836">
        <f>YEAR(marketing_data[[#This Row],[Start_date]])</f>
        <v>2023</v>
      </c>
      <c r="T836" t="str">
        <f>TEXT(marketing_data[[#This Row],[Start_date]],"ddd")</f>
        <v>Sat</v>
      </c>
      <c r="U836">
        <f>marketing_data[[#This Row],[Cleaned End_date]]-marketing_data[[#This Row],[Start_date]]</f>
        <v>1</v>
      </c>
    </row>
    <row r="837" spans="1:21" x14ac:dyDescent="0.2">
      <c r="A837" t="s">
        <v>1746</v>
      </c>
      <c r="B837" t="s">
        <v>1747</v>
      </c>
      <c r="C837" s="2">
        <v>45044</v>
      </c>
      <c r="D837" t="str">
        <f t="shared" si="81"/>
        <v>Apr</v>
      </c>
      <c r="E837" s="2">
        <v>45053</v>
      </c>
      <c r="F837" t="s">
        <v>19</v>
      </c>
      <c r="G837">
        <v>33049</v>
      </c>
      <c r="H837">
        <v>1396</v>
      </c>
      <c r="I837">
        <v>255</v>
      </c>
      <c r="J837" t="b">
        <v>1</v>
      </c>
      <c r="K837" s="10">
        <v>2093.16</v>
      </c>
      <c r="L837" s="6">
        <f t="shared" si="82"/>
        <v>4.2240309842960455E-2</v>
      </c>
      <c r="M837">
        <f t="shared" si="83"/>
        <v>1.4993982808022921</v>
      </c>
      <c r="N837">
        <f t="shared" si="84"/>
        <v>8.2084705882352935</v>
      </c>
      <c r="O837">
        <f t="shared" si="85"/>
        <v>10656.84</v>
      </c>
      <c r="P837">
        <f t="shared" si="86"/>
        <v>0.1826647564469914</v>
      </c>
      <c r="Q837" t="s">
        <v>4137</v>
      </c>
      <c r="R837" t="s">
        <v>4142</v>
      </c>
      <c r="S837">
        <f>YEAR(marketing_data[[#This Row],[Start_date]])</f>
        <v>2023</v>
      </c>
      <c r="T837" t="str">
        <f>TEXT(marketing_data[[#This Row],[Start_date]],"ddd")</f>
        <v>Fri</v>
      </c>
      <c r="U837">
        <f>marketing_data[[#This Row],[Cleaned End_date]]-marketing_data[[#This Row],[Start_date]]</f>
        <v>9</v>
      </c>
    </row>
    <row r="838" spans="1:21" x14ac:dyDescent="0.2">
      <c r="A838" t="s">
        <v>1748</v>
      </c>
      <c r="B838" t="s">
        <v>1749</v>
      </c>
      <c r="C838" s="2">
        <v>45217</v>
      </c>
      <c r="D838" t="str">
        <f t="shared" si="81"/>
        <v>Oct</v>
      </c>
      <c r="E838" s="2">
        <v>45240</v>
      </c>
      <c r="F838" t="s">
        <v>23</v>
      </c>
      <c r="G838">
        <v>38131</v>
      </c>
      <c r="H838">
        <v>1668</v>
      </c>
      <c r="J838" t="b">
        <v>1</v>
      </c>
      <c r="K838" s="10">
        <v>3308.07</v>
      </c>
      <c r="L838" s="6">
        <f t="shared" si="82"/>
        <v>4.3743935380661403E-2</v>
      </c>
      <c r="M838">
        <f t="shared" si="83"/>
        <v>1.9832553956834533</v>
      </c>
      <c r="N838">
        <f t="shared" si="84"/>
        <v>0</v>
      </c>
      <c r="O838">
        <f t="shared" si="85"/>
        <v>-3308.07</v>
      </c>
      <c r="P838">
        <f t="shared" si="86"/>
        <v>0</v>
      </c>
      <c r="Q838" t="s">
        <v>4136</v>
      </c>
      <c r="R838" t="s">
        <v>4138</v>
      </c>
      <c r="S838">
        <f>YEAR(marketing_data[[#This Row],[Start_date]])</f>
        <v>2023</v>
      </c>
      <c r="T838" t="str">
        <f>TEXT(marketing_data[[#This Row],[Start_date]],"ddd")</f>
        <v>Wed</v>
      </c>
      <c r="U838">
        <f>marketing_data[[#This Row],[Cleaned End_date]]-marketing_data[[#This Row],[Start_date]]</f>
        <v>23</v>
      </c>
    </row>
    <row r="839" spans="1:21" x14ac:dyDescent="0.2">
      <c r="A839" t="s">
        <v>1750</v>
      </c>
      <c r="B839" t="s">
        <v>1751</v>
      </c>
      <c r="C839" s="2">
        <v>44965</v>
      </c>
      <c r="D839" t="str">
        <f t="shared" si="81"/>
        <v>Feb</v>
      </c>
      <c r="E839" s="2">
        <v>44981</v>
      </c>
      <c r="F839" t="s">
        <v>19</v>
      </c>
      <c r="G839">
        <v>43944</v>
      </c>
      <c r="H839">
        <v>885</v>
      </c>
      <c r="I839">
        <v>103</v>
      </c>
      <c r="J839" t="b">
        <v>1</v>
      </c>
      <c r="K839" s="10">
        <v>742.15</v>
      </c>
      <c r="L839" s="6">
        <f t="shared" si="82"/>
        <v>2.0139268159475695E-2</v>
      </c>
      <c r="M839">
        <f t="shared" si="83"/>
        <v>0.83858757062146894</v>
      </c>
      <c r="N839">
        <f t="shared" si="84"/>
        <v>7.2053398058252425</v>
      </c>
      <c r="O839">
        <f t="shared" si="85"/>
        <v>4407.8500000000004</v>
      </c>
      <c r="P839">
        <f t="shared" si="86"/>
        <v>0.11638418079096045</v>
      </c>
      <c r="Q839" t="s">
        <v>4138</v>
      </c>
      <c r="R839" t="s">
        <v>4141</v>
      </c>
      <c r="S839">
        <f>YEAR(marketing_data[[#This Row],[Start_date]])</f>
        <v>2023</v>
      </c>
      <c r="T839" t="str">
        <f>TEXT(marketing_data[[#This Row],[Start_date]],"ddd")</f>
        <v>Wed</v>
      </c>
      <c r="U839">
        <f>marketing_data[[#This Row],[Cleaned End_date]]-marketing_data[[#This Row],[Start_date]]</f>
        <v>16</v>
      </c>
    </row>
    <row r="840" spans="1:21" x14ac:dyDescent="0.2">
      <c r="A840" t="s">
        <v>1752</v>
      </c>
      <c r="B840" t="s">
        <v>1753</v>
      </c>
      <c r="C840" s="2">
        <v>45205</v>
      </c>
      <c r="D840" t="str">
        <f t="shared" si="81"/>
        <v>Oct</v>
      </c>
      <c r="E840" s="2">
        <v>45235</v>
      </c>
      <c r="F840" t="s">
        <v>19</v>
      </c>
      <c r="G840">
        <v>74963</v>
      </c>
      <c r="H840">
        <v>842</v>
      </c>
      <c r="I840">
        <v>67</v>
      </c>
      <c r="J840" t="b">
        <v>0</v>
      </c>
      <c r="K840" s="10">
        <v>913.44</v>
      </c>
      <c r="L840" s="6">
        <f t="shared" si="82"/>
        <v>1.1232207889225351E-2</v>
      </c>
      <c r="M840">
        <f t="shared" si="83"/>
        <v>1.0848456057007128</v>
      </c>
      <c r="N840">
        <f t="shared" si="84"/>
        <v>13.633432835820896</v>
      </c>
      <c r="O840">
        <f t="shared" si="85"/>
        <v>2436.56</v>
      </c>
      <c r="P840">
        <f t="shared" si="86"/>
        <v>7.9572446555819479E-2</v>
      </c>
      <c r="Q840" t="s">
        <v>4136</v>
      </c>
      <c r="R840" t="s">
        <v>4138</v>
      </c>
      <c r="S840">
        <f>YEAR(marketing_data[[#This Row],[Start_date]])</f>
        <v>2023</v>
      </c>
      <c r="T840" t="str">
        <f>TEXT(marketing_data[[#This Row],[Start_date]],"ddd")</f>
        <v>Fri</v>
      </c>
      <c r="U840">
        <f>marketing_data[[#This Row],[Cleaned End_date]]-marketing_data[[#This Row],[Start_date]]</f>
        <v>30</v>
      </c>
    </row>
    <row r="841" spans="1:21" x14ac:dyDescent="0.2">
      <c r="A841" t="s">
        <v>1754</v>
      </c>
      <c r="B841" t="s">
        <v>1755</v>
      </c>
      <c r="C841" s="2">
        <v>45236</v>
      </c>
      <c r="D841" t="str">
        <f t="shared" si="81"/>
        <v>Nov</v>
      </c>
      <c r="E841" s="2">
        <v>45266</v>
      </c>
      <c r="F841" t="s">
        <v>19</v>
      </c>
      <c r="G841">
        <v>25285</v>
      </c>
      <c r="H841">
        <v>1000</v>
      </c>
      <c r="J841" t="b">
        <v>1</v>
      </c>
      <c r="K841" s="10">
        <v>1220.07</v>
      </c>
      <c r="L841" s="6">
        <f t="shared" si="82"/>
        <v>3.9549139806209214E-2</v>
      </c>
      <c r="M841">
        <f t="shared" si="83"/>
        <v>1.22007</v>
      </c>
      <c r="N841">
        <f t="shared" si="84"/>
        <v>0</v>
      </c>
      <c r="O841">
        <f t="shared" si="85"/>
        <v>-1220.07</v>
      </c>
      <c r="P841">
        <f t="shared" si="86"/>
        <v>0</v>
      </c>
      <c r="Q841" t="s">
        <v>4136</v>
      </c>
      <c r="R841" t="s">
        <v>4142</v>
      </c>
      <c r="S841">
        <f>YEAR(marketing_data[[#This Row],[Start_date]])</f>
        <v>2023</v>
      </c>
      <c r="T841" t="str">
        <f>TEXT(marketing_data[[#This Row],[Start_date]],"ddd")</f>
        <v>Mon</v>
      </c>
      <c r="U841">
        <f>marketing_data[[#This Row],[Cleaned End_date]]-marketing_data[[#This Row],[Start_date]]</f>
        <v>30</v>
      </c>
    </row>
    <row r="842" spans="1:21" x14ac:dyDescent="0.2">
      <c r="A842" t="s">
        <v>1756</v>
      </c>
      <c r="B842" t="s">
        <v>1757</v>
      </c>
      <c r="C842" s="2">
        <v>45033</v>
      </c>
      <c r="D842" t="str">
        <f t="shared" si="81"/>
        <v>Apr</v>
      </c>
      <c r="E842" s="2">
        <v>45046</v>
      </c>
      <c r="F842" t="s">
        <v>14</v>
      </c>
      <c r="G842">
        <v>38626</v>
      </c>
      <c r="H842">
        <v>550</v>
      </c>
      <c r="I842">
        <v>81</v>
      </c>
      <c r="J842" t="b">
        <v>0</v>
      </c>
      <c r="K842" s="10">
        <v>388.86</v>
      </c>
      <c r="L842" s="6">
        <f t="shared" si="82"/>
        <v>1.4239113550458241E-2</v>
      </c>
      <c r="M842">
        <f t="shared" si="83"/>
        <v>0.70701818181818188</v>
      </c>
      <c r="N842">
        <f t="shared" si="84"/>
        <v>4.800740740740741</v>
      </c>
      <c r="O842">
        <f t="shared" si="85"/>
        <v>3661.14</v>
      </c>
      <c r="P842">
        <f t="shared" si="86"/>
        <v>0.14727272727272728</v>
      </c>
      <c r="Q842" t="s">
        <v>4137</v>
      </c>
      <c r="R842" t="s">
        <v>4138</v>
      </c>
      <c r="S842">
        <f>YEAR(marketing_data[[#This Row],[Start_date]])</f>
        <v>2023</v>
      </c>
      <c r="T842" t="str">
        <f>TEXT(marketing_data[[#This Row],[Start_date]],"ddd")</f>
        <v>Mon</v>
      </c>
      <c r="U842">
        <f>marketing_data[[#This Row],[Cleaned End_date]]-marketing_data[[#This Row],[Start_date]]</f>
        <v>13</v>
      </c>
    </row>
    <row r="843" spans="1:21" x14ac:dyDescent="0.2">
      <c r="A843" t="s">
        <v>1758</v>
      </c>
      <c r="B843" t="s">
        <v>1759</v>
      </c>
      <c r="C843" s="2">
        <v>45291</v>
      </c>
      <c r="D843" t="str">
        <f t="shared" si="81"/>
        <v>Dec</v>
      </c>
      <c r="E843" s="2">
        <v>45316</v>
      </c>
      <c r="F843" t="s">
        <v>14</v>
      </c>
      <c r="G843">
        <v>43808</v>
      </c>
      <c r="H843">
        <v>989</v>
      </c>
      <c r="I843">
        <v>94</v>
      </c>
      <c r="J843" t="b">
        <v>1</v>
      </c>
      <c r="K843" s="10">
        <v>614.72</v>
      </c>
      <c r="L843" s="6">
        <f t="shared" si="82"/>
        <v>2.2575785244704164E-2</v>
      </c>
      <c r="M843">
        <f t="shared" si="83"/>
        <v>0.62155712841253796</v>
      </c>
      <c r="N843">
        <f t="shared" si="84"/>
        <v>6.5395744680851067</v>
      </c>
      <c r="O843">
        <f t="shared" si="85"/>
        <v>4085.2799999999997</v>
      </c>
      <c r="P843">
        <f t="shared" si="86"/>
        <v>9.5045500505561167E-2</v>
      </c>
      <c r="Q843" t="s">
        <v>4138</v>
      </c>
      <c r="R843" t="s">
        <v>4139</v>
      </c>
      <c r="S843">
        <f>YEAR(marketing_data[[#This Row],[Start_date]])</f>
        <v>2023</v>
      </c>
      <c r="T843" t="str">
        <f>TEXT(marketing_data[[#This Row],[Start_date]],"ddd")</f>
        <v>Sun</v>
      </c>
      <c r="U843">
        <f>marketing_data[[#This Row],[Cleaned End_date]]-marketing_data[[#This Row],[Start_date]]</f>
        <v>25</v>
      </c>
    </row>
    <row r="844" spans="1:21" x14ac:dyDescent="0.2">
      <c r="A844" t="s">
        <v>1760</v>
      </c>
      <c r="B844" t="s">
        <v>1761</v>
      </c>
      <c r="C844" s="2">
        <v>45080</v>
      </c>
      <c r="D844" t="str">
        <f t="shared" si="81"/>
        <v>Jun</v>
      </c>
      <c r="E844" s="2">
        <v>45098</v>
      </c>
      <c r="F844" t="s">
        <v>23</v>
      </c>
      <c r="G844">
        <v>89464</v>
      </c>
      <c r="H844">
        <v>908</v>
      </c>
      <c r="I844">
        <v>108</v>
      </c>
      <c r="J844" t="b">
        <v>1</v>
      </c>
      <c r="K844" s="10">
        <v>1584.08</v>
      </c>
      <c r="L844" s="6">
        <f t="shared" si="82"/>
        <v>1.0149333810247697E-2</v>
      </c>
      <c r="M844">
        <f t="shared" si="83"/>
        <v>1.7445814977973568</v>
      </c>
      <c r="N844">
        <f t="shared" si="84"/>
        <v>14.667407407407406</v>
      </c>
      <c r="O844">
        <f t="shared" si="85"/>
        <v>3815.92</v>
      </c>
      <c r="P844">
        <f t="shared" si="86"/>
        <v>0.11894273127753303</v>
      </c>
      <c r="Q844" t="s">
        <v>4139</v>
      </c>
      <c r="R844" t="s">
        <v>4142</v>
      </c>
      <c r="S844">
        <f>YEAR(marketing_data[[#This Row],[Start_date]])</f>
        <v>2023</v>
      </c>
      <c r="T844" t="str">
        <f>TEXT(marketing_data[[#This Row],[Start_date]],"ddd")</f>
        <v>Sat</v>
      </c>
      <c r="U844">
        <f>marketing_data[[#This Row],[Cleaned End_date]]-marketing_data[[#This Row],[Start_date]]</f>
        <v>18</v>
      </c>
    </row>
    <row r="845" spans="1:21" x14ac:dyDescent="0.2">
      <c r="A845" t="s">
        <v>1762</v>
      </c>
      <c r="B845" t="s">
        <v>1763</v>
      </c>
      <c r="C845" s="2">
        <v>45126</v>
      </c>
      <c r="D845" t="str">
        <f t="shared" si="81"/>
        <v>Jul</v>
      </c>
      <c r="E845" s="2">
        <v>45151</v>
      </c>
      <c r="F845" t="s">
        <v>41</v>
      </c>
      <c r="G845">
        <v>54871</v>
      </c>
      <c r="H845">
        <v>2044</v>
      </c>
      <c r="J845" t="b">
        <v>1</v>
      </c>
      <c r="K845" s="10">
        <v>3631.7599999999998</v>
      </c>
      <c r="L845" s="6">
        <f t="shared" si="82"/>
        <v>3.7251006907109405E-2</v>
      </c>
      <c r="M845">
        <f t="shared" si="83"/>
        <v>1.7767906066536203</v>
      </c>
      <c r="N845">
        <f t="shared" si="84"/>
        <v>0</v>
      </c>
      <c r="O845">
        <f t="shared" si="85"/>
        <v>-3631.7599999999998</v>
      </c>
      <c r="P845">
        <f t="shared" si="86"/>
        <v>0</v>
      </c>
      <c r="Q845" t="s">
        <v>4139</v>
      </c>
      <c r="R845" t="s">
        <v>4141</v>
      </c>
      <c r="S845">
        <f>YEAR(marketing_data[[#This Row],[Start_date]])</f>
        <v>2023</v>
      </c>
      <c r="T845" t="str">
        <f>TEXT(marketing_data[[#This Row],[Start_date]],"ddd")</f>
        <v>Wed</v>
      </c>
      <c r="U845">
        <f>marketing_data[[#This Row],[Cleaned End_date]]-marketing_data[[#This Row],[Start_date]]</f>
        <v>25</v>
      </c>
    </row>
    <row r="846" spans="1:21" x14ac:dyDescent="0.2">
      <c r="A846" t="s">
        <v>1764</v>
      </c>
      <c r="B846" t="s">
        <v>1765</v>
      </c>
      <c r="C846" s="2">
        <v>45123</v>
      </c>
      <c r="D846" t="str">
        <f t="shared" si="81"/>
        <v>Jul</v>
      </c>
      <c r="E846" s="2">
        <v>45127</v>
      </c>
      <c r="F846" t="s">
        <v>23</v>
      </c>
      <c r="G846">
        <v>20198</v>
      </c>
      <c r="H846">
        <v>337</v>
      </c>
      <c r="I846">
        <v>35</v>
      </c>
      <c r="J846" t="b">
        <v>0</v>
      </c>
      <c r="K846" s="10">
        <v>373.09</v>
      </c>
      <c r="L846" s="6">
        <f t="shared" si="82"/>
        <v>1.6684820279235568E-2</v>
      </c>
      <c r="M846">
        <f t="shared" si="83"/>
        <v>1.1070919881305636</v>
      </c>
      <c r="N846">
        <f t="shared" si="84"/>
        <v>10.659714285714285</v>
      </c>
      <c r="O846">
        <f t="shared" si="85"/>
        <v>1376.91</v>
      </c>
      <c r="P846">
        <f t="shared" si="86"/>
        <v>0.10385756676557864</v>
      </c>
      <c r="Q846" t="s">
        <v>4139</v>
      </c>
      <c r="R846" t="s">
        <v>4141</v>
      </c>
      <c r="S846">
        <f>YEAR(marketing_data[[#This Row],[Start_date]])</f>
        <v>2023</v>
      </c>
      <c r="T846" t="str">
        <f>TEXT(marketing_data[[#This Row],[Start_date]],"ddd")</f>
        <v>Sun</v>
      </c>
      <c r="U846">
        <f>marketing_data[[#This Row],[Cleaned End_date]]-marketing_data[[#This Row],[Start_date]]</f>
        <v>4</v>
      </c>
    </row>
    <row r="847" spans="1:21" x14ac:dyDescent="0.2">
      <c r="A847" t="s">
        <v>1766</v>
      </c>
      <c r="B847" t="s">
        <v>1767</v>
      </c>
      <c r="C847" s="2">
        <v>45279</v>
      </c>
      <c r="D847" t="str">
        <f t="shared" si="81"/>
        <v>Dec</v>
      </c>
      <c r="E847" s="2">
        <v>45293</v>
      </c>
      <c r="F847" t="s">
        <v>14</v>
      </c>
      <c r="G847">
        <v>20758</v>
      </c>
      <c r="H847">
        <v>751</v>
      </c>
      <c r="I847">
        <v>55</v>
      </c>
      <c r="J847" t="b">
        <v>1</v>
      </c>
      <c r="K847" s="10">
        <v>474.24</v>
      </c>
      <c r="L847" s="6">
        <f t="shared" si="82"/>
        <v>3.6178822622603336E-2</v>
      </c>
      <c r="M847">
        <f t="shared" si="83"/>
        <v>0.63147802929427432</v>
      </c>
      <c r="N847">
        <f t="shared" si="84"/>
        <v>8.6225454545454543</v>
      </c>
      <c r="O847">
        <f t="shared" si="85"/>
        <v>2275.7600000000002</v>
      </c>
      <c r="P847">
        <f t="shared" si="86"/>
        <v>7.3235685752330221E-2</v>
      </c>
      <c r="Q847" t="s">
        <v>4138</v>
      </c>
      <c r="R847" t="s">
        <v>4141</v>
      </c>
      <c r="S847">
        <f>YEAR(marketing_data[[#This Row],[Start_date]])</f>
        <v>2023</v>
      </c>
      <c r="T847" t="str">
        <f>TEXT(marketing_data[[#This Row],[Start_date]],"ddd")</f>
        <v>Tue</v>
      </c>
      <c r="U847">
        <f>marketing_data[[#This Row],[Cleaned End_date]]-marketing_data[[#This Row],[Start_date]]</f>
        <v>14</v>
      </c>
    </row>
    <row r="848" spans="1:21" x14ac:dyDescent="0.2">
      <c r="A848" t="s">
        <v>1768</v>
      </c>
      <c r="B848" t="s">
        <v>1769</v>
      </c>
      <c r="C848" s="2">
        <v>45104</v>
      </c>
      <c r="D848" t="str">
        <f t="shared" si="81"/>
        <v>Jun</v>
      </c>
      <c r="E848" s="2">
        <v>45127</v>
      </c>
      <c r="F848" t="s">
        <v>19</v>
      </c>
      <c r="G848">
        <v>16254</v>
      </c>
      <c r="H848">
        <v>807</v>
      </c>
      <c r="I848">
        <v>147</v>
      </c>
      <c r="J848" t="b">
        <v>1</v>
      </c>
      <c r="K848" s="10">
        <v>483.17</v>
      </c>
      <c r="L848" s="6">
        <f t="shared" si="82"/>
        <v>4.9649317091177557E-2</v>
      </c>
      <c r="M848">
        <f t="shared" si="83"/>
        <v>0.5987236679058241</v>
      </c>
      <c r="N848">
        <f t="shared" si="84"/>
        <v>3.2868707482993198</v>
      </c>
      <c r="O848">
        <f t="shared" si="85"/>
        <v>6866.83</v>
      </c>
      <c r="P848">
        <f t="shared" si="86"/>
        <v>0.18215613382899629</v>
      </c>
      <c r="Q848" t="s">
        <v>4139</v>
      </c>
      <c r="R848" t="s">
        <v>4139</v>
      </c>
      <c r="S848">
        <f>YEAR(marketing_data[[#This Row],[Start_date]])</f>
        <v>2023</v>
      </c>
      <c r="T848" t="str">
        <f>TEXT(marketing_data[[#This Row],[Start_date]],"ddd")</f>
        <v>Tue</v>
      </c>
      <c r="U848">
        <f>marketing_data[[#This Row],[Cleaned End_date]]-marketing_data[[#This Row],[Start_date]]</f>
        <v>23</v>
      </c>
    </row>
    <row r="849" spans="1:21" x14ac:dyDescent="0.2">
      <c r="A849" t="s">
        <v>1771</v>
      </c>
      <c r="B849" t="s">
        <v>1772</v>
      </c>
      <c r="C849" s="2">
        <v>45150</v>
      </c>
      <c r="D849" t="str">
        <f t="shared" si="81"/>
        <v>Aug</v>
      </c>
      <c r="E849" s="2">
        <v>45287</v>
      </c>
      <c r="F849" t="s">
        <v>19</v>
      </c>
      <c r="G849">
        <v>45238</v>
      </c>
      <c r="H849">
        <v>583</v>
      </c>
      <c r="I849">
        <v>30</v>
      </c>
      <c r="J849" t="b">
        <v>0</v>
      </c>
      <c r="K849" s="10">
        <v>1070.96</v>
      </c>
      <c r="L849" s="6">
        <f t="shared" si="82"/>
        <v>1.2887395552411689E-2</v>
      </c>
      <c r="M849">
        <f t="shared" si="83"/>
        <v>1.8369811320754719</v>
      </c>
      <c r="N849">
        <f t="shared" si="84"/>
        <v>35.698666666666668</v>
      </c>
      <c r="O849">
        <f t="shared" si="85"/>
        <v>429.03999999999996</v>
      </c>
      <c r="P849">
        <f t="shared" si="86"/>
        <v>5.1457975986277875E-2</v>
      </c>
      <c r="Q849" t="s">
        <v>4139</v>
      </c>
      <c r="R849" t="s">
        <v>4141</v>
      </c>
      <c r="S849">
        <f>YEAR(marketing_data[[#This Row],[Start_date]])</f>
        <v>2023</v>
      </c>
      <c r="T849" t="str">
        <f>TEXT(marketing_data[[#This Row],[Start_date]],"ddd")</f>
        <v>Sat</v>
      </c>
      <c r="U849">
        <f>marketing_data[[#This Row],[Cleaned End_date]]-marketing_data[[#This Row],[Start_date]]</f>
        <v>137</v>
      </c>
    </row>
    <row r="850" spans="1:21" x14ac:dyDescent="0.2">
      <c r="A850" t="s">
        <v>1773</v>
      </c>
      <c r="B850" t="s">
        <v>1774</v>
      </c>
      <c r="C850" s="2">
        <v>45236</v>
      </c>
      <c r="D850" t="str">
        <f t="shared" si="81"/>
        <v>Nov</v>
      </c>
      <c r="E850" s="2">
        <v>45256</v>
      </c>
      <c r="F850" t="s">
        <v>19</v>
      </c>
      <c r="G850">
        <v>2252</v>
      </c>
      <c r="H850">
        <v>29</v>
      </c>
      <c r="I850">
        <v>5</v>
      </c>
      <c r="J850" t="b">
        <v>1</v>
      </c>
      <c r="K850" s="10">
        <v>329.13249999999999</v>
      </c>
      <c r="L850" s="6">
        <f t="shared" si="82"/>
        <v>1.2877442273534635E-2</v>
      </c>
      <c r="M850">
        <f t="shared" si="83"/>
        <v>11.349396551724137</v>
      </c>
      <c r="N850">
        <f t="shared" si="84"/>
        <v>65.826499999999996</v>
      </c>
      <c r="O850">
        <f t="shared" si="85"/>
        <v>-79.132499999999993</v>
      </c>
      <c r="P850">
        <f t="shared" si="86"/>
        <v>0.17241379310344829</v>
      </c>
      <c r="Q850" t="s">
        <v>4136</v>
      </c>
      <c r="R850" t="s">
        <v>4142</v>
      </c>
      <c r="S850">
        <f>YEAR(marketing_data[[#This Row],[Start_date]])</f>
        <v>2023</v>
      </c>
      <c r="T850" t="str">
        <f>TEXT(marketing_data[[#This Row],[Start_date]],"ddd")</f>
        <v>Mon</v>
      </c>
      <c r="U850">
        <f>marketing_data[[#This Row],[Cleaned End_date]]-marketing_data[[#This Row],[Start_date]]</f>
        <v>20</v>
      </c>
    </row>
    <row r="851" spans="1:21" x14ac:dyDescent="0.2">
      <c r="A851" t="s">
        <v>1775</v>
      </c>
      <c r="B851" t="s">
        <v>1776</v>
      </c>
      <c r="C851" s="2">
        <v>45130</v>
      </c>
      <c r="D851" t="str">
        <f t="shared" si="81"/>
        <v>Jul</v>
      </c>
      <c r="E851" s="2">
        <v>45159</v>
      </c>
      <c r="F851" t="s">
        <v>33</v>
      </c>
      <c r="G851">
        <v>40764</v>
      </c>
      <c r="H851">
        <v>962</v>
      </c>
      <c r="I851">
        <v>130</v>
      </c>
      <c r="J851" t="b">
        <v>1</v>
      </c>
      <c r="K851" s="10">
        <v>942.8</v>
      </c>
      <c r="L851" s="6">
        <f t="shared" si="82"/>
        <v>2.3599254243940732E-2</v>
      </c>
      <c r="M851">
        <f t="shared" si="83"/>
        <v>0.98004158004158004</v>
      </c>
      <c r="N851">
        <f t="shared" si="84"/>
        <v>7.2523076923076921</v>
      </c>
      <c r="O851">
        <f t="shared" si="85"/>
        <v>5557.2</v>
      </c>
      <c r="P851">
        <f t="shared" si="86"/>
        <v>0.13513513513513514</v>
      </c>
      <c r="Q851" t="s">
        <v>4139</v>
      </c>
      <c r="R851" t="s">
        <v>4142</v>
      </c>
      <c r="S851">
        <f>YEAR(marketing_data[[#This Row],[Start_date]])</f>
        <v>2023</v>
      </c>
      <c r="T851" t="str">
        <f>TEXT(marketing_data[[#This Row],[Start_date]],"ddd")</f>
        <v>Sun</v>
      </c>
      <c r="U851">
        <f>marketing_data[[#This Row],[Cleaned End_date]]-marketing_data[[#This Row],[Start_date]]</f>
        <v>29</v>
      </c>
    </row>
    <row r="852" spans="1:21" x14ac:dyDescent="0.2">
      <c r="A852" t="s">
        <v>1777</v>
      </c>
      <c r="B852" t="s">
        <v>1778</v>
      </c>
      <c r="C852" s="2">
        <v>45251</v>
      </c>
      <c r="D852" t="str">
        <f t="shared" si="81"/>
        <v>Nov</v>
      </c>
      <c r="E852" s="2">
        <v>45263</v>
      </c>
      <c r="F852" t="s">
        <v>33</v>
      </c>
      <c r="G852">
        <v>78709</v>
      </c>
      <c r="H852">
        <v>3514</v>
      </c>
      <c r="J852" t="b">
        <v>1</v>
      </c>
      <c r="K852" s="10">
        <v>3631.7599999999998</v>
      </c>
      <c r="L852" s="6">
        <f t="shared" si="82"/>
        <v>4.4645466210979687E-2</v>
      </c>
      <c r="M852">
        <f t="shared" si="83"/>
        <v>1.0335116676152531</v>
      </c>
      <c r="N852">
        <f t="shared" si="84"/>
        <v>0</v>
      </c>
      <c r="O852">
        <f t="shared" si="85"/>
        <v>-3631.7599999999998</v>
      </c>
      <c r="P852">
        <f t="shared" si="86"/>
        <v>0</v>
      </c>
      <c r="Q852" t="s">
        <v>4136</v>
      </c>
      <c r="R852" t="s">
        <v>4141</v>
      </c>
      <c r="S852">
        <f>YEAR(marketing_data[[#This Row],[Start_date]])</f>
        <v>2023</v>
      </c>
      <c r="T852" t="str">
        <f>TEXT(marketing_data[[#This Row],[Start_date]],"ddd")</f>
        <v>Tue</v>
      </c>
      <c r="U852">
        <f>marketing_data[[#This Row],[Cleaned End_date]]-marketing_data[[#This Row],[Start_date]]</f>
        <v>12</v>
      </c>
    </row>
    <row r="853" spans="1:21" x14ac:dyDescent="0.2">
      <c r="A853" t="s">
        <v>1779</v>
      </c>
      <c r="B853" t="s">
        <v>1780</v>
      </c>
      <c r="C853" s="2">
        <v>45178</v>
      </c>
      <c r="D853" t="str">
        <f t="shared" si="81"/>
        <v>Sep</v>
      </c>
      <c r="E853" s="2">
        <v>45200</v>
      </c>
      <c r="F853" t="s">
        <v>33</v>
      </c>
      <c r="G853">
        <v>38441</v>
      </c>
      <c r="H853">
        <v>715</v>
      </c>
      <c r="I853">
        <v>113</v>
      </c>
      <c r="J853" t="b">
        <v>0</v>
      </c>
      <c r="K853" s="10">
        <v>698.88</v>
      </c>
      <c r="L853" s="6">
        <f t="shared" si="82"/>
        <v>1.8599932363882313E-2</v>
      </c>
      <c r="M853">
        <f t="shared" si="83"/>
        <v>0.97745454545454546</v>
      </c>
      <c r="N853">
        <f t="shared" si="84"/>
        <v>6.1847787610619465</v>
      </c>
      <c r="O853">
        <f t="shared" si="85"/>
        <v>4951.12</v>
      </c>
      <c r="P853">
        <f t="shared" si="86"/>
        <v>0.15804195804195803</v>
      </c>
      <c r="Q853" t="s">
        <v>4136</v>
      </c>
      <c r="R853" t="s">
        <v>4138</v>
      </c>
      <c r="S853">
        <f>YEAR(marketing_data[[#This Row],[Start_date]])</f>
        <v>2023</v>
      </c>
      <c r="T853" t="str">
        <f>TEXT(marketing_data[[#This Row],[Start_date]],"ddd")</f>
        <v>Sat</v>
      </c>
      <c r="U853">
        <f>marketing_data[[#This Row],[Cleaned End_date]]-marketing_data[[#This Row],[Start_date]]</f>
        <v>22</v>
      </c>
    </row>
    <row r="854" spans="1:21" x14ac:dyDescent="0.2">
      <c r="A854" t="s">
        <v>1781</v>
      </c>
      <c r="B854" t="s">
        <v>1782</v>
      </c>
      <c r="C854" s="2">
        <v>45119</v>
      </c>
      <c r="D854" t="str">
        <f t="shared" si="81"/>
        <v>Jul</v>
      </c>
      <c r="E854" s="2">
        <v>45135</v>
      </c>
      <c r="F854" t="s">
        <v>14</v>
      </c>
      <c r="G854">
        <v>93234</v>
      </c>
      <c r="H854">
        <v>2276</v>
      </c>
      <c r="I854">
        <v>287</v>
      </c>
      <c r="J854" t="b">
        <v>1</v>
      </c>
      <c r="K854" s="10">
        <v>2807.57</v>
      </c>
      <c r="L854" s="6">
        <f t="shared" si="82"/>
        <v>2.4411695304288134E-2</v>
      </c>
      <c r="M854">
        <f t="shared" si="83"/>
        <v>1.2335544815465731</v>
      </c>
      <c r="N854">
        <f t="shared" si="84"/>
        <v>9.7824738675958187</v>
      </c>
      <c r="O854">
        <f t="shared" si="85"/>
        <v>11542.43</v>
      </c>
      <c r="P854">
        <f t="shared" si="86"/>
        <v>0.12609841827768015</v>
      </c>
      <c r="Q854" t="s">
        <v>4139</v>
      </c>
      <c r="R854" t="s">
        <v>4139</v>
      </c>
      <c r="S854">
        <f>YEAR(marketing_data[[#This Row],[Start_date]])</f>
        <v>2023</v>
      </c>
      <c r="T854" t="str">
        <f>TEXT(marketing_data[[#This Row],[Start_date]],"ddd")</f>
        <v>Wed</v>
      </c>
      <c r="U854">
        <f>marketing_data[[#This Row],[Cleaned End_date]]-marketing_data[[#This Row],[Start_date]]</f>
        <v>16</v>
      </c>
    </row>
    <row r="855" spans="1:21" x14ac:dyDescent="0.2">
      <c r="A855" t="s">
        <v>1783</v>
      </c>
      <c r="B855" t="s">
        <v>1784</v>
      </c>
      <c r="C855" s="2">
        <v>45265</v>
      </c>
      <c r="D855" t="str">
        <f t="shared" si="81"/>
        <v>Dec</v>
      </c>
      <c r="E855" s="2">
        <v>45266</v>
      </c>
      <c r="F855" t="s">
        <v>23</v>
      </c>
      <c r="G855">
        <v>54682</v>
      </c>
      <c r="H855">
        <v>696</v>
      </c>
      <c r="I855">
        <v>86</v>
      </c>
      <c r="J855" t="b">
        <v>0</v>
      </c>
      <c r="K855" s="10">
        <v>1245.3800000000001</v>
      </c>
      <c r="L855" s="6">
        <f t="shared" si="82"/>
        <v>1.2728137229801397E-2</v>
      </c>
      <c r="M855">
        <f t="shared" si="83"/>
        <v>1.7893390804597702</v>
      </c>
      <c r="N855">
        <f t="shared" si="84"/>
        <v>14.481162790697676</v>
      </c>
      <c r="O855">
        <f t="shared" si="85"/>
        <v>3054.62</v>
      </c>
      <c r="P855">
        <f t="shared" si="86"/>
        <v>0.1235632183908046</v>
      </c>
      <c r="Q855" t="s">
        <v>4138</v>
      </c>
      <c r="R855" t="s">
        <v>4138</v>
      </c>
      <c r="S855">
        <f>YEAR(marketing_data[[#This Row],[Start_date]])</f>
        <v>2023</v>
      </c>
      <c r="T855" t="str">
        <f>TEXT(marketing_data[[#This Row],[Start_date]],"ddd")</f>
        <v>Tue</v>
      </c>
      <c r="U855">
        <f>marketing_data[[#This Row],[Cleaned End_date]]-marketing_data[[#This Row],[Start_date]]</f>
        <v>1</v>
      </c>
    </row>
    <row r="856" spans="1:21" x14ac:dyDescent="0.2">
      <c r="A856" t="s">
        <v>1785</v>
      </c>
      <c r="B856" t="s">
        <v>1786</v>
      </c>
      <c r="C856" s="2">
        <v>45078</v>
      </c>
      <c r="D856" t="str">
        <f t="shared" si="81"/>
        <v>Jun</v>
      </c>
      <c r="E856" s="2">
        <v>45091</v>
      </c>
      <c r="F856" t="s">
        <v>41</v>
      </c>
      <c r="G856">
        <v>60494</v>
      </c>
      <c r="H856">
        <v>2451</v>
      </c>
      <c r="I856">
        <v>163</v>
      </c>
      <c r="J856" t="b">
        <v>1</v>
      </c>
      <c r="K856" s="10">
        <v>3403.1</v>
      </c>
      <c r="L856" s="6">
        <f t="shared" si="82"/>
        <v>4.0516414851059612E-2</v>
      </c>
      <c r="M856">
        <f t="shared" si="83"/>
        <v>1.3884536923704609</v>
      </c>
      <c r="N856">
        <f t="shared" si="84"/>
        <v>20.877914110429447</v>
      </c>
      <c r="O856">
        <f t="shared" si="85"/>
        <v>4746.8999999999996</v>
      </c>
      <c r="P856">
        <f t="shared" si="86"/>
        <v>6.6503467972256217E-2</v>
      </c>
      <c r="Q856" t="s">
        <v>4139</v>
      </c>
      <c r="R856" t="s">
        <v>4139</v>
      </c>
      <c r="S856">
        <f>YEAR(marketing_data[[#This Row],[Start_date]])</f>
        <v>2023</v>
      </c>
      <c r="T856" t="str">
        <f>TEXT(marketing_data[[#This Row],[Start_date]],"ddd")</f>
        <v>Thu</v>
      </c>
      <c r="U856">
        <f>marketing_data[[#This Row],[Cleaned End_date]]-marketing_data[[#This Row],[Start_date]]</f>
        <v>13</v>
      </c>
    </row>
    <row r="857" spans="1:21" x14ac:dyDescent="0.2">
      <c r="A857" t="s">
        <v>1787</v>
      </c>
      <c r="B857" t="s">
        <v>1788</v>
      </c>
      <c r="C857" s="2">
        <v>44969</v>
      </c>
      <c r="D857" t="str">
        <f t="shared" si="81"/>
        <v>Feb</v>
      </c>
      <c r="E857" s="2">
        <v>44971</v>
      </c>
      <c r="F857" t="s">
        <v>33</v>
      </c>
      <c r="G857">
        <v>82317</v>
      </c>
      <c r="H857">
        <v>2167</v>
      </c>
      <c r="I857">
        <v>234</v>
      </c>
      <c r="J857" t="b">
        <v>1</v>
      </c>
      <c r="K857" s="10">
        <v>3341.47</v>
      </c>
      <c r="L857" s="6">
        <f t="shared" si="82"/>
        <v>2.632506043709076E-2</v>
      </c>
      <c r="M857">
        <f t="shared" si="83"/>
        <v>1.541979695431472</v>
      </c>
      <c r="N857">
        <f t="shared" si="84"/>
        <v>14.279786324786324</v>
      </c>
      <c r="O857">
        <f t="shared" si="85"/>
        <v>8358.5300000000007</v>
      </c>
      <c r="P857">
        <f t="shared" si="86"/>
        <v>0.10798338717120443</v>
      </c>
      <c r="Q857" t="s">
        <v>4138</v>
      </c>
      <c r="R857" t="s">
        <v>4139</v>
      </c>
      <c r="S857">
        <f>YEAR(marketing_data[[#This Row],[Start_date]])</f>
        <v>2023</v>
      </c>
      <c r="T857" t="str">
        <f>TEXT(marketing_data[[#This Row],[Start_date]],"ddd")</f>
        <v>Sun</v>
      </c>
      <c r="U857">
        <f>marketing_data[[#This Row],[Cleaned End_date]]-marketing_data[[#This Row],[Start_date]]</f>
        <v>2</v>
      </c>
    </row>
    <row r="858" spans="1:21" x14ac:dyDescent="0.2">
      <c r="A858" t="s">
        <v>1789</v>
      </c>
      <c r="B858" t="s">
        <v>1790</v>
      </c>
      <c r="C858" s="2">
        <v>45251</v>
      </c>
      <c r="D858" t="str">
        <f t="shared" si="81"/>
        <v>Nov</v>
      </c>
      <c r="E858" s="2">
        <v>45267</v>
      </c>
      <c r="F858" t="s">
        <v>19</v>
      </c>
      <c r="G858">
        <v>66215</v>
      </c>
      <c r="H858">
        <v>2673</v>
      </c>
      <c r="I858">
        <v>230</v>
      </c>
      <c r="J858" t="b">
        <v>1</v>
      </c>
      <c r="K858" s="10">
        <v>2798.65</v>
      </c>
      <c r="L858" s="6">
        <f t="shared" si="82"/>
        <v>4.036849656422261E-2</v>
      </c>
      <c r="M858">
        <f t="shared" si="83"/>
        <v>1.0470071081182193</v>
      </c>
      <c r="N858">
        <f t="shared" si="84"/>
        <v>12.16804347826087</v>
      </c>
      <c r="O858">
        <f t="shared" si="85"/>
        <v>8701.35</v>
      </c>
      <c r="P858">
        <f t="shared" si="86"/>
        <v>8.6045641601197154E-2</v>
      </c>
      <c r="Q858" t="s">
        <v>4136</v>
      </c>
      <c r="R858" t="s">
        <v>4142</v>
      </c>
      <c r="S858">
        <f>YEAR(marketing_data[[#This Row],[Start_date]])</f>
        <v>2023</v>
      </c>
      <c r="T858" t="str">
        <f>TEXT(marketing_data[[#This Row],[Start_date]],"ddd")</f>
        <v>Tue</v>
      </c>
      <c r="U858">
        <f>marketing_data[[#This Row],[Cleaned End_date]]-marketing_data[[#This Row],[Start_date]]</f>
        <v>16</v>
      </c>
    </row>
    <row r="859" spans="1:21" x14ac:dyDescent="0.2">
      <c r="A859" t="s">
        <v>1791</v>
      </c>
      <c r="B859" t="s">
        <v>1792</v>
      </c>
      <c r="C859" s="2">
        <v>45111</v>
      </c>
      <c r="D859" t="str">
        <f t="shared" si="81"/>
        <v>Jul</v>
      </c>
      <c r="E859" s="2">
        <v>45141</v>
      </c>
      <c r="F859" t="s">
        <v>33</v>
      </c>
      <c r="G859">
        <v>79587</v>
      </c>
      <c r="H859">
        <v>3672</v>
      </c>
      <c r="I859">
        <v>192</v>
      </c>
      <c r="J859" t="b">
        <v>0</v>
      </c>
      <c r="K859" s="10">
        <v>3631.7599999999998</v>
      </c>
      <c r="L859" s="6">
        <f t="shared" si="82"/>
        <v>4.6138188397602621E-2</v>
      </c>
      <c r="M859">
        <f t="shared" si="83"/>
        <v>0.98904139433551197</v>
      </c>
      <c r="N859">
        <f t="shared" si="84"/>
        <v>18.915416666666665</v>
      </c>
      <c r="O859">
        <f t="shared" si="85"/>
        <v>5968.24</v>
      </c>
      <c r="P859">
        <f t="shared" si="86"/>
        <v>5.2287581699346407E-2</v>
      </c>
      <c r="Q859" t="s">
        <v>4139</v>
      </c>
      <c r="R859" t="s">
        <v>4139</v>
      </c>
      <c r="S859">
        <f>YEAR(marketing_data[[#This Row],[Start_date]])</f>
        <v>2023</v>
      </c>
      <c r="T859" t="str">
        <f>TEXT(marketing_data[[#This Row],[Start_date]],"ddd")</f>
        <v>Tue</v>
      </c>
      <c r="U859">
        <f>marketing_data[[#This Row],[Cleaned End_date]]-marketing_data[[#This Row],[Start_date]]</f>
        <v>30</v>
      </c>
    </row>
    <row r="860" spans="1:21" x14ac:dyDescent="0.2">
      <c r="A860" t="s">
        <v>1793</v>
      </c>
      <c r="B860" t="s">
        <v>1794</v>
      </c>
      <c r="C860" s="2">
        <v>45084</v>
      </c>
      <c r="D860" t="str">
        <f t="shared" si="81"/>
        <v>Jun</v>
      </c>
      <c r="E860" s="2">
        <v>45113</v>
      </c>
      <c r="F860" t="s">
        <v>14</v>
      </c>
      <c r="G860">
        <v>7949</v>
      </c>
      <c r="H860">
        <v>153</v>
      </c>
      <c r="I860">
        <v>15</v>
      </c>
      <c r="J860" t="b">
        <v>0</v>
      </c>
      <c r="K860" s="10">
        <v>329.13249999999999</v>
      </c>
      <c r="L860" s="6">
        <f t="shared" si="82"/>
        <v>1.9247704113724996E-2</v>
      </c>
      <c r="M860">
        <f t="shared" si="83"/>
        <v>2.1511928104575162</v>
      </c>
      <c r="N860">
        <f t="shared" si="84"/>
        <v>21.942166666666665</v>
      </c>
      <c r="O860">
        <f t="shared" si="85"/>
        <v>420.86750000000001</v>
      </c>
      <c r="P860">
        <f t="shared" si="86"/>
        <v>9.8039215686274508E-2</v>
      </c>
      <c r="Q860" t="s">
        <v>4139</v>
      </c>
      <c r="R860" t="s">
        <v>4142</v>
      </c>
      <c r="S860">
        <f>YEAR(marketing_data[[#This Row],[Start_date]])</f>
        <v>2023</v>
      </c>
      <c r="T860" t="str">
        <f>TEXT(marketing_data[[#This Row],[Start_date]],"ddd")</f>
        <v>Wed</v>
      </c>
      <c r="U860">
        <f>marketing_data[[#This Row],[Cleaned End_date]]-marketing_data[[#This Row],[Start_date]]</f>
        <v>29</v>
      </c>
    </row>
    <row r="861" spans="1:21" x14ac:dyDescent="0.2">
      <c r="A861" t="s">
        <v>1795</v>
      </c>
      <c r="B861" t="s">
        <v>1796</v>
      </c>
      <c r="C861" s="2">
        <v>44979</v>
      </c>
      <c r="D861" t="str">
        <f t="shared" si="81"/>
        <v>Feb</v>
      </c>
      <c r="E861" s="2">
        <v>44982</v>
      </c>
      <c r="F861" t="s">
        <v>14</v>
      </c>
      <c r="G861">
        <v>56393</v>
      </c>
      <c r="H861">
        <v>2385</v>
      </c>
      <c r="I861">
        <v>151</v>
      </c>
      <c r="J861" t="b">
        <v>1</v>
      </c>
      <c r="K861" s="10">
        <v>1620.23</v>
      </c>
      <c r="L861" s="6">
        <f t="shared" si="82"/>
        <v>4.2292483109605802E-2</v>
      </c>
      <c r="M861">
        <f t="shared" si="83"/>
        <v>0.67934171907756813</v>
      </c>
      <c r="N861">
        <f t="shared" si="84"/>
        <v>10.73</v>
      </c>
      <c r="O861">
        <f t="shared" si="85"/>
        <v>5929.77</v>
      </c>
      <c r="P861">
        <f t="shared" si="86"/>
        <v>6.3312368972746336E-2</v>
      </c>
      <c r="Q861" t="s">
        <v>4138</v>
      </c>
      <c r="R861" t="s">
        <v>4138</v>
      </c>
      <c r="S861">
        <f>YEAR(marketing_data[[#This Row],[Start_date]])</f>
        <v>2023</v>
      </c>
      <c r="T861" t="str">
        <f>TEXT(marketing_data[[#This Row],[Start_date]],"ddd")</f>
        <v>Wed</v>
      </c>
      <c r="U861">
        <f>marketing_data[[#This Row],[Cleaned End_date]]-marketing_data[[#This Row],[Start_date]]</f>
        <v>3</v>
      </c>
    </row>
    <row r="862" spans="1:21" x14ac:dyDescent="0.2">
      <c r="A862" t="s">
        <v>1797</v>
      </c>
      <c r="B862" t="s">
        <v>1798</v>
      </c>
      <c r="C862" s="2">
        <v>45156</v>
      </c>
      <c r="D862" t="str">
        <f t="shared" si="81"/>
        <v>Aug</v>
      </c>
      <c r="E862" s="2">
        <v>45172</v>
      </c>
      <c r="F862" t="s">
        <v>14</v>
      </c>
      <c r="G862">
        <v>74553</v>
      </c>
      <c r="H862">
        <v>921</v>
      </c>
      <c r="I862">
        <v>81</v>
      </c>
      <c r="J862" t="b">
        <v>0</v>
      </c>
      <c r="K862" s="10">
        <v>1251.6099999999999</v>
      </c>
      <c r="L862" s="6">
        <f t="shared" si="82"/>
        <v>1.2353627620618889E-2</v>
      </c>
      <c r="M862">
        <f t="shared" si="83"/>
        <v>1.3589685124864277</v>
      </c>
      <c r="N862">
        <f t="shared" si="84"/>
        <v>15.451975308641973</v>
      </c>
      <c r="O862">
        <f t="shared" si="85"/>
        <v>2798.3900000000003</v>
      </c>
      <c r="P862">
        <f t="shared" si="86"/>
        <v>8.7947882736156349E-2</v>
      </c>
      <c r="Q862" t="s">
        <v>4139</v>
      </c>
      <c r="R862" t="s">
        <v>4138</v>
      </c>
      <c r="S862">
        <f>YEAR(marketing_data[[#This Row],[Start_date]])</f>
        <v>2023</v>
      </c>
      <c r="T862" t="str">
        <f>TEXT(marketing_data[[#This Row],[Start_date]],"ddd")</f>
        <v>Fri</v>
      </c>
      <c r="U862">
        <f>marketing_data[[#This Row],[Cleaned End_date]]-marketing_data[[#This Row],[Start_date]]</f>
        <v>16</v>
      </c>
    </row>
    <row r="863" spans="1:21" x14ac:dyDescent="0.2">
      <c r="A863" t="s">
        <v>1799</v>
      </c>
      <c r="B863" t="s">
        <v>1800</v>
      </c>
      <c r="C863" s="2">
        <v>44979</v>
      </c>
      <c r="D863" t="str">
        <f t="shared" si="81"/>
        <v>Feb</v>
      </c>
      <c r="E863" s="2">
        <v>45009</v>
      </c>
      <c r="F863" t="s">
        <v>33</v>
      </c>
      <c r="G863">
        <v>7941</v>
      </c>
      <c r="H863">
        <v>364</v>
      </c>
      <c r="I863">
        <v>23</v>
      </c>
      <c r="J863" t="b">
        <v>0</v>
      </c>
      <c r="K863" s="10">
        <v>329.13249999999999</v>
      </c>
      <c r="L863" s="6">
        <f t="shared" si="82"/>
        <v>4.583805566049616E-2</v>
      </c>
      <c r="M863">
        <f t="shared" si="83"/>
        <v>0.90421016483516481</v>
      </c>
      <c r="N863">
        <f t="shared" si="84"/>
        <v>14.310108695652174</v>
      </c>
      <c r="O863">
        <f t="shared" si="85"/>
        <v>820.86750000000006</v>
      </c>
      <c r="P863">
        <f t="shared" si="86"/>
        <v>6.3186813186813184E-2</v>
      </c>
      <c r="Q863" t="s">
        <v>4138</v>
      </c>
      <c r="R863" t="s">
        <v>4138</v>
      </c>
      <c r="S863">
        <f>YEAR(marketing_data[[#This Row],[Start_date]])</f>
        <v>2023</v>
      </c>
      <c r="T863" t="str">
        <f>TEXT(marketing_data[[#This Row],[Start_date]],"ddd")</f>
        <v>Wed</v>
      </c>
      <c r="U863">
        <f>marketing_data[[#This Row],[Cleaned End_date]]-marketing_data[[#This Row],[Start_date]]</f>
        <v>30</v>
      </c>
    </row>
    <row r="864" spans="1:21" x14ac:dyDescent="0.2">
      <c r="A864" t="s">
        <v>1801</v>
      </c>
      <c r="B864" t="s">
        <v>1802</v>
      </c>
      <c r="C864" s="2">
        <v>45108</v>
      </c>
      <c r="D864" t="str">
        <f t="shared" si="81"/>
        <v>Jul</v>
      </c>
      <c r="E864" s="2">
        <v>45126</v>
      </c>
      <c r="F864" t="s">
        <v>14</v>
      </c>
      <c r="G864">
        <v>26934</v>
      </c>
      <c r="H864">
        <v>970</v>
      </c>
      <c r="I864">
        <v>63</v>
      </c>
      <c r="J864" t="b">
        <v>0</v>
      </c>
      <c r="K864" s="10">
        <v>1654.96</v>
      </c>
      <c r="L864" s="6">
        <f t="shared" si="82"/>
        <v>3.6013960050493801E-2</v>
      </c>
      <c r="M864">
        <f t="shared" si="83"/>
        <v>1.7061443298969072</v>
      </c>
      <c r="N864">
        <f t="shared" si="84"/>
        <v>26.26920634920635</v>
      </c>
      <c r="O864">
        <f t="shared" si="85"/>
        <v>1495.04</v>
      </c>
      <c r="P864">
        <f t="shared" si="86"/>
        <v>6.4948453608247428E-2</v>
      </c>
      <c r="Q864" t="s">
        <v>4139</v>
      </c>
      <c r="R864" t="s">
        <v>4142</v>
      </c>
      <c r="S864">
        <f>YEAR(marketing_data[[#This Row],[Start_date]])</f>
        <v>2023</v>
      </c>
      <c r="T864" t="str">
        <f>TEXT(marketing_data[[#This Row],[Start_date]],"ddd")</f>
        <v>Sat</v>
      </c>
      <c r="U864">
        <f>marketing_data[[#This Row],[Cleaned End_date]]-marketing_data[[#This Row],[Start_date]]</f>
        <v>18</v>
      </c>
    </row>
    <row r="865" spans="1:21" x14ac:dyDescent="0.2">
      <c r="A865" t="s">
        <v>1803</v>
      </c>
      <c r="B865" t="s">
        <v>1804</v>
      </c>
      <c r="C865" s="2">
        <v>45093</v>
      </c>
      <c r="D865" t="str">
        <f t="shared" si="81"/>
        <v>Jun</v>
      </c>
      <c r="E865" s="2">
        <v>45096</v>
      </c>
      <c r="F865" t="s">
        <v>19</v>
      </c>
      <c r="G865">
        <v>24386</v>
      </c>
      <c r="H865">
        <v>1096</v>
      </c>
      <c r="I865">
        <v>87</v>
      </c>
      <c r="J865" t="b">
        <v>0</v>
      </c>
      <c r="K865" s="10">
        <v>1248.24</v>
      </c>
      <c r="L865" s="6">
        <f t="shared" si="82"/>
        <v>4.49438202247191E-2</v>
      </c>
      <c r="M865">
        <f t="shared" si="83"/>
        <v>1.138905109489051</v>
      </c>
      <c r="N865">
        <f t="shared" si="84"/>
        <v>14.347586206896551</v>
      </c>
      <c r="O865">
        <f t="shared" si="85"/>
        <v>3101.76</v>
      </c>
      <c r="P865">
        <f t="shared" si="86"/>
        <v>7.9379562043795621E-2</v>
      </c>
      <c r="Q865" t="s">
        <v>4139</v>
      </c>
      <c r="R865" t="s">
        <v>4138</v>
      </c>
      <c r="S865">
        <f>YEAR(marketing_data[[#This Row],[Start_date]])</f>
        <v>2023</v>
      </c>
      <c r="T865" t="str">
        <f>TEXT(marketing_data[[#This Row],[Start_date]],"ddd")</f>
        <v>Fri</v>
      </c>
      <c r="U865">
        <f>marketing_data[[#This Row],[Cleaned End_date]]-marketing_data[[#This Row],[Start_date]]</f>
        <v>3</v>
      </c>
    </row>
    <row r="866" spans="1:21" x14ac:dyDescent="0.2">
      <c r="A866" t="s">
        <v>1805</v>
      </c>
      <c r="B866" t="s">
        <v>1806</v>
      </c>
      <c r="C866" s="2">
        <v>45138</v>
      </c>
      <c r="D866" t="str">
        <f t="shared" si="81"/>
        <v>Jul</v>
      </c>
      <c r="E866" s="2">
        <v>45141</v>
      </c>
      <c r="F866" t="s">
        <v>14</v>
      </c>
      <c r="G866">
        <v>62886</v>
      </c>
      <c r="H866">
        <v>629</v>
      </c>
      <c r="I866">
        <v>125</v>
      </c>
      <c r="J866" t="b">
        <v>0</v>
      </c>
      <c r="K866" s="10">
        <v>1252.98</v>
      </c>
      <c r="L866" s="6">
        <f t="shared" si="82"/>
        <v>1.0002226250675827E-2</v>
      </c>
      <c r="M866">
        <f t="shared" si="83"/>
        <v>1.9920190779014308</v>
      </c>
      <c r="N866">
        <f t="shared" si="84"/>
        <v>10.02384</v>
      </c>
      <c r="O866">
        <f t="shared" si="85"/>
        <v>4997.0200000000004</v>
      </c>
      <c r="P866">
        <f t="shared" si="86"/>
        <v>0.1987281399046105</v>
      </c>
      <c r="Q866" t="s">
        <v>4139</v>
      </c>
      <c r="R866" t="s">
        <v>4139</v>
      </c>
      <c r="S866">
        <f>YEAR(marketing_data[[#This Row],[Start_date]])</f>
        <v>2023</v>
      </c>
      <c r="T866" t="str">
        <f>TEXT(marketing_data[[#This Row],[Start_date]],"ddd")</f>
        <v>Mon</v>
      </c>
      <c r="U866">
        <f>marketing_data[[#This Row],[Cleaned End_date]]-marketing_data[[#This Row],[Start_date]]</f>
        <v>3</v>
      </c>
    </row>
    <row r="867" spans="1:21" x14ac:dyDescent="0.2">
      <c r="A867" t="s">
        <v>1807</v>
      </c>
      <c r="B867" t="s">
        <v>1808</v>
      </c>
      <c r="C867" s="2">
        <v>45213</v>
      </c>
      <c r="D867" t="str">
        <f t="shared" si="81"/>
        <v>Oct</v>
      </c>
      <c r="E867" s="2">
        <v>45243</v>
      </c>
      <c r="F867" t="s">
        <v>14</v>
      </c>
      <c r="G867">
        <v>76745</v>
      </c>
      <c r="H867">
        <v>1286</v>
      </c>
      <c r="I867">
        <v>64</v>
      </c>
      <c r="J867" t="b">
        <v>1</v>
      </c>
      <c r="K867" s="10">
        <v>821.43</v>
      </c>
      <c r="L867" s="6">
        <f t="shared" si="82"/>
        <v>1.6756791973418464E-2</v>
      </c>
      <c r="M867">
        <f t="shared" si="83"/>
        <v>0.63874805598755824</v>
      </c>
      <c r="N867">
        <f t="shared" si="84"/>
        <v>12.834843749999999</v>
      </c>
      <c r="O867">
        <f t="shared" si="85"/>
        <v>2378.5700000000002</v>
      </c>
      <c r="P867">
        <f t="shared" si="86"/>
        <v>4.9766718506998445E-2</v>
      </c>
      <c r="Q867" t="s">
        <v>4136</v>
      </c>
      <c r="R867" t="s">
        <v>4139</v>
      </c>
      <c r="S867">
        <f>YEAR(marketing_data[[#This Row],[Start_date]])</f>
        <v>2023</v>
      </c>
      <c r="T867" t="str">
        <f>TEXT(marketing_data[[#This Row],[Start_date]],"ddd")</f>
        <v>Sat</v>
      </c>
      <c r="U867">
        <f>marketing_data[[#This Row],[Cleaned End_date]]-marketing_data[[#This Row],[Start_date]]</f>
        <v>30</v>
      </c>
    </row>
    <row r="868" spans="1:21" x14ac:dyDescent="0.2">
      <c r="A868" t="s">
        <v>1809</v>
      </c>
      <c r="B868" t="s">
        <v>1810</v>
      </c>
      <c r="C868" s="2">
        <v>45219</v>
      </c>
      <c r="D868" t="str">
        <f t="shared" si="81"/>
        <v>Oct</v>
      </c>
      <c r="E868" s="2">
        <v>45243</v>
      </c>
      <c r="F868" t="s">
        <v>23</v>
      </c>
      <c r="G868">
        <v>84251</v>
      </c>
      <c r="H868">
        <v>2156</v>
      </c>
      <c r="I868">
        <v>314</v>
      </c>
      <c r="J868" t="b">
        <v>1</v>
      </c>
      <c r="K868" s="10">
        <v>3601.64</v>
      </c>
      <c r="L868" s="6">
        <f t="shared" si="82"/>
        <v>2.5590200709783861E-2</v>
      </c>
      <c r="M868">
        <f t="shared" si="83"/>
        <v>1.6705194805194805</v>
      </c>
      <c r="N868">
        <f t="shared" si="84"/>
        <v>11.470191082802547</v>
      </c>
      <c r="O868">
        <f t="shared" si="85"/>
        <v>12098.36</v>
      </c>
      <c r="P868">
        <f t="shared" si="86"/>
        <v>0.1456400742115028</v>
      </c>
      <c r="Q868" t="s">
        <v>4136</v>
      </c>
      <c r="R868" t="s">
        <v>4141</v>
      </c>
      <c r="S868">
        <f>YEAR(marketing_data[[#This Row],[Start_date]])</f>
        <v>2023</v>
      </c>
      <c r="T868" t="str">
        <f>TEXT(marketing_data[[#This Row],[Start_date]],"ddd")</f>
        <v>Fri</v>
      </c>
      <c r="U868">
        <f>marketing_data[[#This Row],[Cleaned End_date]]-marketing_data[[#This Row],[Start_date]]</f>
        <v>24</v>
      </c>
    </row>
    <row r="869" spans="1:21" x14ac:dyDescent="0.2">
      <c r="A869" t="s">
        <v>1811</v>
      </c>
      <c r="B869" t="s">
        <v>1812</v>
      </c>
      <c r="C869" s="2">
        <v>45013</v>
      </c>
      <c r="D869" t="str">
        <f t="shared" si="81"/>
        <v>Mar</v>
      </c>
      <c r="E869" s="2">
        <v>45040</v>
      </c>
      <c r="F869" t="s">
        <v>41</v>
      </c>
      <c r="G869">
        <v>95456</v>
      </c>
      <c r="H869">
        <v>2403</v>
      </c>
      <c r="I869">
        <v>171</v>
      </c>
      <c r="J869" t="b">
        <v>0</v>
      </c>
      <c r="K869" s="10">
        <v>3629.86</v>
      </c>
      <c r="L869" s="6">
        <f t="shared" si="82"/>
        <v>2.5173902111967818E-2</v>
      </c>
      <c r="M869">
        <f t="shared" si="83"/>
        <v>1.5105534748231377</v>
      </c>
      <c r="N869">
        <f t="shared" si="84"/>
        <v>21.227251461988306</v>
      </c>
      <c r="O869">
        <f t="shared" si="85"/>
        <v>4920.1399999999994</v>
      </c>
      <c r="P869">
        <f t="shared" si="86"/>
        <v>7.116104868913857E-2</v>
      </c>
      <c r="Q869" t="s">
        <v>4137</v>
      </c>
      <c r="R869" t="s">
        <v>4139</v>
      </c>
      <c r="S869">
        <f>YEAR(marketing_data[[#This Row],[Start_date]])</f>
        <v>2023</v>
      </c>
      <c r="T869" t="str">
        <f>TEXT(marketing_data[[#This Row],[Start_date]],"ddd")</f>
        <v>Tue</v>
      </c>
      <c r="U869">
        <f>marketing_data[[#This Row],[Cleaned End_date]]-marketing_data[[#This Row],[Start_date]]</f>
        <v>27</v>
      </c>
    </row>
    <row r="870" spans="1:21" x14ac:dyDescent="0.2">
      <c r="A870" t="s">
        <v>1813</v>
      </c>
      <c r="B870" t="s">
        <v>1814</v>
      </c>
      <c r="C870" s="2">
        <v>45179</v>
      </c>
      <c r="D870" t="str">
        <f t="shared" si="81"/>
        <v>Sep</v>
      </c>
      <c r="E870" s="2">
        <v>45202</v>
      </c>
      <c r="F870" t="s">
        <v>14</v>
      </c>
      <c r="G870">
        <v>54413</v>
      </c>
      <c r="H870">
        <v>1037</v>
      </c>
      <c r="I870">
        <v>195</v>
      </c>
      <c r="J870" t="b">
        <v>1</v>
      </c>
      <c r="K870" s="10">
        <v>1712.34</v>
      </c>
      <c r="L870" s="6">
        <f t="shared" si="82"/>
        <v>1.9057945711502766E-2</v>
      </c>
      <c r="M870">
        <f t="shared" si="83"/>
        <v>1.6512439729990356</v>
      </c>
      <c r="N870">
        <f t="shared" si="84"/>
        <v>8.7812307692307687</v>
      </c>
      <c r="O870">
        <f t="shared" si="85"/>
        <v>8037.66</v>
      </c>
      <c r="P870">
        <f t="shared" si="86"/>
        <v>0.18804243008678881</v>
      </c>
      <c r="Q870" t="s">
        <v>4136</v>
      </c>
      <c r="R870" t="s">
        <v>4142</v>
      </c>
      <c r="S870">
        <f>YEAR(marketing_data[[#This Row],[Start_date]])</f>
        <v>2023</v>
      </c>
      <c r="T870" t="str">
        <f>TEXT(marketing_data[[#This Row],[Start_date]],"ddd")</f>
        <v>Sun</v>
      </c>
      <c r="U870">
        <f>marketing_data[[#This Row],[Cleaned End_date]]-marketing_data[[#This Row],[Start_date]]</f>
        <v>23</v>
      </c>
    </row>
    <row r="871" spans="1:21" x14ac:dyDescent="0.2">
      <c r="A871" t="s">
        <v>1815</v>
      </c>
      <c r="B871" t="s">
        <v>1816</v>
      </c>
      <c r="C871" s="2">
        <v>45068</v>
      </c>
      <c r="D871" t="str">
        <f t="shared" si="81"/>
        <v>May</v>
      </c>
      <c r="E871" s="2">
        <v>45089</v>
      </c>
      <c r="F871" t="s">
        <v>23</v>
      </c>
      <c r="G871">
        <v>57800</v>
      </c>
      <c r="H871">
        <v>1460</v>
      </c>
      <c r="I871">
        <v>93</v>
      </c>
      <c r="J871" t="b">
        <v>1</v>
      </c>
      <c r="K871" s="10">
        <v>1403.49</v>
      </c>
      <c r="L871" s="6">
        <f t="shared" si="82"/>
        <v>2.5259515570934254E-2</v>
      </c>
      <c r="M871">
        <f t="shared" si="83"/>
        <v>0.96129452054794517</v>
      </c>
      <c r="N871">
        <f t="shared" si="84"/>
        <v>15.091290322580646</v>
      </c>
      <c r="O871">
        <f t="shared" si="85"/>
        <v>3246.51</v>
      </c>
      <c r="P871">
        <f t="shared" si="86"/>
        <v>6.3698630136986303E-2</v>
      </c>
      <c r="Q871" t="s">
        <v>4137</v>
      </c>
      <c r="R871" t="s">
        <v>4139</v>
      </c>
      <c r="S871">
        <f>YEAR(marketing_data[[#This Row],[Start_date]])</f>
        <v>2023</v>
      </c>
      <c r="T871" t="str">
        <f>TEXT(marketing_data[[#This Row],[Start_date]],"ddd")</f>
        <v>Mon</v>
      </c>
      <c r="U871">
        <f>marketing_data[[#This Row],[Cleaned End_date]]-marketing_data[[#This Row],[Start_date]]</f>
        <v>21</v>
      </c>
    </row>
    <row r="872" spans="1:21" x14ac:dyDescent="0.2">
      <c r="A872" t="s">
        <v>1817</v>
      </c>
      <c r="B872" t="s">
        <v>1818</v>
      </c>
      <c r="C872" s="2">
        <v>44966</v>
      </c>
      <c r="D872" t="str">
        <f t="shared" si="81"/>
        <v>Feb</v>
      </c>
      <c r="E872" s="2">
        <v>44996</v>
      </c>
      <c r="F872" t="s">
        <v>14</v>
      </c>
      <c r="G872">
        <v>98239</v>
      </c>
      <c r="H872">
        <v>1488</v>
      </c>
      <c r="I872">
        <v>287</v>
      </c>
      <c r="J872" t="b">
        <v>1</v>
      </c>
      <c r="K872" s="10">
        <v>1842.27</v>
      </c>
      <c r="L872" s="6">
        <f t="shared" si="82"/>
        <v>1.5146733985484381E-2</v>
      </c>
      <c r="M872">
        <f t="shared" si="83"/>
        <v>1.2380846774193548</v>
      </c>
      <c r="N872">
        <f t="shared" si="84"/>
        <v>6.4190592334494774</v>
      </c>
      <c r="O872">
        <f t="shared" si="85"/>
        <v>12507.73</v>
      </c>
      <c r="P872">
        <f t="shared" si="86"/>
        <v>0.1928763440860215</v>
      </c>
      <c r="Q872" t="s">
        <v>4138</v>
      </c>
      <c r="R872" t="s">
        <v>4138</v>
      </c>
      <c r="S872">
        <f>YEAR(marketing_data[[#This Row],[Start_date]])</f>
        <v>2023</v>
      </c>
      <c r="T872" t="str">
        <f>TEXT(marketing_data[[#This Row],[Start_date]],"ddd")</f>
        <v>Thu</v>
      </c>
      <c r="U872">
        <f>marketing_data[[#This Row],[Cleaned End_date]]-marketing_data[[#This Row],[Start_date]]</f>
        <v>30</v>
      </c>
    </row>
    <row r="873" spans="1:21" x14ac:dyDescent="0.2">
      <c r="A873" t="s">
        <v>1819</v>
      </c>
      <c r="B873" t="s">
        <v>1820</v>
      </c>
      <c r="C873" s="2">
        <v>45247</v>
      </c>
      <c r="D873" t="str">
        <f t="shared" si="81"/>
        <v>Nov</v>
      </c>
      <c r="E873" s="2">
        <v>45251</v>
      </c>
      <c r="F873" t="s">
        <v>19</v>
      </c>
      <c r="G873">
        <v>43318</v>
      </c>
      <c r="H873">
        <v>1148</v>
      </c>
      <c r="I873">
        <v>162</v>
      </c>
      <c r="J873" t="b">
        <v>1</v>
      </c>
      <c r="K873" s="10">
        <v>1945.59</v>
      </c>
      <c r="L873" s="6">
        <f t="shared" si="82"/>
        <v>2.6501685211690291E-2</v>
      </c>
      <c r="M873">
        <f t="shared" si="83"/>
        <v>1.6947648083623692</v>
      </c>
      <c r="N873">
        <f t="shared" si="84"/>
        <v>12.009814814814815</v>
      </c>
      <c r="O873">
        <f t="shared" si="85"/>
        <v>6154.41</v>
      </c>
      <c r="P873">
        <f t="shared" si="86"/>
        <v>0.14111498257839722</v>
      </c>
      <c r="Q873" t="s">
        <v>4136</v>
      </c>
      <c r="R873" t="s">
        <v>4142</v>
      </c>
      <c r="S873">
        <f>YEAR(marketing_data[[#This Row],[Start_date]])</f>
        <v>2023</v>
      </c>
      <c r="T873" t="str">
        <f>TEXT(marketing_data[[#This Row],[Start_date]],"ddd")</f>
        <v>Fri</v>
      </c>
      <c r="U873">
        <f>marketing_data[[#This Row],[Cleaned End_date]]-marketing_data[[#This Row],[Start_date]]</f>
        <v>4</v>
      </c>
    </row>
    <row r="874" spans="1:21" x14ac:dyDescent="0.2">
      <c r="A874" t="s">
        <v>1821</v>
      </c>
      <c r="B874" t="s">
        <v>1822</v>
      </c>
      <c r="C874" s="2">
        <v>45161</v>
      </c>
      <c r="D874" t="str">
        <f t="shared" si="81"/>
        <v>Aug</v>
      </c>
      <c r="E874" s="2">
        <v>45176</v>
      </c>
      <c r="F874" t="s">
        <v>14</v>
      </c>
      <c r="G874">
        <v>71173</v>
      </c>
      <c r="H874">
        <v>2995</v>
      </c>
      <c r="I874">
        <v>150</v>
      </c>
      <c r="J874" t="b">
        <v>1</v>
      </c>
      <c r="K874" s="10">
        <v>2542.19</v>
      </c>
      <c r="L874" s="6">
        <f t="shared" si="82"/>
        <v>4.2080564258918408E-2</v>
      </c>
      <c r="M874">
        <f t="shared" si="83"/>
        <v>0.84881135225375626</v>
      </c>
      <c r="N874">
        <f t="shared" si="84"/>
        <v>16.947933333333335</v>
      </c>
      <c r="O874">
        <f t="shared" si="85"/>
        <v>4957.8099999999995</v>
      </c>
      <c r="P874">
        <f t="shared" si="86"/>
        <v>5.0083472454090151E-2</v>
      </c>
      <c r="Q874" t="s">
        <v>4139</v>
      </c>
      <c r="R874" t="s">
        <v>4141</v>
      </c>
      <c r="S874">
        <f>YEAR(marketing_data[[#This Row],[Start_date]])</f>
        <v>2023</v>
      </c>
      <c r="T874" t="str">
        <f>TEXT(marketing_data[[#This Row],[Start_date]],"ddd")</f>
        <v>Wed</v>
      </c>
      <c r="U874">
        <f>marketing_data[[#This Row],[Cleaned End_date]]-marketing_data[[#This Row],[Start_date]]</f>
        <v>15</v>
      </c>
    </row>
    <row r="875" spans="1:21" x14ac:dyDescent="0.2">
      <c r="A875" t="s">
        <v>1823</v>
      </c>
      <c r="B875" t="s">
        <v>1824</v>
      </c>
      <c r="C875" s="2">
        <v>45129</v>
      </c>
      <c r="D875" t="str">
        <f t="shared" si="81"/>
        <v>Jul</v>
      </c>
      <c r="E875" s="2">
        <v>45142</v>
      </c>
      <c r="F875" t="s">
        <v>23</v>
      </c>
      <c r="G875">
        <v>71390</v>
      </c>
      <c r="H875">
        <v>2081</v>
      </c>
      <c r="I875">
        <v>383</v>
      </c>
      <c r="J875" t="b">
        <v>1</v>
      </c>
      <c r="K875" s="10">
        <v>1746.06</v>
      </c>
      <c r="L875" s="6">
        <f t="shared" si="82"/>
        <v>2.9149740860064433E-2</v>
      </c>
      <c r="M875">
        <f t="shared" si="83"/>
        <v>0.83904853435848148</v>
      </c>
      <c r="N875">
        <f t="shared" si="84"/>
        <v>4.5589033942558741</v>
      </c>
      <c r="O875">
        <f t="shared" si="85"/>
        <v>17403.939999999999</v>
      </c>
      <c r="P875">
        <f t="shared" si="86"/>
        <v>0.18404613166746756</v>
      </c>
      <c r="Q875" t="s">
        <v>4139</v>
      </c>
      <c r="R875" t="s">
        <v>4138</v>
      </c>
      <c r="S875">
        <f>YEAR(marketing_data[[#This Row],[Start_date]])</f>
        <v>2023</v>
      </c>
      <c r="T875" t="str">
        <f>TEXT(marketing_data[[#This Row],[Start_date]],"ddd")</f>
        <v>Sat</v>
      </c>
      <c r="U875">
        <f>marketing_data[[#This Row],[Cleaned End_date]]-marketing_data[[#This Row],[Start_date]]</f>
        <v>13</v>
      </c>
    </row>
    <row r="876" spans="1:21" x14ac:dyDescent="0.2">
      <c r="A876" t="s">
        <v>1825</v>
      </c>
      <c r="B876" t="s">
        <v>1826</v>
      </c>
      <c r="C876" s="2">
        <v>45095</v>
      </c>
      <c r="D876" t="str">
        <f t="shared" si="81"/>
        <v>Jun</v>
      </c>
      <c r="E876" s="2">
        <v>45119</v>
      </c>
      <c r="F876" t="s">
        <v>14</v>
      </c>
      <c r="G876">
        <v>53329</v>
      </c>
      <c r="H876">
        <v>571</v>
      </c>
      <c r="I876">
        <v>73</v>
      </c>
      <c r="J876" t="b">
        <v>1</v>
      </c>
      <c r="K876" s="10">
        <v>757.48</v>
      </c>
      <c r="L876" s="6">
        <f t="shared" si="82"/>
        <v>1.0707119953496222E-2</v>
      </c>
      <c r="M876">
        <f t="shared" si="83"/>
        <v>1.326584938704028</v>
      </c>
      <c r="N876">
        <f t="shared" si="84"/>
        <v>10.376438356164384</v>
      </c>
      <c r="O876">
        <f t="shared" si="85"/>
        <v>2892.52</v>
      </c>
      <c r="P876">
        <f t="shared" si="86"/>
        <v>0.12784588441330999</v>
      </c>
      <c r="Q876" t="s">
        <v>4139</v>
      </c>
      <c r="R876" t="s">
        <v>4139</v>
      </c>
      <c r="S876">
        <f>YEAR(marketing_data[[#This Row],[Start_date]])</f>
        <v>2023</v>
      </c>
      <c r="T876" t="str">
        <f>TEXT(marketing_data[[#This Row],[Start_date]],"ddd")</f>
        <v>Sun</v>
      </c>
      <c r="U876">
        <f>marketing_data[[#This Row],[Cleaned End_date]]-marketing_data[[#This Row],[Start_date]]</f>
        <v>24</v>
      </c>
    </row>
    <row r="877" spans="1:21" x14ac:dyDescent="0.2">
      <c r="A877" t="s">
        <v>1827</v>
      </c>
      <c r="B877" t="s">
        <v>1828</v>
      </c>
      <c r="C877" s="2">
        <v>45260</v>
      </c>
      <c r="D877" t="str">
        <f t="shared" si="81"/>
        <v>Nov</v>
      </c>
      <c r="E877" s="2">
        <v>45271</v>
      </c>
      <c r="F877" t="s">
        <v>19</v>
      </c>
      <c r="G877">
        <v>44088</v>
      </c>
      <c r="H877">
        <v>1184</v>
      </c>
      <c r="I877">
        <v>105</v>
      </c>
      <c r="J877" t="b">
        <v>1</v>
      </c>
      <c r="K877" s="10">
        <v>1521.85</v>
      </c>
      <c r="L877" s="6">
        <f t="shared" si="82"/>
        <v>2.6855380148793323E-2</v>
      </c>
      <c r="M877">
        <f t="shared" si="83"/>
        <v>1.2853462837837837</v>
      </c>
      <c r="N877">
        <f t="shared" si="84"/>
        <v>14.493809523809523</v>
      </c>
      <c r="O877">
        <f t="shared" si="85"/>
        <v>3728.15</v>
      </c>
      <c r="P877">
        <f t="shared" si="86"/>
        <v>8.8682432432432429E-2</v>
      </c>
      <c r="Q877" t="s">
        <v>4136</v>
      </c>
      <c r="R877" t="s">
        <v>4139</v>
      </c>
      <c r="S877">
        <f>YEAR(marketing_data[[#This Row],[Start_date]])</f>
        <v>2023</v>
      </c>
      <c r="T877" t="str">
        <f>TEXT(marketing_data[[#This Row],[Start_date]],"ddd")</f>
        <v>Thu</v>
      </c>
      <c r="U877">
        <f>marketing_data[[#This Row],[Cleaned End_date]]-marketing_data[[#This Row],[Start_date]]</f>
        <v>11</v>
      </c>
    </row>
    <row r="878" spans="1:21" x14ac:dyDescent="0.2">
      <c r="A878" t="s">
        <v>1829</v>
      </c>
      <c r="B878" t="s">
        <v>1830</v>
      </c>
      <c r="C878" s="2">
        <v>45091</v>
      </c>
      <c r="D878" t="str">
        <f t="shared" si="81"/>
        <v>Jun</v>
      </c>
      <c r="E878" s="2">
        <v>45099</v>
      </c>
      <c r="F878" t="s">
        <v>41</v>
      </c>
      <c r="G878">
        <v>40811</v>
      </c>
      <c r="H878">
        <v>452</v>
      </c>
      <c r="I878">
        <v>74</v>
      </c>
      <c r="J878" t="b">
        <v>1</v>
      </c>
      <c r="K878" s="10">
        <v>417.37</v>
      </c>
      <c r="L878" s="6">
        <f t="shared" si="82"/>
        <v>1.1075445345617604E-2</v>
      </c>
      <c r="M878">
        <f t="shared" si="83"/>
        <v>0.92338495575221236</v>
      </c>
      <c r="N878">
        <f t="shared" si="84"/>
        <v>5.640135135135135</v>
      </c>
      <c r="O878">
        <f t="shared" si="85"/>
        <v>3282.63</v>
      </c>
      <c r="P878">
        <f t="shared" si="86"/>
        <v>0.16371681415929204</v>
      </c>
      <c r="Q878" t="s">
        <v>4139</v>
      </c>
      <c r="R878" t="s">
        <v>4139</v>
      </c>
      <c r="S878">
        <f>YEAR(marketing_data[[#This Row],[Start_date]])</f>
        <v>2023</v>
      </c>
      <c r="T878" t="str">
        <f>TEXT(marketing_data[[#This Row],[Start_date]],"ddd")</f>
        <v>Wed</v>
      </c>
      <c r="U878">
        <f>marketing_data[[#This Row],[Cleaned End_date]]-marketing_data[[#This Row],[Start_date]]</f>
        <v>8</v>
      </c>
    </row>
    <row r="879" spans="1:21" x14ac:dyDescent="0.2">
      <c r="A879" t="s">
        <v>1831</v>
      </c>
      <c r="B879" t="s">
        <v>1832</v>
      </c>
      <c r="C879" s="2">
        <v>45172</v>
      </c>
      <c r="D879" t="str">
        <f t="shared" si="81"/>
        <v>Sep</v>
      </c>
      <c r="E879" s="2">
        <v>45192</v>
      </c>
      <c r="F879" t="s">
        <v>14</v>
      </c>
      <c r="G879">
        <v>56479</v>
      </c>
      <c r="H879">
        <v>2747</v>
      </c>
      <c r="I879">
        <v>519</v>
      </c>
      <c r="J879" t="b">
        <v>0</v>
      </c>
      <c r="K879" s="10">
        <v>2601.7199999999998</v>
      </c>
      <c r="L879" s="6">
        <f t="shared" si="82"/>
        <v>4.8637546698772995E-2</v>
      </c>
      <c r="M879">
        <f t="shared" si="83"/>
        <v>0.94711321441572616</v>
      </c>
      <c r="N879">
        <f t="shared" si="84"/>
        <v>5.0129479768786123</v>
      </c>
      <c r="O879">
        <f t="shared" si="85"/>
        <v>23348.28</v>
      </c>
      <c r="P879">
        <f t="shared" si="86"/>
        <v>0.18893338187113215</v>
      </c>
      <c r="Q879" t="s">
        <v>4136</v>
      </c>
      <c r="R879" t="s">
        <v>4138</v>
      </c>
      <c r="S879">
        <f>YEAR(marketing_data[[#This Row],[Start_date]])</f>
        <v>2023</v>
      </c>
      <c r="T879" t="str">
        <f>TEXT(marketing_data[[#This Row],[Start_date]],"ddd")</f>
        <v>Sun</v>
      </c>
      <c r="U879">
        <f>marketing_data[[#This Row],[Cleaned End_date]]-marketing_data[[#This Row],[Start_date]]</f>
        <v>20</v>
      </c>
    </row>
    <row r="880" spans="1:21" x14ac:dyDescent="0.2">
      <c r="A880" t="s">
        <v>1833</v>
      </c>
      <c r="B880" t="s">
        <v>1834</v>
      </c>
      <c r="C880" s="2">
        <v>45090</v>
      </c>
      <c r="D880" t="str">
        <f t="shared" si="81"/>
        <v>Jun</v>
      </c>
      <c r="E880" s="2">
        <v>45106</v>
      </c>
      <c r="F880" t="s">
        <v>41</v>
      </c>
      <c r="G880">
        <v>86392</v>
      </c>
      <c r="H880">
        <v>1304</v>
      </c>
      <c r="I880">
        <v>159</v>
      </c>
      <c r="J880" t="b">
        <v>0</v>
      </c>
      <c r="K880" s="10">
        <v>1195.47</v>
      </c>
      <c r="L880" s="6">
        <f t="shared" si="82"/>
        <v>1.5093990184276321E-2</v>
      </c>
      <c r="M880">
        <f t="shared" si="83"/>
        <v>0.91677147239263801</v>
      </c>
      <c r="N880">
        <f t="shared" si="84"/>
        <v>7.5186792452830193</v>
      </c>
      <c r="O880">
        <f t="shared" si="85"/>
        <v>6754.53</v>
      </c>
      <c r="P880">
        <f t="shared" si="86"/>
        <v>0.12193251533742332</v>
      </c>
      <c r="Q880" t="s">
        <v>4139</v>
      </c>
      <c r="R880" t="s">
        <v>4141</v>
      </c>
      <c r="S880">
        <f>YEAR(marketing_data[[#This Row],[Start_date]])</f>
        <v>2023</v>
      </c>
      <c r="T880" t="str">
        <f>TEXT(marketing_data[[#This Row],[Start_date]],"ddd")</f>
        <v>Tue</v>
      </c>
      <c r="U880">
        <f>marketing_data[[#This Row],[Cleaned End_date]]-marketing_data[[#This Row],[Start_date]]</f>
        <v>16</v>
      </c>
    </row>
    <row r="881" spans="1:21" x14ac:dyDescent="0.2">
      <c r="A881" t="s">
        <v>1835</v>
      </c>
      <c r="B881" t="s">
        <v>1836</v>
      </c>
      <c r="C881" s="2">
        <v>45178</v>
      </c>
      <c r="D881" t="str">
        <f t="shared" si="81"/>
        <v>Sep</v>
      </c>
      <c r="E881" s="2">
        <v>45180</v>
      </c>
      <c r="F881" t="s">
        <v>14</v>
      </c>
      <c r="G881">
        <v>88369</v>
      </c>
      <c r="H881">
        <v>3385</v>
      </c>
      <c r="I881">
        <v>329</v>
      </c>
      <c r="J881" t="b">
        <v>1</v>
      </c>
      <c r="K881" s="10">
        <v>3631.7599999999998</v>
      </c>
      <c r="L881" s="6">
        <f t="shared" si="82"/>
        <v>3.8305288053502924E-2</v>
      </c>
      <c r="M881">
        <f t="shared" si="83"/>
        <v>1.0728980797636631</v>
      </c>
      <c r="N881">
        <f t="shared" si="84"/>
        <v>11.038784194528874</v>
      </c>
      <c r="O881">
        <f t="shared" si="85"/>
        <v>12818.24</v>
      </c>
      <c r="P881">
        <f t="shared" si="86"/>
        <v>9.7193500738552444E-2</v>
      </c>
      <c r="Q881" t="s">
        <v>4136</v>
      </c>
      <c r="R881" t="s">
        <v>4142</v>
      </c>
      <c r="S881">
        <f>YEAR(marketing_data[[#This Row],[Start_date]])</f>
        <v>2023</v>
      </c>
      <c r="T881" t="str">
        <f>TEXT(marketing_data[[#This Row],[Start_date]],"ddd")</f>
        <v>Sat</v>
      </c>
      <c r="U881">
        <f>marketing_data[[#This Row],[Cleaned End_date]]-marketing_data[[#This Row],[Start_date]]</f>
        <v>2</v>
      </c>
    </row>
    <row r="882" spans="1:21" x14ac:dyDescent="0.2">
      <c r="A882" t="s">
        <v>1837</v>
      </c>
      <c r="B882" t="s">
        <v>1838</v>
      </c>
      <c r="C882" s="2">
        <v>45093</v>
      </c>
      <c r="D882" t="str">
        <f t="shared" si="81"/>
        <v>Jun</v>
      </c>
      <c r="E882" s="2">
        <v>45104</v>
      </c>
      <c r="F882" t="s">
        <v>33</v>
      </c>
      <c r="G882">
        <v>20963</v>
      </c>
      <c r="H882">
        <v>1025</v>
      </c>
      <c r="I882">
        <v>172</v>
      </c>
      <c r="J882" t="b">
        <v>0</v>
      </c>
      <c r="K882" s="10">
        <v>1514.8</v>
      </c>
      <c r="L882" s="6">
        <f t="shared" si="82"/>
        <v>4.8895673329199064E-2</v>
      </c>
      <c r="M882">
        <f t="shared" si="83"/>
        <v>1.4778536585365853</v>
      </c>
      <c r="N882">
        <f t="shared" si="84"/>
        <v>8.8069767441860467</v>
      </c>
      <c r="O882">
        <f t="shared" si="85"/>
        <v>7085.2</v>
      </c>
      <c r="P882">
        <f t="shared" si="86"/>
        <v>0.1678048780487805</v>
      </c>
      <c r="Q882" t="s">
        <v>4139</v>
      </c>
      <c r="R882" t="s">
        <v>4141</v>
      </c>
      <c r="S882">
        <f>YEAR(marketing_data[[#This Row],[Start_date]])</f>
        <v>2023</v>
      </c>
      <c r="T882" t="str">
        <f>TEXT(marketing_data[[#This Row],[Start_date]],"ddd")</f>
        <v>Fri</v>
      </c>
      <c r="U882">
        <f>marketing_data[[#This Row],[Cleaned End_date]]-marketing_data[[#This Row],[Start_date]]</f>
        <v>11</v>
      </c>
    </row>
    <row r="883" spans="1:21" x14ac:dyDescent="0.2">
      <c r="A883" t="s">
        <v>1839</v>
      </c>
      <c r="B883" t="s">
        <v>1840</v>
      </c>
      <c r="C883" s="2">
        <v>45128</v>
      </c>
      <c r="D883" t="str">
        <f t="shared" si="81"/>
        <v>Jul</v>
      </c>
      <c r="E883" s="2">
        <v>45138</v>
      </c>
      <c r="F883" t="s">
        <v>23</v>
      </c>
      <c r="G883">
        <v>56123</v>
      </c>
      <c r="H883">
        <v>2415</v>
      </c>
      <c r="I883">
        <v>367</v>
      </c>
      <c r="J883" t="b">
        <v>0</v>
      </c>
      <c r="K883" s="10">
        <v>3631.7599999999998</v>
      </c>
      <c r="L883" s="6">
        <f t="shared" si="82"/>
        <v>4.3030486609767833E-2</v>
      </c>
      <c r="M883">
        <f t="shared" si="83"/>
        <v>1.5038343685300206</v>
      </c>
      <c r="N883">
        <f t="shared" si="84"/>
        <v>9.8958038147138954</v>
      </c>
      <c r="O883">
        <f t="shared" si="85"/>
        <v>14718.24</v>
      </c>
      <c r="P883">
        <f t="shared" si="86"/>
        <v>0.15196687370600415</v>
      </c>
      <c r="Q883" t="s">
        <v>4139</v>
      </c>
      <c r="R883" t="s">
        <v>4142</v>
      </c>
      <c r="S883">
        <f>YEAR(marketing_data[[#This Row],[Start_date]])</f>
        <v>2023</v>
      </c>
      <c r="T883" t="str">
        <f>TEXT(marketing_data[[#This Row],[Start_date]],"ddd")</f>
        <v>Fri</v>
      </c>
      <c r="U883">
        <f>marketing_data[[#This Row],[Cleaned End_date]]-marketing_data[[#This Row],[Start_date]]</f>
        <v>10</v>
      </c>
    </row>
    <row r="884" spans="1:21" x14ac:dyDescent="0.2">
      <c r="A884" t="s">
        <v>1841</v>
      </c>
      <c r="B884" t="s">
        <v>1842</v>
      </c>
      <c r="C884" s="2">
        <v>45029</v>
      </c>
      <c r="D884" t="str">
        <f t="shared" si="81"/>
        <v>Apr</v>
      </c>
      <c r="E884" s="2">
        <v>45047</v>
      </c>
      <c r="F884" t="s">
        <v>41</v>
      </c>
      <c r="G884">
        <v>93705</v>
      </c>
      <c r="H884">
        <v>3558</v>
      </c>
      <c r="I884">
        <v>652</v>
      </c>
      <c r="J884" t="b">
        <v>1</v>
      </c>
      <c r="K884" s="10">
        <v>3631.7599999999998</v>
      </c>
      <c r="L884" s="6">
        <f t="shared" si="82"/>
        <v>3.7970225708340001E-2</v>
      </c>
      <c r="M884">
        <f t="shared" si="83"/>
        <v>1.0207307476110175</v>
      </c>
      <c r="N884">
        <f t="shared" si="84"/>
        <v>5.5701840490797538</v>
      </c>
      <c r="O884">
        <f t="shared" si="85"/>
        <v>28968.240000000002</v>
      </c>
      <c r="P884">
        <f t="shared" si="86"/>
        <v>0.18324901630129287</v>
      </c>
      <c r="Q884" t="s">
        <v>4137</v>
      </c>
      <c r="R884" t="s">
        <v>4141</v>
      </c>
      <c r="S884">
        <f>YEAR(marketing_data[[#This Row],[Start_date]])</f>
        <v>2023</v>
      </c>
      <c r="T884" t="str">
        <f>TEXT(marketing_data[[#This Row],[Start_date]],"ddd")</f>
        <v>Thu</v>
      </c>
      <c r="U884">
        <f>marketing_data[[#This Row],[Cleaned End_date]]-marketing_data[[#This Row],[Start_date]]</f>
        <v>18</v>
      </c>
    </row>
    <row r="885" spans="1:21" x14ac:dyDescent="0.2">
      <c r="A885" t="s">
        <v>1843</v>
      </c>
      <c r="B885" t="s">
        <v>1844</v>
      </c>
      <c r="C885" s="2">
        <v>45276</v>
      </c>
      <c r="D885" t="str">
        <f t="shared" si="81"/>
        <v>Dec</v>
      </c>
      <c r="E885" s="2">
        <v>45301</v>
      </c>
      <c r="F885" t="s">
        <v>14</v>
      </c>
      <c r="G885">
        <v>74477</v>
      </c>
      <c r="H885">
        <v>3245</v>
      </c>
      <c r="I885">
        <v>499</v>
      </c>
      <c r="J885" t="b">
        <v>0</v>
      </c>
      <c r="K885" s="10">
        <v>3631.7599999999998</v>
      </c>
      <c r="L885" s="6">
        <f t="shared" si="82"/>
        <v>4.3570498274635119E-2</v>
      </c>
      <c r="M885">
        <f t="shared" si="83"/>
        <v>1.1191864406779661</v>
      </c>
      <c r="N885">
        <f t="shared" si="84"/>
        <v>7.2780761523046085</v>
      </c>
      <c r="O885">
        <f t="shared" si="85"/>
        <v>21318.240000000002</v>
      </c>
      <c r="P885">
        <f t="shared" si="86"/>
        <v>0.15377503852080124</v>
      </c>
      <c r="Q885" t="s">
        <v>4138</v>
      </c>
      <c r="R885" t="s">
        <v>4139</v>
      </c>
      <c r="S885">
        <f>YEAR(marketing_data[[#This Row],[Start_date]])</f>
        <v>2023</v>
      </c>
      <c r="T885" t="str">
        <f>TEXT(marketing_data[[#This Row],[Start_date]],"ddd")</f>
        <v>Sat</v>
      </c>
      <c r="U885">
        <f>marketing_data[[#This Row],[Cleaned End_date]]-marketing_data[[#This Row],[Start_date]]</f>
        <v>25</v>
      </c>
    </row>
    <row r="886" spans="1:21" x14ac:dyDescent="0.2">
      <c r="A886" t="s">
        <v>1845</v>
      </c>
      <c r="B886" t="s">
        <v>1846</v>
      </c>
      <c r="C886" s="2">
        <v>45163</v>
      </c>
      <c r="D886" t="str">
        <f t="shared" si="81"/>
        <v>Aug</v>
      </c>
      <c r="E886" s="2">
        <v>45186</v>
      </c>
      <c r="F886" t="s">
        <v>41</v>
      </c>
      <c r="G886">
        <v>15388</v>
      </c>
      <c r="H886">
        <v>758</v>
      </c>
      <c r="I886">
        <v>65</v>
      </c>
      <c r="J886" t="b">
        <v>0</v>
      </c>
      <c r="K886" s="10">
        <v>454.83</v>
      </c>
      <c r="L886" s="6">
        <f t="shared" si="82"/>
        <v>4.9259162984143491E-2</v>
      </c>
      <c r="M886">
        <f t="shared" si="83"/>
        <v>0.6000395778364116</v>
      </c>
      <c r="N886">
        <f t="shared" si="84"/>
        <v>6.9973846153846155</v>
      </c>
      <c r="O886">
        <f t="shared" si="85"/>
        <v>2795.17</v>
      </c>
      <c r="P886">
        <f t="shared" si="86"/>
        <v>8.5751978891820582E-2</v>
      </c>
      <c r="Q886" t="s">
        <v>4139</v>
      </c>
      <c r="R886" t="s">
        <v>4141</v>
      </c>
      <c r="S886">
        <f>YEAR(marketing_data[[#This Row],[Start_date]])</f>
        <v>2023</v>
      </c>
      <c r="T886" t="str">
        <f>TEXT(marketing_data[[#This Row],[Start_date]],"ddd")</f>
        <v>Fri</v>
      </c>
      <c r="U886">
        <f>marketing_data[[#This Row],[Cleaned End_date]]-marketing_data[[#This Row],[Start_date]]</f>
        <v>23</v>
      </c>
    </row>
    <row r="887" spans="1:21" x14ac:dyDescent="0.2">
      <c r="A887" t="s">
        <v>1847</v>
      </c>
      <c r="B887" t="s">
        <v>1848</v>
      </c>
      <c r="C887" s="2">
        <v>45076</v>
      </c>
      <c r="D887" t="str">
        <f t="shared" si="81"/>
        <v>May</v>
      </c>
      <c r="E887" s="2">
        <v>45104</v>
      </c>
      <c r="F887" t="s">
        <v>14</v>
      </c>
      <c r="G887">
        <v>6569</v>
      </c>
      <c r="H887">
        <v>228</v>
      </c>
      <c r="I887">
        <v>43</v>
      </c>
      <c r="J887" t="b">
        <v>1</v>
      </c>
      <c r="K887" s="10">
        <v>329.13249999999999</v>
      </c>
      <c r="L887" s="6">
        <f t="shared" si="82"/>
        <v>3.4708479220581519E-2</v>
      </c>
      <c r="M887">
        <f t="shared" si="83"/>
        <v>1.4435635964912281</v>
      </c>
      <c r="N887">
        <f t="shared" si="84"/>
        <v>7.6542441860465118</v>
      </c>
      <c r="O887">
        <f t="shared" si="85"/>
        <v>1820.8675000000001</v>
      </c>
      <c r="P887">
        <f t="shared" si="86"/>
        <v>0.18859649122807018</v>
      </c>
      <c r="Q887" t="s">
        <v>4137</v>
      </c>
      <c r="R887" t="s">
        <v>4142</v>
      </c>
      <c r="S887">
        <f>YEAR(marketing_data[[#This Row],[Start_date]])</f>
        <v>2023</v>
      </c>
      <c r="T887" t="str">
        <f>TEXT(marketing_data[[#This Row],[Start_date]],"ddd")</f>
        <v>Tue</v>
      </c>
      <c r="U887">
        <f>marketing_data[[#This Row],[Cleaned End_date]]-marketing_data[[#This Row],[Start_date]]</f>
        <v>28</v>
      </c>
    </row>
    <row r="888" spans="1:21" x14ac:dyDescent="0.2">
      <c r="A888" t="s">
        <v>1849</v>
      </c>
      <c r="B888" t="s">
        <v>1850</v>
      </c>
      <c r="C888" s="2">
        <v>45136</v>
      </c>
      <c r="D888" t="str">
        <f t="shared" si="81"/>
        <v>Jul</v>
      </c>
      <c r="E888" s="2">
        <v>45151</v>
      </c>
      <c r="F888" t="s">
        <v>41</v>
      </c>
      <c r="G888">
        <v>70836</v>
      </c>
      <c r="H888">
        <v>2292</v>
      </c>
      <c r="I888">
        <v>150</v>
      </c>
      <c r="J888" t="b">
        <v>1</v>
      </c>
      <c r="K888" s="10">
        <v>2162.5</v>
      </c>
      <c r="L888" s="6">
        <f t="shared" si="82"/>
        <v>3.2356428934440115E-2</v>
      </c>
      <c r="M888">
        <f t="shared" si="83"/>
        <v>0.94349912739965092</v>
      </c>
      <c r="N888">
        <f t="shared" si="84"/>
        <v>14.416666666666666</v>
      </c>
      <c r="O888">
        <f t="shared" si="85"/>
        <v>5337.5</v>
      </c>
      <c r="P888">
        <f t="shared" si="86"/>
        <v>6.5445026178010471E-2</v>
      </c>
      <c r="Q888" t="s">
        <v>4139</v>
      </c>
      <c r="R888" t="s">
        <v>4139</v>
      </c>
      <c r="S888">
        <f>YEAR(marketing_data[[#This Row],[Start_date]])</f>
        <v>2023</v>
      </c>
      <c r="T888" t="str">
        <f>TEXT(marketing_data[[#This Row],[Start_date]],"ddd")</f>
        <v>Sat</v>
      </c>
      <c r="U888">
        <f>marketing_data[[#This Row],[Cleaned End_date]]-marketing_data[[#This Row],[Start_date]]</f>
        <v>15</v>
      </c>
    </row>
    <row r="889" spans="1:21" x14ac:dyDescent="0.2">
      <c r="A889" t="s">
        <v>1851</v>
      </c>
      <c r="B889" t="s">
        <v>1852</v>
      </c>
      <c r="C889" s="2">
        <v>45082</v>
      </c>
      <c r="D889" t="str">
        <f t="shared" si="81"/>
        <v>Jun</v>
      </c>
      <c r="E889" s="2">
        <v>45089</v>
      </c>
      <c r="F889" t="s">
        <v>33</v>
      </c>
      <c r="G889">
        <v>37586</v>
      </c>
      <c r="H889">
        <v>1320</v>
      </c>
      <c r="I889">
        <v>119</v>
      </c>
      <c r="J889" t="b">
        <v>1</v>
      </c>
      <c r="K889" s="10">
        <v>2506.44</v>
      </c>
      <c r="L889" s="6">
        <f t="shared" si="82"/>
        <v>3.5119459373170861E-2</v>
      </c>
      <c r="M889">
        <f t="shared" si="83"/>
        <v>1.898818181818182</v>
      </c>
      <c r="N889">
        <f t="shared" si="84"/>
        <v>21.062521008403362</v>
      </c>
      <c r="O889">
        <f t="shared" si="85"/>
        <v>3443.56</v>
      </c>
      <c r="P889">
        <f t="shared" si="86"/>
        <v>9.0151515151515149E-2</v>
      </c>
      <c r="Q889" t="s">
        <v>4139</v>
      </c>
      <c r="R889" t="s">
        <v>4141</v>
      </c>
      <c r="S889">
        <f>YEAR(marketing_data[[#This Row],[Start_date]])</f>
        <v>2023</v>
      </c>
      <c r="T889" t="str">
        <f>TEXT(marketing_data[[#This Row],[Start_date]],"ddd")</f>
        <v>Mon</v>
      </c>
      <c r="U889">
        <f>marketing_data[[#This Row],[Cleaned End_date]]-marketing_data[[#This Row],[Start_date]]</f>
        <v>7</v>
      </c>
    </row>
    <row r="890" spans="1:21" x14ac:dyDescent="0.2">
      <c r="A890" t="s">
        <v>1853</v>
      </c>
      <c r="B890" t="s">
        <v>1854</v>
      </c>
      <c r="C890" s="2">
        <v>45143</v>
      </c>
      <c r="D890" t="str">
        <f t="shared" si="81"/>
        <v>Aug</v>
      </c>
      <c r="E890" s="2">
        <v>45173</v>
      </c>
      <c r="F890" t="s">
        <v>41</v>
      </c>
      <c r="G890">
        <v>13015</v>
      </c>
      <c r="H890">
        <v>407</v>
      </c>
      <c r="I890">
        <v>52</v>
      </c>
      <c r="J890" t="b">
        <v>0</v>
      </c>
      <c r="K890" s="10">
        <v>522.91999999999996</v>
      </c>
      <c r="L890" s="6">
        <f t="shared" si="82"/>
        <v>3.1271609681137152E-2</v>
      </c>
      <c r="M890">
        <f t="shared" si="83"/>
        <v>1.2848157248157248</v>
      </c>
      <c r="N890">
        <f t="shared" si="84"/>
        <v>10.056153846153846</v>
      </c>
      <c r="O890">
        <f t="shared" si="85"/>
        <v>2077.08</v>
      </c>
      <c r="P890">
        <f t="shared" si="86"/>
        <v>0.12776412776412777</v>
      </c>
      <c r="Q890" t="s">
        <v>4139</v>
      </c>
      <c r="R890" t="s">
        <v>4141</v>
      </c>
      <c r="S890">
        <f>YEAR(marketing_data[[#This Row],[Start_date]])</f>
        <v>2023</v>
      </c>
      <c r="T890" t="str">
        <f>TEXT(marketing_data[[#This Row],[Start_date]],"ddd")</f>
        <v>Sat</v>
      </c>
      <c r="U890">
        <f>marketing_data[[#This Row],[Cleaned End_date]]-marketing_data[[#This Row],[Start_date]]</f>
        <v>30</v>
      </c>
    </row>
    <row r="891" spans="1:21" x14ac:dyDescent="0.2">
      <c r="A891" t="s">
        <v>1855</v>
      </c>
      <c r="B891" t="s">
        <v>1856</v>
      </c>
      <c r="C891" s="2">
        <v>45233</v>
      </c>
      <c r="D891" t="str">
        <f t="shared" si="81"/>
        <v>Nov</v>
      </c>
      <c r="E891" s="2">
        <v>45247</v>
      </c>
      <c r="F891" t="s">
        <v>19</v>
      </c>
      <c r="G891">
        <v>46002</v>
      </c>
      <c r="H891">
        <v>1628</v>
      </c>
      <c r="I891">
        <v>219</v>
      </c>
      <c r="J891" t="b">
        <v>0</v>
      </c>
      <c r="K891" s="10">
        <v>1477.7</v>
      </c>
      <c r="L891" s="6">
        <f t="shared" si="82"/>
        <v>3.5389765662362509E-2</v>
      </c>
      <c r="M891">
        <f t="shared" si="83"/>
        <v>0.90767813267813269</v>
      </c>
      <c r="N891">
        <f t="shared" si="84"/>
        <v>6.747488584474886</v>
      </c>
      <c r="O891">
        <f t="shared" si="85"/>
        <v>9472.2999999999993</v>
      </c>
      <c r="P891">
        <f t="shared" si="86"/>
        <v>0.13452088452088451</v>
      </c>
      <c r="Q891" t="s">
        <v>4136</v>
      </c>
      <c r="R891" t="s">
        <v>4138</v>
      </c>
      <c r="S891">
        <f>YEAR(marketing_data[[#This Row],[Start_date]])</f>
        <v>2023</v>
      </c>
      <c r="T891" t="str">
        <f>TEXT(marketing_data[[#This Row],[Start_date]],"ddd")</f>
        <v>Fri</v>
      </c>
      <c r="U891">
        <f>marketing_data[[#This Row],[Cleaned End_date]]-marketing_data[[#This Row],[Start_date]]</f>
        <v>14</v>
      </c>
    </row>
    <row r="892" spans="1:21" x14ac:dyDescent="0.2">
      <c r="A892" t="s">
        <v>1857</v>
      </c>
      <c r="B892" t="s">
        <v>1858</v>
      </c>
      <c r="C892" s="2">
        <v>45186</v>
      </c>
      <c r="D892" t="str">
        <f t="shared" si="81"/>
        <v>Sep</v>
      </c>
      <c r="E892" s="2">
        <v>45190</v>
      </c>
      <c r="F892" t="s">
        <v>33</v>
      </c>
      <c r="G892">
        <v>7254</v>
      </c>
      <c r="H892">
        <v>203</v>
      </c>
      <c r="I892">
        <v>10</v>
      </c>
      <c r="J892" t="b">
        <v>1</v>
      </c>
      <c r="K892" s="10">
        <v>329.13249999999999</v>
      </c>
      <c r="L892" s="6">
        <f t="shared" si="82"/>
        <v>2.7984560242624759E-2</v>
      </c>
      <c r="M892">
        <f t="shared" si="83"/>
        <v>1.6213423645320197</v>
      </c>
      <c r="N892">
        <f t="shared" si="84"/>
        <v>32.913249999999998</v>
      </c>
      <c r="O892">
        <f t="shared" si="85"/>
        <v>170.86750000000001</v>
      </c>
      <c r="P892">
        <f t="shared" si="86"/>
        <v>4.9261083743842367E-2</v>
      </c>
      <c r="Q892" t="s">
        <v>4136</v>
      </c>
      <c r="R892" t="s">
        <v>4139</v>
      </c>
      <c r="S892">
        <f>YEAR(marketing_data[[#This Row],[Start_date]])</f>
        <v>2023</v>
      </c>
      <c r="T892" t="str">
        <f>TEXT(marketing_data[[#This Row],[Start_date]],"ddd")</f>
        <v>Sun</v>
      </c>
      <c r="U892">
        <f>marketing_data[[#This Row],[Cleaned End_date]]-marketing_data[[#This Row],[Start_date]]</f>
        <v>4</v>
      </c>
    </row>
    <row r="893" spans="1:21" x14ac:dyDescent="0.2">
      <c r="A893" t="s">
        <v>1859</v>
      </c>
      <c r="B893" t="s">
        <v>1860</v>
      </c>
      <c r="C893" s="2">
        <v>45141</v>
      </c>
      <c r="D893" t="str">
        <f t="shared" si="81"/>
        <v>Aug</v>
      </c>
      <c r="E893" s="2">
        <v>45142</v>
      </c>
      <c r="F893" t="s">
        <v>33</v>
      </c>
      <c r="G893">
        <v>18144</v>
      </c>
      <c r="H893">
        <v>339</v>
      </c>
      <c r="I893">
        <v>56</v>
      </c>
      <c r="J893" t="b">
        <v>0</v>
      </c>
      <c r="K893" s="10">
        <v>473.89</v>
      </c>
      <c r="L893" s="6">
        <f t="shared" si="82"/>
        <v>1.8683862433862435E-2</v>
      </c>
      <c r="M893">
        <f t="shared" si="83"/>
        <v>1.397905604719764</v>
      </c>
      <c r="N893">
        <f t="shared" si="84"/>
        <v>8.4623214285714283</v>
      </c>
      <c r="O893">
        <f t="shared" si="85"/>
        <v>2326.11</v>
      </c>
      <c r="P893">
        <f t="shared" si="86"/>
        <v>0.16519174041297935</v>
      </c>
      <c r="Q893" t="s">
        <v>4139</v>
      </c>
      <c r="R893" t="s">
        <v>4141</v>
      </c>
      <c r="S893">
        <f>YEAR(marketing_data[[#This Row],[Start_date]])</f>
        <v>2023</v>
      </c>
      <c r="T893" t="str">
        <f>TEXT(marketing_data[[#This Row],[Start_date]],"ddd")</f>
        <v>Thu</v>
      </c>
      <c r="U893">
        <f>marketing_data[[#This Row],[Cleaned End_date]]-marketing_data[[#This Row],[Start_date]]</f>
        <v>1</v>
      </c>
    </row>
    <row r="894" spans="1:21" x14ac:dyDescent="0.2">
      <c r="A894" t="s">
        <v>1861</v>
      </c>
      <c r="B894" t="s">
        <v>1862</v>
      </c>
      <c r="C894" s="2">
        <v>45111</v>
      </c>
      <c r="D894" t="str">
        <f t="shared" si="81"/>
        <v>Jul</v>
      </c>
      <c r="E894" s="2">
        <v>45133</v>
      </c>
      <c r="F894" t="s">
        <v>19</v>
      </c>
      <c r="G894">
        <v>25214</v>
      </c>
      <c r="H894">
        <v>373</v>
      </c>
      <c r="I894">
        <v>38</v>
      </c>
      <c r="J894" t="b">
        <v>0</v>
      </c>
      <c r="K894" s="10">
        <v>551.83000000000004</v>
      </c>
      <c r="L894" s="6">
        <f t="shared" si="82"/>
        <v>1.479336876338542E-2</v>
      </c>
      <c r="M894">
        <f t="shared" si="83"/>
        <v>1.4794369973190349</v>
      </c>
      <c r="N894">
        <f t="shared" si="84"/>
        <v>14.521842105263159</v>
      </c>
      <c r="O894">
        <f t="shared" si="85"/>
        <v>1348.17</v>
      </c>
      <c r="P894">
        <f t="shared" si="86"/>
        <v>0.10187667560321716</v>
      </c>
      <c r="Q894" t="s">
        <v>4139</v>
      </c>
      <c r="R894" t="s">
        <v>4139</v>
      </c>
      <c r="S894">
        <f>YEAR(marketing_data[[#This Row],[Start_date]])</f>
        <v>2023</v>
      </c>
      <c r="T894" t="str">
        <f>TEXT(marketing_data[[#This Row],[Start_date]],"ddd")</f>
        <v>Tue</v>
      </c>
      <c r="U894">
        <f>marketing_data[[#This Row],[Cleaned End_date]]-marketing_data[[#This Row],[Start_date]]</f>
        <v>22</v>
      </c>
    </row>
    <row r="895" spans="1:21" x14ac:dyDescent="0.2">
      <c r="A895" t="s">
        <v>1863</v>
      </c>
      <c r="B895" t="s">
        <v>1864</v>
      </c>
      <c r="C895" s="2">
        <v>45231</v>
      </c>
      <c r="D895" t="str">
        <f t="shared" si="81"/>
        <v>Nov</v>
      </c>
      <c r="E895" s="2">
        <v>45261</v>
      </c>
      <c r="F895" t="s">
        <v>14</v>
      </c>
      <c r="G895">
        <v>81719</v>
      </c>
      <c r="H895">
        <v>1040</v>
      </c>
      <c r="I895">
        <v>115</v>
      </c>
      <c r="J895" t="b">
        <v>1</v>
      </c>
      <c r="K895" s="10">
        <v>760.11</v>
      </c>
      <c r="L895" s="6">
        <f t="shared" si="82"/>
        <v>1.2726538503897503E-2</v>
      </c>
      <c r="M895">
        <f t="shared" si="83"/>
        <v>0.73087500000000005</v>
      </c>
      <c r="N895">
        <f t="shared" si="84"/>
        <v>6.6096521739130436</v>
      </c>
      <c r="O895">
        <f t="shared" si="85"/>
        <v>4989.8900000000003</v>
      </c>
      <c r="P895">
        <f t="shared" si="86"/>
        <v>0.11057692307692307</v>
      </c>
      <c r="Q895" t="s">
        <v>4136</v>
      </c>
      <c r="R895" t="s">
        <v>4138</v>
      </c>
      <c r="S895">
        <f>YEAR(marketing_data[[#This Row],[Start_date]])</f>
        <v>2023</v>
      </c>
      <c r="T895" t="str">
        <f>TEXT(marketing_data[[#This Row],[Start_date]],"ddd")</f>
        <v>Wed</v>
      </c>
      <c r="U895">
        <f>marketing_data[[#This Row],[Cleaned End_date]]-marketing_data[[#This Row],[Start_date]]</f>
        <v>30</v>
      </c>
    </row>
    <row r="896" spans="1:21" x14ac:dyDescent="0.2">
      <c r="A896" t="s">
        <v>1865</v>
      </c>
      <c r="B896" t="s">
        <v>1866</v>
      </c>
      <c r="C896" s="2">
        <v>45054</v>
      </c>
      <c r="D896" t="str">
        <f t="shared" si="81"/>
        <v>May</v>
      </c>
      <c r="E896" s="2">
        <v>45073</v>
      </c>
      <c r="F896" t="s">
        <v>33</v>
      </c>
      <c r="G896">
        <v>72774</v>
      </c>
      <c r="H896">
        <v>1494</v>
      </c>
      <c r="I896">
        <v>256</v>
      </c>
      <c r="J896" t="b">
        <v>0</v>
      </c>
      <c r="K896" s="10">
        <v>2936.53</v>
      </c>
      <c r="L896" s="6">
        <f t="shared" si="82"/>
        <v>2.0529309918377443E-2</v>
      </c>
      <c r="M896">
        <f t="shared" si="83"/>
        <v>1.9655488621151274</v>
      </c>
      <c r="N896">
        <f t="shared" si="84"/>
        <v>11.470820312500001</v>
      </c>
      <c r="O896">
        <f t="shared" si="85"/>
        <v>9863.4699999999993</v>
      </c>
      <c r="P896">
        <f t="shared" si="86"/>
        <v>0.17135207496653279</v>
      </c>
      <c r="Q896" t="s">
        <v>4137</v>
      </c>
      <c r="R896" t="s">
        <v>4141</v>
      </c>
      <c r="S896">
        <f>YEAR(marketing_data[[#This Row],[Start_date]])</f>
        <v>2023</v>
      </c>
      <c r="T896" t="str">
        <f>TEXT(marketing_data[[#This Row],[Start_date]],"ddd")</f>
        <v>Mon</v>
      </c>
      <c r="U896">
        <f>marketing_data[[#This Row],[Cleaned End_date]]-marketing_data[[#This Row],[Start_date]]</f>
        <v>19</v>
      </c>
    </row>
    <row r="897" spans="1:21" x14ac:dyDescent="0.2">
      <c r="A897" t="s">
        <v>1867</v>
      </c>
      <c r="B897" t="s">
        <v>1868</v>
      </c>
      <c r="C897" s="2">
        <v>45258</v>
      </c>
      <c r="D897" t="str">
        <f t="shared" si="81"/>
        <v>Nov</v>
      </c>
      <c r="E897" s="2">
        <v>45286</v>
      </c>
      <c r="F897" t="s">
        <v>19</v>
      </c>
      <c r="G897">
        <v>7090</v>
      </c>
      <c r="H897">
        <v>83</v>
      </c>
      <c r="I897">
        <v>8</v>
      </c>
      <c r="J897" t="b">
        <v>1</v>
      </c>
      <c r="K897" s="10">
        <v>329.13249999999999</v>
      </c>
      <c r="L897" s="6">
        <f t="shared" si="82"/>
        <v>1.1706629055007052E-2</v>
      </c>
      <c r="M897">
        <f t="shared" si="83"/>
        <v>3.9654518072289155</v>
      </c>
      <c r="N897">
        <f t="shared" si="84"/>
        <v>41.141562499999999</v>
      </c>
      <c r="O897">
        <f t="shared" si="85"/>
        <v>70.867500000000007</v>
      </c>
      <c r="P897">
        <f t="shared" si="86"/>
        <v>9.6385542168674704E-2</v>
      </c>
      <c r="Q897" t="s">
        <v>4136</v>
      </c>
      <c r="R897" t="s">
        <v>4141</v>
      </c>
      <c r="S897">
        <f>YEAR(marketing_data[[#This Row],[Start_date]])</f>
        <v>2023</v>
      </c>
      <c r="T897" t="str">
        <f>TEXT(marketing_data[[#This Row],[Start_date]],"ddd")</f>
        <v>Tue</v>
      </c>
      <c r="U897">
        <f>marketing_data[[#This Row],[Cleaned End_date]]-marketing_data[[#This Row],[Start_date]]</f>
        <v>28</v>
      </c>
    </row>
    <row r="898" spans="1:21" x14ac:dyDescent="0.2">
      <c r="A898" t="s">
        <v>1869</v>
      </c>
      <c r="B898" t="s">
        <v>1870</v>
      </c>
      <c r="C898" s="2">
        <v>45257</v>
      </c>
      <c r="D898" t="str">
        <f t="shared" si="81"/>
        <v>Nov</v>
      </c>
      <c r="E898" s="2">
        <v>45279</v>
      </c>
      <c r="F898" t="s">
        <v>41</v>
      </c>
      <c r="G898">
        <v>12637</v>
      </c>
      <c r="H898">
        <v>413</v>
      </c>
      <c r="I898">
        <v>23</v>
      </c>
      <c r="J898" t="b">
        <v>0</v>
      </c>
      <c r="K898" s="10">
        <v>329.13249999999999</v>
      </c>
      <c r="L898" s="6">
        <f t="shared" si="82"/>
        <v>3.2681807390994695E-2</v>
      </c>
      <c r="M898">
        <f t="shared" si="83"/>
        <v>0.79693099273607748</v>
      </c>
      <c r="N898">
        <f t="shared" si="84"/>
        <v>14.310108695652174</v>
      </c>
      <c r="O898">
        <f t="shared" si="85"/>
        <v>820.86750000000006</v>
      </c>
      <c r="P898">
        <f t="shared" si="86"/>
        <v>5.569007263922518E-2</v>
      </c>
      <c r="Q898" t="s">
        <v>4136</v>
      </c>
      <c r="R898" t="s">
        <v>4141</v>
      </c>
      <c r="S898">
        <f>YEAR(marketing_data[[#This Row],[Start_date]])</f>
        <v>2023</v>
      </c>
      <c r="T898" t="str">
        <f>TEXT(marketing_data[[#This Row],[Start_date]],"ddd")</f>
        <v>Mon</v>
      </c>
      <c r="U898">
        <f>marketing_data[[#This Row],[Cleaned End_date]]-marketing_data[[#This Row],[Start_date]]</f>
        <v>22</v>
      </c>
    </row>
    <row r="899" spans="1:21" x14ac:dyDescent="0.2">
      <c r="A899" t="s">
        <v>1871</v>
      </c>
      <c r="B899" t="s">
        <v>1872</v>
      </c>
      <c r="C899" s="2">
        <v>45096</v>
      </c>
      <c r="D899" t="str">
        <f t="shared" ref="D899:D962" si="87">TEXT(C899,"mmm")</f>
        <v>Jun</v>
      </c>
      <c r="E899" s="2">
        <v>45121</v>
      </c>
      <c r="F899" t="s">
        <v>33</v>
      </c>
      <c r="G899">
        <v>23415</v>
      </c>
      <c r="H899">
        <v>499</v>
      </c>
      <c r="J899" t="b">
        <v>1</v>
      </c>
      <c r="K899" s="10">
        <v>918.39</v>
      </c>
      <c r="L899" s="6">
        <f t="shared" ref="L899:L962" si="88">H899/G899</f>
        <v>2.1311125346999787E-2</v>
      </c>
      <c r="M899">
        <f t="shared" ref="M899:M962" si="89">K899/H899</f>
        <v>1.8404609218436874</v>
      </c>
      <c r="N899">
        <f t="shared" ref="N899:N962" si="90">IFERROR(K899/I899,0)</f>
        <v>0</v>
      </c>
      <c r="O899">
        <f t="shared" ref="O899:O962" si="91">(50*I899)-K899</f>
        <v>-918.39</v>
      </c>
      <c r="P899">
        <f t="shared" ref="P899:P962" si="92">I899/H899</f>
        <v>0</v>
      </c>
      <c r="Q899" t="s">
        <v>4139</v>
      </c>
      <c r="R899" t="s">
        <v>4142</v>
      </c>
      <c r="S899">
        <f>YEAR(marketing_data[[#This Row],[Start_date]])</f>
        <v>2023</v>
      </c>
      <c r="T899" t="str">
        <f>TEXT(marketing_data[[#This Row],[Start_date]],"ddd")</f>
        <v>Mon</v>
      </c>
      <c r="U899">
        <f>marketing_data[[#This Row],[Cleaned End_date]]-marketing_data[[#This Row],[Start_date]]</f>
        <v>25</v>
      </c>
    </row>
    <row r="900" spans="1:21" x14ac:dyDescent="0.2">
      <c r="A900" t="s">
        <v>1873</v>
      </c>
      <c r="B900" t="s">
        <v>1874</v>
      </c>
      <c r="C900" s="2">
        <v>45078</v>
      </c>
      <c r="D900" t="str">
        <f t="shared" si="87"/>
        <v>Jun</v>
      </c>
      <c r="E900" s="2">
        <v>45108</v>
      </c>
      <c r="F900" t="s">
        <v>23</v>
      </c>
      <c r="G900">
        <v>25071</v>
      </c>
      <c r="H900">
        <v>1077</v>
      </c>
      <c r="I900">
        <v>208</v>
      </c>
      <c r="J900" t="b">
        <v>1</v>
      </c>
      <c r="K900" s="10">
        <v>659.08</v>
      </c>
      <c r="L900" s="6">
        <f t="shared" si="88"/>
        <v>4.2957999282039007E-2</v>
      </c>
      <c r="M900">
        <f t="shared" si="89"/>
        <v>0.61195914577530175</v>
      </c>
      <c r="N900">
        <f t="shared" si="90"/>
        <v>3.1686538461538465</v>
      </c>
      <c r="O900">
        <f t="shared" si="91"/>
        <v>9740.92</v>
      </c>
      <c r="P900">
        <f t="shared" si="92"/>
        <v>0.19312906220984216</v>
      </c>
      <c r="Q900" t="s">
        <v>4139</v>
      </c>
      <c r="R900" t="s">
        <v>4138</v>
      </c>
      <c r="S900">
        <f>YEAR(marketing_data[[#This Row],[Start_date]])</f>
        <v>2023</v>
      </c>
      <c r="T900" t="str">
        <f>TEXT(marketing_data[[#This Row],[Start_date]],"ddd")</f>
        <v>Thu</v>
      </c>
      <c r="U900">
        <f>marketing_data[[#This Row],[Cleaned End_date]]-marketing_data[[#This Row],[Start_date]]</f>
        <v>30</v>
      </c>
    </row>
    <row r="901" spans="1:21" x14ac:dyDescent="0.2">
      <c r="A901" t="s">
        <v>1875</v>
      </c>
      <c r="B901" t="s">
        <v>1876</v>
      </c>
      <c r="C901" s="2">
        <v>45040</v>
      </c>
      <c r="D901" t="str">
        <f t="shared" si="87"/>
        <v>Apr</v>
      </c>
      <c r="E901" s="2">
        <v>45070</v>
      </c>
      <c r="F901" t="s">
        <v>19</v>
      </c>
      <c r="G901">
        <v>59243</v>
      </c>
      <c r="H901">
        <v>768</v>
      </c>
      <c r="I901">
        <v>46</v>
      </c>
      <c r="J901" t="b">
        <v>1</v>
      </c>
      <c r="K901" s="10">
        <v>1429.71</v>
      </c>
      <c r="L901" s="6">
        <f t="shared" si="88"/>
        <v>1.2963556875917831E-2</v>
      </c>
      <c r="M901">
        <f t="shared" si="89"/>
        <v>1.8616015625</v>
      </c>
      <c r="N901">
        <f t="shared" si="90"/>
        <v>31.080652173913045</v>
      </c>
      <c r="O901">
        <f t="shared" si="91"/>
        <v>870.29</v>
      </c>
      <c r="P901">
        <f t="shared" si="92"/>
        <v>5.9895833333333336E-2</v>
      </c>
      <c r="Q901" t="s">
        <v>4137</v>
      </c>
      <c r="R901" t="s">
        <v>4139</v>
      </c>
      <c r="S901">
        <f>YEAR(marketing_data[[#This Row],[Start_date]])</f>
        <v>2023</v>
      </c>
      <c r="T901" t="str">
        <f>TEXT(marketing_data[[#This Row],[Start_date]],"ddd")</f>
        <v>Mon</v>
      </c>
      <c r="U901">
        <f>marketing_data[[#This Row],[Cleaned End_date]]-marketing_data[[#This Row],[Start_date]]</f>
        <v>30</v>
      </c>
    </row>
    <row r="902" spans="1:21" x14ac:dyDescent="0.2">
      <c r="A902" t="s">
        <v>1877</v>
      </c>
      <c r="B902" t="s">
        <v>1878</v>
      </c>
      <c r="C902" s="2">
        <v>45224</v>
      </c>
      <c r="D902" t="str">
        <f t="shared" si="87"/>
        <v>Oct</v>
      </c>
      <c r="E902" s="2">
        <v>45241</v>
      </c>
      <c r="F902" t="s">
        <v>19</v>
      </c>
      <c r="G902">
        <v>42240</v>
      </c>
      <c r="H902">
        <v>804</v>
      </c>
      <c r="I902">
        <v>83</v>
      </c>
      <c r="J902" t="b">
        <v>0</v>
      </c>
      <c r="K902" s="10">
        <v>1603.86</v>
      </c>
      <c r="L902" s="6">
        <f t="shared" si="88"/>
        <v>1.903409090909091E-2</v>
      </c>
      <c r="M902">
        <f t="shared" si="89"/>
        <v>1.9948507462686567</v>
      </c>
      <c r="N902">
        <f t="shared" si="90"/>
        <v>19.323614457831326</v>
      </c>
      <c r="O902">
        <f t="shared" si="91"/>
        <v>2546.1400000000003</v>
      </c>
      <c r="P902">
        <f t="shared" si="92"/>
        <v>0.10323383084577115</v>
      </c>
      <c r="Q902" t="s">
        <v>4136</v>
      </c>
      <c r="R902" t="s">
        <v>4138</v>
      </c>
      <c r="S902">
        <f>YEAR(marketing_data[[#This Row],[Start_date]])</f>
        <v>2023</v>
      </c>
      <c r="T902" t="str">
        <f>TEXT(marketing_data[[#This Row],[Start_date]],"ddd")</f>
        <v>Wed</v>
      </c>
      <c r="U902">
        <f>marketing_data[[#This Row],[Cleaned End_date]]-marketing_data[[#This Row],[Start_date]]</f>
        <v>17</v>
      </c>
    </row>
    <row r="903" spans="1:21" x14ac:dyDescent="0.2">
      <c r="A903" t="s">
        <v>1879</v>
      </c>
      <c r="B903" t="s">
        <v>1880</v>
      </c>
      <c r="C903" s="2">
        <v>45118</v>
      </c>
      <c r="D903" t="str">
        <f t="shared" si="87"/>
        <v>Jul</v>
      </c>
      <c r="E903" s="2">
        <v>45133</v>
      </c>
      <c r="F903" t="s">
        <v>19</v>
      </c>
      <c r="G903">
        <v>84807</v>
      </c>
      <c r="H903">
        <v>3325</v>
      </c>
      <c r="I903">
        <v>417</v>
      </c>
      <c r="J903" t="b">
        <v>0</v>
      </c>
      <c r="K903" s="10">
        <v>3631.7599999999998</v>
      </c>
      <c r="L903" s="6">
        <f t="shared" si="88"/>
        <v>3.9206669260792151E-2</v>
      </c>
      <c r="M903">
        <f t="shared" si="89"/>
        <v>1.0922586466165414</v>
      </c>
      <c r="N903">
        <f t="shared" si="90"/>
        <v>8.70925659472422</v>
      </c>
      <c r="O903">
        <f t="shared" si="91"/>
        <v>17218.240000000002</v>
      </c>
      <c r="P903">
        <f t="shared" si="92"/>
        <v>0.12541353383458648</v>
      </c>
      <c r="Q903" t="s">
        <v>4139</v>
      </c>
      <c r="R903" t="s">
        <v>4138</v>
      </c>
      <c r="S903">
        <f>YEAR(marketing_data[[#This Row],[Start_date]])</f>
        <v>2023</v>
      </c>
      <c r="T903" t="str">
        <f>TEXT(marketing_data[[#This Row],[Start_date]],"ddd")</f>
        <v>Tue</v>
      </c>
      <c r="U903">
        <f>marketing_data[[#This Row],[Cleaned End_date]]-marketing_data[[#This Row],[Start_date]]</f>
        <v>15</v>
      </c>
    </row>
    <row r="904" spans="1:21" x14ac:dyDescent="0.2">
      <c r="A904" t="s">
        <v>1881</v>
      </c>
      <c r="B904" t="s">
        <v>1882</v>
      </c>
      <c r="C904" s="2">
        <v>45228</v>
      </c>
      <c r="D904" t="str">
        <f t="shared" si="87"/>
        <v>Oct</v>
      </c>
      <c r="E904" s="2">
        <v>45231</v>
      </c>
      <c r="F904" t="s">
        <v>14</v>
      </c>
      <c r="G904">
        <v>34434</v>
      </c>
      <c r="H904">
        <v>1169</v>
      </c>
      <c r="I904">
        <v>144</v>
      </c>
      <c r="J904" t="b">
        <v>1</v>
      </c>
      <c r="K904" s="10">
        <v>1935.48</v>
      </c>
      <c r="L904" s="6">
        <f t="shared" si="88"/>
        <v>3.3949003891502585E-2</v>
      </c>
      <c r="M904">
        <f t="shared" si="89"/>
        <v>1.6556715141146279</v>
      </c>
      <c r="N904">
        <f t="shared" si="90"/>
        <v>13.440833333333334</v>
      </c>
      <c r="O904">
        <f t="shared" si="91"/>
        <v>5264.52</v>
      </c>
      <c r="P904">
        <f t="shared" si="92"/>
        <v>0.12318220701454234</v>
      </c>
      <c r="Q904" t="s">
        <v>4136</v>
      </c>
      <c r="R904" t="s">
        <v>4138</v>
      </c>
      <c r="S904">
        <f>YEAR(marketing_data[[#This Row],[Start_date]])</f>
        <v>2023</v>
      </c>
      <c r="T904" t="str">
        <f>TEXT(marketing_data[[#This Row],[Start_date]],"ddd")</f>
        <v>Sun</v>
      </c>
      <c r="U904">
        <f>marketing_data[[#This Row],[Cleaned End_date]]-marketing_data[[#This Row],[Start_date]]</f>
        <v>3</v>
      </c>
    </row>
    <row r="905" spans="1:21" x14ac:dyDescent="0.2">
      <c r="A905" t="s">
        <v>1883</v>
      </c>
      <c r="B905" t="s">
        <v>1884</v>
      </c>
      <c r="C905" s="2">
        <v>44939</v>
      </c>
      <c r="D905" t="str">
        <f t="shared" si="87"/>
        <v>Jan</v>
      </c>
      <c r="E905" s="2">
        <v>44956</v>
      </c>
      <c r="F905" t="s">
        <v>41</v>
      </c>
      <c r="G905">
        <v>70724</v>
      </c>
      <c r="H905">
        <v>889</v>
      </c>
      <c r="I905">
        <v>44</v>
      </c>
      <c r="J905" t="b">
        <v>1</v>
      </c>
      <c r="K905" s="10">
        <v>894.29</v>
      </c>
      <c r="L905" s="6">
        <f t="shared" si="88"/>
        <v>1.256999038515921E-2</v>
      </c>
      <c r="M905">
        <f t="shared" si="89"/>
        <v>1.0059505061867267</v>
      </c>
      <c r="N905">
        <f t="shared" si="90"/>
        <v>20.324772727272727</v>
      </c>
      <c r="O905">
        <f t="shared" si="91"/>
        <v>1305.71</v>
      </c>
      <c r="P905">
        <f t="shared" si="92"/>
        <v>4.9493813273340834E-2</v>
      </c>
      <c r="Q905" t="s">
        <v>4138</v>
      </c>
      <c r="R905" t="s">
        <v>4141</v>
      </c>
      <c r="S905">
        <f>YEAR(marketing_data[[#This Row],[Start_date]])</f>
        <v>2023</v>
      </c>
      <c r="T905" t="str">
        <f>TEXT(marketing_data[[#This Row],[Start_date]],"ddd")</f>
        <v>Fri</v>
      </c>
      <c r="U905">
        <f>marketing_data[[#This Row],[Cleaned End_date]]-marketing_data[[#This Row],[Start_date]]</f>
        <v>17</v>
      </c>
    </row>
    <row r="906" spans="1:21" x14ac:dyDescent="0.2">
      <c r="A906" t="s">
        <v>1885</v>
      </c>
      <c r="B906" t="s">
        <v>1886</v>
      </c>
      <c r="C906" s="2">
        <v>44970</v>
      </c>
      <c r="D906" t="str">
        <f t="shared" si="87"/>
        <v>Feb</v>
      </c>
      <c r="E906" s="2">
        <v>44976</v>
      </c>
      <c r="F906" t="s">
        <v>19</v>
      </c>
      <c r="G906">
        <v>76697</v>
      </c>
      <c r="H906">
        <v>3458</v>
      </c>
      <c r="I906">
        <v>432</v>
      </c>
      <c r="J906" t="b">
        <v>0</v>
      </c>
      <c r="K906" s="10">
        <v>3631.7599999999998</v>
      </c>
      <c r="L906" s="6">
        <f t="shared" si="88"/>
        <v>4.5086509250687773E-2</v>
      </c>
      <c r="M906">
        <f t="shared" si="89"/>
        <v>1.0502486986697512</v>
      </c>
      <c r="N906">
        <f t="shared" si="90"/>
        <v>8.4068518518518509</v>
      </c>
      <c r="O906">
        <f t="shared" si="91"/>
        <v>17968.240000000002</v>
      </c>
      <c r="P906">
        <f t="shared" si="92"/>
        <v>0.12492770387507229</v>
      </c>
      <c r="Q906" t="s">
        <v>4138</v>
      </c>
      <c r="R906" t="s">
        <v>4139</v>
      </c>
      <c r="S906">
        <f>YEAR(marketing_data[[#This Row],[Start_date]])</f>
        <v>2023</v>
      </c>
      <c r="T906" t="str">
        <f>TEXT(marketing_data[[#This Row],[Start_date]],"ddd")</f>
        <v>Mon</v>
      </c>
      <c r="U906">
        <f>marketing_data[[#This Row],[Cleaned End_date]]-marketing_data[[#This Row],[Start_date]]</f>
        <v>6</v>
      </c>
    </row>
    <row r="907" spans="1:21" x14ac:dyDescent="0.2">
      <c r="A907" t="s">
        <v>1887</v>
      </c>
      <c r="B907" t="s">
        <v>1888</v>
      </c>
      <c r="C907" s="2">
        <v>44999</v>
      </c>
      <c r="D907" t="str">
        <f t="shared" si="87"/>
        <v>Mar</v>
      </c>
      <c r="E907" s="2">
        <v>45014</v>
      </c>
      <c r="F907" t="s">
        <v>23</v>
      </c>
      <c r="G907">
        <v>29732</v>
      </c>
      <c r="H907">
        <v>1340</v>
      </c>
      <c r="I907">
        <v>144</v>
      </c>
      <c r="J907" t="b">
        <v>0</v>
      </c>
      <c r="K907" s="10">
        <v>1734.73</v>
      </c>
      <c r="L907" s="6">
        <f t="shared" si="88"/>
        <v>4.5069285618189153E-2</v>
      </c>
      <c r="M907">
        <f t="shared" si="89"/>
        <v>1.2945746268656717</v>
      </c>
      <c r="N907">
        <f t="shared" si="90"/>
        <v>12.046736111111111</v>
      </c>
      <c r="O907">
        <f t="shared" si="91"/>
        <v>5465.27</v>
      </c>
      <c r="P907">
        <f t="shared" si="92"/>
        <v>0.10746268656716418</v>
      </c>
      <c r="Q907" t="s">
        <v>4137</v>
      </c>
      <c r="R907" t="s">
        <v>4142</v>
      </c>
      <c r="S907">
        <f>YEAR(marketing_data[[#This Row],[Start_date]])</f>
        <v>2023</v>
      </c>
      <c r="T907" t="str">
        <f>TEXT(marketing_data[[#This Row],[Start_date]],"ddd")</f>
        <v>Tue</v>
      </c>
      <c r="U907">
        <f>marketing_data[[#This Row],[Cleaned End_date]]-marketing_data[[#This Row],[Start_date]]</f>
        <v>15</v>
      </c>
    </row>
    <row r="908" spans="1:21" x14ac:dyDescent="0.2">
      <c r="A908" t="s">
        <v>1889</v>
      </c>
      <c r="B908" t="s">
        <v>1890</v>
      </c>
      <c r="C908" s="2">
        <v>45032</v>
      </c>
      <c r="D908" t="str">
        <f t="shared" si="87"/>
        <v>Apr</v>
      </c>
      <c r="E908" s="2">
        <v>45041</v>
      </c>
      <c r="F908" t="str">
        <f>F907</f>
        <v>Email</v>
      </c>
      <c r="G908">
        <v>12314</v>
      </c>
      <c r="H908">
        <v>285</v>
      </c>
      <c r="I908">
        <v>55</v>
      </c>
      <c r="J908" t="b">
        <v>0</v>
      </c>
      <c r="K908" s="10">
        <v>455.6</v>
      </c>
      <c r="L908" s="6">
        <f t="shared" si="88"/>
        <v>2.3144388500893291E-2</v>
      </c>
      <c r="M908">
        <f t="shared" si="89"/>
        <v>1.5985964912280703</v>
      </c>
      <c r="N908">
        <f t="shared" si="90"/>
        <v>8.2836363636363632</v>
      </c>
      <c r="O908">
        <f t="shared" si="91"/>
        <v>2294.4</v>
      </c>
      <c r="P908">
        <f t="shared" si="92"/>
        <v>0.19298245614035087</v>
      </c>
      <c r="Q908" t="s">
        <v>4137</v>
      </c>
      <c r="R908" t="s">
        <v>4142</v>
      </c>
      <c r="S908">
        <f>YEAR(marketing_data[[#This Row],[Start_date]])</f>
        <v>2023</v>
      </c>
      <c r="T908" t="str">
        <f>TEXT(marketing_data[[#This Row],[Start_date]],"ddd")</f>
        <v>Sun</v>
      </c>
      <c r="U908">
        <f>marketing_data[[#This Row],[Cleaned End_date]]-marketing_data[[#This Row],[Start_date]]</f>
        <v>9</v>
      </c>
    </row>
    <row r="909" spans="1:21" x14ac:dyDescent="0.2">
      <c r="A909" t="s">
        <v>1891</v>
      </c>
      <c r="B909" t="s">
        <v>1892</v>
      </c>
      <c r="C909" s="2">
        <v>44976</v>
      </c>
      <c r="D909" t="str">
        <f t="shared" si="87"/>
        <v>Feb</v>
      </c>
      <c r="E909" s="2">
        <v>44999</v>
      </c>
      <c r="F909" t="s">
        <v>23</v>
      </c>
      <c r="G909">
        <v>24954</v>
      </c>
      <c r="H909">
        <v>589</v>
      </c>
      <c r="I909">
        <v>43</v>
      </c>
      <c r="J909" t="b">
        <v>1</v>
      </c>
      <c r="K909" s="10">
        <v>1110.95</v>
      </c>
      <c r="L909" s="6">
        <f t="shared" si="88"/>
        <v>2.3603430311773664E-2</v>
      </c>
      <c r="M909">
        <f t="shared" si="89"/>
        <v>1.88616298811545</v>
      </c>
      <c r="N909">
        <f t="shared" si="90"/>
        <v>25.836046511627909</v>
      </c>
      <c r="O909">
        <f t="shared" si="91"/>
        <v>1039.05</v>
      </c>
      <c r="P909">
        <f t="shared" si="92"/>
        <v>7.3005093378607805E-2</v>
      </c>
      <c r="Q909" t="s">
        <v>4138</v>
      </c>
      <c r="R909" t="s">
        <v>4138</v>
      </c>
      <c r="S909">
        <f>YEAR(marketing_data[[#This Row],[Start_date]])</f>
        <v>2023</v>
      </c>
      <c r="T909" t="str">
        <f>TEXT(marketing_data[[#This Row],[Start_date]],"ddd")</f>
        <v>Sun</v>
      </c>
      <c r="U909">
        <f>marketing_data[[#This Row],[Cleaned End_date]]-marketing_data[[#This Row],[Start_date]]</f>
        <v>23</v>
      </c>
    </row>
    <row r="910" spans="1:21" x14ac:dyDescent="0.2">
      <c r="A910" t="s">
        <v>1893</v>
      </c>
      <c r="B910" t="s">
        <v>1894</v>
      </c>
      <c r="C910" s="2">
        <v>45090</v>
      </c>
      <c r="D910" t="str">
        <f t="shared" si="87"/>
        <v>Jun</v>
      </c>
      <c r="E910" s="2">
        <v>45109</v>
      </c>
      <c r="F910" t="s">
        <v>19</v>
      </c>
      <c r="G910">
        <v>58108</v>
      </c>
      <c r="H910">
        <v>2879</v>
      </c>
      <c r="I910">
        <v>296</v>
      </c>
      <c r="J910" t="b">
        <v>1</v>
      </c>
      <c r="K910" s="10">
        <v>3631.7599999999998</v>
      </c>
      <c r="L910" s="6">
        <f t="shared" si="88"/>
        <v>4.9545673573346181E-2</v>
      </c>
      <c r="M910">
        <f t="shared" si="89"/>
        <v>1.261465786731504</v>
      </c>
      <c r="N910">
        <f t="shared" si="90"/>
        <v>12.269459459459458</v>
      </c>
      <c r="O910">
        <f t="shared" si="91"/>
        <v>11168.24</v>
      </c>
      <c r="P910">
        <f t="shared" si="92"/>
        <v>0.10281347690170198</v>
      </c>
      <c r="Q910" t="s">
        <v>4139</v>
      </c>
      <c r="R910" t="s">
        <v>4142</v>
      </c>
      <c r="S910">
        <f>YEAR(marketing_data[[#This Row],[Start_date]])</f>
        <v>2023</v>
      </c>
      <c r="T910" t="str">
        <f>TEXT(marketing_data[[#This Row],[Start_date]],"ddd")</f>
        <v>Tue</v>
      </c>
      <c r="U910">
        <f>marketing_data[[#This Row],[Cleaned End_date]]-marketing_data[[#This Row],[Start_date]]</f>
        <v>19</v>
      </c>
    </row>
    <row r="911" spans="1:21" x14ac:dyDescent="0.2">
      <c r="A911" t="s">
        <v>1896</v>
      </c>
      <c r="B911" t="s">
        <v>1897</v>
      </c>
      <c r="C911" s="2">
        <v>44949</v>
      </c>
      <c r="D911" t="str">
        <f t="shared" si="87"/>
        <v>Jan</v>
      </c>
      <c r="E911" s="2">
        <v>44962</v>
      </c>
      <c r="F911" t="str">
        <f>F910</f>
        <v>Facebook</v>
      </c>
      <c r="G911">
        <v>88044</v>
      </c>
      <c r="H911">
        <v>3085</v>
      </c>
      <c r="I911">
        <v>348</v>
      </c>
      <c r="J911" t="b">
        <v>1</v>
      </c>
      <c r="K911" s="10">
        <v>3631.7599999999998</v>
      </c>
      <c r="L911" s="6">
        <f t="shared" si="88"/>
        <v>3.5039298532551909E-2</v>
      </c>
      <c r="M911">
        <f t="shared" si="89"/>
        <v>1.1772317666126417</v>
      </c>
      <c r="N911">
        <f t="shared" si="90"/>
        <v>10.436091954022988</v>
      </c>
      <c r="O911">
        <f t="shared" si="91"/>
        <v>13768.24</v>
      </c>
      <c r="P911">
        <f t="shared" si="92"/>
        <v>0.11280388978930309</v>
      </c>
      <c r="Q911" t="s">
        <v>4138</v>
      </c>
      <c r="R911" t="s">
        <v>4139</v>
      </c>
      <c r="S911">
        <f>YEAR(marketing_data[[#This Row],[Start_date]])</f>
        <v>2023</v>
      </c>
      <c r="T911" t="str">
        <f>TEXT(marketing_data[[#This Row],[Start_date]],"ddd")</f>
        <v>Mon</v>
      </c>
      <c r="U911">
        <f>marketing_data[[#This Row],[Cleaned End_date]]-marketing_data[[#This Row],[Start_date]]</f>
        <v>13</v>
      </c>
    </row>
    <row r="912" spans="1:21" x14ac:dyDescent="0.2">
      <c r="A912" t="s">
        <v>1898</v>
      </c>
      <c r="B912" t="s">
        <v>1899</v>
      </c>
      <c r="C912" s="2">
        <v>45102</v>
      </c>
      <c r="D912" t="str">
        <f t="shared" si="87"/>
        <v>Jun</v>
      </c>
      <c r="E912" s="2">
        <v>45128</v>
      </c>
      <c r="F912" t="s">
        <v>19</v>
      </c>
      <c r="G912">
        <v>88505</v>
      </c>
      <c r="H912">
        <v>2766</v>
      </c>
      <c r="I912">
        <v>300</v>
      </c>
      <c r="J912" t="b">
        <v>0</v>
      </c>
      <c r="K912" s="10">
        <v>2640.22</v>
      </c>
      <c r="L912" s="6">
        <f t="shared" si="88"/>
        <v>3.1252471611773344E-2</v>
      </c>
      <c r="M912">
        <f t="shared" si="89"/>
        <v>0.954526391901663</v>
      </c>
      <c r="N912">
        <f t="shared" si="90"/>
        <v>8.8007333333333335</v>
      </c>
      <c r="O912">
        <f t="shared" si="91"/>
        <v>12359.78</v>
      </c>
      <c r="P912">
        <f t="shared" si="92"/>
        <v>0.10845986984815618</v>
      </c>
      <c r="Q912" t="s">
        <v>4139</v>
      </c>
      <c r="R912" t="s">
        <v>4138</v>
      </c>
      <c r="S912">
        <f>YEAR(marketing_data[[#This Row],[Start_date]])</f>
        <v>2023</v>
      </c>
      <c r="T912" t="str">
        <f>TEXT(marketing_data[[#This Row],[Start_date]],"ddd")</f>
        <v>Sun</v>
      </c>
      <c r="U912">
        <f>marketing_data[[#This Row],[Cleaned End_date]]-marketing_data[[#This Row],[Start_date]]</f>
        <v>26</v>
      </c>
    </row>
    <row r="913" spans="1:21" x14ac:dyDescent="0.2">
      <c r="A913" t="s">
        <v>1900</v>
      </c>
      <c r="B913" t="s">
        <v>1901</v>
      </c>
      <c r="C913" s="2">
        <v>45011</v>
      </c>
      <c r="D913" t="str">
        <f t="shared" si="87"/>
        <v>Mar</v>
      </c>
      <c r="E913" s="2">
        <v>45041</v>
      </c>
      <c r="F913" t="s">
        <v>23</v>
      </c>
      <c r="G913">
        <v>37668</v>
      </c>
      <c r="H913">
        <v>1639</v>
      </c>
      <c r="I913">
        <v>245</v>
      </c>
      <c r="J913" t="b">
        <v>0</v>
      </c>
      <c r="K913" s="10">
        <v>3195.76</v>
      </c>
      <c r="L913" s="6">
        <f t="shared" si="88"/>
        <v>4.3511734097908039E-2</v>
      </c>
      <c r="M913">
        <f t="shared" si="89"/>
        <v>1.9498230628431972</v>
      </c>
      <c r="N913">
        <f t="shared" si="90"/>
        <v>13.04391836734694</v>
      </c>
      <c r="O913">
        <f t="shared" si="91"/>
        <v>9054.24</v>
      </c>
      <c r="P913">
        <f t="shared" si="92"/>
        <v>0.14948139109212935</v>
      </c>
      <c r="Q913" t="s">
        <v>4137</v>
      </c>
      <c r="R913" t="s">
        <v>4141</v>
      </c>
      <c r="S913">
        <f>YEAR(marketing_data[[#This Row],[Start_date]])</f>
        <v>2023</v>
      </c>
      <c r="T913" t="str">
        <f>TEXT(marketing_data[[#This Row],[Start_date]],"ddd")</f>
        <v>Sun</v>
      </c>
      <c r="U913">
        <f>marketing_data[[#This Row],[Cleaned End_date]]-marketing_data[[#This Row],[Start_date]]</f>
        <v>30</v>
      </c>
    </row>
    <row r="914" spans="1:21" x14ac:dyDescent="0.2">
      <c r="A914" t="s">
        <v>1902</v>
      </c>
      <c r="B914" t="s">
        <v>1903</v>
      </c>
      <c r="C914" s="2">
        <v>45191</v>
      </c>
      <c r="D914" t="str">
        <f t="shared" si="87"/>
        <v>Sep</v>
      </c>
      <c r="E914" s="2">
        <v>45209</v>
      </c>
      <c r="F914" t="s">
        <v>19</v>
      </c>
      <c r="G914">
        <v>24061</v>
      </c>
      <c r="H914">
        <v>515</v>
      </c>
      <c r="I914">
        <v>42</v>
      </c>
      <c r="J914" t="b">
        <v>1</v>
      </c>
      <c r="K914" s="10">
        <v>742.72</v>
      </c>
      <c r="L914" s="6">
        <f t="shared" si="88"/>
        <v>2.1403931673662772E-2</v>
      </c>
      <c r="M914">
        <f t="shared" si="89"/>
        <v>1.4421747572815535</v>
      </c>
      <c r="N914">
        <f t="shared" si="90"/>
        <v>17.683809523809526</v>
      </c>
      <c r="O914">
        <f t="shared" si="91"/>
        <v>1357.28</v>
      </c>
      <c r="P914">
        <f t="shared" si="92"/>
        <v>8.155339805825243E-2</v>
      </c>
      <c r="Q914" t="s">
        <v>4136</v>
      </c>
      <c r="R914" t="s">
        <v>4138</v>
      </c>
      <c r="S914">
        <f>YEAR(marketing_data[[#This Row],[Start_date]])</f>
        <v>2023</v>
      </c>
      <c r="T914" t="str">
        <f>TEXT(marketing_data[[#This Row],[Start_date]],"ddd")</f>
        <v>Fri</v>
      </c>
      <c r="U914">
        <f>marketing_data[[#This Row],[Cleaned End_date]]-marketing_data[[#This Row],[Start_date]]</f>
        <v>18</v>
      </c>
    </row>
    <row r="915" spans="1:21" x14ac:dyDescent="0.2">
      <c r="A915" t="s">
        <v>1904</v>
      </c>
      <c r="B915" t="s">
        <v>1905</v>
      </c>
      <c r="C915" s="2">
        <v>45213</v>
      </c>
      <c r="D915" t="str">
        <f t="shared" si="87"/>
        <v>Oct</v>
      </c>
      <c r="E915" s="2">
        <v>45234</v>
      </c>
      <c r="F915" t="s">
        <v>19</v>
      </c>
      <c r="G915">
        <v>80252</v>
      </c>
      <c r="H915">
        <v>2180</v>
      </c>
      <c r="I915">
        <v>181</v>
      </c>
      <c r="J915" t="b">
        <v>0</v>
      </c>
      <c r="K915" s="10">
        <v>3631.7599999999998</v>
      </c>
      <c r="L915" s="6">
        <f t="shared" si="88"/>
        <v>2.7164432039076907E-2</v>
      </c>
      <c r="M915">
        <f t="shared" si="89"/>
        <v>1.6659449541284403</v>
      </c>
      <c r="N915">
        <f t="shared" si="90"/>
        <v>20.064972375690605</v>
      </c>
      <c r="O915">
        <f t="shared" si="91"/>
        <v>5418.24</v>
      </c>
      <c r="P915">
        <f t="shared" si="92"/>
        <v>8.3027522935779821E-2</v>
      </c>
      <c r="Q915" t="s">
        <v>4136</v>
      </c>
      <c r="R915" t="s">
        <v>4141</v>
      </c>
      <c r="S915">
        <f>YEAR(marketing_data[[#This Row],[Start_date]])</f>
        <v>2023</v>
      </c>
      <c r="T915" t="str">
        <f>TEXT(marketing_data[[#This Row],[Start_date]],"ddd")</f>
        <v>Sat</v>
      </c>
      <c r="U915">
        <f>marketing_data[[#This Row],[Cleaned End_date]]-marketing_data[[#This Row],[Start_date]]</f>
        <v>21</v>
      </c>
    </row>
    <row r="916" spans="1:21" x14ac:dyDescent="0.2">
      <c r="A916" t="s">
        <v>1906</v>
      </c>
      <c r="B916" t="s">
        <v>1907</v>
      </c>
      <c r="C916" s="2">
        <v>45134</v>
      </c>
      <c r="D916" t="str">
        <f t="shared" si="87"/>
        <v>Jul</v>
      </c>
      <c r="E916" s="2">
        <v>45158</v>
      </c>
      <c r="F916" t="s">
        <v>33</v>
      </c>
      <c r="G916">
        <v>40749</v>
      </c>
      <c r="H916">
        <v>843</v>
      </c>
      <c r="J916" t="b">
        <v>0</v>
      </c>
      <c r="K916" s="10">
        <v>1276.43</v>
      </c>
      <c r="L916" s="6">
        <f t="shared" si="88"/>
        <v>2.0687624236177576E-2</v>
      </c>
      <c r="M916">
        <f t="shared" si="89"/>
        <v>1.5141518386714117</v>
      </c>
      <c r="N916">
        <f t="shared" si="90"/>
        <v>0</v>
      </c>
      <c r="O916">
        <f t="shared" si="91"/>
        <v>-1276.43</v>
      </c>
      <c r="P916">
        <f t="shared" si="92"/>
        <v>0</v>
      </c>
      <c r="Q916" t="s">
        <v>4139</v>
      </c>
      <c r="R916" t="s">
        <v>4139</v>
      </c>
      <c r="S916">
        <f>YEAR(marketing_data[[#This Row],[Start_date]])</f>
        <v>2023</v>
      </c>
      <c r="T916" t="str">
        <f>TEXT(marketing_data[[#This Row],[Start_date]],"ddd")</f>
        <v>Thu</v>
      </c>
      <c r="U916">
        <f>marketing_data[[#This Row],[Cleaned End_date]]-marketing_data[[#This Row],[Start_date]]</f>
        <v>24</v>
      </c>
    </row>
    <row r="917" spans="1:21" x14ac:dyDescent="0.2">
      <c r="A917" t="s">
        <v>1908</v>
      </c>
      <c r="B917" t="s">
        <v>1909</v>
      </c>
      <c r="C917" s="2">
        <v>45263</v>
      </c>
      <c r="D917" t="str">
        <f t="shared" si="87"/>
        <v>Dec</v>
      </c>
      <c r="E917" s="2">
        <v>45293</v>
      </c>
      <c r="F917" t="s">
        <v>33</v>
      </c>
      <c r="G917">
        <v>17907</v>
      </c>
      <c r="H917">
        <v>744</v>
      </c>
      <c r="I917">
        <v>93</v>
      </c>
      <c r="J917" t="b">
        <v>1</v>
      </c>
      <c r="K917" s="10">
        <v>714.88</v>
      </c>
      <c r="L917" s="6">
        <f t="shared" si="88"/>
        <v>4.1547997989612999E-2</v>
      </c>
      <c r="M917">
        <f t="shared" si="89"/>
        <v>0.9608602150537634</v>
      </c>
      <c r="N917">
        <f t="shared" si="90"/>
        <v>7.6868817204301072</v>
      </c>
      <c r="O917">
        <f t="shared" si="91"/>
        <v>3935.12</v>
      </c>
      <c r="P917">
        <f t="shared" si="92"/>
        <v>0.125</v>
      </c>
      <c r="Q917" t="s">
        <v>4138</v>
      </c>
      <c r="R917" t="s">
        <v>4141</v>
      </c>
      <c r="S917">
        <f>YEAR(marketing_data[[#This Row],[Start_date]])</f>
        <v>2023</v>
      </c>
      <c r="T917" t="str">
        <f>TEXT(marketing_data[[#This Row],[Start_date]],"ddd")</f>
        <v>Sun</v>
      </c>
      <c r="U917">
        <f>marketing_data[[#This Row],[Cleaned End_date]]-marketing_data[[#This Row],[Start_date]]</f>
        <v>30</v>
      </c>
    </row>
    <row r="918" spans="1:21" x14ac:dyDescent="0.2">
      <c r="A918" t="s">
        <v>1910</v>
      </c>
      <c r="B918" t="s">
        <v>1911</v>
      </c>
      <c r="C918" s="2">
        <v>45241</v>
      </c>
      <c r="D918" t="str">
        <f t="shared" si="87"/>
        <v>Nov</v>
      </c>
      <c r="E918" s="2">
        <v>45250</v>
      </c>
      <c r="F918" t="s">
        <v>33</v>
      </c>
      <c r="G918">
        <v>19777</v>
      </c>
      <c r="H918">
        <v>651</v>
      </c>
      <c r="I918">
        <v>73</v>
      </c>
      <c r="J918" t="b">
        <v>1</v>
      </c>
      <c r="K918" s="10">
        <v>686.83</v>
      </c>
      <c r="L918" s="6">
        <f t="shared" si="88"/>
        <v>3.2917024826819033E-2</v>
      </c>
      <c r="M918">
        <f t="shared" si="89"/>
        <v>1.0550384024577573</v>
      </c>
      <c r="N918">
        <f t="shared" si="90"/>
        <v>9.4086301369863019</v>
      </c>
      <c r="O918">
        <f t="shared" si="91"/>
        <v>2963.17</v>
      </c>
      <c r="P918">
        <f t="shared" si="92"/>
        <v>0.11213517665130568</v>
      </c>
      <c r="Q918" t="s">
        <v>4136</v>
      </c>
      <c r="R918" t="s">
        <v>4141</v>
      </c>
      <c r="S918">
        <f>YEAR(marketing_data[[#This Row],[Start_date]])</f>
        <v>2023</v>
      </c>
      <c r="T918" t="str">
        <f>TEXT(marketing_data[[#This Row],[Start_date]],"ddd")</f>
        <v>Sat</v>
      </c>
      <c r="U918">
        <f>marketing_data[[#This Row],[Cleaned End_date]]-marketing_data[[#This Row],[Start_date]]</f>
        <v>9</v>
      </c>
    </row>
    <row r="919" spans="1:21" x14ac:dyDescent="0.2">
      <c r="A919" t="s">
        <v>1912</v>
      </c>
      <c r="B919" t="s">
        <v>1913</v>
      </c>
      <c r="C919" s="2">
        <v>45146</v>
      </c>
      <c r="D919" t="str">
        <f t="shared" si="87"/>
        <v>Aug</v>
      </c>
      <c r="E919" s="2">
        <v>45165</v>
      </c>
      <c r="F919" t="s">
        <v>14</v>
      </c>
      <c r="G919">
        <v>94229</v>
      </c>
      <c r="H919">
        <v>3425</v>
      </c>
      <c r="I919">
        <v>258</v>
      </c>
      <c r="J919" t="b">
        <v>1</v>
      </c>
      <c r="K919" s="10">
        <v>3631.7599999999998</v>
      </c>
      <c r="L919" s="6">
        <f t="shared" si="88"/>
        <v>3.6347621220643327E-2</v>
      </c>
      <c r="M919">
        <f t="shared" si="89"/>
        <v>1.0603678832116787</v>
      </c>
      <c r="N919">
        <f t="shared" si="90"/>
        <v>14.076589147286821</v>
      </c>
      <c r="O919">
        <f t="shared" si="91"/>
        <v>9268.24</v>
      </c>
      <c r="P919">
        <f t="shared" si="92"/>
        <v>7.5328467153284673E-2</v>
      </c>
      <c r="Q919" t="s">
        <v>4139</v>
      </c>
      <c r="R919" t="s">
        <v>4139</v>
      </c>
      <c r="S919">
        <f>YEAR(marketing_data[[#This Row],[Start_date]])</f>
        <v>2023</v>
      </c>
      <c r="T919" t="str">
        <f>TEXT(marketing_data[[#This Row],[Start_date]],"ddd")</f>
        <v>Tue</v>
      </c>
      <c r="U919">
        <f>marketing_data[[#This Row],[Cleaned End_date]]-marketing_data[[#This Row],[Start_date]]</f>
        <v>19</v>
      </c>
    </row>
    <row r="920" spans="1:21" x14ac:dyDescent="0.2">
      <c r="A920" t="s">
        <v>1914</v>
      </c>
      <c r="B920" t="s">
        <v>1915</v>
      </c>
      <c r="C920" s="2">
        <v>45032</v>
      </c>
      <c r="D920" t="str">
        <f t="shared" si="87"/>
        <v>Apr</v>
      </c>
      <c r="E920" s="2">
        <v>45036</v>
      </c>
      <c r="F920" t="s">
        <v>14</v>
      </c>
      <c r="G920">
        <v>52745</v>
      </c>
      <c r="H920">
        <v>1059</v>
      </c>
      <c r="I920">
        <v>82</v>
      </c>
      <c r="J920" t="b">
        <v>1</v>
      </c>
      <c r="K920" s="10">
        <v>1784.44</v>
      </c>
      <c r="L920" s="6">
        <f t="shared" si="88"/>
        <v>2.0077732486491612E-2</v>
      </c>
      <c r="M920">
        <f t="shared" si="89"/>
        <v>1.6850236071765818</v>
      </c>
      <c r="N920">
        <f t="shared" si="90"/>
        <v>21.761463414634147</v>
      </c>
      <c r="O920">
        <f t="shared" si="91"/>
        <v>2315.56</v>
      </c>
      <c r="P920">
        <f t="shared" si="92"/>
        <v>7.7431539187913123E-2</v>
      </c>
      <c r="Q920" t="s">
        <v>4137</v>
      </c>
      <c r="R920" t="s">
        <v>4139</v>
      </c>
      <c r="S920">
        <f>YEAR(marketing_data[[#This Row],[Start_date]])</f>
        <v>2023</v>
      </c>
      <c r="T920" t="str">
        <f>TEXT(marketing_data[[#This Row],[Start_date]],"ddd")</f>
        <v>Sun</v>
      </c>
      <c r="U920">
        <f>marketing_data[[#This Row],[Cleaned End_date]]-marketing_data[[#This Row],[Start_date]]</f>
        <v>4</v>
      </c>
    </row>
    <row r="921" spans="1:21" x14ac:dyDescent="0.2">
      <c r="A921" t="s">
        <v>1916</v>
      </c>
      <c r="B921" t="s">
        <v>1917</v>
      </c>
      <c r="C921" s="2">
        <v>44959</v>
      </c>
      <c r="D921" t="str">
        <f t="shared" si="87"/>
        <v>Feb</v>
      </c>
      <c r="E921" s="2">
        <v>44982</v>
      </c>
      <c r="F921" t="s">
        <v>19</v>
      </c>
      <c r="G921">
        <v>92865</v>
      </c>
      <c r="H921">
        <v>1746</v>
      </c>
      <c r="J921" t="b">
        <v>0</v>
      </c>
      <c r="K921" s="10">
        <v>1705.8</v>
      </c>
      <c r="L921" s="6">
        <f t="shared" si="88"/>
        <v>1.8801486028105316E-2</v>
      </c>
      <c r="M921">
        <f t="shared" si="89"/>
        <v>0.9769759450171821</v>
      </c>
      <c r="N921">
        <f t="shared" si="90"/>
        <v>0</v>
      </c>
      <c r="O921">
        <f t="shared" si="91"/>
        <v>-1705.8</v>
      </c>
      <c r="P921">
        <f t="shared" si="92"/>
        <v>0</v>
      </c>
      <c r="Q921" t="s">
        <v>4138</v>
      </c>
      <c r="R921" t="s">
        <v>4138</v>
      </c>
      <c r="S921">
        <f>YEAR(marketing_data[[#This Row],[Start_date]])</f>
        <v>2023</v>
      </c>
      <c r="T921" t="str">
        <f>TEXT(marketing_data[[#This Row],[Start_date]],"ddd")</f>
        <v>Thu</v>
      </c>
      <c r="U921">
        <f>marketing_data[[#This Row],[Cleaned End_date]]-marketing_data[[#This Row],[Start_date]]</f>
        <v>23</v>
      </c>
    </row>
    <row r="922" spans="1:21" x14ac:dyDescent="0.2">
      <c r="A922" t="s">
        <v>1918</v>
      </c>
      <c r="B922" t="s">
        <v>1919</v>
      </c>
      <c r="C922" s="2">
        <v>45201</v>
      </c>
      <c r="D922" t="str">
        <f t="shared" si="87"/>
        <v>Oct</v>
      </c>
      <c r="E922" s="2">
        <v>45218</v>
      </c>
      <c r="F922" t="s">
        <v>41</v>
      </c>
      <c r="G922">
        <v>82818</v>
      </c>
      <c r="H922">
        <v>2446</v>
      </c>
      <c r="I922">
        <v>155</v>
      </c>
      <c r="J922" t="b">
        <v>0</v>
      </c>
      <c r="K922" s="10">
        <v>3350.03</v>
      </c>
      <c r="L922" s="6">
        <f t="shared" si="88"/>
        <v>2.9534642227535077E-2</v>
      </c>
      <c r="M922">
        <f t="shared" si="89"/>
        <v>1.3695952575633688</v>
      </c>
      <c r="N922">
        <f t="shared" si="90"/>
        <v>21.613096774193551</v>
      </c>
      <c r="O922">
        <f t="shared" si="91"/>
        <v>4399.9699999999993</v>
      </c>
      <c r="P922">
        <f t="shared" si="92"/>
        <v>6.3368765331152904E-2</v>
      </c>
      <c r="Q922" t="s">
        <v>4136</v>
      </c>
      <c r="R922" t="s">
        <v>4139</v>
      </c>
      <c r="S922">
        <f>YEAR(marketing_data[[#This Row],[Start_date]])</f>
        <v>2023</v>
      </c>
      <c r="T922" t="str">
        <f>TEXT(marketing_data[[#This Row],[Start_date]],"ddd")</f>
        <v>Mon</v>
      </c>
      <c r="U922">
        <f>marketing_data[[#This Row],[Cleaned End_date]]-marketing_data[[#This Row],[Start_date]]</f>
        <v>17</v>
      </c>
    </row>
    <row r="923" spans="1:21" x14ac:dyDescent="0.2">
      <c r="A923" t="s">
        <v>1920</v>
      </c>
      <c r="B923" t="s">
        <v>1921</v>
      </c>
      <c r="C923" s="2">
        <v>45161</v>
      </c>
      <c r="D923" t="str">
        <f t="shared" si="87"/>
        <v>Aug</v>
      </c>
      <c r="E923" s="2">
        <v>45177</v>
      </c>
      <c r="F923" t="s">
        <v>33</v>
      </c>
      <c r="G923">
        <v>24624</v>
      </c>
      <c r="H923">
        <v>972</v>
      </c>
      <c r="I923">
        <v>129</v>
      </c>
      <c r="J923" t="b">
        <v>0</v>
      </c>
      <c r="K923" s="10">
        <v>989.92</v>
      </c>
      <c r="L923" s="6">
        <f t="shared" si="88"/>
        <v>3.9473684210526314E-2</v>
      </c>
      <c r="M923">
        <f t="shared" si="89"/>
        <v>1.0184362139917695</v>
      </c>
      <c r="N923">
        <f t="shared" si="90"/>
        <v>7.673798449612403</v>
      </c>
      <c r="O923">
        <f t="shared" si="91"/>
        <v>5460.08</v>
      </c>
      <c r="P923">
        <f t="shared" si="92"/>
        <v>0.13271604938271606</v>
      </c>
      <c r="Q923" t="s">
        <v>4139</v>
      </c>
      <c r="R923" t="s">
        <v>4141</v>
      </c>
      <c r="S923">
        <f>YEAR(marketing_data[[#This Row],[Start_date]])</f>
        <v>2023</v>
      </c>
      <c r="T923" t="str">
        <f>TEXT(marketing_data[[#This Row],[Start_date]],"ddd")</f>
        <v>Wed</v>
      </c>
      <c r="U923">
        <f>marketing_data[[#This Row],[Cleaned End_date]]-marketing_data[[#This Row],[Start_date]]</f>
        <v>16</v>
      </c>
    </row>
    <row r="924" spans="1:21" x14ac:dyDescent="0.2">
      <c r="A924" t="s">
        <v>1922</v>
      </c>
      <c r="B924" t="s">
        <v>1923</v>
      </c>
      <c r="C924" s="2">
        <v>45177</v>
      </c>
      <c r="D924" t="str">
        <f t="shared" si="87"/>
        <v>Sep</v>
      </c>
      <c r="E924" s="2">
        <v>45183</v>
      </c>
      <c r="F924" t="s">
        <v>33</v>
      </c>
      <c r="G924">
        <v>24321</v>
      </c>
      <c r="H924">
        <v>754</v>
      </c>
      <c r="I924">
        <v>138</v>
      </c>
      <c r="J924" t="b">
        <v>1</v>
      </c>
      <c r="K924" s="10">
        <v>1299.6400000000001</v>
      </c>
      <c r="L924" s="6">
        <f t="shared" si="88"/>
        <v>3.1002014719789483E-2</v>
      </c>
      <c r="M924">
        <f t="shared" si="89"/>
        <v>1.7236604774535811</v>
      </c>
      <c r="N924">
        <f t="shared" si="90"/>
        <v>9.4176811594202903</v>
      </c>
      <c r="O924">
        <f t="shared" si="91"/>
        <v>5600.36</v>
      </c>
      <c r="P924">
        <f t="shared" si="92"/>
        <v>0.1830238726790451</v>
      </c>
      <c r="Q924" t="s">
        <v>4136</v>
      </c>
      <c r="R924" t="s">
        <v>4138</v>
      </c>
      <c r="S924">
        <f>YEAR(marketing_data[[#This Row],[Start_date]])</f>
        <v>2023</v>
      </c>
      <c r="T924" t="str">
        <f>TEXT(marketing_data[[#This Row],[Start_date]],"ddd")</f>
        <v>Fri</v>
      </c>
      <c r="U924">
        <f>marketing_data[[#This Row],[Cleaned End_date]]-marketing_data[[#This Row],[Start_date]]</f>
        <v>6</v>
      </c>
    </row>
    <row r="925" spans="1:21" x14ac:dyDescent="0.2">
      <c r="A925" t="s">
        <v>1924</v>
      </c>
      <c r="B925" t="s">
        <v>1925</v>
      </c>
      <c r="C925" s="2">
        <v>45232</v>
      </c>
      <c r="D925" t="str">
        <f t="shared" si="87"/>
        <v>Nov</v>
      </c>
      <c r="E925" s="2">
        <v>45261</v>
      </c>
      <c r="F925" t="s">
        <v>14</v>
      </c>
      <c r="G925">
        <v>11488</v>
      </c>
      <c r="H925">
        <v>129</v>
      </c>
      <c r="I925">
        <v>12</v>
      </c>
      <c r="J925" t="b">
        <v>1</v>
      </c>
      <c r="K925" s="10">
        <v>329.13249999999999</v>
      </c>
      <c r="L925" s="6">
        <f t="shared" si="88"/>
        <v>1.1229108635097493E-2</v>
      </c>
      <c r="M925">
        <f t="shared" si="89"/>
        <v>2.5514147286821705</v>
      </c>
      <c r="N925">
        <f t="shared" si="90"/>
        <v>27.427708333333332</v>
      </c>
      <c r="O925">
        <f t="shared" si="91"/>
        <v>270.86750000000001</v>
      </c>
      <c r="P925">
        <f t="shared" si="92"/>
        <v>9.3023255813953487E-2</v>
      </c>
      <c r="Q925" t="s">
        <v>4136</v>
      </c>
      <c r="R925" t="s">
        <v>4138</v>
      </c>
      <c r="S925">
        <f>YEAR(marketing_data[[#This Row],[Start_date]])</f>
        <v>2023</v>
      </c>
      <c r="T925" t="str">
        <f>TEXT(marketing_data[[#This Row],[Start_date]],"ddd")</f>
        <v>Thu</v>
      </c>
      <c r="U925">
        <f>marketing_data[[#This Row],[Cleaned End_date]]-marketing_data[[#This Row],[Start_date]]</f>
        <v>29</v>
      </c>
    </row>
    <row r="926" spans="1:21" x14ac:dyDescent="0.2">
      <c r="A926" t="s">
        <v>1926</v>
      </c>
      <c r="B926" t="s">
        <v>1927</v>
      </c>
      <c r="C926" s="2">
        <v>44985</v>
      </c>
      <c r="D926" t="str">
        <f t="shared" si="87"/>
        <v>Feb</v>
      </c>
      <c r="E926" s="2">
        <v>45000</v>
      </c>
      <c r="F926" t="s">
        <v>19</v>
      </c>
      <c r="G926">
        <v>23574</v>
      </c>
      <c r="H926">
        <v>1054</v>
      </c>
      <c r="I926">
        <v>104</v>
      </c>
      <c r="J926" t="b">
        <v>1</v>
      </c>
      <c r="K926" s="10">
        <v>648.29999999999995</v>
      </c>
      <c r="L926" s="6">
        <f t="shared" si="88"/>
        <v>4.4710274030711802E-2</v>
      </c>
      <c r="M926">
        <f t="shared" si="89"/>
        <v>0.61508538899430731</v>
      </c>
      <c r="N926">
        <f t="shared" si="90"/>
        <v>6.233653846153846</v>
      </c>
      <c r="O926">
        <f t="shared" si="91"/>
        <v>4551.7</v>
      </c>
      <c r="P926">
        <f t="shared" si="92"/>
        <v>9.8671726755218223E-2</v>
      </c>
      <c r="Q926" t="s">
        <v>4138</v>
      </c>
      <c r="R926" t="s">
        <v>4141</v>
      </c>
      <c r="S926">
        <f>YEAR(marketing_data[[#This Row],[Start_date]])</f>
        <v>2023</v>
      </c>
      <c r="T926" t="str">
        <f>TEXT(marketing_data[[#This Row],[Start_date]],"ddd")</f>
        <v>Tue</v>
      </c>
      <c r="U926">
        <f>marketing_data[[#This Row],[Cleaned End_date]]-marketing_data[[#This Row],[Start_date]]</f>
        <v>15</v>
      </c>
    </row>
    <row r="927" spans="1:21" x14ac:dyDescent="0.2">
      <c r="A927" t="s">
        <v>1928</v>
      </c>
      <c r="B927" t="s">
        <v>1929</v>
      </c>
      <c r="C927" s="2">
        <v>45243</v>
      </c>
      <c r="D927" t="str">
        <f t="shared" si="87"/>
        <v>Nov</v>
      </c>
      <c r="E927" s="2">
        <v>45253</v>
      </c>
      <c r="F927" t="s">
        <v>14</v>
      </c>
      <c r="G927">
        <v>6240</v>
      </c>
      <c r="H927">
        <v>78</v>
      </c>
      <c r="J927" t="b">
        <v>1</v>
      </c>
      <c r="K927" s="10">
        <v>329.13249999999999</v>
      </c>
      <c r="L927" s="6">
        <f t="shared" si="88"/>
        <v>1.2500000000000001E-2</v>
      </c>
      <c r="M927">
        <f t="shared" si="89"/>
        <v>4.2196474358974356</v>
      </c>
      <c r="N927">
        <f t="shared" si="90"/>
        <v>0</v>
      </c>
      <c r="O927">
        <f t="shared" si="91"/>
        <v>-329.13249999999999</v>
      </c>
      <c r="P927">
        <f t="shared" si="92"/>
        <v>0</v>
      </c>
      <c r="Q927" t="s">
        <v>4136</v>
      </c>
      <c r="R927" t="s">
        <v>4142</v>
      </c>
      <c r="S927">
        <f>YEAR(marketing_data[[#This Row],[Start_date]])</f>
        <v>2023</v>
      </c>
      <c r="T927" t="str">
        <f>TEXT(marketing_data[[#This Row],[Start_date]],"ddd")</f>
        <v>Mon</v>
      </c>
      <c r="U927">
        <f>marketing_data[[#This Row],[Cleaned End_date]]-marketing_data[[#This Row],[Start_date]]</f>
        <v>10</v>
      </c>
    </row>
    <row r="928" spans="1:21" x14ac:dyDescent="0.2">
      <c r="A928" t="s">
        <v>1930</v>
      </c>
      <c r="B928" t="s">
        <v>1931</v>
      </c>
      <c r="C928" s="2">
        <v>45079</v>
      </c>
      <c r="D928" t="str">
        <f t="shared" si="87"/>
        <v>Jun</v>
      </c>
      <c r="E928" s="2">
        <v>45107</v>
      </c>
      <c r="F928" t="s">
        <v>23</v>
      </c>
      <c r="G928">
        <v>44221</v>
      </c>
      <c r="H928">
        <v>2132</v>
      </c>
      <c r="I928">
        <v>230</v>
      </c>
      <c r="J928" t="b">
        <v>0</v>
      </c>
      <c r="K928" s="10">
        <v>1261.4100000000001</v>
      </c>
      <c r="L928" s="6">
        <f t="shared" si="88"/>
        <v>4.8212387779561744E-2</v>
      </c>
      <c r="M928">
        <f t="shared" si="89"/>
        <v>0.59165572232645403</v>
      </c>
      <c r="N928">
        <f t="shared" si="90"/>
        <v>5.4843913043478265</v>
      </c>
      <c r="O928">
        <f t="shared" si="91"/>
        <v>10238.59</v>
      </c>
      <c r="P928">
        <f t="shared" si="92"/>
        <v>0.10787992495309569</v>
      </c>
      <c r="Q928" t="s">
        <v>4139</v>
      </c>
      <c r="R928" t="s">
        <v>4141</v>
      </c>
      <c r="S928">
        <f>YEAR(marketing_data[[#This Row],[Start_date]])</f>
        <v>2023</v>
      </c>
      <c r="T928" t="str">
        <f>TEXT(marketing_data[[#This Row],[Start_date]],"ddd")</f>
        <v>Fri</v>
      </c>
      <c r="U928">
        <f>marketing_data[[#This Row],[Cleaned End_date]]-marketing_data[[#This Row],[Start_date]]</f>
        <v>28</v>
      </c>
    </row>
    <row r="929" spans="1:21" x14ac:dyDescent="0.2">
      <c r="A929" t="s">
        <v>1932</v>
      </c>
      <c r="B929" t="s">
        <v>1933</v>
      </c>
      <c r="C929" s="2">
        <v>45271</v>
      </c>
      <c r="D929" t="str">
        <f t="shared" si="87"/>
        <v>Dec</v>
      </c>
      <c r="E929" s="2">
        <v>45277</v>
      </c>
      <c r="F929" t="s">
        <v>41</v>
      </c>
      <c r="G929">
        <v>11478</v>
      </c>
      <c r="H929">
        <v>126</v>
      </c>
      <c r="I929">
        <v>7</v>
      </c>
      <c r="J929" t="b">
        <v>0</v>
      </c>
      <c r="K929" s="10">
        <v>329.13249999999999</v>
      </c>
      <c r="L929" s="6">
        <f t="shared" si="88"/>
        <v>1.097752221641401E-2</v>
      </c>
      <c r="M929">
        <f t="shared" si="89"/>
        <v>2.6121626984126984</v>
      </c>
      <c r="N929">
        <f t="shared" si="90"/>
        <v>47.018928571428567</v>
      </c>
      <c r="O929">
        <f t="shared" si="91"/>
        <v>20.867500000000007</v>
      </c>
      <c r="P929">
        <f t="shared" si="92"/>
        <v>5.5555555555555552E-2</v>
      </c>
      <c r="Q929" t="s">
        <v>4138</v>
      </c>
      <c r="R929" t="s">
        <v>4142</v>
      </c>
      <c r="S929">
        <f>YEAR(marketing_data[[#This Row],[Start_date]])</f>
        <v>2023</v>
      </c>
      <c r="T929" t="str">
        <f>TEXT(marketing_data[[#This Row],[Start_date]],"ddd")</f>
        <v>Mon</v>
      </c>
      <c r="U929">
        <f>marketing_data[[#This Row],[Cleaned End_date]]-marketing_data[[#This Row],[Start_date]]</f>
        <v>6</v>
      </c>
    </row>
    <row r="930" spans="1:21" x14ac:dyDescent="0.2">
      <c r="A930" t="s">
        <v>1934</v>
      </c>
      <c r="B930" t="s">
        <v>1935</v>
      </c>
      <c r="C930" s="2">
        <v>45083</v>
      </c>
      <c r="D930" t="str">
        <f t="shared" si="87"/>
        <v>Jun</v>
      </c>
      <c r="E930" s="2">
        <v>45085</v>
      </c>
      <c r="F930" t="s">
        <v>14</v>
      </c>
      <c r="G930">
        <v>56645</v>
      </c>
      <c r="H930">
        <v>2139</v>
      </c>
      <c r="I930">
        <v>401</v>
      </c>
      <c r="J930" t="b">
        <v>0</v>
      </c>
      <c r="K930" s="10">
        <v>1410.68</v>
      </c>
      <c r="L930" s="6">
        <f t="shared" si="88"/>
        <v>3.7761497042987022E-2</v>
      </c>
      <c r="M930">
        <f t="shared" si="89"/>
        <v>0.65950444132772323</v>
      </c>
      <c r="N930">
        <f t="shared" si="90"/>
        <v>3.517905236907731</v>
      </c>
      <c r="O930">
        <f t="shared" si="91"/>
        <v>18639.32</v>
      </c>
      <c r="P930">
        <f t="shared" si="92"/>
        <v>0.18747078073866294</v>
      </c>
      <c r="Q930" t="s">
        <v>4139</v>
      </c>
      <c r="R930" t="s">
        <v>4142</v>
      </c>
      <c r="S930">
        <f>YEAR(marketing_data[[#This Row],[Start_date]])</f>
        <v>2023</v>
      </c>
      <c r="T930" t="str">
        <f>TEXT(marketing_data[[#This Row],[Start_date]],"ddd")</f>
        <v>Tue</v>
      </c>
      <c r="U930">
        <f>marketing_data[[#This Row],[Cleaned End_date]]-marketing_data[[#This Row],[Start_date]]</f>
        <v>2</v>
      </c>
    </row>
    <row r="931" spans="1:21" x14ac:dyDescent="0.2">
      <c r="A931" t="s">
        <v>1936</v>
      </c>
      <c r="B931" t="s">
        <v>1937</v>
      </c>
      <c r="C931" s="2">
        <v>44999</v>
      </c>
      <c r="D931" t="str">
        <f t="shared" si="87"/>
        <v>Mar</v>
      </c>
      <c r="E931" s="2">
        <v>45009</v>
      </c>
      <c r="F931" t="s">
        <v>33</v>
      </c>
      <c r="G931">
        <v>20262</v>
      </c>
      <c r="H931">
        <v>269</v>
      </c>
      <c r="I931">
        <v>40</v>
      </c>
      <c r="J931" t="b">
        <v>0</v>
      </c>
      <c r="K931" s="10">
        <v>329.13249999999999</v>
      </c>
      <c r="L931" s="6">
        <f t="shared" si="88"/>
        <v>1.3276083308656598E-2</v>
      </c>
      <c r="M931">
        <f t="shared" si="89"/>
        <v>1.2235408921933084</v>
      </c>
      <c r="N931">
        <f t="shared" si="90"/>
        <v>8.2283124999999995</v>
      </c>
      <c r="O931">
        <f t="shared" si="91"/>
        <v>1670.8675000000001</v>
      </c>
      <c r="P931">
        <f t="shared" si="92"/>
        <v>0.14869888475836432</v>
      </c>
      <c r="Q931" t="s">
        <v>4137</v>
      </c>
      <c r="R931" t="s">
        <v>4138</v>
      </c>
      <c r="S931">
        <f>YEAR(marketing_data[[#This Row],[Start_date]])</f>
        <v>2023</v>
      </c>
      <c r="T931" t="str">
        <f>TEXT(marketing_data[[#This Row],[Start_date]],"ddd")</f>
        <v>Tue</v>
      </c>
      <c r="U931">
        <f>marketing_data[[#This Row],[Cleaned End_date]]-marketing_data[[#This Row],[Start_date]]</f>
        <v>10</v>
      </c>
    </row>
    <row r="932" spans="1:21" x14ac:dyDescent="0.2">
      <c r="A932" t="s">
        <v>1938</v>
      </c>
      <c r="B932" t="s">
        <v>1939</v>
      </c>
      <c r="C932" s="2">
        <v>44997</v>
      </c>
      <c r="D932" t="str">
        <f t="shared" si="87"/>
        <v>Mar</v>
      </c>
      <c r="E932" s="2">
        <v>45017</v>
      </c>
      <c r="F932" t="s">
        <v>23</v>
      </c>
      <c r="G932">
        <v>53796</v>
      </c>
      <c r="H932">
        <v>2497</v>
      </c>
      <c r="I932">
        <v>495</v>
      </c>
      <c r="J932" t="b">
        <v>1</v>
      </c>
      <c r="K932" s="10">
        <v>3631.7599999999998</v>
      </c>
      <c r="L932" s="6">
        <f t="shared" si="88"/>
        <v>4.6416090415644283E-2</v>
      </c>
      <c r="M932">
        <f t="shared" si="89"/>
        <v>1.4544493392070483</v>
      </c>
      <c r="N932">
        <f t="shared" si="90"/>
        <v>7.3368888888888888</v>
      </c>
      <c r="O932">
        <f t="shared" si="91"/>
        <v>21118.240000000002</v>
      </c>
      <c r="P932">
        <f t="shared" si="92"/>
        <v>0.19823788546255505</v>
      </c>
      <c r="Q932" t="s">
        <v>4137</v>
      </c>
      <c r="R932" t="s">
        <v>4138</v>
      </c>
      <c r="S932">
        <f>YEAR(marketing_data[[#This Row],[Start_date]])</f>
        <v>2023</v>
      </c>
      <c r="T932" t="str">
        <f>TEXT(marketing_data[[#This Row],[Start_date]],"ddd")</f>
        <v>Sun</v>
      </c>
      <c r="U932">
        <f>marketing_data[[#This Row],[Cleaned End_date]]-marketing_data[[#This Row],[Start_date]]</f>
        <v>20</v>
      </c>
    </row>
    <row r="933" spans="1:21" x14ac:dyDescent="0.2">
      <c r="A933" t="s">
        <v>1940</v>
      </c>
      <c r="B933" t="s">
        <v>1941</v>
      </c>
      <c r="C933" s="2">
        <v>45176</v>
      </c>
      <c r="D933" t="str">
        <f t="shared" si="87"/>
        <v>Sep</v>
      </c>
      <c r="E933" s="2">
        <v>45187</v>
      </c>
      <c r="F933" t="s">
        <v>33</v>
      </c>
      <c r="G933">
        <v>5432</v>
      </c>
      <c r="H933">
        <v>155</v>
      </c>
      <c r="I933">
        <v>28</v>
      </c>
      <c r="J933" t="b">
        <v>1</v>
      </c>
      <c r="K933" s="10">
        <v>329.13249999999999</v>
      </c>
      <c r="L933" s="6">
        <f t="shared" si="88"/>
        <v>2.853460972017673E-2</v>
      </c>
      <c r="M933">
        <f t="shared" si="89"/>
        <v>2.1234354838709675</v>
      </c>
      <c r="N933">
        <f t="shared" si="90"/>
        <v>11.754732142857142</v>
      </c>
      <c r="O933">
        <f t="shared" si="91"/>
        <v>1070.8675000000001</v>
      </c>
      <c r="P933">
        <f t="shared" si="92"/>
        <v>0.18064516129032257</v>
      </c>
      <c r="Q933" t="s">
        <v>4136</v>
      </c>
      <c r="R933" t="s">
        <v>4142</v>
      </c>
      <c r="S933">
        <f>YEAR(marketing_data[[#This Row],[Start_date]])</f>
        <v>2023</v>
      </c>
      <c r="T933" t="str">
        <f>TEXT(marketing_data[[#This Row],[Start_date]],"ddd")</f>
        <v>Thu</v>
      </c>
      <c r="U933">
        <f>marketing_data[[#This Row],[Cleaned End_date]]-marketing_data[[#This Row],[Start_date]]</f>
        <v>11</v>
      </c>
    </row>
    <row r="934" spans="1:21" x14ac:dyDescent="0.2">
      <c r="A934" t="s">
        <v>1942</v>
      </c>
      <c r="B934" t="s">
        <v>1943</v>
      </c>
      <c r="C934" s="2">
        <v>45257</v>
      </c>
      <c r="D934" t="str">
        <f t="shared" si="87"/>
        <v>Nov</v>
      </c>
      <c r="E934" s="2">
        <v>45287</v>
      </c>
      <c r="F934" t="s">
        <v>14</v>
      </c>
      <c r="G934">
        <v>96257</v>
      </c>
      <c r="H934">
        <v>1492</v>
      </c>
      <c r="J934" t="b">
        <v>1</v>
      </c>
      <c r="K934" s="10">
        <v>1757.77</v>
      </c>
      <c r="L934" s="6">
        <f t="shared" si="88"/>
        <v>1.5500171416104803E-2</v>
      </c>
      <c r="M934">
        <f t="shared" si="89"/>
        <v>1.1781300268096515</v>
      </c>
      <c r="N934">
        <f t="shared" si="90"/>
        <v>0</v>
      </c>
      <c r="O934">
        <f t="shared" si="91"/>
        <v>-1757.77</v>
      </c>
      <c r="P934">
        <f t="shared" si="92"/>
        <v>0</v>
      </c>
      <c r="Q934" t="s">
        <v>4136</v>
      </c>
      <c r="R934" t="s">
        <v>4141</v>
      </c>
      <c r="S934">
        <f>YEAR(marketing_data[[#This Row],[Start_date]])</f>
        <v>2023</v>
      </c>
      <c r="T934" t="str">
        <f>TEXT(marketing_data[[#This Row],[Start_date]],"ddd")</f>
        <v>Mon</v>
      </c>
      <c r="U934">
        <f>marketing_data[[#This Row],[Cleaned End_date]]-marketing_data[[#This Row],[Start_date]]</f>
        <v>30</v>
      </c>
    </row>
    <row r="935" spans="1:21" x14ac:dyDescent="0.2">
      <c r="A935" t="s">
        <v>1944</v>
      </c>
      <c r="B935" t="s">
        <v>1945</v>
      </c>
      <c r="C935" s="2">
        <v>45012</v>
      </c>
      <c r="D935" t="str">
        <f t="shared" si="87"/>
        <v>Mar</v>
      </c>
      <c r="E935" s="2">
        <v>45016</v>
      </c>
      <c r="F935" t="s">
        <v>14</v>
      </c>
      <c r="G935">
        <v>65291</v>
      </c>
      <c r="H935">
        <v>1542</v>
      </c>
      <c r="I935">
        <v>197</v>
      </c>
      <c r="J935" t="b">
        <v>0</v>
      </c>
      <c r="K935" s="10">
        <v>3051.17</v>
      </c>
      <c r="L935" s="6">
        <f t="shared" si="88"/>
        <v>2.3617343891194804E-2</v>
      </c>
      <c r="M935">
        <f t="shared" si="89"/>
        <v>1.978709468223087</v>
      </c>
      <c r="N935">
        <f t="shared" si="90"/>
        <v>15.488172588832487</v>
      </c>
      <c r="O935">
        <f t="shared" si="91"/>
        <v>6798.83</v>
      </c>
      <c r="P935">
        <f t="shared" si="92"/>
        <v>0.12775616083009078</v>
      </c>
      <c r="Q935" t="s">
        <v>4137</v>
      </c>
      <c r="R935" t="s">
        <v>4142</v>
      </c>
      <c r="S935">
        <f>YEAR(marketing_data[[#This Row],[Start_date]])</f>
        <v>2023</v>
      </c>
      <c r="T935" t="str">
        <f>TEXT(marketing_data[[#This Row],[Start_date]],"ddd")</f>
        <v>Mon</v>
      </c>
      <c r="U935">
        <f>marketing_data[[#This Row],[Cleaned End_date]]-marketing_data[[#This Row],[Start_date]]</f>
        <v>4</v>
      </c>
    </row>
    <row r="936" spans="1:21" x14ac:dyDescent="0.2">
      <c r="A936" t="s">
        <v>1946</v>
      </c>
      <c r="B936" t="s">
        <v>1947</v>
      </c>
      <c r="C936" s="2">
        <v>45088</v>
      </c>
      <c r="D936" t="str">
        <f t="shared" si="87"/>
        <v>Jun</v>
      </c>
      <c r="E936" s="2">
        <v>45110</v>
      </c>
      <c r="F936" t="s">
        <v>23</v>
      </c>
      <c r="G936">
        <v>80104</v>
      </c>
      <c r="H936">
        <v>1329</v>
      </c>
      <c r="I936">
        <v>104</v>
      </c>
      <c r="J936" t="b">
        <v>1</v>
      </c>
      <c r="K936" s="10">
        <v>664.87</v>
      </c>
      <c r="L936" s="6">
        <f t="shared" si="88"/>
        <v>1.6590931788674722E-2</v>
      </c>
      <c r="M936">
        <f t="shared" si="89"/>
        <v>0.50027840481565089</v>
      </c>
      <c r="N936">
        <f t="shared" si="90"/>
        <v>6.3929807692307694</v>
      </c>
      <c r="O936">
        <f t="shared" si="91"/>
        <v>4535.13</v>
      </c>
      <c r="P936">
        <f t="shared" si="92"/>
        <v>7.8254326561324306E-2</v>
      </c>
      <c r="Q936" t="s">
        <v>4139</v>
      </c>
      <c r="R936" t="s">
        <v>4138</v>
      </c>
      <c r="S936">
        <f>YEAR(marketing_data[[#This Row],[Start_date]])</f>
        <v>2023</v>
      </c>
      <c r="T936" t="str">
        <f>TEXT(marketing_data[[#This Row],[Start_date]],"ddd")</f>
        <v>Sun</v>
      </c>
      <c r="U936">
        <f>marketing_data[[#This Row],[Cleaned End_date]]-marketing_data[[#This Row],[Start_date]]</f>
        <v>22</v>
      </c>
    </row>
    <row r="937" spans="1:21" x14ac:dyDescent="0.2">
      <c r="A937" t="s">
        <v>1948</v>
      </c>
      <c r="B937" t="s">
        <v>1949</v>
      </c>
      <c r="C937" s="2">
        <v>45110</v>
      </c>
      <c r="D937" t="str">
        <f t="shared" si="87"/>
        <v>Jul</v>
      </c>
      <c r="E937" s="2">
        <v>45115</v>
      </c>
      <c r="F937" t="s">
        <v>41</v>
      </c>
      <c r="G937">
        <v>60399</v>
      </c>
      <c r="H937">
        <v>1016</v>
      </c>
      <c r="I937">
        <v>121</v>
      </c>
      <c r="J937" t="b">
        <v>1</v>
      </c>
      <c r="K937" s="10">
        <v>1443.7</v>
      </c>
      <c r="L937" s="6">
        <f t="shared" si="88"/>
        <v>1.6821470554148246E-2</v>
      </c>
      <c r="M937">
        <f t="shared" si="89"/>
        <v>1.420964566929134</v>
      </c>
      <c r="N937">
        <f t="shared" si="90"/>
        <v>11.931404958677687</v>
      </c>
      <c r="O937">
        <f t="shared" si="91"/>
        <v>4606.3</v>
      </c>
      <c r="P937">
        <f t="shared" si="92"/>
        <v>0.11909448818897637</v>
      </c>
      <c r="Q937" t="s">
        <v>4139</v>
      </c>
      <c r="R937" t="s">
        <v>4139</v>
      </c>
      <c r="S937">
        <f>YEAR(marketing_data[[#This Row],[Start_date]])</f>
        <v>2023</v>
      </c>
      <c r="T937" t="str">
        <f>TEXT(marketing_data[[#This Row],[Start_date]],"ddd")</f>
        <v>Mon</v>
      </c>
      <c r="U937">
        <f>marketing_data[[#This Row],[Cleaned End_date]]-marketing_data[[#This Row],[Start_date]]</f>
        <v>5</v>
      </c>
    </row>
    <row r="938" spans="1:21" x14ac:dyDescent="0.2">
      <c r="A938" t="s">
        <v>1950</v>
      </c>
      <c r="B938" t="s">
        <v>1951</v>
      </c>
      <c r="C938" s="2">
        <v>45026</v>
      </c>
      <c r="D938" t="str">
        <f t="shared" si="87"/>
        <v>Apr</v>
      </c>
      <c r="E938" s="2">
        <v>45053</v>
      </c>
      <c r="F938" t="s">
        <v>14</v>
      </c>
      <c r="G938">
        <v>80714</v>
      </c>
      <c r="H938">
        <v>3868</v>
      </c>
      <c r="I938">
        <v>717</v>
      </c>
      <c r="J938" t="b">
        <v>0</v>
      </c>
      <c r="K938" s="10">
        <v>3631.7599999999998</v>
      </c>
      <c r="L938" s="6">
        <f t="shared" si="88"/>
        <v>4.7922293530242584E-2</v>
      </c>
      <c r="M938">
        <f t="shared" si="89"/>
        <v>0.93892450879007228</v>
      </c>
      <c r="N938">
        <f t="shared" si="90"/>
        <v>5.0652161785216174</v>
      </c>
      <c r="O938">
        <f t="shared" si="91"/>
        <v>32218.240000000002</v>
      </c>
      <c r="P938">
        <f t="shared" si="92"/>
        <v>0.18536711478800413</v>
      </c>
      <c r="Q938" t="s">
        <v>4137</v>
      </c>
      <c r="R938" t="s">
        <v>4141</v>
      </c>
      <c r="S938">
        <f>YEAR(marketing_data[[#This Row],[Start_date]])</f>
        <v>2023</v>
      </c>
      <c r="T938" t="str">
        <f>TEXT(marketing_data[[#This Row],[Start_date]],"ddd")</f>
        <v>Mon</v>
      </c>
      <c r="U938">
        <f>marketing_data[[#This Row],[Cleaned End_date]]-marketing_data[[#This Row],[Start_date]]</f>
        <v>27</v>
      </c>
    </row>
    <row r="939" spans="1:21" x14ac:dyDescent="0.2">
      <c r="A939" t="s">
        <v>1952</v>
      </c>
      <c r="B939" t="s">
        <v>1953</v>
      </c>
      <c r="C939" s="2">
        <v>45185</v>
      </c>
      <c r="D939" t="str">
        <f t="shared" si="87"/>
        <v>Sep</v>
      </c>
      <c r="E939" s="2">
        <v>45188</v>
      </c>
      <c r="F939" t="s">
        <v>19</v>
      </c>
      <c r="G939">
        <v>51428</v>
      </c>
      <c r="H939">
        <v>1430</v>
      </c>
      <c r="I939">
        <v>82</v>
      </c>
      <c r="J939" t="b">
        <v>0</v>
      </c>
      <c r="K939" s="10">
        <v>1696.22</v>
      </c>
      <c r="L939" s="6">
        <f t="shared" si="88"/>
        <v>2.7805864509605663E-2</v>
      </c>
      <c r="M939">
        <f t="shared" si="89"/>
        <v>1.1861678321678322</v>
      </c>
      <c r="N939">
        <f t="shared" si="90"/>
        <v>20.685609756097563</v>
      </c>
      <c r="O939">
        <f t="shared" si="91"/>
        <v>2403.7799999999997</v>
      </c>
      <c r="P939">
        <f t="shared" si="92"/>
        <v>5.7342657342657345E-2</v>
      </c>
      <c r="Q939" t="s">
        <v>4136</v>
      </c>
      <c r="R939" t="s">
        <v>4138</v>
      </c>
      <c r="S939">
        <f>YEAR(marketing_data[[#This Row],[Start_date]])</f>
        <v>2023</v>
      </c>
      <c r="T939" t="str">
        <f>TEXT(marketing_data[[#This Row],[Start_date]],"ddd")</f>
        <v>Sat</v>
      </c>
      <c r="U939">
        <f>marketing_data[[#This Row],[Cleaned End_date]]-marketing_data[[#This Row],[Start_date]]</f>
        <v>3</v>
      </c>
    </row>
    <row r="940" spans="1:21" x14ac:dyDescent="0.2">
      <c r="A940" t="s">
        <v>1954</v>
      </c>
      <c r="B940" t="s">
        <v>1955</v>
      </c>
      <c r="C940" s="2">
        <v>45178</v>
      </c>
      <c r="D940" t="str">
        <f t="shared" si="87"/>
        <v>Sep</v>
      </c>
      <c r="E940" s="2">
        <v>45185</v>
      </c>
      <c r="F940" t="s">
        <v>23</v>
      </c>
      <c r="G940">
        <v>88731</v>
      </c>
      <c r="H940">
        <v>3686</v>
      </c>
      <c r="I940">
        <v>661</v>
      </c>
      <c r="J940" t="b">
        <v>0</v>
      </c>
      <c r="K940" s="10">
        <v>3631.7599999999998</v>
      </c>
      <c r="L940" s="6">
        <f t="shared" si="88"/>
        <v>4.1541287712298973E-2</v>
      </c>
      <c r="M940">
        <f t="shared" si="89"/>
        <v>0.9852848616386326</v>
      </c>
      <c r="N940">
        <f t="shared" si="90"/>
        <v>5.494341906202723</v>
      </c>
      <c r="O940">
        <f t="shared" si="91"/>
        <v>29418.240000000002</v>
      </c>
      <c r="P940">
        <f t="shared" si="92"/>
        <v>0.17932718393922953</v>
      </c>
      <c r="Q940" t="s">
        <v>4136</v>
      </c>
      <c r="R940" t="s">
        <v>4139</v>
      </c>
      <c r="S940">
        <f>YEAR(marketing_data[[#This Row],[Start_date]])</f>
        <v>2023</v>
      </c>
      <c r="T940" t="str">
        <f>TEXT(marketing_data[[#This Row],[Start_date]],"ddd")</f>
        <v>Sat</v>
      </c>
      <c r="U940">
        <f>marketing_data[[#This Row],[Cleaned End_date]]-marketing_data[[#This Row],[Start_date]]</f>
        <v>7</v>
      </c>
    </row>
    <row r="941" spans="1:21" x14ac:dyDescent="0.2">
      <c r="A941" t="s">
        <v>1956</v>
      </c>
      <c r="B941" t="s">
        <v>1957</v>
      </c>
      <c r="C941" s="2">
        <v>45177</v>
      </c>
      <c r="D941" t="str">
        <f t="shared" si="87"/>
        <v>Sep</v>
      </c>
      <c r="E941" s="2">
        <v>45193</v>
      </c>
      <c r="F941" t="s">
        <v>19</v>
      </c>
      <c r="G941">
        <v>1302</v>
      </c>
      <c r="H941">
        <v>46</v>
      </c>
      <c r="I941">
        <v>4</v>
      </c>
      <c r="J941" t="b">
        <v>1</v>
      </c>
      <c r="K941" s="10">
        <v>329.13249999999999</v>
      </c>
      <c r="L941" s="6">
        <f t="shared" si="88"/>
        <v>3.5330261136712747E-2</v>
      </c>
      <c r="M941">
        <f t="shared" si="89"/>
        <v>7.1550543478260868</v>
      </c>
      <c r="N941">
        <f t="shared" si="90"/>
        <v>82.283124999999998</v>
      </c>
      <c r="O941">
        <f t="shared" si="91"/>
        <v>-129.13249999999999</v>
      </c>
      <c r="P941">
        <f t="shared" si="92"/>
        <v>8.6956521739130432E-2</v>
      </c>
      <c r="Q941" t="s">
        <v>4136</v>
      </c>
      <c r="R941" t="s">
        <v>4142</v>
      </c>
      <c r="S941">
        <f>YEAR(marketing_data[[#This Row],[Start_date]])</f>
        <v>2023</v>
      </c>
      <c r="T941" t="str">
        <f>TEXT(marketing_data[[#This Row],[Start_date]],"ddd")</f>
        <v>Fri</v>
      </c>
      <c r="U941">
        <f>marketing_data[[#This Row],[Cleaned End_date]]-marketing_data[[#This Row],[Start_date]]</f>
        <v>16</v>
      </c>
    </row>
    <row r="942" spans="1:21" x14ac:dyDescent="0.2">
      <c r="A942" t="s">
        <v>1958</v>
      </c>
      <c r="B942" t="s">
        <v>1959</v>
      </c>
      <c r="C942" s="2">
        <v>45039</v>
      </c>
      <c r="D942" t="str">
        <f t="shared" si="87"/>
        <v>Apr</v>
      </c>
      <c r="E942" s="2">
        <v>45055</v>
      </c>
      <c r="F942" t="s">
        <v>14</v>
      </c>
      <c r="G942">
        <v>83558</v>
      </c>
      <c r="H942">
        <v>3096</v>
      </c>
      <c r="I942">
        <v>572</v>
      </c>
      <c r="J942" t="b">
        <v>0</v>
      </c>
      <c r="K942" s="10">
        <v>3475.08</v>
      </c>
      <c r="L942" s="6">
        <f t="shared" si="88"/>
        <v>3.7052107518131115E-2</v>
      </c>
      <c r="M942">
        <f t="shared" si="89"/>
        <v>1.1224418604651163</v>
      </c>
      <c r="N942">
        <f t="shared" si="90"/>
        <v>6.0753146853146855</v>
      </c>
      <c r="O942">
        <f t="shared" si="91"/>
        <v>25124.92</v>
      </c>
      <c r="P942">
        <f t="shared" si="92"/>
        <v>0.1847545219638243</v>
      </c>
      <c r="Q942" t="s">
        <v>4137</v>
      </c>
      <c r="R942" t="s">
        <v>4138</v>
      </c>
      <c r="S942">
        <f>YEAR(marketing_data[[#This Row],[Start_date]])</f>
        <v>2023</v>
      </c>
      <c r="T942" t="str">
        <f>TEXT(marketing_data[[#This Row],[Start_date]],"ddd")</f>
        <v>Sun</v>
      </c>
      <c r="U942">
        <f>marketing_data[[#This Row],[Cleaned End_date]]-marketing_data[[#This Row],[Start_date]]</f>
        <v>16</v>
      </c>
    </row>
    <row r="943" spans="1:21" x14ac:dyDescent="0.2">
      <c r="A943" t="s">
        <v>1960</v>
      </c>
      <c r="B943" t="s">
        <v>1961</v>
      </c>
      <c r="C943" s="2">
        <v>45202</v>
      </c>
      <c r="D943" t="str">
        <f t="shared" si="87"/>
        <v>Oct</v>
      </c>
      <c r="E943" s="2">
        <v>45210</v>
      </c>
      <c r="F943" t="s">
        <v>33</v>
      </c>
      <c r="G943">
        <v>1055</v>
      </c>
      <c r="H943">
        <v>16</v>
      </c>
      <c r="I943">
        <v>3</v>
      </c>
      <c r="J943" t="b">
        <v>1</v>
      </c>
      <c r="K943" s="10">
        <v>329.13249999999999</v>
      </c>
      <c r="L943" s="6">
        <f t="shared" si="88"/>
        <v>1.5165876777251185E-2</v>
      </c>
      <c r="M943">
        <f t="shared" si="89"/>
        <v>20.57078125</v>
      </c>
      <c r="N943">
        <f t="shared" si="90"/>
        <v>109.71083333333333</v>
      </c>
      <c r="O943">
        <f t="shared" si="91"/>
        <v>-179.13249999999999</v>
      </c>
      <c r="P943">
        <f t="shared" si="92"/>
        <v>0.1875</v>
      </c>
      <c r="Q943" t="s">
        <v>4136</v>
      </c>
      <c r="R943" t="s">
        <v>4141</v>
      </c>
      <c r="S943">
        <f>YEAR(marketing_data[[#This Row],[Start_date]])</f>
        <v>2023</v>
      </c>
      <c r="T943" t="str">
        <f>TEXT(marketing_data[[#This Row],[Start_date]],"ddd")</f>
        <v>Tue</v>
      </c>
      <c r="U943">
        <f>marketing_data[[#This Row],[Cleaned End_date]]-marketing_data[[#This Row],[Start_date]]</f>
        <v>8</v>
      </c>
    </row>
    <row r="944" spans="1:21" x14ac:dyDescent="0.2">
      <c r="A944" t="s">
        <v>1962</v>
      </c>
      <c r="B944" t="s">
        <v>1963</v>
      </c>
      <c r="C944" s="2">
        <v>45216</v>
      </c>
      <c r="D944" t="str">
        <f t="shared" si="87"/>
        <v>Oct</v>
      </c>
      <c r="E944" s="2">
        <v>45217</v>
      </c>
      <c r="F944" t="s">
        <v>14</v>
      </c>
      <c r="G944">
        <v>9717</v>
      </c>
      <c r="H944">
        <v>188</v>
      </c>
      <c r="I944">
        <v>28</v>
      </c>
      <c r="J944" t="b">
        <v>0</v>
      </c>
      <c r="K944" s="10">
        <v>329.13249999999999</v>
      </c>
      <c r="L944" s="6">
        <f t="shared" si="88"/>
        <v>1.9347535247504374E-2</v>
      </c>
      <c r="M944">
        <f t="shared" si="89"/>
        <v>1.7507047872340424</v>
      </c>
      <c r="N944">
        <f t="shared" si="90"/>
        <v>11.754732142857142</v>
      </c>
      <c r="O944">
        <f t="shared" si="91"/>
        <v>1070.8675000000001</v>
      </c>
      <c r="P944">
        <f t="shared" si="92"/>
        <v>0.14893617021276595</v>
      </c>
      <c r="Q944" t="s">
        <v>4136</v>
      </c>
      <c r="R944" t="s">
        <v>4139</v>
      </c>
      <c r="S944">
        <f>YEAR(marketing_data[[#This Row],[Start_date]])</f>
        <v>2023</v>
      </c>
      <c r="T944" t="str">
        <f>TEXT(marketing_data[[#This Row],[Start_date]],"ddd")</f>
        <v>Tue</v>
      </c>
      <c r="U944">
        <f>marketing_data[[#This Row],[Cleaned End_date]]-marketing_data[[#This Row],[Start_date]]</f>
        <v>1</v>
      </c>
    </row>
    <row r="945" spans="1:21" x14ac:dyDescent="0.2">
      <c r="A945" t="s">
        <v>1964</v>
      </c>
      <c r="B945" t="s">
        <v>1965</v>
      </c>
      <c r="C945" s="2">
        <v>45208</v>
      </c>
      <c r="D945" t="str">
        <f t="shared" si="87"/>
        <v>Oct</v>
      </c>
      <c r="E945" s="2">
        <v>45221</v>
      </c>
      <c r="F945" t="s">
        <v>33</v>
      </c>
      <c r="G945">
        <v>29699</v>
      </c>
      <c r="H945">
        <v>1231</v>
      </c>
      <c r="I945">
        <v>184</v>
      </c>
      <c r="J945" t="b">
        <v>0</v>
      </c>
      <c r="K945" s="10">
        <v>980.44</v>
      </c>
      <c r="L945" s="6">
        <f t="shared" si="88"/>
        <v>4.1449207044008216E-2</v>
      </c>
      <c r="M945">
        <f t="shared" si="89"/>
        <v>0.79645816409423242</v>
      </c>
      <c r="N945">
        <f t="shared" si="90"/>
        <v>5.3284782608695656</v>
      </c>
      <c r="O945">
        <f t="shared" si="91"/>
        <v>8219.56</v>
      </c>
      <c r="P945">
        <f t="shared" si="92"/>
        <v>0.14947197400487408</v>
      </c>
      <c r="Q945" t="s">
        <v>4136</v>
      </c>
      <c r="R945" t="s">
        <v>4141</v>
      </c>
      <c r="S945">
        <f>YEAR(marketing_data[[#This Row],[Start_date]])</f>
        <v>2023</v>
      </c>
      <c r="T945" t="str">
        <f>TEXT(marketing_data[[#This Row],[Start_date]],"ddd")</f>
        <v>Mon</v>
      </c>
      <c r="U945">
        <f>marketing_data[[#This Row],[Cleaned End_date]]-marketing_data[[#This Row],[Start_date]]</f>
        <v>13</v>
      </c>
    </row>
    <row r="946" spans="1:21" x14ac:dyDescent="0.2">
      <c r="A946" t="s">
        <v>1966</v>
      </c>
      <c r="B946" t="s">
        <v>1967</v>
      </c>
      <c r="C946" s="2">
        <v>45064</v>
      </c>
      <c r="D946" t="str">
        <f t="shared" si="87"/>
        <v>May</v>
      </c>
      <c r="E946" s="2">
        <v>45089</v>
      </c>
      <c r="F946" t="str">
        <f>F945</f>
        <v>Instagram</v>
      </c>
      <c r="G946">
        <v>74686</v>
      </c>
      <c r="H946">
        <v>3646</v>
      </c>
      <c r="I946">
        <v>429</v>
      </c>
      <c r="J946" t="b">
        <v>1</v>
      </c>
      <c r="K946" s="10">
        <v>2810.25</v>
      </c>
      <c r="L946" s="6">
        <f t="shared" si="88"/>
        <v>4.881771684117505E-2</v>
      </c>
      <c r="M946">
        <f t="shared" si="89"/>
        <v>0.77077619308831591</v>
      </c>
      <c r="N946">
        <f t="shared" si="90"/>
        <v>6.5506993006993008</v>
      </c>
      <c r="O946">
        <f t="shared" si="91"/>
        <v>18639.75</v>
      </c>
      <c r="P946">
        <f t="shared" si="92"/>
        <v>0.1176631925397696</v>
      </c>
      <c r="Q946" t="s">
        <v>4137</v>
      </c>
      <c r="R946" t="s">
        <v>4139</v>
      </c>
      <c r="S946">
        <f>YEAR(marketing_data[[#This Row],[Start_date]])</f>
        <v>2023</v>
      </c>
      <c r="T946" t="str">
        <f>TEXT(marketing_data[[#This Row],[Start_date]],"ddd")</f>
        <v>Thu</v>
      </c>
      <c r="U946">
        <f>marketing_data[[#This Row],[Cleaned End_date]]-marketing_data[[#This Row],[Start_date]]</f>
        <v>25</v>
      </c>
    </row>
    <row r="947" spans="1:21" x14ac:dyDescent="0.2">
      <c r="A947" t="s">
        <v>1968</v>
      </c>
      <c r="B947" t="s">
        <v>1969</v>
      </c>
      <c r="C947" s="2">
        <v>45114</v>
      </c>
      <c r="D947" t="str">
        <f t="shared" si="87"/>
        <v>Jul</v>
      </c>
      <c r="E947" s="2">
        <v>45138</v>
      </c>
      <c r="F947" t="s">
        <v>23</v>
      </c>
      <c r="G947">
        <v>68661</v>
      </c>
      <c r="H947">
        <v>1408</v>
      </c>
      <c r="I947">
        <v>246</v>
      </c>
      <c r="J947" t="b">
        <v>0</v>
      </c>
      <c r="K947" s="10">
        <v>1258.3399999999999</v>
      </c>
      <c r="L947" s="6">
        <f t="shared" si="88"/>
        <v>2.0506546656762936E-2</v>
      </c>
      <c r="M947">
        <f t="shared" si="89"/>
        <v>0.89370738636363634</v>
      </c>
      <c r="N947">
        <f t="shared" si="90"/>
        <v>5.1152032520325204</v>
      </c>
      <c r="O947">
        <f t="shared" si="91"/>
        <v>11041.66</v>
      </c>
      <c r="P947">
        <f t="shared" si="92"/>
        <v>0.17471590909090909</v>
      </c>
      <c r="Q947" t="s">
        <v>4139</v>
      </c>
      <c r="R947" t="s">
        <v>4138</v>
      </c>
      <c r="S947">
        <f>YEAR(marketing_data[[#This Row],[Start_date]])</f>
        <v>2023</v>
      </c>
      <c r="T947" t="str">
        <f>TEXT(marketing_data[[#This Row],[Start_date]],"ddd")</f>
        <v>Fri</v>
      </c>
      <c r="U947">
        <f>marketing_data[[#This Row],[Cleaned End_date]]-marketing_data[[#This Row],[Start_date]]</f>
        <v>24</v>
      </c>
    </row>
    <row r="948" spans="1:21" x14ac:dyDescent="0.2">
      <c r="A948" t="s">
        <v>1970</v>
      </c>
      <c r="B948" t="s">
        <v>1971</v>
      </c>
      <c r="C948" s="2">
        <v>45152</v>
      </c>
      <c r="D948" t="str">
        <f t="shared" si="87"/>
        <v>Aug</v>
      </c>
      <c r="E948" s="2">
        <v>45178</v>
      </c>
      <c r="F948" t="s">
        <v>14</v>
      </c>
      <c r="G948">
        <v>45247</v>
      </c>
      <c r="H948">
        <v>943</v>
      </c>
      <c r="I948">
        <v>183</v>
      </c>
      <c r="J948" t="b">
        <v>1</v>
      </c>
      <c r="K948" s="10">
        <v>1214.48</v>
      </c>
      <c r="L948" s="6">
        <f t="shared" si="88"/>
        <v>2.0841160739938559E-2</v>
      </c>
      <c r="M948">
        <f t="shared" si="89"/>
        <v>1.2878897136797456</v>
      </c>
      <c r="N948">
        <f t="shared" si="90"/>
        <v>6.6365027322404373</v>
      </c>
      <c r="O948">
        <f t="shared" si="91"/>
        <v>7935.52</v>
      </c>
      <c r="P948">
        <f t="shared" si="92"/>
        <v>0.19406150583244963</v>
      </c>
      <c r="Q948" t="s">
        <v>4139</v>
      </c>
      <c r="R948" t="s">
        <v>4139</v>
      </c>
      <c r="S948">
        <f>YEAR(marketing_data[[#This Row],[Start_date]])</f>
        <v>2023</v>
      </c>
      <c r="T948" t="str">
        <f>TEXT(marketing_data[[#This Row],[Start_date]],"ddd")</f>
        <v>Mon</v>
      </c>
      <c r="U948">
        <f>marketing_data[[#This Row],[Cleaned End_date]]-marketing_data[[#This Row],[Start_date]]</f>
        <v>26</v>
      </c>
    </row>
    <row r="949" spans="1:21" x14ac:dyDescent="0.2">
      <c r="A949" t="s">
        <v>1972</v>
      </c>
      <c r="B949" t="s">
        <v>1973</v>
      </c>
      <c r="C949" s="2">
        <v>44979</v>
      </c>
      <c r="D949" t="str">
        <f t="shared" si="87"/>
        <v>Feb</v>
      </c>
      <c r="E949" s="2">
        <v>45000</v>
      </c>
      <c r="F949" t="s">
        <v>23</v>
      </c>
      <c r="G949">
        <v>17748</v>
      </c>
      <c r="H949">
        <v>513</v>
      </c>
      <c r="I949">
        <v>85</v>
      </c>
      <c r="J949" t="b">
        <v>1</v>
      </c>
      <c r="K949" s="10">
        <v>342.08</v>
      </c>
      <c r="L949" s="6">
        <f t="shared" si="88"/>
        <v>2.8904665314401622E-2</v>
      </c>
      <c r="M949">
        <f t="shared" si="89"/>
        <v>0.66682261208576998</v>
      </c>
      <c r="N949">
        <f t="shared" si="90"/>
        <v>4.0244705882352942</v>
      </c>
      <c r="O949">
        <f t="shared" si="91"/>
        <v>3907.92</v>
      </c>
      <c r="P949">
        <f t="shared" si="92"/>
        <v>0.16569200779727095</v>
      </c>
      <c r="Q949" t="s">
        <v>4138</v>
      </c>
      <c r="R949" t="s">
        <v>4142</v>
      </c>
      <c r="S949">
        <f>YEAR(marketing_data[[#This Row],[Start_date]])</f>
        <v>2023</v>
      </c>
      <c r="T949" t="str">
        <f>TEXT(marketing_data[[#This Row],[Start_date]],"ddd")</f>
        <v>Wed</v>
      </c>
      <c r="U949">
        <f>marketing_data[[#This Row],[Cleaned End_date]]-marketing_data[[#This Row],[Start_date]]</f>
        <v>21</v>
      </c>
    </row>
    <row r="950" spans="1:21" x14ac:dyDescent="0.2">
      <c r="A950" t="s">
        <v>1974</v>
      </c>
      <c r="B950" t="s">
        <v>1975</v>
      </c>
      <c r="C950" s="2">
        <v>45053</v>
      </c>
      <c r="D950" t="str">
        <f t="shared" si="87"/>
        <v>May</v>
      </c>
      <c r="E950" s="2">
        <v>45082</v>
      </c>
      <c r="F950" t="s">
        <v>41</v>
      </c>
      <c r="G950">
        <v>5621</v>
      </c>
      <c r="H950">
        <v>277</v>
      </c>
      <c r="I950">
        <v>39</v>
      </c>
      <c r="J950" t="b">
        <v>1</v>
      </c>
      <c r="K950" s="10">
        <v>499.22</v>
      </c>
      <c r="L950" s="6">
        <f t="shared" si="88"/>
        <v>4.9279487635652021E-2</v>
      </c>
      <c r="M950">
        <f t="shared" si="89"/>
        <v>1.8022382671480146</v>
      </c>
      <c r="N950">
        <f t="shared" si="90"/>
        <v>12.800512820512822</v>
      </c>
      <c r="O950">
        <f t="shared" si="91"/>
        <v>1450.78</v>
      </c>
      <c r="P950">
        <f t="shared" si="92"/>
        <v>0.1407942238267148</v>
      </c>
      <c r="Q950" t="s">
        <v>4137</v>
      </c>
      <c r="R950" t="s">
        <v>4141</v>
      </c>
      <c r="S950">
        <f>YEAR(marketing_data[[#This Row],[Start_date]])</f>
        <v>2023</v>
      </c>
      <c r="T950" t="str">
        <f>TEXT(marketing_data[[#This Row],[Start_date]],"ddd")</f>
        <v>Sun</v>
      </c>
      <c r="U950">
        <f>marketing_data[[#This Row],[Cleaned End_date]]-marketing_data[[#This Row],[Start_date]]</f>
        <v>29</v>
      </c>
    </row>
    <row r="951" spans="1:21" x14ac:dyDescent="0.2">
      <c r="A951" t="s">
        <v>1976</v>
      </c>
      <c r="B951" t="s">
        <v>1977</v>
      </c>
      <c r="C951" s="2">
        <v>45157</v>
      </c>
      <c r="D951" t="str">
        <f t="shared" si="87"/>
        <v>Aug</v>
      </c>
      <c r="E951" s="2">
        <v>45163</v>
      </c>
      <c r="F951" t="s">
        <v>19</v>
      </c>
      <c r="G951">
        <v>16034</v>
      </c>
      <c r="H951">
        <v>332</v>
      </c>
      <c r="I951">
        <v>46</v>
      </c>
      <c r="J951" t="b">
        <v>0</v>
      </c>
      <c r="K951" s="10">
        <v>329.13249999999999</v>
      </c>
      <c r="L951" s="6">
        <f t="shared" si="88"/>
        <v>2.0705999750530123E-2</v>
      </c>
      <c r="M951">
        <f t="shared" si="89"/>
        <v>0.99136295180722889</v>
      </c>
      <c r="N951">
        <f t="shared" si="90"/>
        <v>7.1550543478260868</v>
      </c>
      <c r="O951">
        <f t="shared" si="91"/>
        <v>1970.8675000000001</v>
      </c>
      <c r="P951">
        <f t="shared" si="92"/>
        <v>0.13855421686746988</v>
      </c>
      <c r="Q951" t="s">
        <v>4139</v>
      </c>
      <c r="R951" t="s">
        <v>4142</v>
      </c>
      <c r="S951">
        <f>YEAR(marketing_data[[#This Row],[Start_date]])</f>
        <v>2023</v>
      </c>
      <c r="T951" t="str">
        <f>TEXT(marketing_data[[#This Row],[Start_date]],"ddd")</f>
        <v>Sat</v>
      </c>
      <c r="U951">
        <f>marketing_data[[#This Row],[Cleaned End_date]]-marketing_data[[#This Row],[Start_date]]</f>
        <v>6</v>
      </c>
    </row>
    <row r="952" spans="1:21" x14ac:dyDescent="0.2">
      <c r="A952" t="s">
        <v>1978</v>
      </c>
      <c r="B952" t="s">
        <v>1979</v>
      </c>
      <c r="C952" s="2">
        <v>44971</v>
      </c>
      <c r="D952" t="str">
        <f t="shared" si="87"/>
        <v>Feb</v>
      </c>
      <c r="E952" s="2">
        <v>44996</v>
      </c>
      <c r="F952" t="s">
        <v>23</v>
      </c>
      <c r="G952">
        <v>6126</v>
      </c>
      <c r="H952">
        <v>160</v>
      </c>
      <c r="I952">
        <v>28</v>
      </c>
      <c r="J952" t="b">
        <v>0</v>
      </c>
      <c r="K952" s="10">
        <v>329.13249999999999</v>
      </c>
      <c r="L952" s="6">
        <f t="shared" si="88"/>
        <v>2.6118184786157361E-2</v>
      </c>
      <c r="M952">
        <f t="shared" si="89"/>
        <v>2.0570781249999999</v>
      </c>
      <c r="N952">
        <f t="shared" si="90"/>
        <v>11.754732142857142</v>
      </c>
      <c r="O952">
        <f t="shared" si="91"/>
        <v>1070.8675000000001</v>
      </c>
      <c r="P952">
        <f t="shared" si="92"/>
        <v>0.17499999999999999</v>
      </c>
      <c r="Q952" t="s">
        <v>4138</v>
      </c>
      <c r="R952" t="s">
        <v>4142</v>
      </c>
      <c r="S952">
        <f>YEAR(marketing_data[[#This Row],[Start_date]])</f>
        <v>2023</v>
      </c>
      <c r="T952" t="str">
        <f>TEXT(marketing_data[[#This Row],[Start_date]],"ddd")</f>
        <v>Tue</v>
      </c>
      <c r="U952">
        <f>marketing_data[[#This Row],[Cleaned End_date]]-marketing_data[[#This Row],[Start_date]]</f>
        <v>25</v>
      </c>
    </row>
    <row r="953" spans="1:21" x14ac:dyDescent="0.2">
      <c r="A953" t="s">
        <v>1980</v>
      </c>
      <c r="B953" t="s">
        <v>1981</v>
      </c>
      <c r="C953" s="2">
        <v>45048</v>
      </c>
      <c r="D953" t="str">
        <f t="shared" si="87"/>
        <v>May</v>
      </c>
      <c r="E953" s="2">
        <v>45061</v>
      </c>
      <c r="F953" t="s">
        <v>33</v>
      </c>
      <c r="G953">
        <v>6122</v>
      </c>
      <c r="H953">
        <v>279</v>
      </c>
      <c r="I953">
        <v>36</v>
      </c>
      <c r="J953" t="b">
        <v>0</v>
      </c>
      <c r="K953" s="10">
        <v>422.25</v>
      </c>
      <c r="L953" s="6">
        <f t="shared" si="88"/>
        <v>4.5573342045083308E-2</v>
      </c>
      <c r="M953">
        <f t="shared" si="89"/>
        <v>1.5134408602150538</v>
      </c>
      <c r="N953">
        <f t="shared" si="90"/>
        <v>11.729166666666666</v>
      </c>
      <c r="O953">
        <f t="shared" si="91"/>
        <v>1377.75</v>
      </c>
      <c r="P953">
        <f t="shared" si="92"/>
        <v>0.12903225806451613</v>
      </c>
      <c r="Q953" t="s">
        <v>4137</v>
      </c>
      <c r="R953" t="s">
        <v>4139</v>
      </c>
      <c r="S953">
        <f>YEAR(marketing_data[[#This Row],[Start_date]])</f>
        <v>2023</v>
      </c>
      <c r="T953" t="str">
        <f>TEXT(marketing_data[[#This Row],[Start_date]],"ddd")</f>
        <v>Tue</v>
      </c>
      <c r="U953">
        <f>marketing_data[[#This Row],[Cleaned End_date]]-marketing_data[[#This Row],[Start_date]]</f>
        <v>13</v>
      </c>
    </row>
    <row r="954" spans="1:21" x14ac:dyDescent="0.2">
      <c r="A954" t="s">
        <v>1982</v>
      </c>
      <c r="B954" t="s">
        <v>1983</v>
      </c>
      <c r="C954" s="2">
        <v>45279</v>
      </c>
      <c r="D954" t="str">
        <f t="shared" si="87"/>
        <v>Dec</v>
      </c>
      <c r="E954" s="2">
        <v>45281</v>
      </c>
      <c r="F954" t="s">
        <v>14</v>
      </c>
      <c r="G954">
        <v>19030</v>
      </c>
      <c r="H954">
        <v>192</v>
      </c>
      <c r="I954">
        <v>32</v>
      </c>
      <c r="J954" t="b">
        <v>1</v>
      </c>
      <c r="K954" s="10">
        <v>329.13249999999999</v>
      </c>
      <c r="L954" s="6">
        <f t="shared" si="88"/>
        <v>1.0089332632685234E-2</v>
      </c>
      <c r="M954">
        <f t="shared" si="89"/>
        <v>1.7142317708333332</v>
      </c>
      <c r="N954">
        <f t="shared" si="90"/>
        <v>10.285390625</v>
      </c>
      <c r="O954">
        <f t="shared" si="91"/>
        <v>1270.8675000000001</v>
      </c>
      <c r="P954">
        <f t="shared" si="92"/>
        <v>0.16666666666666666</v>
      </c>
      <c r="Q954" t="s">
        <v>4138</v>
      </c>
      <c r="R954" t="s">
        <v>4139</v>
      </c>
      <c r="S954">
        <f>YEAR(marketing_data[[#This Row],[Start_date]])</f>
        <v>2023</v>
      </c>
      <c r="T954" t="str">
        <f>TEXT(marketing_data[[#This Row],[Start_date]],"ddd")</f>
        <v>Tue</v>
      </c>
      <c r="U954">
        <f>marketing_data[[#This Row],[Cleaned End_date]]-marketing_data[[#This Row],[Start_date]]</f>
        <v>2</v>
      </c>
    </row>
    <row r="955" spans="1:21" x14ac:dyDescent="0.2">
      <c r="A955" t="s">
        <v>1984</v>
      </c>
      <c r="B955" t="s">
        <v>1985</v>
      </c>
      <c r="C955" s="2">
        <v>45250</v>
      </c>
      <c r="D955" t="str">
        <f t="shared" si="87"/>
        <v>Nov</v>
      </c>
      <c r="E955" s="2">
        <v>45260</v>
      </c>
      <c r="F955" t="s">
        <v>23</v>
      </c>
      <c r="G955">
        <v>83838</v>
      </c>
      <c r="H955">
        <v>971</v>
      </c>
      <c r="I955">
        <v>122</v>
      </c>
      <c r="J955" t="b">
        <v>0</v>
      </c>
      <c r="K955" s="10">
        <v>1388.48</v>
      </c>
      <c r="L955" s="6">
        <f t="shared" si="88"/>
        <v>1.1581860254299959E-2</v>
      </c>
      <c r="M955">
        <f t="shared" si="89"/>
        <v>1.4299485066941298</v>
      </c>
      <c r="N955">
        <f t="shared" si="90"/>
        <v>11.380983606557377</v>
      </c>
      <c r="O955">
        <f t="shared" si="91"/>
        <v>4711.5200000000004</v>
      </c>
      <c r="P955">
        <f t="shared" si="92"/>
        <v>0.12564366632337795</v>
      </c>
      <c r="Q955" t="s">
        <v>4136</v>
      </c>
      <c r="R955" t="s">
        <v>4142</v>
      </c>
      <c r="S955">
        <f>YEAR(marketing_data[[#This Row],[Start_date]])</f>
        <v>2023</v>
      </c>
      <c r="T955" t="str">
        <f>TEXT(marketing_data[[#This Row],[Start_date]],"ddd")</f>
        <v>Mon</v>
      </c>
      <c r="U955">
        <f>marketing_data[[#This Row],[Cleaned End_date]]-marketing_data[[#This Row],[Start_date]]</f>
        <v>10</v>
      </c>
    </row>
    <row r="956" spans="1:21" x14ac:dyDescent="0.2">
      <c r="A956" t="s">
        <v>1986</v>
      </c>
      <c r="B956" t="s">
        <v>1987</v>
      </c>
      <c r="C956" s="2">
        <v>45032</v>
      </c>
      <c r="D956" t="str">
        <f t="shared" si="87"/>
        <v>Apr</v>
      </c>
      <c r="E956" s="2">
        <v>45038</v>
      </c>
      <c r="F956" t="s">
        <v>23</v>
      </c>
      <c r="G956">
        <v>85717</v>
      </c>
      <c r="H956">
        <v>2928</v>
      </c>
      <c r="I956">
        <v>173</v>
      </c>
      <c r="J956" t="b">
        <v>1</v>
      </c>
      <c r="K956" s="10">
        <v>3631.7599999999998</v>
      </c>
      <c r="L956" s="6">
        <f t="shared" si="88"/>
        <v>3.4158918300920472E-2</v>
      </c>
      <c r="M956">
        <f t="shared" si="89"/>
        <v>1.2403551912568305</v>
      </c>
      <c r="N956">
        <f t="shared" si="90"/>
        <v>20.992832369942196</v>
      </c>
      <c r="O956">
        <f t="shared" si="91"/>
        <v>5018.24</v>
      </c>
      <c r="P956">
        <f t="shared" si="92"/>
        <v>5.9084699453551916E-2</v>
      </c>
      <c r="Q956" t="s">
        <v>4137</v>
      </c>
      <c r="R956" t="s">
        <v>4142</v>
      </c>
      <c r="S956">
        <f>YEAR(marketing_data[[#This Row],[Start_date]])</f>
        <v>2023</v>
      </c>
      <c r="T956" t="str">
        <f>TEXT(marketing_data[[#This Row],[Start_date]],"ddd")</f>
        <v>Sun</v>
      </c>
      <c r="U956">
        <f>marketing_data[[#This Row],[Cleaned End_date]]-marketing_data[[#This Row],[Start_date]]</f>
        <v>6</v>
      </c>
    </row>
    <row r="957" spans="1:21" x14ac:dyDescent="0.2">
      <c r="A957" t="s">
        <v>1988</v>
      </c>
      <c r="B957" t="s">
        <v>1989</v>
      </c>
      <c r="C957" s="2">
        <v>45218</v>
      </c>
      <c r="D957" t="str">
        <f t="shared" si="87"/>
        <v>Oct</v>
      </c>
      <c r="E957" s="2">
        <v>45226</v>
      </c>
      <c r="F957" t="s">
        <v>41</v>
      </c>
      <c r="G957">
        <v>56658</v>
      </c>
      <c r="H957">
        <v>2622</v>
      </c>
      <c r="I957">
        <v>282</v>
      </c>
      <c r="J957" t="b">
        <v>0</v>
      </c>
      <c r="K957" s="10">
        <v>2156.27</v>
      </c>
      <c r="L957" s="6">
        <f t="shared" si="88"/>
        <v>4.6277665995975853E-2</v>
      </c>
      <c r="M957">
        <f t="shared" si="89"/>
        <v>0.82237604881769644</v>
      </c>
      <c r="N957">
        <f t="shared" si="90"/>
        <v>7.6463475177304963</v>
      </c>
      <c r="O957">
        <f t="shared" si="91"/>
        <v>11943.73</v>
      </c>
      <c r="P957">
        <f t="shared" si="92"/>
        <v>0.10755148741418764</v>
      </c>
      <c r="Q957" t="s">
        <v>4136</v>
      </c>
      <c r="R957" t="s">
        <v>4138</v>
      </c>
      <c r="S957">
        <f>YEAR(marketing_data[[#This Row],[Start_date]])</f>
        <v>2023</v>
      </c>
      <c r="T957" t="str">
        <f>TEXT(marketing_data[[#This Row],[Start_date]],"ddd")</f>
        <v>Thu</v>
      </c>
      <c r="U957">
        <f>marketing_data[[#This Row],[Cleaned End_date]]-marketing_data[[#This Row],[Start_date]]</f>
        <v>8</v>
      </c>
    </row>
    <row r="958" spans="1:21" x14ac:dyDescent="0.2">
      <c r="A958" t="s">
        <v>1990</v>
      </c>
      <c r="B958" t="s">
        <v>1991</v>
      </c>
      <c r="C958" s="2">
        <v>45202</v>
      </c>
      <c r="D958" t="str">
        <f t="shared" si="87"/>
        <v>Oct</v>
      </c>
      <c r="E958" s="2">
        <v>45213</v>
      </c>
      <c r="F958" t="s">
        <v>14</v>
      </c>
      <c r="G958">
        <v>39638</v>
      </c>
      <c r="H958">
        <v>775</v>
      </c>
      <c r="I958">
        <v>90</v>
      </c>
      <c r="J958" t="b">
        <v>1</v>
      </c>
      <c r="K958" s="10">
        <v>436.28</v>
      </c>
      <c r="L958" s="6">
        <f t="shared" si="88"/>
        <v>1.9551945103183813E-2</v>
      </c>
      <c r="M958">
        <f t="shared" si="89"/>
        <v>0.56294193548387095</v>
      </c>
      <c r="N958">
        <f t="shared" si="90"/>
        <v>4.8475555555555552</v>
      </c>
      <c r="O958">
        <f t="shared" si="91"/>
        <v>4063.7200000000003</v>
      </c>
      <c r="P958">
        <f t="shared" si="92"/>
        <v>0.11612903225806452</v>
      </c>
      <c r="Q958" t="s">
        <v>4136</v>
      </c>
      <c r="R958" t="s">
        <v>4142</v>
      </c>
      <c r="S958">
        <f>YEAR(marketing_data[[#This Row],[Start_date]])</f>
        <v>2023</v>
      </c>
      <c r="T958" t="str">
        <f>TEXT(marketing_data[[#This Row],[Start_date]],"ddd")</f>
        <v>Tue</v>
      </c>
      <c r="U958">
        <f>marketing_data[[#This Row],[Cleaned End_date]]-marketing_data[[#This Row],[Start_date]]</f>
        <v>11</v>
      </c>
    </row>
    <row r="959" spans="1:21" x14ac:dyDescent="0.2">
      <c r="A959" t="s">
        <v>1992</v>
      </c>
      <c r="B959" t="s">
        <v>1993</v>
      </c>
      <c r="C959" s="2">
        <v>45076</v>
      </c>
      <c r="D959" t="str">
        <f t="shared" si="87"/>
        <v>May</v>
      </c>
      <c r="E959" s="2">
        <v>45104</v>
      </c>
      <c r="F959" t="s">
        <v>41</v>
      </c>
      <c r="G959">
        <v>68067</v>
      </c>
      <c r="H959">
        <v>1959</v>
      </c>
      <c r="I959">
        <v>139</v>
      </c>
      <c r="J959" t="b">
        <v>1</v>
      </c>
      <c r="K959" s="10">
        <v>2048.0700000000002</v>
      </c>
      <c r="L959" s="6">
        <f t="shared" si="88"/>
        <v>2.8780466305258056E-2</v>
      </c>
      <c r="M959">
        <f t="shared" si="89"/>
        <v>1.0454670750382848</v>
      </c>
      <c r="N959">
        <f t="shared" si="90"/>
        <v>14.734316546762591</v>
      </c>
      <c r="O959">
        <f t="shared" si="91"/>
        <v>4901.93</v>
      </c>
      <c r="P959">
        <f t="shared" si="92"/>
        <v>7.0954568657478304E-2</v>
      </c>
      <c r="Q959" t="s">
        <v>4137</v>
      </c>
      <c r="R959" t="s">
        <v>4141</v>
      </c>
      <c r="S959">
        <f>YEAR(marketing_data[[#This Row],[Start_date]])</f>
        <v>2023</v>
      </c>
      <c r="T959" t="str">
        <f>TEXT(marketing_data[[#This Row],[Start_date]],"ddd")</f>
        <v>Tue</v>
      </c>
      <c r="U959">
        <f>marketing_data[[#This Row],[Cleaned End_date]]-marketing_data[[#This Row],[Start_date]]</f>
        <v>28</v>
      </c>
    </row>
    <row r="960" spans="1:21" x14ac:dyDescent="0.2">
      <c r="A960" t="s">
        <v>1994</v>
      </c>
      <c r="B960" t="s">
        <v>1995</v>
      </c>
      <c r="C960" s="2">
        <v>45190</v>
      </c>
      <c r="D960" t="str">
        <f t="shared" si="87"/>
        <v>Sep</v>
      </c>
      <c r="E960" s="2">
        <v>45212</v>
      </c>
      <c r="F960" t="s">
        <v>23</v>
      </c>
      <c r="G960">
        <v>89869</v>
      </c>
      <c r="H960">
        <v>2518</v>
      </c>
      <c r="I960">
        <v>164</v>
      </c>
      <c r="J960" t="b">
        <v>1</v>
      </c>
      <c r="K960" s="10">
        <v>1631.39</v>
      </c>
      <c r="L960" s="6">
        <f t="shared" si="88"/>
        <v>2.8018560348952365E-2</v>
      </c>
      <c r="M960">
        <f t="shared" si="89"/>
        <v>0.64789118347895158</v>
      </c>
      <c r="N960">
        <f t="shared" si="90"/>
        <v>9.9474999999999998</v>
      </c>
      <c r="O960">
        <f t="shared" si="91"/>
        <v>6568.61</v>
      </c>
      <c r="P960">
        <f t="shared" si="92"/>
        <v>6.5131056393963466E-2</v>
      </c>
      <c r="Q960" t="s">
        <v>4136</v>
      </c>
      <c r="R960" t="s">
        <v>4138</v>
      </c>
      <c r="S960">
        <f>YEAR(marketing_data[[#This Row],[Start_date]])</f>
        <v>2023</v>
      </c>
      <c r="T960" t="str">
        <f>TEXT(marketing_data[[#This Row],[Start_date]],"ddd")</f>
        <v>Thu</v>
      </c>
      <c r="U960">
        <f>marketing_data[[#This Row],[Cleaned End_date]]-marketing_data[[#This Row],[Start_date]]</f>
        <v>22</v>
      </c>
    </row>
    <row r="961" spans="1:21" x14ac:dyDescent="0.2">
      <c r="A961" t="s">
        <v>1996</v>
      </c>
      <c r="B961" t="s">
        <v>1997</v>
      </c>
      <c r="C961" s="2">
        <v>44975</v>
      </c>
      <c r="D961" t="str">
        <f t="shared" si="87"/>
        <v>Feb</v>
      </c>
      <c r="E961" s="2">
        <v>44994</v>
      </c>
      <c r="F961" t="s">
        <v>33</v>
      </c>
      <c r="G961">
        <v>35674</v>
      </c>
      <c r="H961">
        <v>1031</v>
      </c>
      <c r="I961">
        <v>134</v>
      </c>
      <c r="J961" t="b">
        <v>0</v>
      </c>
      <c r="K961" s="10">
        <v>695.63</v>
      </c>
      <c r="L961" s="6">
        <f t="shared" si="88"/>
        <v>2.8900599876660875E-2</v>
      </c>
      <c r="M961">
        <f t="shared" si="89"/>
        <v>0.674713870029098</v>
      </c>
      <c r="N961">
        <f t="shared" si="90"/>
        <v>5.1912686567164181</v>
      </c>
      <c r="O961">
        <f t="shared" si="91"/>
        <v>6004.37</v>
      </c>
      <c r="P961">
        <f t="shared" si="92"/>
        <v>0.12997090203685743</v>
      </c>
      <c r="Q961" t="s">
        <v>4138</v>
      </c>
      <c r="R961" t="s">
        <v>4138</v>
      </c>
      <c r="S961">
        <f>YEAR(marketing_data[[#This Row],[Start_date]])</f>
        <v>2023</v>
      </c>
      <c r="T961" t="str">
        <f>TEXT(marketing_data[[#This Row],[Start_date]],"ddd")</f>
        <v>Sat</v>
      </c>
      <c r="U961">
        <f>marketing_data[[#This Row],[Cleaned End_date]]-marketing_data[[#This Row],[Start_date]]</f>
        <v>19</v>
      </c>
    </row>
    <row r="962" spans="1:21" x14ac:dyDescent="0.2">
      <c r="A962" t="s">
        <v>1998</v>
      </c>
      <c r="B962" t="s">
        <v>1999</v>
      </c>
      <c r="C962" s="2">
        <v>45137</v>
      </c>
      <c r="D962" t="str">
        <f t="shared" si="87"/>
        <v>Jul</v>
      </c>
      <c r="E962" s="2">
        <v>45167</v>
      </c>
      <c r="F962" t="str">
        <f>F961</f>
        <v>Instagram</v>
      </c>
      <c r="G962">
        <v>36854</v>
      </c>
      <c r="H962">
        <v>1286</v>
      </c>
      <c r="I962">
        <v>80</v>
      </c>
      <c r="J962" t="b">
        <v>0</v>
      </c>
      <c r="K962" s="10">
        <v>1133.47</v>
      </c>
      <c r="L962" s="6">
        <f t="shared" si="88"/>
        <v>3.4894448363813967E-2</v>
      </c>
      <c r="M962">
        <f t="shared" si="89"/>
        <v>0.88139191290824259</v>
      </c>
      <c r="N962">
        <f t="shared" si="90"/>
        <v>14.168375000000001</v>
      </c>
      <c r="O962">
        <f t="shared" si="91"/>
        <v>2866.5299999999997</v>
      </c>
      <c r="P962">
        <f t="shared" si="92"/>
        <v>6.2208398133748059E-2</v>
      </c>
      <c r="Q962" t="s">
        <v>4139</v>
      </c>
      <c r="R962" t="s">
        <v>4139</v>
      </c>
      <c r="S962">
        <f>YEAR(marketing_data[[#This Row],[Start_date]])</f>
        <v>2023</v>
      </c>
      <c r="T962" t="str">
        <f>TEXT(marketing_data[[#This Row],[Start_date]],"ddd")</f>
        <v>Sun</v>
      </c>
      <c r="U962">
        <f>marketing_data[[#This Row],[Cleaned End_date]]-marketing_data[[#This Row],[Start_date]]</f>
        <v>30</v>
      </c>
    </row>
    <row r="963" spans="1:21" x14ac:dyDescent="0.2">
      <c r="A963" t="s">
        <v>2000</v>
      </c>
      <c r="B963" t="s">
        <v>2001</v>
      </c>
      <c r="C963" s="2">
        <v>45262</v>
      </c>
      <c r="D963" t="str">
        <f t="shared" ref="D963:D1026" si="93">TEXT(C963,"mmm")</f>
        <v>Dec</v>
      </c>
      <c r="E963" s="2">
        <v>45278</v>
      </c>
      <c r="F963" t="s">
        <v>19</v>
      </c>
      <c r="G963">
        <v>47271</v>
      </c>
      <c r="H963">
        <v>1360</v>
      </c>
      <c r="I963">
        <v>129</v>
      </c>
      <c r="J963" t="b">
        <v>0</v>
      </c>
      <c r="K963" s="10">
        <v>1282.75</v>
      </c>
      <c r="L963" s="6">
        <f t="shared" ref="L963:L1026" si="94">H963/G963</f>
        <v>2.877028199107275E-2</v>
      </c>
      <c r="M963">
        <f t="shared" ref="M963:M1026" si="95">K963/H963</f>
        <v>0.94319852941176474</v>
      </c>
      <c r="N963">
        <f t="shared" ref="N963:N1026" si="96">IFERROR(K963/I963,0)</f>
        <v>9.9437984496124034</v>
      </c>
      <c r="O963">
        <f t="shared" ref="O963:O1026" si="97">(50*I963)-K963</f>
        <v>5167.25</v>
      </c>
      <c r="P963">
        <f t="shared" ref="P963:P1026" si="98">I963/H963</f>
        <v>9.4852941176470584E-2</v>
      </c>
      <c r="Q963" t="s">
        <v>4138</v>
      </c>
      <c r="R963" t="s">
        <v>4138</v>
      </c>
      <c r="S963">
        <f>YEAR(marketing_data[[#This Row],[Start_date]])</f>
        <v>2023</v>
      </c>
      <c r="T963" t="str">
        <f>TEXT(marketing_data[[#This Row],[Start_date]],"ddd")</f>
        <v>Sat</v>
      </c>
      <c r="U963">
        <f>marketing_data[[#This Row],[Cleaned End_date]]-marketing_data[[#This Row],[Start_date]]</f>
        <v>16</v>
      </c>
    </row>
    <row r="964" spans="1:21" x14ac:dyDescent="0.2">
      <c r="A964" t="s">
        <v>2002</v>
      </c>
      <c r="B964" t="s">
        <v>2003</v>
      </c>
      <c r="C964" s="2">
        <v>45054</v>
      </c>
      <c r="D964" t="str">
        <f t="shared" si="93"/>
        <v>May</v>
      </c>
      <c r="E964" s="2">
        <v>45062</v>
      </c>
      <c r="F964" t="s">
        <v>41</v>
      </c>
      <c r="G964">
        <v>74688</v>
      </c>
      <c r="H964">
        <v>2083</v>
      </c>
      <c r="I964">
        <v>336</v>
      </c>
      <c r="J964" t="b">
        <v>1</v>
      </c>
      <c r="K964" s="10">
        <v>2697.39</v>
      </c>
      <c r="L964" s="6">
        <f t="shared" si="94"/>
        <v>2.7889353041988002E-2</v>
      </c>
      <c r="M964">
        <f t="shared" si="95"/>
        <v>1.2949543927028324</v>
      </c>
      <c r="N964">
        <f t="shared" si="96"/>
        <v>8.027946428571429</v>
      </c>
      <c r="O964">
        <f t="shared" si="97"/>
        <v>14102.61</v>
      </c>
      <c r="P964">
        <f t="shared" si="98"/>
        <v>0.1613058089294287</v>
      </c>
      <c r="Q964" t="s">
        <v>4137</v>
      </c>
      <c r="R964" t="s">
        <v>4141</v>
      </c>
      <c r="S964">
        <f>YEAR(marketing_data[[#This Row],[Start_date]])</f>
        <v>2023</v>
      </c>
      <c r="T964" t="str">
        <f>TEXT(marketing_data[[#This Row],[Start_date]],"ddd")</f>
        <v>Mon</v>
      </c>
      <c r="U964">
        <f>marketing_data[[#This Row],[Cleaned End_date]]-marketing_data[[#This Row],[Start_date]]</f>
        <v>8</v>
      </c>
    </row>
    <row r="965" spans="1:21" x14ac:dyDescent="0.2">
      <c r="A965" t="s">
        <v>2004</v>
      </c>
      <c r="B965" t="s">
        <v>2005</v>
      </c>
      <c r="C965" s="2">
        <v>45053</v>
      </c>
      <c r="D965" t="str">
        <f t="shared" si="93"/>
        <v>May</v>
      </c>
      <c r="E965" s="2">
        <v>45076</v>
      </c>
      <c r="F965" t="s">
        <v>33</v>
      </c>
      <c r="G965">
        <v>39518</v>
      </c>
      <c r="H965">
        <v>1144</v>
      </c>
      <c r="I965">
        <v>222</v>
      </c>
      <c r="J965" t="b">
        <v>0</v>
      </c>
      <c r="K965" s="10">
        <v>1736.12</v>
      </c>
      <c r="L965" s="6">
        <f t="shared" si="94"/>
        <v>2.8948833442988004E-2</v>
      </c>
      <c r="M965">
        <f t="shared" si="95"/>
        <v>1.5175874125874125</v>
      </c>
      <c r="N965">
        <f t="shared" si="96"/>
        <v>7.8203603603603602</v>
      </c>
      <c r="O965">
        <f t="shared" si="97"/>
        <v>9363.880000000001</v>
      </c>
      <c r="P965">
        <f t="shared" si="98"/>
        <v>0.19405594405594406</v>
      </c>
      <c r="Q965" t="s">
        <v>4137</v>
      </c>
      <c r="R965" t="s">
        <v>4142</v>
      </c>
      <c r="S965">
        <f>YEAR(marketing_data[[#This Row],[Start_date]])</f>
        <v>2023</v>
      </c>
      <c r="T965" t="str">
        <f>TEXT(marketing_data[[#This Row],[Start_date]],"ddd")</f>
        <v>Sun</v>
      </c>
      <c r="U965">
        <f>marketing_data[[#This Row],[Cleaned End_date]]-marketing_data[[#This Row],[Start_date]]</f>
        <v>23</v>
      </c>
    </row>
    <row r="966" spans="1:21" x14ac:dyDescent="0.2">
      <c r="A966" t="s">
        <v>2006</v>
      </c>
      <c r="B966" t="s">
        <v>2007</v>
      </c>
      <c r="C966" s="2">
        <v>45177</v>
      </c>
      <c r="D966" t="str">
        <f t="shared" si="93"/>
        <v>Sep</v>
      </c>
      <c r="E966" s="2">
        <v>45192</v>
      </c>
      <c r="F966" t="s">
        <v>23</v>
      </c>
      <c r="G966">
        <v>11267</v>
      </c>
      <c r="H966">
        <v>378</v>
      </c>
      <c r="J966" t="b">
        <v>1</v>
      </c>
      <c r="K966" s="10">
        <v>525.1</v>
      </c>
      <c r="L966" s="6">
        <f t="shared" si="94"/>
        <v>3.3549303275051033E-2</v>
      </c>
      <c r="M966">
        <f t="shared" si="95"/>
        <v>1.3891534391534393</v>
      </c>
      <c r="N966">
        <f t="shared" si="96"/>
        <v>0</v>
      </c>
      <c r="O966">
        <f t="shared" si="97"/>
        <v>-525.1</v>
      </c>
      <c r="P966">
        <f t="shared" si="98"/>
        <v>0</v>
      </c>
      <c r="Q966" t="s">
        <v>4136</v>
      </c>
      <c r="R966" t="s">
        <v>4139</v>
      </c>
      <c r="S966">
        <f>YEAR(marketing_data[[#This Row],[Start_date]])</f>
        <v>2023</v>
      </c>
      <c r="T966" t="str">
        <f>TEXT(marketing_data[[#This Row],[Start_date]],"ddd")</f>
        <v>Fri</v>
      </c>
      <c r="U966">
        <f>marketing_data[[#This Row],[Cleaned End_date]]-marketing_data[[#This Row],[Start_date]]</f>
        <v>15</v>
      </c>
    </row>
    <row r="967" spans="1:21" x14ac:dyDescent="0.2">
      <c r="A967" t="s">
        <v>2008</v>
      </c>
      <c r="B967" t="s">
        <v>2009</v>
      </c>
      <c r="C967" s="2">
        <v>45248</v>
      </c>
      <c r="D967" t="str">
        <f t="shared" si="93"/>
        <v>Nov</v>
      </c>
      <c r="E967" s="2">
        <v>45274</v>
      </c>
      <c r="F967" t="s">
        <v>33</v>
      </c>
      <c r="G967">
        <v>91825</v>
      </c>
      <c r="H967">
        <v>2890</v>
      </c>
      <c r="I967">
        <v>574</v>
      </c>
      <c r="J967" t="b">
        <v>1</v>
      </c>
      <c r="K967" s="10">
        <v>2088.14</v>
      </c>
      <c r="L967" s="6">
        <f t="shared" si="94"/>
        <v>3.1472910427443504E-2</v>
      </c>
      <c r="M967">
        <f t="shared" si="95"/>
        <v>0.72253979238754318</v>
      </c>
      <c r="N967">
        <f t="shared" si="96"/>
        <v>3.63787456445993</v>
      </c>
      <c r="O967">
        <f t="shared" si="97"/>
        <v>26611.86</v>
      </c>
      <c r="P967">
        <f t="shared" si="98"/>
        <v>0.19861591695501729</v>
      </c>
      <c r="Q967" t="s">
        <v>4136</v>
      </c>
      <c r="R967" t="s">
        <v>4141</v>
      </c>
      <c r="S967">
        <f>YEAR(marketing_data[[#This Row],[Start_date]])</f>
        <v>2023</v>
      </c>
      <c r="T967" t="str">
        <f>TEXT(marketing_data[[#This Row],[Start_date]],"ddd")</f>
        <v>Sat</v>
      </c>
      <c r="U967">
        <f>marketing_data[[#This Row],[Cleaned End_date]]-marketing_data[[#This Row],[Start_date]]</f>
        <v>26</v>
      </c>
    </row>
    <row r="968" spans="1:21" x14ac:dyDescent="0.2">
      <c r="A968" t="s">
        <v>2010</v>
      </c>
      <c r="B968" t="s">
        <v>2011</v>
      </c>
      <c r="C968" s="2">
        <v>45251</v>
      </c>
      <c r="D968" t="str">
        <f t="shared" si="93"/>
        <v>Nov</v>
      </c>
      <c r="E968" s="2">
        <v>45274</v>
      </c>
      <c r="F968" t="s">
        <v>41</v>
      </c>
      <c r="G968">
        <v>2062</v>
      </c>
      <c r="H968">
        <v>91</v>
      </c>
      <c r="I968">
        <v>14</v>
      </c>
      <c r="J968" t="b">
        <v>1</v>
      </c>
      <c r="K968" s="10">
        <v>329.13249999999999</v>
      </c>
      <c r="L968" s="6">
        <f t="shared" si="94"/>
        <v>4.4131910766246361E-2</v>
      </c>
      <c r="M968">
        <f t="shared" si="95"/>
        <v>3.6168406593406592</v>
      </c>
      <c r="N968">
        <f t="shared" si="96"/>
        <v>23.509464285714284</v>
      </c>
      <c r="O968">
        <f t="shared" si="97"/>
        <v>370.86750000000001</v>
      </c>
      <c r="P968">
        <f t="shared" si="98"/>
        <v>0.15384615384615385</v>
      </c>
      <c r="Q968" t="s">
        <v>4136</v>
      </c>
      <c r="R968" t="s">
        <v>4141</v>
      </c>
      <c r="S968">
        <f>YEAR(marketing_data[[#This Row],[Start_date]])</f>
        <v>2023</v>
      </c>
      <c r="T968" t="str">
        <f>TEXT(marketing_data[[#This Row],[Start_date]],"ddd")</f>
        <v>Tue</v>
      </c>
      <c r="U968">
        <f>marketing_data[[#This Row],[Cleaned End_date]]-marketing_data[[#This Row],[Start_date]]</f>
        <v>23</v>
      </c>
    </row>
    <row r="969" spans="1:21" x14ac:dyDescent="0.2">
      <c r="A969" t="s">
        <v>2012</v>
      </c>
      <c r="B969" t="s">
        <v>2013</v>
      </c>
      <c r="C969" s="2">
        <v>45133</v>
      </c>
      <c r="D969" t="str">
        <f t="shared" si="93"/>
        <v>Jul</v>
      </c>
      <c r="E969" s="2">
        <v>45163</v>
      </c>
      <c r="F969" t="s">
        <v>23</v>
      </c>
      <c r="G969">
        <v>51448</v>
      </c>
      <c r="H969">
        <v>616</v>
      </c>
      <c r="I969">
        <v>57</v>
      </c>
      <c r="J969" t="b">
        <v>0</v>
      </c>
      <c r="K969" s="10">
        <v>1119.98</v>
      </c>
      <c r="L969" s="6">
        <f t="shared" si="94"/>
        <v>1.1973254548281759E-2</v>
      </c>
      <c r="M969">
        <f t="shared" si="95"/>
        <v>1.8181493506493507</v>
      </c>
      <c r="N969">
        <f t="shared" si="96"/>
        <v>19.648771929824562</v>
      </c>
      <c r="O969">
        <f t="shared" si="97"/>
        <v>1730.02</v>
      </c>
      <c r="P969">
        <f t="shared" si="98"/>
        <v>9.2532467532467536E-2</v>
      </c>
      <c r="Q969" t="s">
        <v>4139</v>
      </c>
      <c r="R969" t="s">
        <v>4142</v>
      </c>
      <c r="S969">
        <f>YEAR(marketing_data[[#This Row],[Start_date]])</f>
        <v>2023</v>
      </c>
      <c r="T969" t="str">
        <f>TEXT(marketing_data[[#This Row],[Start_date]],"ddd")</f>
        <v>Wed</v>
      </c>
      <c r="U969">
        <f>marketing_data[[#This Row],[Cleaned End_date]]-marketing_data[[#This Row],[Start_date]]</f>
        <v>30</v>
      </c>
    </row>
    <row r="970" spans="1:21" x14ac:dyDescent="0.2">
      <c r="A970" t="s">
        <v>2014</v>
      </c>
      <c r="B970" t="s">
        <v>2015</v>
      </c>
      <c r="C970" s="2">
        <v>45115</v>
      </c>
      <c r="D970" t="str">
        <f t="shared" si="93"/>
        <v>Jul</v>
      </c>
      <c r="E970" s="2">
        <v>45119</v>
      </c>
      <c r="F970" t="s">
        <v>19</v>
      </c>
      <c r="G970">
        <v>96462</v>
      </c>
      <c r="H970">
        <v>4179</v>
      </c>
      <c r="I970">
        <v>630</v>
      </c>
      <c r="J970" t="b">
        <v>1</v>
      </c>
      <c r="K970" s="10">
        <v>3631.7599999999998</v>
      </c>
      <c r="L970" s="6">
        <f t="shared" si="94"/>
        <v>4.3322759221247745E-2</v>
      </c>
      <c r="M970">
        <f t="shared" si="95"/>
        <v>0.86905001196458476</v>
      </c>
      <c r="N970">
        <f t="shared" si="96"/>
        <v>5.7646984126984124</v>
      </c>
      <c r="O970">
        <f t="shared" si="97"/>
        <v>27868.240000000002</v>
      </c>
      <c r="P970">
        <f t="shared" si="98"/>
        <v>0.15075376884422109</v>
      </c>
      <c r="Q970" t="s">
        <v>4139</v>
      </c>
      <c r="R970" t="s">
        <v>4138</v>
      </c>
      <c r="S970">
        <f>YEAR(marketing_data[[#This Row],[Start_date]])</f>
        <v>2023</v>
      </c>
      <c r="T970" t="str">
        <f>TEXT(marketing_data[[#This Row],[Start_date]],"ddd")</f>
        <v>Sat</v>
      </c>
      <c r="U970">
        <f>marketing_data[[#This Row],[Cleaned End_date]]-marketing_data[[#This Row],[Start_date]]</f>
        <v>4</v>
      </c>
    </row>
    <row r="971" spans="1:21" x14ac:dyDescent="0.2">
      <c r="A971" t="s">
        <v>2016</v>
      </c>
      <c r="B971" t="s">
        <v>2017</v>
      </c>
      <c r="C971" s="2">
        <v>45224</v>
      </c>
      <c r="D971" t="str">
        <f t="shared" si="93"/>
        <v>Oct</v>
      </c>
      <c r="E971" s="2">
        <v>45228</v>
      </c>
      <c r="F971" t="s">
        <v>41</v>
      </c>
      <c r="G971">
        <v>7229</v>
      </c>
      <c r="H971">
        <v>316</v>
      </c>
      <c r="I971">
        <v>49</v>
      </c>
      <c r="J971" t="b">
        <v>0</v>
      </c>
      <c r="K971" s="10">
        <v>570.35</v>
      </c>
      <c r="L971" s="6">
        <f t="shared" si="94"/>
        <v>4.3712823350394246E-2</v>
      </c>
      <c r="M971">
        <f t="shared" si="95"/>
        <v>1.8049050632911394</v>
      </c>
      <c r="N971">
        <f t="shared" si="96"/>
        <v>11.639795918367348</v>
      </c>
      <c r="O971">
        <f t="shared" si="97"/>
        <v>1879.65</v>
      </c>
      <c r="P971">
        <f t="shared" si="98"/>
        <v>0.1550632911392405</v>
      </c>
      <c r="Q971" t="s">
        <v>4136</v>
      </c>
      <c r="R971" t="s">
        <v>4141</v>
      </c>
      <c r="S971">
        <f>YEAR(marketing_data[[#This Row],[Start_date]])</f>
        <v>2023</v>
      </c>
      <c r="T971" t="str">
        <f>TEXT(marketing_data[[#This Row],[Start_date]],"ddd")</f>
        <v>Wed</v>
      </c>
      <c r="U971">
        <f>marketing_data[[#This Row],[Cleaned End_date]]-marketing_data[[#This Row],[Start_date]]</f>
        <v>4</v>
      </c>
    </row>
    <row r="972" spans="1:21" x14ac:dyDescent="0.2">
      <c r="A972" t="s">
        <v>2019</v>
      </c>
      <c r="B972" t="s">
        <v>2020</v>
      </c>
      <c r="C972" s="2">
        <v>44974</v>
      </c>
      <c r="D972" t="str">
        <f t="shared" si="93"/>
        <v>Feb</v>
      </c>
      <c r="E972" s="2">
        <v>44980</v>
      </c>
      <c r="F972" t="s">
        <v>41</v>
      </c>
      <c r="G972">
        <v>57793</v>
      </c>
      <c r="H972">
        <v>1236</v>
      </c>
      <c r="I972">
        <v>130</v>
      </c>
      <c r="J972" t="b">
        <v>1</v>
      </c>
      <c r="K972" s="10">
        <v>1306.8499999999999</v>
      </c>
      <c r="L972" s="6">
        <f t="shared" si="94"/>
        <v>2.1386673126503209E-2</v>
      </c>
      <c r="M972">
        <f t="shared" si="95"/>
        <v>1.0573220064724917</v>
      </c>
      <c r="N972">
        <f t="shared" si="96"/>
        <v>10.052692307692308</v>
      </c>
      <c r="O972">
        <f t="shared" si="97"/>
        <v>5193.1499999999996</v>
      </c>
      <c r="P972">
        <f t="shared" si="98"/>
        <v>0.10517799352750809</v>
      </c>
      <c r="Q972" t="s">
        <v>4138</v>
      </c>
      <c r="R972" t="s">
        <v>4141</v>
      </c>
      <c r="S972">
        <f>YEAR(marketing_data[[#This Row],[Start_date]])</f>
        <v>2023</v>
      </c>
      <c r="T972" t="str">
        <f>TEXT(marketing_data[[#This Row],[Start_date]],"ddd")</f>
        <v>Fri</v>
      </c>
      <c r="U972">
        <f>marketing_data[[#This Row],[Cleaned End_date]]-marketing_data[[#This Row],[Start_date]]</f>
        <v>6</v>
      </c>
    </row>
    <row r="973" spans="1:21" x14ac:dyDescent="0.2">
      <c r="A973" t="s">
        <v>2021</v>
      </c>
      <c r="B973" t="s">
        <v>2022</v>
      </c>
      <c r="C973" s="2">
        <v>45267</v>
      </c>
      <c r="D973" t="str">
        <f t="shared" si="93"/>
        <v>Dec</v>
      </c>
      <c r="E973" s="2">
        <v>45272</v>
      </c>
      <c r="F973" t="s">
        <v>19</v>
      </c>
      <c r="G973">
        <v>48915</v>
      </c>
      <c r="H973">
        <v>1394</v>
      </c>
      <c r="I973">
        <v>73</v>
      </c>
      <c r="J973" t="b">
        <v>0</v>
      </c>
      <c r="K973" s="10">
        <v>1981.71</v>
      </c>
      <c r="L973" s="6">
        <f t="shared" si="94"/>
        <v>2.8498415618930798E-2</v>
      </c>
      <c r="M973">
        <f t="shared" si="95"/>
        <v>1.4215997130559541</v>
      </c>
      <c r="N973">
        <f t="shared" si="96"/>
        <v>27.146712328767123</v>
      </c>
      <c r="O973">
        <f t="shared" si="97"/>
        <v>1668.29</v>
      </c>
      <c r="P973">
        <f t="shared" si="98"/>
        <v>5.2367288378766141E-2</v>
      </c>
      <c r="Q973" t="s">
        <v>4138</v>
      </c>
      <c r="R973" t="s">
        <v>4142</v>
      </c>
      <c r="S973">
        <f>YEAR(marketing_data[[#This Row],[Start_date]])</f>
        <v>2023</v>
      </c>
      <c r="T973" t="str">
        <f>TEXT(marketing_data[[#This Row],[Start_date]],"ddd")</f>
        <v>Thu</v>
      </c>
      <c r="U973">
        <f>marketing_data[[#This Row],[Cleaned End_date]]-marketing_data[[#This Row],[Start_date]]</f>
        <v>5</v>
      </c>
    </row>
    <row r="974" spans="1:21" x14ac:dyDescent="0.2">
      <c r="A974" t="s">
        <v>2023</v>
      </c>
      <c r="B974" t="s">
        <v>2024</v>
      </c>
      <c r="C974" s="2">
        <v>45200</v>
      </c>
      <c r="D974" t="str">
        <f t="shared" si="93"/>
        <v>Oct</v>
      </c>
      <c r="E974" s="2">
        <v>45205</v>
      </c>
      <c r="F974" t="s">
        <v>23</v>
      </c>
      <c r="G974">
        <v>5632</v>
      </c>
      <c r="H974">
        <v>155</v>
      </c>
      <c r="J974" t="b">
        <v>1</v>
      </c>
      <c r="K974" s="10">
        <v>329.13249999999999</v>
      </c>
      <c r="L974" s="6">
        <f t="shared" si="94"/>
        <v>2.752130681818182E-2</v>
      </c>
      <c r="M974">
        <f t="shared" si="95"/>
        <v>2.1234354838709675</v>
      </c>
      <c r="N974">
        <f t="shared" si="96"/>
        <v>0</v>
      </c>
      <c r="O974">
        <f t="shared" si="97"/>
        <v>-329.13249999999999</v>
      </c>
      <c r="P974">
        <f t="shared" si="98"/>
        <v>0</v>
      </c>
      <c r="Q974" t="s">
        <v>4136</v>
      </c>
      <c r="R974" t="s">
        <v>4139</v>
      </c>
      <c r="S974">
        <f>YEAR(marketing_data[[#This Row],[Start_date]])</f>
        <v>2023</v>
      </c>
      <c r="T974" t="str">
        <f>TEXT(marketing_data[[#This Row],[Start_date]],"ddd")</f>
        <v>Sun</v>
      </c>
      <c r="U974">
        <f>marketing_data[[#This Row],[Cleaned End_date]]-marketing_data[[#This Row],[Start_date]]</f>
        <v>5</v>
      </c>
    </row>
    <row r="975" spans="1:21" x14ac:dyDescent="0.2">
      <c r="A975" t="s">
        <v>2025</v>
      </c>
      <c r="B975" t="s">
        <v>2026</v>
      </c>
      <c r="C975" s="2">
        <v>45035</v>
      </c>
      <c r="D975" t="str">
        <f t="shared" si="93"/>
        <v>Apr</v>
      </c>
      <c r="E975" s="2">
        <v>45059</v>
      </c>
      <c r="F975" t="s">
        <v>14</v>
      </c>
      <c r="G975">
        <v>4596</v>
      </c>
      <c r="H975">
        <v>86</v>
      </c>
      <c r="I975">
        <v>4</v>
      </c>
      <c r="J975" t="b">
        <v>0</v>
      </c>
      <c r="K975" s="10">
        <v>329.13249999999999</v>
      </c>
      <c r="L975" s="6">
        <f t="shared" si="94"/>
        <v>1.8711923411662314E-2</v>
      </c>
      <c r="M975">
        <f t="shared" si="95"/>
        <v>3.8271220930232559</v>
      </c>
      <c r="N975">
        <f t="shared" si="96"/>
        <v>82.283124999999998</v>
      </c>
      <c r="O975">
        <f t="shared" si="97"/>
        <v>-129.13249999999999</v>
      </c>
      <c r="P975">
        <f t="shared" si="98"/>
        <v>4.6511627906976744E-2</v>
      </c>
      <c r="Q975" t="s">
        <v>4137</v>
      </c>
      <c r="R975" t="s">
        <v>4138</v>
      </c>
      <c r="S975">
        <f>YEAR(marketing_data[[#This Row],[Start_date]])</f>
        <v>2023</v>
      </c>
      <c r="T975" t="str">
        <f>TEXT(marketing_data[[#This Row],[Start_date]],"ddd")</f>
        <v>Wed</v>
      </c>
      <c r="U975">
        <f>marketing_data[[#This Row],[Cleaned End_date]]-marketing_data[[#This Row],[Start_date]]</f>
        <v>24</v>
      </c>
    </row>
    <row r="976" spans="1:21" x14ac:dyDescent="0.2">
      <c r="A976" t="s">
        <v>2027</v>
      </c>
      <c r="B976" t="s">
        <v>2028</v>
      </c>
      <c r="C976" s="2">
        <v>45072</v>
      </c>
      <c r="D976" t="str">
        <f t="shared" si="93"/>
        <v>May</v>
      </c>
      <c r="E976" s="2">
        <v>45092</v>
      </c>
      <c r="F976" t="s">
        <v>33</v>
      </c>
      <c r="G976">
        <v>7168</v>
      </c>
      <c r="H976">
        <v>185</v>
      </c>
      <c r="I976">
        <v>26</v>
      </c>
      <c r="J976" t="b">
        <v>0</v>
      </c>
      <c r="K976" s="10">
        <v>329.13249999999999</v>
      </c>
      <c r="L976" s="6">
        <f t="shared" si="94"/>
        <v>2.5809151785714284E-2</v>
      </c>
      <c r="M976">
        <f t="shared" si="95"/>
        <v>1.7790945945945946</v>
      </c>
      <c r="N976">
        <f t="shared" si="96"/>
        <v>12.658942307692307</v>
      </c>
      <c r="O976">
        <f t="shared" si="97"/>
        <v>970.86750000000006</v>
      </c>
      <c r="P976">
        <f t="shared" si="98"/>
        <v>0.14054054054054055</v>
      </c>
      <c r="Q976" t="s">
        <v>4137</v>
      </c>
      <c r="R976" t="s">
        <v>4138</v>
      </c>
      <c r="S976">
        <f>YEAR(marketing_data[[#This Row],[Start_date]])</f>
        <v>2023</v>
      </c>
      <c r="T976" t="str">
        <f>TEXT(marketing_data[[#This Row],[Start_date]],"ddd")</f>
        <v>Fri</v>
      </c>
      <c r="U976">
        <f>marketing_data[[#This Row],[Cleaned End_date]]-marketing_data[[#This Row],[Start_date]]</f>
        <v>20</v>
      </c>
    </row>
    <row r="977" spans="1:21" x14ac:dyDescent="0.2">
      <c r="A977" t="s">
        <v>2029</v>
      </c>
      <c r="B977" t="s">
        <v>2030</v>
      </c>
      <c r="C977" s="2">
        <v>45216</v>
      </c>
      <c r="D977" t="str">
        <f t="shared" si="93"/>
        <v>Oct</v>
      </c>
      <c r="E977" s="2">
        <v>45246</v>
      </c>
      <c r="F977" t="s">
        <v>23</v>
      </c>
      <c r="G977">
        <v>8561</v>
      </c>
      <c r="H977">
        <v>100</v>
      </c>
      <c r="I977">
        <v>7</v>
      </c>
      <c r="J977" t="b">
        <v>1</v>
      </c>
      <c r="K977" s="10">
        <v>329.13249999999999</v>
      </c>
      <c r="L977" s="6">
        <f t="shared" si="94"/>
        <v>1.1680878402055835E-2</v>
      </c>
      <c r="M977">
        <f t="shared" si="95"/>
        <v>3.2913250000000001</v>
      </c>
      <c r="N977">
        <f t="shared" si="96"/>
        <v>47.018928571428567</v>
      </c>
      <c r="O977">
        <f t="shared" si="97"/>
        <v>20.867500000000007</v>
      </c>
      <c r="P977">
        <f t="shared" si="98"/>
        <v>7.0000000000000007E-2</v>
      </c>
      <c r="Q977" t="s">
        <v>4136</v>
      </c>
      <c r="R977" t="s">
        <v>4141</v>
      </c>
      <c r="S977">
        <f>YEAR(marketing_data[[#This Row],[Start_date]])</f>
        <v>2023</v>
      </c>
      <c r="T977" t="str">
        <f>TEXT(marketing_data[[#This Row],[Start_date]],"ddd")</f>
        <v>Tue</v>
      </c>
      <c r="U977">
        <f>marketing_data[[#This Row],[Cleaned End_date]]-marketing_data[[#This Row],[Start_date]]</f>
        <v>30</v>
      </c>
    </row>
    <row r="978" spans="1:21" x14ac:dyDescent="0.2">
      <c r="A978" t="s">
        <v>2031</v>
      </c>
      <c r="B978" t="s">
        <v>2032</v>
      </c>
      <c r="C978" s="2">
        <v>45276</v>
      </c>
      <c r="D978" t="str">
        <f t="shared" si="93"/>
        <v>Dec</v>
      </c>
      <c r="E978" s="2">
        <v>45277</v>
      </c>
      <c r="F978" t="s">
        <v>23</v>
      </c>
      <c r="G978">
        <v>74794</v>
      </c>
      <c r="H978">
        <v>1579</v>
      </c>
      <c r="I978">
        <v>212</v>
      </c>
      <c r="J978" t="b">
        <v>0</v>
      </c>
      <c r="K978" s="10">
        <v>1265.03</v>
      </c>
      <c r="L978" s="6">
        <f t="shared" si="94"/>
        <v>2.1111319089766559E-2</v>
      </c>
      <c r="M978">
        <f t="shared" si="95"/>
        <v>0.80115896136795439</v>
      </c>
      <c r="N978">
        <f t="shared" si="96"/>
        <v>5.9671226415094338</v>
      </c>
      <c r="O978">
        <f t="shared" si="97"/>
        <v>9334.9699999999993</v>
      </c>
      <c r="P978">
        <f t="shared" si="98"/>
        <v>0.13426219126029132</v>
      </c>
      <c r="Q978" t="s">
        <v>4138</v>
      </c>
      <c r="R978" t="s">
        <v>4142</v>
      </c>
      <c r="S978">
        <f>YEAR(marketing_data[[#This Row],[Start_date]])</f>
        <v>2023</v>
      </c>
      <c r="T978" t="str">
        <f>TEXT(marketing_data[[#This Row],[Start_date]],"ddd")</f>
        <v>Sat</v>
      </c>
      <c r="U978">
        <f>marketing_data[[#This Row],[Cleaned End_date]]-marketing_data[[#This Row],[Start_date]]</f>
        <v>1</v>
      </c>
    </row>
    <row r="979" spans="1:21" x14ac:dyDescent="0.2">
      <c r="A979" t="s">
        <v>2033</v>
      </c>
      <c r="B979" t="s">
        <v>2034</v>
      </c>
      <c r="C979" s="2">
        <v>45247</v>
      </c>
      <c r="D979" t="str">
        <f t="shared" si="93"/>
        <v>Nov</v>
      </c>
      <c r="E979" s="2">
        <v>45262</v>
      </c>
      <c r="F979" t="s">
        <v>33</v>
      </c>
      <c r="G979">
        <v>83152</v>
      </c>
      <c r="H979">
        <v>3547</v>
      </c>
      <c r="I979">
        <v>445</v>
      </c>
      <c r="J979" t="b">
        <v>1</v>
      </c>
      <c r="K979" s="10">
        <v>3449.51</v>
      </c>
      <c r="L979" s="6">
        <f t="shared" si="94"/>
        <v>4.265682124302482E-2</v>
      </c>
      <c r="M979">
        <f t="shared" si="95"/>
        <v>0.97251480124048495</v>
      </c>
      <c r="N979">
        <f t="shared" si="96"/>
        <v>7.75170786516854</v>
      </c>
      <c r="O979">
        <f t="shared" si="97"/>
        <v>18800.489999999998</v>
      </c>
      <c r="P979">
        <f t="shared" si="98"/>
        <v>0.12545813363405695</v>
      </c>
      <c r="Q979" t="s">
        <v>4136</v>
      </c>
      <c r="R979" t="s">
        <v>4141</v>
      </c>
      <c r="S979">
        <f>YEAR(marketing_data[[#This Row],[Start_date]])</f>
        <v>2023</v>
      </c>
      <c r="T979" t="str">
        <f>TEXT(marketing_data[[#This Row],[Start_date]],"ddd")</f>
        <v>Fri</v>
      </c>
      <c r="U979">
        <f>marketing_data[[#This Row],[Cleaned End_date]]-marketing_data[[#This Row],[Start_date]]</f>
        <v>15</v>
      </c>
    </row>
    <row r="980" spans="1:21" x14ac:dyDescent="0.2">
      <c r="A980" t="s">
        <v>2035</v>
      </c>
      <c r="B980" t="s">
        <v>2036</v>
      </c>
      <c r="C980" s="2">
        <v>44990</v>
      </c>
      <c r="D980" t="str">
        <f t="shared" si="93"/>
        <v>Mar</v>
      </c>
      <c r="E980" s="2">
        <v>45006</v>
      </c>
      <c r="F980" t="s">
        <v>41</v>
      </c>
      <c r="G980">
        <v>27734</v>
      </c>
      <c r="H980">
        <v>593</v>
      </c>
      <c r="I980">
        <v>30</v>
      </c>
      <c r="J980" t="b">
        <v>1</v>
      </c>
      <c r="K980" s="10">
        <v>1000.46</v>
      </c>
      <c r="L980" s="6">
        <f t="shared" si="94"/>
        <v>2.1381697555347228E-2</v>
      </c>
      <c r="M980">
        <f t="shared" si="95"/>
        <v>1.6871163575042158</v>
      </c>
      <c r="N980">
        <f t="shared" si="96"/>
        <v>33.348666666666666</v>
      </c>
      <c r="O980">
        <f t="shared" si="97"/>
        <v>499.53999999999996</v>
      </c>
      <c r="P980">
        <f t="shared" si="98"/>
        <v>5.0590219224283306E-2</v>
      </c>
      <c r="Q980" t="s">
        <v>4137</v>
      </c>
      <c r="R980" t="s">
        <v>4138</v>
      </c>
      <c r="S980">
        <f>YEAR(marketing_data[[#This Row],[Start_date]])</f>
        <v>2023</v>
      </c>
      <c r="T980" t="str">
        <f>TEXT(marketing_data[[#This Row],[Start_date]],"ddd")</f>
        <v>Sun</v>
      </c>
      <c r="U980">
        <f>marketing_data[[#This Row],[Cleaned End_date]]-marketing_data[[#This Row],[Start_date]]</f>
        <v>16</v>
      </c>
    </row>
    <row r="981" spans="1:21" x14ac:dyDescent="0.2">
      <c r="A981" t="s">
        <v>2037</v>
      </c>
      <c r="B981" t="s">
        <v>2038</v>
      </c>
      <c r="C981" s="2">
        <v>45160</v>
      </c>
      <c r="D981" t="str">
        <f t="shared" si="93"/>
        <v>Aug</v>
      </c>
      <c r="E981" s="2">
        <v>45172</v>
      </c>
      <c r="F981" t="s">
        <v>23</v>
      </c>
      <c r="G981">
        <v>7371</v>
      </c>
      <c r="H981">
        <v>314</v>
      </c>
      <c r="I981">
        <v>32</v>
      </c>
      <c r="J981" t="b">
        <v>1</v>
      </c>
      <c r="K981" s="10">
        <v>588.34</v>
      </c>
      <c r="L981" s="6">
        <f t="shared" si="94"/>
        <v>4.2599375932709266E-2</v>
      </c>
      <c r="M981">
        <f t="shared" si="95"/>
        <v>1.8736942675159236</v>
      </c>
      <c r="N981">
        <f t="shared" si="96"/>
        <v>18.385625000000001</v>
      </c>
      <c r="O981">
        <f t="shared" si="97"/>
        <v>1011.66</v>
      </c>
      <c r="P981">
        <f t="shared" si="98"/>
        <v>0.10191082802547771</v>
      </c>
      <c r="Q981" t="s">
        <v>4139</v>
      </c>
      <c r="R981" t="s">
        <v>4142</v>
      </c>
      <c r="S981">
        <f>YEAR(marketing_data[[#This Row],[Start_date]])</f>
        <v>2023</v>
      </c>
      <c r="T981" t="str">
        <f>TEXT(marketing_data[[#This Row],[Start_date]],"ddd")</f>
        <v>Tue</v>
      </c>
      <c r="U981">
        <f>marketing_data[[#This Row],[Cleaned End_date]]-marketing_data[[#This Row],[Start_date]]</f>
        <v>12</v>
      </c>
    </row>
    <row r="982" spans="1:21" x14ac:dyDescent="0.2">
      <c r="A982" t="s">
        <v>2039</v>
      </c>
      <c r="B982" t="s">
        <v>2040</v>
      </c>
      <c r="C982" s="2">
        <v>45146</v>
      </c>
      <c r="D982" t="str">
        <f t="shared" si="93"/>
        <v>Aug</v>
      </c>
      <c r="E982" s="2">
        <v>45172</v>
      </c>
      <c r="F982" t="s">
        <v>14</v>
      </c>
      <c r="G982">
        <v>27069</v>
      </c>
      <c r="H982">
        <v>846</v>
      </c>
      <c r="I982">
        <v>118</v>
      </c>
      <c r="J982" t="b">
        <v>0</v>
      </c>
      <c r="K982" s="10">
        <v>879.58</v>
      </c>
      <c r="L982" s="6">
        <f t="shared" si="94"/>
        <v>3.1253463371384238E-2</v>
      </c>
      <c r="M982">
        <f t="shared" si="95"/>
        <v>1.0396926713947992</v>
      </c>
      <c r="N982">
        <f t="shared" si="96"/>
        <v>7.45406779661017</v>
      </c>
      <c r="O982">
        <f t="shared" si="97"/>
        <v>5020.42</v>
      </c>
      <c r="P982">
        <f t="shared" si="98"/>
        <v>0.13947990543735225</v>
      </c>
      <c r="Q982" t="s">
        <v>4139</v>
      </c>
      <c r="R982" t="s">
        <v>4142</v>
      </c>
      <c r="S982">
        <f>YEAR(marketing_data[[#This Row],[Start_date]])</f>
        <v>2023</v>
      </c>
      <c r="T982" t="str">
        <f>TEXT(marketing_data[[#This Row],[Start_date]],"ddd")</f>
        <v>Tue</v>
      </c>
      <c r="U982">
        <f>marketing_data[[#This Row],[Cleaned End_date]]-marketing_data[[#This Row],[Start_date]]</f>
        <v>26</v>
      </c>
    </row>
    <row r="983" spans="1:21" x14ac:dyDescent="0.2">
      <c r="A983" t="s">
        <v>2041</v>
      </c>
      <c r="B983" t="s">
        <v>2042</v>
      </c>
      <c r="C983" s="2">
        <v>44994</v>
      </c>
      <c r="D983" t="str">
        <f t="shared" si="93"/>
        <v>Mar</v>
      </c>
      <c r="E983" s="2">
        <v>45017</v>
      </c>
      <c r="F983" t="s">
        <v>33</v>
      </c>
      <c r="G983">
        <v>80905</v>
      </c>
      <c r="H983">
        <v>3656</v>
      </c>
      <c r="J983" t="b">
        <v>1</v>
      </c>
      <c r="K983" s="10">
        <v>3511.44</v>
      </c>
      <c r="L983" s="6">
        <f t="shared" si="94"/>
        <v>4.5188801680983867E-2</v>
      </c>
      <c r="M983">
        <f t="shared" si="95"/>
        <v>0.96045951859956236</v>
      </c>
      <c r="N983">
        <f t="shared" si="96"/>
        <v>0</v>
      </c>
      <c r="O983">
        <f t="shared" si="97"/>
        <v>-3511.44</v>
      </c>
      <c r="P983">
        <f t="shared" si="98"/>
        <v>0</v>
      </c>
      <c r="Q983" t="s">
        <v>4137</v>
      </c>
      <c r="R983" t="s">
        <v>4138</v>
      </c>
      <c r="S983">
        <f>YEAR(marketing_data[[#This Row],[Start_date]])</f>
        <v>2023</v>
      </c>
      <c r="T983" t="str">
        <f>TEXT(marketing_data[[#This Row],[Start_date]],"ddd")</f>
        <v>Thu</v>
      </c>
      <c r="U983">
        <f>marketing_data[[#This Row],[Cleaned End_date]]-marketing_data[[#This Row],[Start_date]]</f>
        <v>23</v>
      </c>
    </row>
    <row r="984" spans="1:21" x14ac:dyDescent="0.2">
      <c r="A984" t="s">
        <v>2043</v>
      </c>
      <c r="B984" t="s">
        <v>2044</v>
      </c>
      <c r="C984" s="2">
        <v>45067</v>
      </c>
      <c r="D984" t="str">
        <f t="shared" si="93"/>
        <v>May</v>
      </c>
      <c r="E984" s="2">
        <v>45081</v>
      </c>
      <c r="F984" t="s">
        <v>23</v>
      </c>
      <c r="G984">
        <v>13910</v>
      </c>
      <c r="H984">
        <v>458</v>
      </c>
      <c r="I984">
        <v>83</v>
      </c>
      <c r="J984" t="b">
        <v>1</v>
      </c>
      <c r="K984" s="10">
        <v>363.1</v>
      </c>
      <c r="L984" s="6">
        <f t="shared" si="94"/>
        <v>3.2925952552120774E-2</v>
      </c>
      <c r="M984">
        <f t="shared" si="95"/>
        <v>0.79279475982532754</v>
      </c>
      <c r="N984">
        <f t="shared" si="96"/>
        <v>4.3746987951807235</v>
      </c>
      <c r="O984">
        <f t="shared" si="97"/>
        <v>3786.9</v>
      </c>
      <c r="P984">
        <f t="shared" si="98"/>
        <v>0.18122270742358079</v>
      </c>
      <c r="Q984" t="s">
        <v>4137</v>
      </c>
      <c r="R984" t="s">
        <v>4141</v>
      </c>
      <c r="S984">
        <f>YEAR(marketing_data[[#This Row],[Start_date]])</f>
        <v>2023</v>
      </c>
      <c r="T984" t="str">
        <f>TEXT(marketing_data[[#This Row],[Start_date]],"ddd")</f>
        <v>Sun</v>
      </c>
      <c r="U984">
        <f>marketing_data[[#This Row],[Cleaned End_date]]-marketing_data[[#This Row],[Start_date]]</f>
        <v>14</v>
      </c>
    </row>
    <row r="985" spans="1:21" x14ac:dyDescent="0.2">
      <c r="A985" t="s">
        <v>2045</v>
      </c>
      <c r="B985" t="s">
        <v>2046</v>
      </c>
      <c r="C985" s="2">
        <v>45111</v>
      </c>
      <c r="D985" t="str">
        <f t="shared" si="93"/>
        <v>Jul</v>
      </c>
      <c r="E985" s="2">
        <v>45112</v>
      </c>
      <c r="F985" t="s">
        <v>41</v>
      </c>
      <c r="G985">
        <v>74479</v>
      </c>
      <c r="H985">
        <v>833</v>
      </c>
      <c r="I985">
        <v>102</v>
      </c>
      <c r="J985" t="b">
        <v>1</v>
      </c>
      <c r="K985" s="10">
        <v>1264.27</v>
      </c>
      <c r="L985" s="6">
        <f t="shared" si="94"/>
        <v>1.1184360692275675E-2</v>
      </c>
      <c r="M985">
        <f t="shared" si="95"/>
        <v>1.5177310924369747</v>
      </c>
      <c r="N985">
        <f t="shared" si="96"/>
        <v>12.394803921568627</v>
      </c>
      <c r="O985">
        <f t="shared" si="97"/>
        <v>3835.73</v>
      </c>
      <c r="P985">
        <f t="shared" si="98"/>
        <v>0.12244897959183673</v>
      </c>
      <c r="Q985" t="s">
        <v>4139</v>
      </c>
      <c r="R985" t="s">
        <v>4138</v>
      </c>
      <c r="S985">
        <f>YEAR(marketing_data[[#This Row],[Start_date]])</f>
        <v>2023</v>
      </c>
      <c r="T985" t="str">
        <f>TEXT(marketing_data[[#This Row],[Start_date]],"ddd")</f>
        <v>Tue</v>
      </c>
      <c r="U985">
        <f>marketing_data[[#This Row],[Cleaned End_date]]-marketing_data[[#This Row],[Start_date]]</f>
        <v>1</v>
      </c>
    </row>
    <row r="986" spans="1:21" x14ac:dyDescent="0.2">
      <c r="A986" t="s">
        <v>2047</v>
      </c>
      <c r="B986" t="s">
        <v>2048</v>
      </c>
      <c r="C986" s="2">
        <v>45259</v>
      </c>
      <c r="D986" t="str">
        <f t="shared" si="93"/>
        <v>Nov</v>
      </c>
      <c r="E986" s="2">
        <v>45282</v>
      </c>
      <c r="F986" t="s">
        <v>33</v>
      </c>
      <c r="G986">
        <v>78735</v>
      </c>
      <c r="H986">
        <v>2914</v>
      </c>
      <c r="I986">
        <v>464</v>
      </c>
      <c r="J986" t="b">
        <v>0</v>
      </c>
      <c r="K986" s="10">
        <v>2869.27</v>
      </c>
      <c r="L986" s="6">
        <f t="shared" si="94"/>
        <v>3.7010224169683116E-2</v>
      </c>
      <c r="M986">
        <f t="shared" si="95"/>
        <v>0.98464996568291008</v>
      </c>
      <c r="N986">
        <f t="shared" si="96"/>
        <v>6.1837715517241376</v>
      </c>
      <c r="O986">
        <f t="shared" si="97"/>
        <v>20330.73</v>
      </c>
      <c r="P986">
        <f t="shared" si="98"/>
        <v>0.15923129718599863</v>
      </c>
      <c r="Q986" t="s">
        <v>4136</v>
      </c>
      <c r="R986" t="s">
        <v>4138</v>
      </c>
      <c r="S986">
        <f>YEAR(marketing_data[[#This Row],[Start_date]])</f>
        <v>2023</v>
      </c>
      <c r="T986" t="str">
        <f>TEXT(marketing_data[[#This Row],[Start_date]],"ddd")</f>
        <v>Wed</v>
      </c>
      <c r="U986">
        <f>marketing_data[[#This Row],[Cleaned End_date]]-marketing_data[[#This Row],[Start_date]]</f>
        <v>23</v>
      </c>
    </row>
    <row r="987" spans="1:21" x14ac:dyDescent="0.2">
      <c r="A987" t="s">
        <v>2049</v>
      </c>
      <c r="B987" t="s">
        <v>2050</v>
      </c>
      <c r="C987" s="2">
        <v>45083</v>
      </c>
      <c r="D987" t="str">
        <f t="shared" si="93"/>
        <v>Jun</v>
      </c>
      <c r="E987" s="2">
        <v>45113</v>
      </c>
      <c r="F987" t="s">
        <v>14</v>
      </c>
      <c r="G987">
        <v>82264</v>
      </c>
      <c r="H987">
        <v>970</v>
      </c>
      <c r="I987">
        <v>94</v>
      </c>
      <c r="J987" t="b">
        <v>1</v>
      </c>
      <c r="K987" s="10">
        <v>1922.18</v>
      </c>
      <c r="L987" s="6">
        <f t="shared" si="94"/>
        <v>1.179130603909365E-2</v>
      </c>
      <c r="M987">
        <f t="shared" si="95"/>
        <v>1.9816288659793815</v>
      </c>
      <c r="N987">
        <f t="shared" si="96"/>
        <v>20.448723404255318</v>
      </c>
      <c r="O987">
        <f t="shared" si="97"/>
        <v>2777.8199999999997</v>
      </c>
      <c r="P987">
        <f t="shared" si="98"/>
        <v>9.6907216494845363E-2</v>
      </c>
      <c r="Q987" t="s">
        <v>4139</v>
      </c>
      <c r="R987" t="s">
        <v>4142</v>
      </c>
      <c r="S987">
        <f>YEAR(marketing_data[[#This Row],[Start_date]])</f>
        <v>2023</v>
      </c>
      <c r="T987" t="str">
        <f>TEXT(marketing_data[[#This Row],[Start_date]],"ddd")</f>
        <v>Tue</v>
      </c>
      <c r="U987">
        <f>marketing_data[[#This Row],[Cleaned End_date]]-marketing_data[[#This Row],[Start_date]]</f>
        <v>30</v>
      </c>
    </row>
    <row r="988" spans="1:21" x14ac:dyDescent="0.2">
      <c r="A988" t="s">
        <v>2051</v>
      </c>
      <c r="B988" t="s">
        <v>2052</v>
      </c>
      <c r="C988" s="2">
        <v>45146</v>
      </c>
      <c r="D988" t="str">
        <f t="shared" si="93"/>
        <v>Aug</v>
      </c>
      <c r="E988" s="2">
        <v>45175</v>
      </c>
      <c r="F988" t="s">
        <v>19</v>
      </c>
      <c r="G988">
        <v>24275</v>
      </c>
      <c r="H988">
        <v>680</v>
      </c>
      <c r="I988">
        <v>68</v>
      </c>
      <c r="J988" t="b">
        <v>1</v>
      </c>
      <c r="K988" s="10">
        <v>672.2</v>
      </c>
      <c r="L988" s="6">
        <f t="shared" si="94"/>
        <v>2.8012358393408855E-2</v>
      </c>
      <c r="M988">
        <f t="shared" si="95"/>
        <v>0.98852941176470599</v>
      </c>
      <c r="N988">
        <f t="shared" si="96"/>
        <v>9.8852941176470601</v>
      </c>
      <c r="O988">
        <f t="shared" si="97"/>
        <v>2727.8</v>
      </c>
      <c r="P988">
        <f t="shared" si="98"/>
        <v>0.1</v>
      </c>
      <c r="Q988" t="s">
        <v>4139</v>
      </c>
      <c r="R988" t="s">
        <v>4139</v>
      </c>
      <c r="S988">
        <f>YEAR(marketing_data[[#This Row],[Start_date]])</f>
        <v>2023</v>
      </c>
      <c r="T988" t="str">
        <f>TEXT(marketing_data[[#This Row],[Start_date]],"ddd")</f>
        <v>Tue</v>
      </c>
      <c r="U988">
        <f>marketing_data[[#This Row],[Cleaned End_date]]-marketing_data[[#This Row],[Start_date]]</f>
        <v>29</v>
      </c>
    </row>
    <row r="989" spans="1:21" x14ac:dyDescent="0.2">
      <c r="A989" t="s">
        <v>2053</v>
      </c>
      <c r="B989" t="s">
        <v>2054</v>
      </c>
      <c r="C989" s="2">
        <v>44927</v>
      </c>
      <c r="D989" t="str">
        <f t="shared" si="93"/>
        <v>Jan</v>
      </c>
      <c r="E989" s="2">
        <v>44950</v>
      </c>
      <c r="F989" t="s">
        <v>33</v>
      </c>
      <c r="G989">
        <v>73274</v>
      </c>
      <c r="H989">
        <v>3456</v>
      </c>
      <c r="I989">
        <v>273</v>
      </c>
      <c r="J989" t="b">
        <v>0</v>
      </c>
      <c r="K989" s="10">
        <v>3631.7599999999998</v>
      </c>
      <c r="L989" s="6">
        <f t="shared" si="94"/>
        <v>4.7165433851024917E-2</v>
      </c>
      <c r="M989">
        <f t="shared" si="95"/>
        <v>1.0508564814814814</v>
      </c>
      <c r="N989">
        <f t="shared" si="96"/>
        <v>13.303150183150182</v>
      </c>
      <c r="O989">
        <f t="shared" si="97"/>
        <v>10018.24</v>
      </c>
      <c r="P989">
        <f t="shared" si="98"/>
        <v>7.8993055555555552E-2</v>
      </c>
      <c r="Q989" t="s">
        <v>4138</v>
      </c>
      <c r="R989" t="s">
        <v>4142</v>
      </c>
      <c r="S989">
        <f>YEAR(marketing_data[[#This Row],[Start_date]])</f>
        <v>2023</v>
      </c>
      <c r="T989" t="str">
        <f>TEXT(marketing_data[[#This Row],[Start_date]],"ddd")</f>
        <v>Sun</v>
      </c>
      <c r="U989">
        <f>marketing_data[[#This Row],[Cleaned End_date]]-marketing_data[[#This Row],[Start_date]]</f>
        <v>23</v>
      </c>
    </row>
    <row r="990" spans="1:21" x14ac:dyDescent="0.2">
      <c r="A990" t="s">
        <v>2055</v>
      </c>
      <c r="B990" t="s">
        <v>2056</v>
      </c>
      <c r="C990" s="2">
        <v>45230</v>
      </c>
      <c r="D990" t="str">
        <f t="shared" si="93"/>
        <v>Oct</v>
      </c>
      <c r="E990" s="2">
        <v>45242</v>
      </c>
      <c r="F990" t="s">
        <v>14</v>
      </c>
      <c r="G990">
        <v>82449</v>
      </c>
      <c r="H990">
        <v>1369</v>
      </c>
      <c r="I990">
        <v>183</v>
      </c>
      <c r="J990" t="b">
        <v>1</v>
      </c>
      <c r="K990" s="10">
        <v>1923.45</v>
      </c>
      <c r="L990" s="6">
        <f t="shared" si="94"/>
        <v>1.6604203810840643E-2</v>
      </c>
      <c r="M990">
        <f t="shared" si="95"/>
        <v>1.4050036523009497</v>
      </c>
      <c r="N990">
        <f t="shared" si="96"/>
        <v>10.510655737704917</v>
      </c>
      <c r="O990">
        <f t="shared" si="97"/>
        <v>7226.55</v>
      </c>
      <c r="P990">
        <f t="shared" si="98"/>
        <v>0.13367421475529584</v>
      </c>
      <c r="Q990" t="s">
        <v>4136</v>
      </c>
      <c r="R990" t="s">
        <v>4142</v>
      </c>
      <c r="S990">
        <f>YEAR(marketing_data[[#This Row],[Start_date]])</f>
        <v>2023</v>
      </c>
      <c r="T990" t="str">
        <f>TEXT(marketing_data[[#This Row],[Start_date]],"ddd")</f>
        <v>Tue</v>
      </c>
      <c r="U990">
        <f>marketing_data[[#This Row],[Cleaned End_date]]-marketing_data[[#This Row],[Start_date]]</f>
        <v>12</v>
      </c>
    </row>
    <row r="991" spans="1:21" x14ac:dyDescent="0.2">
      <c r="A991" t="s">
        <v>2057</v>
      </c>
      <c r="B991" t="s">
        <v>2058</v>
      </c>
      <c r="C991" s="2">
        <v>45047</v>
      </c>
      <c r="D991" t="str">
        <f t="shared" si="93"/>
        <v>May</v>
      </c>
      <c r="E991" s="2">
        <v>45077</v>
      </c>
      <c r="F991" t="s">
        <v>23</v>
      </c>
      <c r="G991">
        <v>61004</v>
      </c>
      <c r="H991">
        <v>1561</v>
      </c>
      <c r="I991">
        <v>151</v>
      </c>
      <c r="J991" t="b">
        <v>0</v>
      </c>
      <c r="K991" s="10">
        <v>2657.64</v>
      </c>
      <c r="L991" s="6">
        <f t="shared" si="94"/>
        <v>2.5588486000917971E-2</v>
      </c>
      <c r="M991">
        <f t="shared" si="95"/>
        <v>1.7025240230621397</v>
      </c>
      <c r="N991">
        <f t="shared" si="96"/>
        <v>17.60026490066225</v>
      </c>
      <c r="O991">
        <f t="shared" si="97"/>
        <v>4892.3600000000006</v>
      </c>
      <c r="P991">
        <f t="shared" si="98"/>
        <v>9.673286354900705E-2</v>
      </c>
      <c r="Q991" t="s">
        <v>4137</v>
      </c>
      <c r="R991" t="s">
        <v>4139</v>
      </c>
      <c r="S991">
        <f>YEAR(marketing_data[[#This Row],[Start_date]])</f>
        <v>2023</v>
      </c>
      <c r="T991" t="str">
        <f>TEXT(marketing_data[[#This Row],[Start_date]],"ddd")</f>
        <v>Mon</v>
      </c>
      <c r="U991">
        <f>marketing_data[[#This Row],[Cleaned End_date]]-marketing_data[[#This Row],[Start_date]]</f>
        <v>30</v>
      </c>
    </row>
    <row r="992" spans="1:21" x14ac:dyDescent="0.2">
      <c r="A992" t="s">
        <v>2059</v>
      </c>
      <c r="B992" t="s">
        <v>2060</v>
      </c>
      <c r="C992" s="2">
        <v>45102</v>
      </c>
      <c r="D992" t="str">
        <f t="shared" si="93"/>
        <v>Jun</v>
      </c>
      <c r="E992" s="2">
        <v>45120</v>
      </c>
      <c r="F992" t="s">
        <v>23</v>
      </c>
      <c r="G992">
        <v>63981</v>
      </c>
      <c r="H992">
        <v>2507</v>
      </c>
      <c r="I992">
        <v>157</v>
      </c>
      <c r="J992" t="b">
        <v>1</v>
      </c>
      <c r="K992" s="10">
        <v>3019.12</v>
      </c>
      <c r="L992" s="6">
        <f t="shared" si="94"/>
        <v>3.9183507603819882E-2</v>
      </c>
      <c r="M992">
        <f t="shared" si="95"/>
        <v>1.2042760271240527</v>
      </c>
      <c r="N992">
        <f t="shared" si="96"/>
        <v>19.230063694267514</v>
      </c>
      <c r="O992">
        <f t="shared" si="97"/>
        <v>4830.88</v>
      </c>
      <c r="P992">
        <f t="shared" si="98"/>
        <v>6.2624650977263663E-2</v>
      </c>
      <c r="Q992" t="s">
        <v>4139</v>
      </c>
      <c r="R992" t="s">
        <v>4139</v>
      </c>
      <c r="S992">
        <f>YEAR(marketing_data[[#This Row],[Start_date]])</f>
        <v>2023</v>
      </c>
      <c r="T992" t="str">
        <f>TEXT(marketing_data[[#This Row],[Start_date]],"ddd")</f>
        <v>Sun</v>
      </c>
      <c r="U992">
        <f>marketing_data[[#This Row],[Cleaned End_date]]-marketing_data[[#This Row],[Start_date]]</f>
        <v>18</v>
      </c>
    </row>
    <row r="993" spans="1:21" x14ac:dyDescent="0.2">
      <c r="A993" t="s">
        <v>2061</v>
      </c>
      <c r="B993" t="s">
        <v>2062</v>
      </c>
      <c r="C993" s="2">
        <v>45143</v>
      </c>
      <c r="D993" t="str">
        <f t="shared" si="93"/>
        <v>Aug</v>
      </c>
      <c r="E993" s="2">
        <v>45147</v>
      </c>
      <c r="F993" t="s">
        <v>14</v>
      </c>
      <c r="G993">
        <v>85659</v>
      </c>
      <c r="H993">
        <v>3879</v>
      </c>
      <c r="I993">
        <v>592</v>
      </c>
      <c r="J993" t="b">
        <v>1</v>
      </c>
      <c r="K993" s="10">
        <v>3631.7599999999998</v>
      </c>
      <c r="L993" s="6">
        <f t="shared" si="94"/>
        <v>4.5284208314362764E-2</v>
      </c>
      <c r="M993">
        <f t="shared" si="95"/>
        <v>0.93626192317607626</v>
      </c>
      <c r="N993">
        <f t="shared" si="96"/>
        <v>6.1347297297297292</v>
      </c>
      <c r="O993">
        <f t="shared" si="97"/>
        <v>25968.240000000002</v>
      </c>
      <c r="P993">
        <f t="shared" si="98"/>
        <v>0.15261665377674657</v>
      </c>
      <c r="Q993" t="s">
        <v>4139</v>
      </c>
      <c r="R993" t="s">
        <v>4141</v>
      </c>
      <c r="S993">
        <f>YEAR(marketing_data[[#This Row],[Start_date]])</f>
        <v>2023</v>
      </c>
      <c r="T993" t="str">
        <f>TEXT(marketing_data[[#This Row],[Start_date]],"ddd")</f>
        <v>Sat</v>
      </c>
      <c r="U993">
        <f>marketing_data[[#This Row],[Cleaned End_date]]-marketing_data[[#This Row],[Start_date]]</f>
        <v>4</v>
      </c>
    </row>
    <row r="994" spans="1:21" x14ac:dyDescent="0.2">
      <c r="A994" t="s">
        <v>2063</v>
      </c>
      <c r="B994" t="s">
        <v>2064</v>
      </c>
      <c r="C994" s="2">
        <v>45044</v>
      </c>
      <c r="D994" t="str">
        <f t="shared" si="93"/>
        <v>Apr</v>
      </c>
      <c r="E994" s="2">
        <v>45058</v>
      </c>
      <c r="F994" t="s">
        <v>23</v>
      </c>
      <c r="G994">
        <v>55553</v>
      </c>
      <c r="H994">
        <v>2046</v>
      </c>
      <c r="I994">
        <v>319</v>
      </c>
      <c r="J994" t="b">
        <v>0</v>
      </c>
      <c r="K994" s="10">
        <v>3631.7599999999998</v>
      </c>
      <c r="L994" s="6">
        <f t="shared" si="94"/>
        <v>3.6829694165931633E-2</v>
      </c>
      <c r="M994">
        <f t="shared" si="95"/>
        <v>1.7750537634408601</v>
      </c>
      <c r="N994">
        <f t="shared" si="96"/>
        <v>11.384827586206896</v>
      </c>
      <c r="O994">
        <f t="shared" si="97"/>
        <v>12318.24</v>
      </c>
      <c r="P994">
        <f t="shared" si="98"/>
        <v>0.15591397849462366</v>
      </c>
      <c r="Q994" t="s">
        <v>4137</v>
      </c>
      <c r="R994" t="s">
        <v>4139</v>
      </c>
      <c r="S994">
        <f>YEAR(marketing_data[[#This Row],[Start_date]])</f>
        <v>2023</v>
      </c>
      <c r="T994" t="str">
        <f>TEXT(marketing_data[[#This Row],[Start_date]],"ddd")</f>
        <v>Fri</v>
      </c>
      <c r="U994">
        <f>marketing_data[[#This Row],[Cleaned End_date]]-marketing_data[[#This Row],[Start_date]]</f>
        <v>14</v>
      </c>
    </row>
    <row r="995" spans="1:21" x14ac:dyDescent="0.2">
      <c r="A995" t="s">
        <v>2065</v>
      </c>
      <c r="B995" t="s">
        <v>2066</v>
      </c>
      <c r="C995" s="2">
        <v>44979</v>
      </c>
      <c r="D995" t="str">
        <f t="shared" si="93"/>
        <v>Feb</v>
      </c>
      <c r="E995" s="2">
        <v>44995</v>
      </c>
      <c r="F995" t="s">
        <v>14</v>
      </c>
      <c r="G995">
        <v>49447</v>
      </c>
      <c r="H995">
        <v>1005</v>
      </c>
      <c r="I995">
        <v>104</v>
      </c>
      <c r="J995" t="b">
        <v>1</v>
      </c>
      <c r="K995" s="10">
        <v>518.32000000000005</v>
      </c>
      <c r="L995" s="6">
        <f t="shared" si="94"/>
        <v>2.032479220175137E-2</v>
      </c>
      <c r="M995">
        <f t="shared" si="95"/>
        <v>0.51574129353233833</v>
      </c>
      <c r="N995">
        <f t="shared" si="96"/>
        <v>4.9838461538461543</v>
      </c>
      <c r="O995">
        <f t="shared" si="97"/>
        <v>4681.68</v>
      </c>
      <c r="P995">
        <f t="shared" si="98"/>
        <v>0.10348258706467661</v>
      </c>
      <c r="Q995" t="s">
        <v>4138</v>
      </c>
      <c r="R995" t="s">
        <v>4142</v>
      </c>
      <c r="S995">
        <f>YEAR(marketing_data[[#This Row],[Start_date]])</f>
        <v>2023</v>
      </c>
      <c r="T995" t="str">
        <f>TEXT(marketing_data[[#This Row],[Start_date]],"ddd")</f>
        <v>Wed</v>
      </c>
      <c r="U995">
        <f>marketing_data[[#This Row],[Cleaned End_date]]-marketing_data[[#This Row],[Start_date]]</f>
        <v>16</v>
      </c>
    </row>
    <row r="996" spans="1:21" x14ac:dyDescent="0.2">
      <c r="A996" t="s">
        <v>2067</v>
      </c>
      <c r="B996" t="s">
        <v>2068</v>
      </c>
      <c r="C996" s="2">
        <v>45080</v>
      </c>
      <c r="D996" t="str">
        <f t="shared" si="93"/>
        <v>Jun</v>
      </c>
      <c r="E996" s="2">
        <v>45082</v>
      </c>
      <c r="F996" t="s">
        <v>14</v>
      </c>
      <c r="G996">
        <v>35529</v>
      </c>
      <c r="H996">
        <v>1314</v>
      </c>
      <c r="I996">
        <v>80</v>
      </c>
      <c r="J996" t="b">
        <v>1</v>
      </c>
      <c r="K996" s="10">
        <v>2421.17</v>
      </c>
      <c r="L996" s="6">
        <f t="shared" si="94"/>
        <v>3.6983872329646207E-2</v>
      </c>
      <c r="M996">
        <f t="shared" si="95"/>
        <v>1.8425951293759513</v>
      </c>
      <c r="N996">
        <f t="shared" si="96"/>
        <v>30.264625000000002</v>
      </c>
      <c r="O996">
        <f t="shared" si="97"/>
        <v>1578.83</v>
      </c>
      <c r="P996">
        <f t="shared" si="98"/>
        <v>6.0882800608828003E-2</v>
      </c>
      <c r="Q996" t="s">
        <v>4139</v>
      </c>
      <c r="R996" t="s">
        <v>4139</v>
      </c>
      <c r="S996">
        <f>YEAR(marketing_data[[#This Row],[Start_date]])</f>
        <v>2023</v>
      </c>
      <c r="T996" t="str">
        <f>TEXT(marketing_data[[#This Row],[Start_date]],"ddd")</f>
        <v>Sat</v>
      </c>
      <c r="U996">
        <f>marketing_data[[#This Row],[Cleaned End_date]]-marketing_data[[#This Row],[Start_date]]</f>
        <v>2</v>
      </c>
    </row>
    <row r="997" spans="1:21" x14ac:dyDescent="0.2">
      <c r="A997" t="s">
        <v>2069</v>
      </c>
      <c r="B997" t="s">
        <v>2070</v>
      </c>
      <c r="C997" s="2">
        <v>44995</v>
      </c>
      <c r="D997" t="str">
        <f t="shared" si="93"/>
        <v>Mar</v>
      </c>
      <c r="E997" s="2">
        <v>45004</v>
      </c>
      <c r="F997" t="s">
        <v>14</v>
      </c>
      <c r="G997">
        <v>76703</v>
      </c>
      <c r="H997">
        <v>1677</v>
      </c>
      <c r="I997">
        <v>191</v>
      </c>
      <c r="J997" t="b">
        <v>1</v>
      </c>
      <c r="K997" s="10">
        <v>1213.6600000000001</v>
      </c>
      <c r="L997" s="6">
        <f t="shared" si="94"/>
        <v>2.1863551621188221E-2</v>
      </c>
      <c r="M997">
        <f t="shared" si="95"/>
        <v>0.72370900417412054</v>
      </c>
      <c r="N997">
        <f t="shared" si="96"/>
        <v>6.3542408376963353</v>
      </c>
      <c r="O997">
        <f t="shared" si="97"/>
        <v>8336.34</v>
      </c>
      <c r="P997">
        <f t="shared" si="98"/>
        <v>0.1138938580799046</v>
      </c>
      <c r="Q997" t="s">
        <v>4137</v>
      </c>
      <c r="R997" t="s">
        <v>4141</v>
      </c>
      <c r="S997">
        <f>YEAR(marketing_data[[#This Row],[Start_date]])</f>
        <v>2023</v>
      </c>
      <c r="T997" t="str">
        <f>TEXT(marketing_data[[#This Row],[Start_date]],"ddd")</f>
        <v>Fri</v>
      </c>
      <c r="U997">
        <f>marketing_data[[#This Row],[Cleaned End_date]]-marketing_data[[#This Row],[Start_date]]</f>
        <v>9</v>
      </c>
    </row>
    <row r="998" spans="1:21" x14ac:dyDescent="0.2">
      <c r="A998" t="s">
        <v>2071</v>
      </c>
      <c r="B998" t="s">
        <v>2072</v>
      </c>
      <c r="C998" s="2">
        <v>44962</v>
      </c>
      <c r="D998" t="str">
        <f t="shared" si="93"/>
        <v>Feb</v>
      </c>
      <c r="E998" s="2">
        <v>45062</v>
      </c>
      <c r="F998" t="s">
        <v>33</v>
      </c>
      <c r="G998">
        <v>77090</v>
      </c>
      <c r="H998">
        <v>2986</v>
      </c>
      <c r="I998">
        <v>347</v>
      </c>
      <c r="J998" t="b">
        <v>0</v>
      </c>
      <c r="K998" s="10">
        <v>3631.7599999999998</v>
      </c>
      <c r="L998" s="6">
        <f t="shared" si="94"/>
        <v>3.8733947334284605E-2</v>
      </c>
      <c r="M998">
        <f t="shared" si="95"/>
        <v>1.2162625586068319</v>
      </c>
      <c r="N998">
        <f t="shared" si="96"/>
        <v>10.466167146974064</v>
      </c>
      <c r="O998">
        <f t="shared" si="97"/>
        <v>13718.24</v>
      </c>
      <c r="P998">
        <f t="shared" si="98"/>
        <v>0.11620897521768252</v>
      </c>
      <c r="Q998" t="s">
        <v>4138</v>
      </c>
      <c r="R998" t="s">
        <v>4138</v>
      </c>
      <c r="S998">
        <f>YEAR(marketing_data[[#This Row],[Start_date]])</f>
        <v>2023</v>
      </c>
      <c r="T998" t="str">
        <f>TEXT(marketing_data[[#This Row],[Start_date]],"ddd")</f>
        <v>Sun</v>
      </c>
      <c r="U998">
        <f>marketing_data[[#This Row],[Cleaned End_date]]-marketing_data[[#This Row],[Start_date]]</f>
        <v>100</v>
      </c>
    </row>
    <row r="999" spans="1:21" x14ac:dyDescent="0.2">
      <c r="A999" t="s">
        <v>2073</v>
      </c>
      <c r="B999" t="s">
        <v>2074</v>
      </c>
      <c r="C999" s="2">
        <v>45259</v>
      </c>
      <c r="D999" t="str">
        <f t="shared" si="93"/>
        <v>Nov</v>
      </c>
      <c r="E999" s="2">
        <v>45277</v>
      </c>
      <c r="F999" t="s">
        <v>14</v>
      </c>
      <c r="G999">
        <v>18260</v>
      </c>
      <c r="H999">
        <v>879</v>
      </c>
      <c r="I999">
        <v>132</v>
      </c>
      <c r="J999" t="b">
        <v>1</v>
      </c>
      <c r="K999" s="10">
        <v>1254.24</v>
      </c>
      <c r="L999" s="6">
        <f t="shared" si="94"/>
        <v>4.8138006571741512E-2</v>
      </c>
      <c r="M999">
        <f t="shared" si="95"/>
        <v>1.4268941979522185</v>
      </c>
      <c r="N999">
        <f t="shared" si="96"/>
        <v>9.5018181818181819</v>
      </c>
      <c r="O999">
        <f t="shared" si="97"/>
        <v>5345.76</v>
      </c>
      <c r="P999">
        <f t="shared" si="98"/>
        <v>0.15017064846416384</v>
      </c>
      <c r="Q999" t="s">
        <v>4136</v>
      </c>
      <c r="R999" t="s">
        <v>4139</v>
      </c>
      <c r="S999">
        <f>YEAR(marketing_data[[#This Row],[Start_date]])</f>
        <v>2023</v>
      </c>
      <c r="T999" t="str">
        <f>TEXT(marketing_data[[#This Row],[Start_date]],"ddd")</f>
        <v>Wed</v>
      </c>
      <c r="U999">
        <f>marketing_data[[#This Row],[Cleaned End_date]]-marketing_data[[#This Row],[Start_date]]</f>
        <v>18</v>
      </c>
    </row>
    <row r="1000" spans="1:21" x14ac:dyDescent="0.2">
      <c r="A1000" t="s">
        <v>2075</v>
      </c>
      <c r="B1000" t="s">
        <v>2076</v>
      </c>
      <c r="C1000" s="2">
        <v>45036</v>
      </c>
      <c r="D1000" t="str">
        <f t="shared" si="93"/>
        <v>Apr</v>
      </c>
      <c r="E1000" s="2">
        <v>45059</v>
      </c>
      <c r="F1000" t="s">
        <v>33</v>
      </c>
      <c r="G1000">
        <v>4812</v>
      </c>
      <c r="H1000">
        <v>186</v>
      </c>
      <c r="I1000">
        <v>18</v>
      </c>
      <c r="J1000" t="b">
        <v>1</v>
      </c>
      <c r="K1000" s="10">
        <v>329.13249999999999</v>
      </c>
      <c r="L1000" s="6">
        <f t="shared" si="94"/>
        <v>3.8653366583541147E-2</v>
      </c>
      <c r="M1000">
        <f t="shared" si="95"/>
        <v>1.7695295698924731</v>
      </c>
      <c r="N1000">
        <f t="shared" si="96"/>
        <v>18.285138888888888</v>
      </c>
      <c r="O1000">
        <f t="shared" si="97"/>
        <v>570.86750000000006</v>
      </c>
      <c r="P1000">
        <f t="shared" si="98"/>
        <v>9.6774193548387094E-2</v>
      </c>
      <c r="Q1000" t="s">
        <v>4137</v>
      </c>
      <c r="R1000" t="s">
        <v>4142</v>
      </c>
      <c r="S1000">
        <f>YEAR(marketing_data[[#This Row],[Start_date]])</f>
        <v>2023</v>
      </c>
      <c r="T1000" t="str">
        <f>TEXT(marketing_data[[#This Row],[Start_date]],"ddd")</f>
        <v>Thu</v>
      </c>
      <c r="U1000">
        <f>marketing_data[[#This Row],[Cleaned End_date]]-marketing_data[[#This Row],[Start_date]]</f>
        <v>23</v>
      </c>
    </row>
    <row r="1001" spans="1:21" x14ac:dyDescent="0.2">
      <c r="A1001" t="s">
        <v>2077</v>
      </c>
      <c r="B1001" t="s">
        <v>2078</v>
      </c>
      <c r="C1001" s="2">
        <v>45137</v>
      </c>
      <c r="D1001" t="str">
        <f t="shared" si="93"/>
        <v>Jul</v>
      </c>
      <c r="E1001" s="2">
        <v>45151</v>
      </c>
      <c r="F1001" t="s">
        <v>23</v>
      </c>
      <c r="G1001">
        <v>29024</v>
      </c>
      <c r="H1001">
        <v>1292</v>
      </c>
      <c r="I1001">
        <v>196</v>
      </c>
      <c r="J1001" t="b">
        <v>1</v>
      </c>
      <c r="K1001" s="10">
        <v>2339.5700000000002</v>
      </c>
      <c r="L1001" s="6">
        <f t="shared" si="94"/>
        <v>4.4514884233737596E-2</v>
      </c>
      <c r="M1001">
        <f t="shared" si="95"/>
        <v>1.8108126934984521</v>
      </c>
      <c r="N1001">
        <f t="shared" si="96"/>
        <v>11.936581632653063</v>
      </c>
      <c r="O1001">
        <f t="shared" si="97"/>
        <v>7460.43</v>
      </c>
      <c r="P1001">
        <f t="shared" si="98"/>
        <v>0.15170278637770898</v>
      </c>
      <c r="Q1001" t="s">
        <v>4139</v>
      </c>
      <c r="R1001" t="s">
        <v>4138</v>
      </c>
      <c r="S1001">
        <f>YEAR(marketing_data[[#This Row],[Start_date]])</f>
        <v>2023</v>
      </c>
      <c r="T1001" t="str">
        <f>TEXT(marketing_data[[#This Row],[Start_date]],"ddd")</f>
        <v>Sun</v>
      </c>
      <c r="U1001">
        <f>marketing_data[[#This Row],[Cleaned End_date]]-marketing_data[[#This Row],[Start_date]]</f>
        <v>14</v>
      </c>
    </row>
    <row r="1002" spans="1:21" x14ac:dyDescent="0.2">
      <c r="A1002" t="s">
        <v>2079</v>
      </c>
      <c r="B1002" t="s">
        <v>2080</v>
      </c>
      <c r="C1002" s="2">
        <v>45038</v>
      </c>
      <c r="D1002" t="str">
        <f t="shared" si="93"/>
        <v>Apr</v>
      </c>
      <c r="E1002" s="2">
        <v>45041</v>
      </c>
      <c r="F1002" t="s">
        <v>19</v>
      </c>
      <c r="G1002">
        <v>59656</v>
      </c>
      <c r="H1002">
        <v>601</v>
      </c>
      <c r="I1002">
        <v>108</v>
      </c>
      <c r="J1002" t="b">
        <v>0</v>
      </c>
      <c r="K1002" s="10">
        <v>329.13249999999999</v>
      </c>
      <c r="L1002" s="6">
        <f t="shared" si="94"/>
        <v>1.0074426713155425E-2</v>
      </c>
      <c r="M1002">
        <f t="shared" si="95"/>
        <v>0.54764143094841933</v>
      </c>
      <c r="N1002">
        <f t="shared" si="96"/>
        <v>3.047523148148148</v>
      </c>
      <c r="O1002">
        <f t="shared" si="97"/>
        <v>5070.8675000000003</v>
      </c>
      <c r="P1002">
        <f t="shared" si="98"/>
        <v>0.17970049916805325</v>
      </c>
      <c r="Q1002" t="s">
        <v>4137</v>
      </c>
      <c r="R1002" t="s">
        <v>4138</v>
      </c>
      <c r="S1002">
        <f>YEAR(marketing_data[[#This Row],[Start_date]])</f>
        <v>2023</v>
      </c>
      <c r="T1002" t="str">
        <f>TEXT(marketing_data[[#This Row],[Start_date]],"ddd")</f>
        <v>Sat</v>
      </c>
      <c r="U1002">
        <f>marketing_data[[#This Row],[Cleaned End_date]]-marketing_data[[#This Row],[Start_date]]</f>
        <v>3</v>
      </c>
    </row>
    <row r="1003" spans="1:21" x14ac:dyDescent="0.2">
      <c r="A1003" t="s">
        <v>2082</v>
      </c>
      <c r="B1003" t="s">
        <v>2083</v>
      </c>
      <c r="C1003" s="2">
        <v>44978</v>
      </c>
      <c r="D1003" t="str">
        <f t="shared" si="93"/>
        <v>Feb</v>
      </c>
      <c r="E1003" s="2">
        <v>44981</v>
      </c>
      <c r="F1003" t="s">
        <v>14</v>
      </c>
      <c r="G1003">
        <v>28285</v>
      </c>
      <c r="H1003">
        <v>1094</v>
      </c>
      <c r="I1003">
        <v>93</v>
      </c>
      <c r="J1003" t="b">
        <v>0</v>
      </c>
      <c r="K1003" s="10">
        <v>919</v>
      </c>
      <c r="L1003" s="6">
        <f t="shared" si="94"/>
        <v>3.8677744387484531E-2</v>
      </c>
      <c r="M1003">
        <f t="shared" si="95"/>
        <v>0.84003656307129804</v>
      </c>
      <c r="N1003">
        <f t="shared" si="96"/>
        <v>9.8817204301075261</v>
      </c>
      <c r="O1003">
        <f t="shared" si="97"/>
        <v>3731</v>
      </c>
      <c r="P1003">
        <f t="shared" si="98"/>
        <v>8.5009140767824495E-2</v>
      </c>
      <c r="Q1003" t="s">
        <v>4138</v>
      </c>
      <c r="R1003" t="s">
        <v>4141</v>
      </c>
      <c r="S1003">
        <f>YEAR(marketing_data[[#This Row],[Start_date]])</f>
        <v>2023</v>
      </c>
      <c r="T1003" t="str">
        <f>TEXT(marketing_data[[#This Row],[Start_date]],"ddd")</f>
        <v>Tue</v>
      </c>
      <c r="U1003">
        <f>marketing_data[[#This Row],[Cleaned End_date]]-marketing_data[[#This Row],[Start_date]]</f>
        <v>3</v>
      </c>
    </row>
    <row r="1004" spans="1:21" x14ac:dyDescent="0.2">
      <c r="A1004" t="s">
        <v>2084</v>
      </c>
      <c r="B1004" t="s">
        <v>2085</v>
      </c>
      <c r="C1004" s="2">
        <v>45123</v>
      </c>
      <c r="D1004" t="str">
        <f t="shared" si="93"/>
        <v>Jul</v>
      </c>
      <c r="E1004" s="2">
        <v>45126</v>
      </c>
      <c r="F1004" t="s">
        <v>33</v>
      </c>
      <c r="G1004">
        <v>93436</v>
      </c>
      <c r="H1004">
        <v>4034</v>
      </c>
      <c r="I1004">
        <v>794</v>
      </c>
      <c r="J1004" t="b">
        <v>1</v>
      </c>
      <c r="K1004" s="10">
        <v>3631.7599999999998</v>
      </c>
      <c r="L1004" s="6">
        <f t="shared" si="94"/>
        <v>4.3173937240464061E-2</v>
      </c>
      <c r="M1004">
        <f t="shared" si="95"/>
        <v>0.9002875557759048</v>
      </c>
      <c r="N1004">
        <f t="shared" si="96"/>
        <v>4.5740050377833752</v>
      </c>
      <c r="O1004">
        <f t="shared" si="97"/>
        <v>36068.239999999998</v>
      </c>
      <c r="P1004">
        <f t="shared" si="98"/>
        <v>0.19682697074863659</v>
      </c>
      <c r="Q1004" t="s">
        <v>4139</v>
      </c>
      <c r="R1004" t="s">
        <v>4139</v>
      </c>
      <c r="S1004">
        <f>YEAR(marketing_data[[#This Row],[Start_date]])</f>
        <v>2023</v>
      </c>
      <c r="T1004" t="str">
        <f>TEXT(marketing_data[[#This Row],[Start_date]],"ddd")</f>
        <v>Sun</v>
      </c>
      <c r="U1004">
        <f>marketing_data[[#This Row],[Cleaned End_date]]-marketing_data[[#This Row],[Start_date]]</f>
        <v>3</v>
      </c>
    </row>
    <row r="1005" spans="1:21" x14ac:dyDescent="0.2">
      <c r="A1005" t="s">
        <v>2086</v>
      </c>
      <c r="B1005" t="s">
        <v>2087</v>
      </c>
      <c r="C1005" s="2">
        <v>44998</v>
      </c>
      <c r="D1005" t="str">
        <f t="shared" si="93"/>
        <v>Mar</v>
      </c>
      <c r="E1005" s="2">
        <v>45007</v>
      </c>
      <c r="F1005" t="s">
        <v>41</v>
      </c>
      <c r="G1005">
        <v>2605</v>
      </c>
      <c r="H1005">
        <v>30</v>
      </c>
      <c r="I1005">
        <v>3</v>
      </c>
      <c r="J1005" t="b">
        <v>0</v>
      </c>
      <c r="K1005" s="10">
        <v>329.13249999999999</v>
      </c>
      <c r="L1005" s="6">
        <f t="shared" si="94"/>
        <v>1.1516314779270634E-2</v>
      </c>
      <c r="M1005">
        <f t="shared" si="95"/>
        <v>10.971083333333333</v>
      </c>
      <c r="N1005">
        <f t="shared" si="96"/>
        <v>109.71083333333333</v>
      </c>
      <c r="O1005">
        <f t="shared" si="97"/>
        <v>-179.13249999999999</v>
      </c>
      <c r="P1005">
        <f t="shared" si="98"/>
        <v>0.1</v>
      </c>
      <c r="Q1005" t="s">
        <v>4137</v>
      </c>
      <c r="R1005" t="s">
        <v>4139</v>
      </c>
      <c r="S1005">
        <f>YEAR(marketing_data[[#This Row],[Start_date]])</f>
        <v>2023</v>
      </c>
      <c r="T1005" t="str">
        <f>TEXT(marketing_data[[#This Row],[Start_date]],"ddd")</f>
        <v>Mon</v>
      </c>
      <c r="U1005">
        <f>marketing_data[[#This Row],[Cleaned End_date]]-marketing_data[[#This Row],[Start_date]]</f>
        <v>9</v>
      </c>
    </row>
    <row r="1006" spans="1:21" x14ac:dyDescent="0.2">
      <c r="A1006" t="s">
        <v>2088</v>
      </c>
      <c r="B1006" t="s">
        <v>2089</v>
      </c>
      <c r="C1006" s="2">
        <v>45054</v>
      </c>
      <c r="D1006" t="str">
        <f t="shared" si="93"/>
        <v>May</v>
      </c>
      <c r="E1006" s="2">
        <v>45083</v>
      </c>
      <c r="F1006" t="s">
        <v>19</v>
      </c>
      <c r="G1006">
        <v>72158</v>
      </c>
      <c r="H1006">
        <v>3237</v>
      </c>
      <c r="I1006">
        <v>291</v>
      </c>
      <c r="J1006" t="b">
        <v>1</v>
      </c>
      <c r="K1006" s="10">
        <v>3631.7599999999998</v>
      </c>
      <c r="L1006" s="6">
        <f t="shared" si="94"/>
        <v>4.4859890795199427E-2</v>
      </c>
      <c r="M1006">
        <f t="shared" si="95"/>
        <v>1.1219524250849551</v>
      </c>
      <c r="N1006">
        <f t="shared" si="96"/>
        <v>12.480274914089346</v>
      </c>
      <c r="O1006">
        <f t="shared" si="97"/>
        <v>10918.24</v>
      </c>
      <c r="P1006">
        <f t="shared" si="98"/>
        <v>8.989805375347544E-2</v>
      </c>
      <c r="Q1006" t="s">
        <v>4137</v>
      </c>
      <c r="R1006" t="s">
        <v>4139</v>
      </c>
      <c r="S1006">
        <f>YEAR(marketing_data[[#This Row],[Start_date]])</f>
        <v>2023</v>
      </c>
      <c r="T1006" t="str">
        <f>TEXT(marketing_data[[#This Row],[Start_date]],"ddd")</f>
        <v>Mon</v>
      </c>
      <c r="U1006">
        <f>marketing_data[[#This Row],[Cleaned End_date]]-marketing_data[[#This Row],[Start_date]]</f>
        <v>29</v>
      </c>
    </row>
    <row r="1007" spans="1:21" x14ac:dyDescent="0.2">
      <c r="A1007" t="s">
        <v>2090</v>
      </c>
      <c r="B1007" t="s">
        <v>2091</v>
      </c>
      <c r="C1007" s="2">
        <v>45238</v>
      </c>
      <c r="D1007" t="str">
        <f t="shared" si="93"/>
        <v>Nov</v>
      </c>
      <c r="E1007" s="2">
        <v>45260</v>
      </c>
      <c r="F1007" t="s">
        <v>14</v>
      </c>
      <c r="G1007">
        <v>73303</v>
      </c>
      <c r="H1007">
        <v>1485</v>
      </c>
      <c r="I1007">
        <v>168</v>
      </c>
      <c r="J1007" t="b">
        <v>1</v>
      </c>
      <c r="K1007" s="10">
        <v>796.21</v>
      </c>
      <c r="L1007" s="6">
        <f t="shared" si="94"/>
        <v>2.025837960247193E-2</v>
      </c>
      <c r="M1007">
        <f t="shared" si="95"/>
        <v>0.53616835016835018</v>
      </c>
      <c r="N1007">
        <f t="shared" si="96"/>
        <v>4.7393452380952379</v>
      </c>
      <c r="O1007">
        <f t="shared" si="97"/>
        <v>7603.79</v>
      </c>
      <c r="P1007">
        <f t="shared" si="98"/>
        <v>0.11313131313131314</v>
      </c>
      <c r="Q1007" t="s">
        <v>4136</v>
      </c>
      <c r="R1007" t="s">
        <v>4138</v>
      </c>
      <c r="S1007">
        <f>YEAR(marketing_data[[#This Row],[Start_date]])</f>
        <v>2023</v>
      </c>
      <c r="T1007" t="str">
        <f>TEXT(marketing_data[[#This Row],[Start_date]],"ddd")</f>
        <v>Wed</v>
      </c>
      <c r="U1007">
        <f>marketing_data[[#This Row],[Cleaned End_date]]-marketing_data[[#This Row],[Start_date]]</f>
        <v>22</v>
      </c>
    </row>
    <row r="1008" spans="1:21" x14ac:dyDescent="0.2">
      <c r="A1008" t="s">
        <v>2092</v>
      </c>
      <c r="B1008" t="s">
        <v>2093</v>
      </c>
      <c r="C1008" s="2">
        <v>44940</v>
      </c>
      <c r="D1008" t="str">
        <f t="shared" si="93"/>
        <v>Jan</v>
      </c>
      <c r="E1008" s="2">
        <v>44952</v>
      </c>
      <c r="F1008" t="s">
        <v>41</v>
      </c>
      <c r="G1008">
        <v>28139</v>
      </c>
      <c r="H1008">
        <v>1030</v>
      </c>
      <c r="I1008">
        <v>66</v>
      </c>
      <c r="J1008" t="b">
        <v>1</v>
      </c>
      <c r="K1008" s="10">
        <v>694.93</v>
      </c>
      <c r="L1008" s="6">
        <f t="shared" si="94"/>
        <v>3.6604001563666083E-2</v>
      </c>
      <c r="M1008">
        <f t="shared" si="95"/>
        <v>0.6746893203883495</v>
      </c>
      <c r="N1008">
        <f t="shared" si="96"/>
        <v>10.529242424242424</v>
      </c>
      <c r="O1008">
        <f t="shared" si="97"/>
        <v>2605.0700000000002</v>
      </c>
      <c r="P1008">
        <f t="shared" si="98"/>
        <v>6.4077669902912623E-2</v>
      </c>
      <c r="Q1008" t="s">
        <v>4138</v>
      </c>
      <c r="R1008" t="s">
        <v>4142</v>
      </c>
      <c r="S1008">
        <f>YEAR(marketing_data[[#This Row],[Start_date]])</f>
        <v>2023</v>
      </c>
      <c r="T1008" t="str">
        <f>TEXT(marketing_data[[#This Row],[Start_date]],"ddd")</f>
        <v>Sat</v>
      </c>
      <c r="U1008">
        <f>marketing_data[[#This Row],[Cleaned End_date]]-marketing_data[[#This Row],[Start_date]]</f>
        <v>12</v>
      </c>
    </row>
    <row r="1009" spans="1:21" x14ac:dyDescent="0.2">
      <c r="A1009" t="s">
        <v>2094</v>
      </c>
      <c r="B1009" t="s">
        <v>2095</v>
      </c>
      <c r="C1009" s="2">
        <v>45081</v>
      </c>
      <c r="D1009" t="str">
        <f t="shared" si="93"/>
        <v>Jun</v>
      </c>
      <c r="E1009" s="2">
        <v>45097</v>
      </c>
      <c r="F1009" t="s">
        <v>19</v>
      </c>
      <c r="G1009">
        <v>78149</v>
      </c>
      <c r="H1009">
        <v>3283</v>
      </c>
      <c r="I1009">
        <v>226</v>
      </c>
      <c r="J1009" t="b">
        <v>1</v>
      </c>
      <c r="K1009" s="10">
        <v>2267.39</v>
      </c>
      <c r="L1009" s="6">
        <f t="shared" si="94"/>
        <v>4.2009494683233312E-2</v>
      </c>
      <c r="M1009">
        <f t="shared" si="95"/>
        <v>0.69064575083764845</v>
      </c>
      <c r="N1009">
        <f t="shared" si="96"/>
        <v>10.032699115044247</v>
      </c>
      <c r="O1009">
        <f t="shared" si="97"/>
        <v>9032.61</v>
      </c>
      <c r="P1009">
        <f t="shared" si="98"/>
        <v>6.8839476088943044E-2</v>
      </c>
      <c r="Q1009" t="s">
        <v>4139</v>
      </c>
      <c r="R1009" t="s">
        <v>4138</v>
      </c>
      <c r="S1009">
        <f>YEAR(marketing_data[[#This Row],[Start_date]])</f>
        <v>2023</v>
      </c>
      <c r="T1009" t="str">
        <f>TEXT(marketing_data[[#This Row],[Start_date]],"ddd")</f>
        <v>Sun</v>
      </c>
      <c r="U1009">
        <f>marketing_data[[#This Row],[Cleaned End_date]]-marketing_data[[#This Row],[Start_date]]</f>
        <v>16</v>
      </c>
    </row>
    <row r="1010" spans="1:21" x14ac:dyDescent="0.2">
      <c r="A1010" t="s">
        <v>2096</v>
      </c>
      <c r="B1010" t="s">
        <v>2097</v>
      </c>
      <c r="C1010" s="2">
        <v>45023</v>
      </c>
      <c r="D1010" t="str">
        <f t="shared" si="93"/>
        <v>Apr</v>
      </c>
      <c r="E1010" s="2">
        <v>45036</v>
      </c>
      <c r="F1010" t="s">
        <v>19</v>
      </c>
      <c r="G1010">
        <v>57138</v>
      </c>
      <c r="H1010">
        <v>2085</v>
      </c>
      <c r="J1010" t="b">
        <v>1</v>
      </c>
      <c r="K1010" s="10">
        <v>1634.48</v>
      </c>
      <c r="L1010" s="6">
        <f t="shared" si="94"/>
        <v>3.6490601701144598E-2</v>
      </c>
      <c r="M1010">
        <f t="shared" si="95"/>
        <v>0.7839232613908873</v>
      </c>
      <c r="N1010">
        <f t="shared" si="96"/>
        <v>0</v>
      </c>
      <c r="O1010">
        <f t="shared" si="97"/>
        <v>-1634.48</v>
      </c>
      <c r="P1010">
        <f t="shared" si="98"/>
        <v>0</v>
      </c>
      <c r="Q1010" t="s">
        <v>4137</v>
      </c>
      <c r="R1010" t="s">
        <v>4139</v>
      </c>
      <c r="S1010">
        <f>YEAR(marketing_data[[#This Row],[Start_date]])</f>
        <v>2023</v>
      </c>
      <c r="T1010" t="str">
        <f>TEXT(marketing_data[[#This Row],[Start_date]],"ddd")</f>
        <v>Fri</v>
      </c>
      <c r="U1010">
        <f>marketing_data[[#This Row],[Cleaned End_date]]-marketing_data[[#This Row],[Start_date]]</f>
        <v>13</v>
      </c>
    </row>
    <row r="1011" spans="1:21" x14ac:dyDescent="0.2">
      <c r="A1011" t="s">
        <v>2098</v>
      </c>
      <c r="B1011" t="s">
        <v>2099</v>
      </c>
      <c r="C1011" s="2">
        <v>44954</v>
      </c>
      <c r="D1011" t="str">
        <f t="shared" si="93"/>
        <v>Jan</v>
      </c>
      <c r="E1011" s="2">
        <v>44971</v>
      </c>
      <c r="F1011" t="s">
        <v>41</v>
      </c>
      <c r="G1011">
        <v>77125</v>
      </c>
      <c r="H1011">
        <v>1055</v>
      </c>
      <c r="I1011">
        <v>173</v>
      </c>
      <c r="J1011" t="b">
        <v>0</v>
      </c>
      <c r="K1011" s="10">
        <v>1254.3900000000001</v>
      </c>
      <c r="L1011" s="6">
        <f t="shared" si="94"/>
        <v>1.3679092382495948E-2</v>
      </c>
      <c r="M1011">
        <f t="shared" si="95"/>
        <v>1.1889952606635072</v>
      </c>
      <c r="N1011">
        <f t="shared" si="96"/>
        <v>7.2508092485549138</v>
      </c>
      <c r="O1011">
        <f t="shared" si="97"/>
        <v>7395.61</v>
      </c>
      <c r="P1011">
        <f t="shared" si="98"/>
        <v>0.16398104265402844</v>
      </c>
      <c r="Q1011" t="s">
        <v>4138</v>
      </c>
      <c r="R1011" t="s">
        <v>4141</v>
      </c>
      <c r="S1011">
        <f>YEAR(marketing_data[[#This Row],[Start_date]])</f>
        <v>2023</v>
      </c>
      <c r="T1011" t="str">
        <f>TEXT(marketing_data[[#This Row],[Start_date]],"ddd")</f>
        <v>Sat</v>
      </c>
      <c r="U1011">
        <f>marketing_data[[#This Row],[Cleaned End_date]]-marketing_data[[#This Row],[Start_date]]</f>
        <v>17</v>
      </c>
    </row>
    <row r="1012" spans="1:21" x14ac:dyDescent="0.2">
      <c r="A1012" t="s">
        <v>2100</v>
      </c>
      <c r="B1012" t="s">
        <v>2101</v>
      </c>
      <c r="C1012" s="2">
        <v>45049</v>
      </c>
      <c r="D1012" t="str">
        <f t="shared" si="93"/>
        <v>May</v>
      </c>
      <c r="E1012" s="2">
        <v>45079</v>
      </c>
      <c r="F1012" t="s">
        <v>14</v>
      </c>
      <c r="G1012">
        <v>14918</v>
      </c>
      <c r="H1012">
        <v>505</v>
      </c>
      <c r="I1012">
        <v>93</v>
      </c>
      <c r="J1012" t="b">
        <v>0</v>
      </c>
      <c r="K1012" s="10">
        <v>822.24</v>
      </c>
      <c r="L1012" s="6">
        <f t="shared" si="94"/>
        <v>3.3851722751039016E-2</v>
      </c>
      <c r="M1012">
        <f t="shared" si="95"/>
        <v>1.6281980198019803</v>
      </c>
      <c r="N1012">
        <f t="shared" si="96"/>
        <v>8.8412903225806456</v>
      </c>
      <c r="O1012">
        <f t="shared" si="97"/>
        <v>3827.76</v>
      </c>
      <c r="P1012">
        <f t="shared" si="98"/>
        <v>0.18415841584158416</v>
      </c>
      <c r="Q1012" t="s">
        <v>4137</v>
      </c>
      <c r="R1012" t="s">
        <v>4139</v>
      </c>
      <c r="S1012">
        <f>YEAR(marketing_data[[#This Row],[Start_date]])</f>
        <v>2023</v>
      </c>
      <c r="T1012" t="str">
        <f>TEXT(marketing_data[[#This Row],[Start_date]],"ddd")</f>
        <v>Wed</v>
      </c>
      <c r="U1012">
        <f>marketing_data[[#This Row],[Cleaned End_date]]-marketing_data[[#This Row],[Start_date]]</f>
        <v>30</v>
      </c>
    </row>
    <row r="1013" spans="1:21" x14ac:dyDescent="0.2">
      <c r="A1013" t="s">
        <v>2102</v>
      </c>
      <c r="B1013" t="s">
        <v>2103</v>
      </c>
      <c r="C1013" s="2">
        <v>45182</v>
      </c>
      <c r="D1013" t="str">
        <f t="shared" si="93"/>
        <v>Sep</v>
      </c>
      <c r="E1013" s="2">
        <v>45190</v>
      </c>
      <c r="F1013" t="s">
        <v>33</v>
      </c>
      <c r="G1013">
        <v>86655</v>
      </c>
      <c r="H1013">
        <v>2771</v>
      </c>
      <c r="I1013">
        <v>414</v>
      </c>
      <c r="J1013" t="b">
        <v>1</v>
      </c>
      <c r="K1013" s="10">
        <v>3631.7599999999998</v>
      </c>
      <c r="L1013" s="6">
        <f t="shared" si="94"/>
        <v>3.1977381570596042E-2</v>
      </c>
      <c r="M1013">
        <f t="shared" si="95"/>
        <v>1.3106315409599423</v>
      </c>
      <c r="N1013">
        <f t="shared" si="96"/>
        <v>8.7723671497584537</v>
      </c>
      <c r="O1013">
        <f t="shared" si="97"/>
        <v>17068.240000000002</v>
      </c>
      <c r="P1013">
        <f t="shared" si="98"/>
        <v>0.14940454709491158</v>
      </c>
      <c r="Q1013" t="s">
        <v>4136</v>
      </c>
      <c r="R1013" t="s">
        <v>4138</v>
      </c>
      <c r="S1013">
        <f>YEAR(marketing_data[[#This Row],[Start_date]])</f>
        <v>2023</v>
      </c>
      <c r="T1013" t="str">
        <f>TEXT(marketing_data[[#This Row],[Start_date]],"ddd")</f>
        <v>Wed</v>
      </c>
      <c r="U1013">
        <f>marketing_data[[#This Row],[Cleaned End_date]]-marketing_data[[#This Row],[Start_date]]</f>
        <v>8</v>
      </c>
    </row>
    <row r="1014" spans="1:21" x14ac:dyDescent="0.2">
      <c r="A1014" t="s">
        <v>2104</v>
      </c>
      <c r="B1014" t="s">
        <v>2105</v>
      </c>
      <c r="C1014" s="2">
        <v>44933</v>
      </c>
      <c r="D1014" t="str">
        <f t="shared" si="93"/>
        <v>Jan</v>
      </c>
      <c r="E1014" s="2">
        <v>44963</v>
      </c>
      <c r="F1014" t="s">
        <v>23</v>
      </c>
      <c r="G1014">
        <v>28446</v>
      </c>
      <c r="H1014">
        <v>1308</v>
      </c>
      <c r="I1014">
        <v>86</v>
      </c>
      <c r="J1014" t="b">
        <v>0</v>
      </c>
      <c r="K1014" s="10">
        <v>2293</v>
      </c>
      <c r="L1014" s="6">
        <f t="shared" si="94"/>
        <v>4.5981860367011178E-2</v>
      </c>
      <c r="M1014">
        <f t="shared" si="95"/>
        <v>1.7530581039755351</v>
      </c>
      <c r="N1014">
        <f t="shared" si="96"/>
        <v>26.662790697674417</v>
      </c>
      <c r="O1014">
        <f t="shared" si="97"/>
        <v>2007</v>
      </c>
      <c r="P1014">
        <f t="shared" si="98"/>
        <v>6.5749235474006115E-2</v>
      </c>
      <c r="Q1014" t="s">
        <v>4138</v>
      </c>
      <c r="R1014" t="s">
        <v>4139</v>
      </c>
      <c r="S1014">
        <f>YEAR(marketing_data[[#This Row],[Start_date]])</f>
        <v>2023</v>
      </c>
      <c r="T1014" t="str">
        <f>TEXT(marketing_data[[#This Row],[Start_date]],"ddd")</f>
        <v>Sat</v>
      </c>
      <c r="U1014">
        <f>marketing_data[[#This Row],[Cleaned End_date]]-marketing_data[[#This Row],[Start_date]]</f>
        <v>30</v>
      </c>
    </row>
    <row r="1015" spans="1:21" x14ac:dyDescent="0.2">
      <c r="A1015" t="s">
        <v>2106</v>
      </c>
      <c r="B1015" t="s">
        <v>2107</v>
      </c>
      <c r="C1015" s="2">
        <v>44994</v>
      </c>
      <c r="D1015" t="str">
        <f t="shared" si="93"/>
        <v>Mar</v>
      </c>
      <c r="E1015" s="2">
        <v>45024</v>
      </c>
      <c r="F1015" t="s">
        <v>41</v>
      </c>
      <c r="G1015">
        <v>14046</v>
      </c>
      <c r="H1015">
        <v>367</v>
      </c>
      <c r="I1015">
        <v>55</v>
      </c>
      <c r="J1015" t="b">
        <v>1</v>
      </c>
      <c r="K1015" s="10">
        <v>329.13249999999999</v>
      </c>
      <c r="L1015" s="6">
        <f t="shared" si="94"/>
        <v>2.6128435141677345E-2</v>
      </c>
      <c r="M1015">
        <f t="shared" si="95"/>
        <v>0.89681880108991818</v>
      </c>
      <c r="N1015">
        <f t="shared" si="96"/>
        <v>5.9842272727272725</v>
      </c>
      <c r="O1015">
        <f t="shared" si="97"/>
        <v>2420.8674999999998</v>
      </c>
      <c r="P1015">
        <f t="shared" si="98"/>
        <v>0.14986376021798364</v>
      </c>
      <c r="Q1015" t="s">
        <v>4137</v>
      </c>
      <c r="R1015" t="s">
        <v>4141</v>
      </c>
      <c r="S1015">
        <f>YEAR(marketing_data[[#This Row],[Start_date]])</f>
        <v>2023</v>
      </c>
      <c r="T1015" t="str">
        <f>TEXT(marketing_data[[#This Row],[Start_date]],"ddd")</f>
        <v>Thu</v>
      </c>
      <c r="U1015">
        <f>marketing_data[[#This Row],[Cleaned End_date]]-marketing_data[[#This Row],[Start_date]]</f>
        <v>30</v>
      </c>
    </row>
    <row r="1016" spans="1:21" x14ac:dyDescent="0.2">
      <c r="A1016" t="s">
        <v>2108</v>
      </c>
      <c r="B1016" t="s">
        <v>2109</v>
      </c>
      <c r="C1016" s="2">
        <v>45142</v>
      </c>
      <c r="D1016" t="str">
        <f t="shared" si="93"/>
        <v>Aug</v>
      </c>
      <c r="E1016" s="2">
        <v>45172</v>
      </c>
      <c r="F1016" t="s">
        <v>33</v>
      </c>
      <c r="G1016">
        <v>25818</v>
      </c>
      <c r="H1016">
        <v>589</v>
      </c>
      <c r="I1016">
        <v>85</v>
      </c>
      <c r="J1016" t="b">
        <v>0</v>
      </c>
      <c r="K1016" s="10">
        <v>684.26</v>
      </c>
      <c r="L1016" s="6">
        <f t="shared" si="94"/>
        <v>2.2813540940429158E-2</v>
      </c>
      <c r="M1016">
        <f t="shared" si="95"/>
        <v>1.1617317487266554</v>
      </c>
      <c r="N1016">
        <f t="shared" si="96"/>
        <v>8.0501176470588227</v>
      </c>
      <c r="O1016">
        <f t="shared" si="97"/>
        <v>3565.74</v>
      </c>
      <c r="P1016">
        <f t="shared" si="98"/>
        <v>0.14431239388794567</v>
      </c>
      <c r="Q1016" t="s">
        <v>4139</v>
      </c>
      <c r="R1016" t="s">
        <v>4142</v>
      </c>
      <c r="S1016">
        <f>YEAR(marketing_data[[#This Row],[Start_date]])</f>
        <v>2023</v>
      </c>
      <c r="T1016" t="str">
        <f>TEXT(marketing_data[[#This Row],[Start_date]],"ddd")</f>
        <v>Fri</v>
      </c>
      <c r="U1016">
        <f>marketing_data[[#This Row],[Cleaned End_date]]-marketing_data[[#This Row],[Start_date]]</f>
        <v>30</v>
      </c>
    </row>
    <row r="1017" spans="1:21" x14ac:dyDescent="0.2">
      <c r="A1017" t="s">
        <v>2110</v>
      </c>
      <c r="B1017" t="s">
        <v>2111</v>
      </c>
      <c r="C1017" s="2">
        <v>45168</v>
      </c>
      <c r="D1017" t="str">
        <f t="shared" si="93"/>
        <v>Aug</v>
      </c>
      <c r="E1017" s="2">
        <v>45173</v>
      </c>
      <c r="F1017" t="s">
        <v>14</v>
      </c>
      <c r="G1017">
        <v>5324</v>
      </c>
      <c r="H1017">
        <v>212</v>
      </c>
      <c r="I1017">
        <v>36</v>
      </c>
      <c r="J1017" t="b">
        <v>1</v>
      </c>
      <c r="K1017" s="10">
        <v>329.13249999999999</v>
      </c>
      <c r="L1017" s="6">
        <f t="shared" si="94"/>
        <v>3.9819684447783624E-2</v>
      </c>
      <c r="M1017">
        <f t="shared" si="95"/>
        <v>1.5525117924528302</v>
      </c>
      <c r="N1017">
        <f t="shared" si="96"/>
        <v>9.1425694444444439</v>
      </c>
      <c r="O1017">
        <f t="shared" si="97"/>
        <v>1470.8675000000001</v>
      </c>
      <c r="P1017">
        <f t="shared" si="98"/>
        <v>0.16981132075471697</v>
      </c>
      <c r="Q1017" t="s">
        <v>4139</v>
      </c>
      <c r="R1017" t="s">
        <v>4141</v>
      </c>
      <c r="S1017">
        <f>YEAR(marketing_data[[#This Row],[Start_date]])</f>
        <v>2023</v>
      </c>
      <c r="T1017" t="str">
        <f>TEXT(marketing_data[[#This Row],[Start_date]],"ddd")</f>
        <v>Wed</v>
      </c>
      <c r="U1017">
        <f>marketing_data[[#This Row],[Cleaned End_date]]-marketing_data[[#This Row],[Start_date]]</f>
        <v>5</v>
      </c>
    </row>
    <row r="1018" spans="1:21" x14ac:dyDescent="0.2">
      <c r="A1018" t="s">
        <v>2112</v>
      </c>
      <c r="B1018" t="s">
        <v>2113</v>
      </c>
      <c r="C1018" s="2">
        <v>44935</v>
      </c>
      <c r="D1018" t="str">
        <f t="shared" si="93"/>
        <v>Jan</v>
      </c>
      <c r="E1018" s="2">
        <v>45174</v>
      </c>
      <c r="F1018" t="s">
        <v>23</v>
      </c>
      <c r="G1018">
        <v>77323</v>
      </c>
      <c r="H1018">
        <v>2049</v>
      </c>
      <c r="J1018" t="b">
        <v>1</v>
      </c>
      <c r="K1018" s="10">
        <v>1837.35</v>
      </c>
      <c r="L1018" s="6">
        <f t="shared" si="94"/>
        <v>2.649923050062724E-2</v>
      </c>
      <c r="M1018">
        <f t="shared" si="95"/>
        <v>0.89670571010248901</v>
      </c>
      <c r="N1018">
        <f t="shared" si="96"/>
        <v>0</v>
      </c>
      <c r="O1018">
        <f t="shared" si="97"/>
        <v>-1837.35</v>
      </c>
      <c r="P1018">
        <f t="shared" si="98"/>
        <v>0</v>
      </c>
      <c r="Q1018" t="s">
        <v>4138</v>
      </c>
      <c r="R1018" t="s">
        <v>4139</v>
      </c>
      <c r="S1018">
        <f>YEAR(marketing_data[[#This Row],[Start_date]])</f>
        <v>2023</v>
      </c>
      <c r="T1018" t="str">
        <f>TEXT(marketing_data[[#This Row],[Start_date]],"ddd")</f>
        <v>Mon</v>
      </c>
      <c r="U1018">
        <f>marketing_data[[#This Row],[Cleaned End_date]]-marketing_data[[#This Row],[Start_date]]</f>
        <v>239</v>
      </c>
    </row>
    <row r="1019" spans="1:21" x14ac:dyDescent="0.2">
      <c r="A1019" t="s">
        <v>2114</v>
      </c>
      <c r="B1019" t="s">
        <v>2115</v>
      </c>
      <c r="C1019" s="2">
        <v>45037</v>
      </c>
      <c r="D1019" t="str">
        <f t="shared" si="93"/>
        <v>Apr</v>
      </c>
      <c r="E1019" s="2">
        <v>45038</v>
      </c>
      <c r="F1019" t="s">
        <v>19</v>
      </c>
      <c r="G1019">
        <v>10111</v>
      </c>
      <c r="H1019">
        <v>362</v>
      </c>
      <c r="I1019">
        <v>65</v>
      </c>
      <c r="J1019" t="b">
        <v>0</v>
      </c>
      <c r="K1019" s="10">
        <v>454.43</v>
      </c>
      <c r="L1019" s="6">
        <f t="shared" si="94"/>
        <v>3.580259123726634E-2</v>
      </c>
      <c r="M1019">
        <f t="shared" si="95"/>
        <v>1.2553314917127072</v>
      </c>
      <c r="N1019">
        <f t="shared" si="96"/>
        <v>6.9912307692307696</v>
      </c>
      <c r="O1019">
        <f t="shared" si="97"/>
        <v>2795.57</v>
      </c>
      <c r="P1019">
        <f t="shared" si="98"/>
        <v>0.17955801104972377</v>
      </c>
      <c r="Q1019" t="s">
        <v>4137</v>
      </c>
      <c r="R1019" t="s">
        <v>4142</v>
      </c>
      <c r="S1019">
        <f>YEAR(marketing_data[[#This Row],[Start_date]])</f>
        <v>2023</v>
      </c>
      <c r="T1019" t="str">
        <f>TEXT(marketing_data[[#This Row],[Start_date]],"ddd")</f>
        <v>Fri</v>
      </c>
      <c r="U1019">
        <f>marketing_data[[#This Row],[Cleaned End_date]]-marketing_data[[#This Row],[Start_date]]</f>
        <v>1</v>
      </c>
    </row>
    <row r="1020" spans="1:21" x14ac:dyDescent="0.2">
      <c r="A1020" t="s">
        <v>2117</v>
      </c>
      <c r="B1020" t="s">
        <v>2118</v>
      </c>
      <c r="C1020" s="2">
        <v>44957</v>
      </c>
      <c r="D1020" t="str">
        <f t="shared" si="93"/>
        <v>Jan</v>
      </c>
      <c r="E1020" s="2">
        <v>44963</v>
      </c>
      <c r="F1020" t="str">
        <f>F1019</f>
        <v>Facebook</v>
      </c>
      <c r="G1020">
        <v>39110</v>
      </c>
      <c r="H1020">
        <v>1402</v>
      </c>
      <c r="I1020">
        <v>157</v>
      </c>
      <c r="J1020" t="b">
        <v>1</v>
      </c>
      <c r="K1020" s="10">
        <v>844.23</v>
      </c>
      <c r="L1020" s="6">
        <f t="shared" si="94"/>
        <v>3.5847609307082591E-2</v>
      </c>
      <c r="M1020">
        <f t="shared" si="95"/>
        <v>0.60216119828815984</v>
      </c>
      <c r="N1020">
        <f t="shared" si="96"/>
        <v>5.3772611464968154</v>
      </c>
      <c r="O1020">
        <f t="shared" si="97"/>
        <v>7005.77</v>
      </c>
      <c r="P1020">
        <f t="shared" si="98"/>
        <v>0.11198288159771755</v>
      </c>
      <c r="Q1020" t="s">
        <v>4138</v>
      </c>
      <c r="R1020" t="s">
        <v>4139</v>
      </c>
      <c r="S1020">
        <f>YEAR(marketing_data[[#This Row],[Start_date]])</f>
        <v>2023</v>
      </c>
      <c r="T1020" t="str">
        <f>TEXT(marketing_data[[#This Row],[Start_date]],"ddd")</f>
        <v>Tue</v>
      </c>
      <c r="U1020">
        <f>marketing_data[[#This Row],[Cleaned End_date]]-marketing_data[[#This Row],[Start_date]]</f>
        <v>6</v>
      </c>
    </row>
    <row r="1021" spans="1:21" x14ac:dyDescent="0.2">
      <c r="A1021" t="s">
        <v>2119</v>
      </c>
      <c r="B1021" t="s">
        <v>2120</v>
      </c>
      <c r="C1021" s="2">
        <v>45073</v>
      </c>
      <c r="D1021" t="str">
        <f t="shared" si="93"/>
        <v>May</v>
      </c>
      <c r="E1021" s="2">
        <v>45076</v>
      </c>
      <c r="F1021" t="s">
        <v>14</v>
      </c>
      <c r="G1021">
        <v>17389</v>
      </c>
      <c r="H1021">
        <v>791</v>
      </c>
      <c r="I1021">
        <v>122</v>
      </c>
      <c r="J1021" t="b">
        <v>0</v>
      </c>
      <c r="K1021" s="10">
        <v>654.36</v>
      </c>
      <c r="L1021" s="6">
        <f t="shared" si="94"/>
        <v>4.5488527229857953E-2</v>
      </c>
      <c r="M1021">
        <f t="shared" si="95"/>
        <v>0.82725663716814157</v>
      </c>
      <c r="N1021">
        <f t="shared" si="96"/>
        <v>5.3636065573770493</v>
      </c>
      <c r="O1021">
        <f t="shared" si="97"/>
        <v>5445.64</v>
      </c>
      <c r="P1021">
        <f t="shared" si="98"/>
        <v>0.15423514538558786</v>
      </c>
      <c r="Q1021" t="s">
        <v>4137</v>
      </c>
      <c r="R1021" t="s">
        <v>4141</v>
      </c>
      <c r="S1021">
        <f>YEAR(marketing_data[[#This Row],[Start_date]])</f>
        <v>2023</v>
      </c>
      <c r="T1021" t="str">
        <f>TEXT(marketing_data[[#This Row],[Start_date]],"ddd")</f>
        <v>Sat</v>
      </c>
      <c r="U1021">
        <f>marketing_data[[#This Row],[Cleaned End_date]]-marketing_data[[#This Row],[Start_date]]</f>
        <v>3</v>
      </c>
    </row>
    <row r="1022" spans="1:21" x14ac:dyDescent="0.2">
      <c r="A1022" t="s">
        <v>2121</v>
      </c>
      <c r="B1022" t="s">
        <v>2122</v>
      </c>
      <c r="C1022" s="2">
        <v>45139</v>
      </c>
      <c r="D1022" t="str">
        <f t="shared" si="93"/>
        <v>Aug</v>
      </c>
      <c r="E1022" s="2">
        <v>45158</v>
      </c>
      <c r="F1022" t="s">
        <v>14</v>
      </c>
      <c r="G1022">
        <v>42427</v>
      </c>
      <c r="H1022">
        <v>1440</v>
      </c>
      <c r="J1022" t="b">
        <v>1</v>
      </c>
      <c r="K1022" s="10">
        <v>2740.42</v>
      </c>
      <c r="L1022" s="6">
        <f t="shared" si="94"/>
        <v>3.394065100054211E-2</v>
      </c>
      <c r="M1022">
        <f t="shared" si="95"/>
        <v>1.9030694444444445</v>
      </c>
      <c r="N1022">
        <f t="shared" si="96"/>
        <v>0</v>
      </c>
      <c r="O1022">
        <f t="shared" si="97"/>
        <v>-2740.42</v>
      </c>
      <c r="P1022">
        <f t="shared" si="98"/>
        <v>0</v>
      </c>
      <c r="Q1022" t="s">
        <v>4139</v>
      </c>
      <c r="R1022" t="s">
        <v>4141</v>
      </c>
      <c r="S1022">
        <f>YEAR(marketing_data[[#This Row],[Start_date]])</f>
        <v>2023</v>
      </c>
      <c r="T1022" t="str">
        <f>TEXT(marketing_data[[#This Row],[Start_date]],"ddd")</f>
        <v>Tue</v>
      </c>
      <c r="U1022">
        <f>marketing_data[[#This Row],[Cleaned End_date]]-marketing_data[[#This Row],[Start_date]]</f>
        <v>19</v>
      </c>
    </row>
    <row r="1023" spans="1:21" x14ac:dyDescent="0.2">
      <c r="A1023" t="s">
        <v>2123</v>
      </c>
      <c r="B1023" t="s">
        <v>2124</v>
      </c>
      <c r="C1023" s="2">
        <v>45254</v>
      </c>
      <c r="D1023" t="str">
        <f t="shared" si="93"/>
        <v>Nov</v>
      </c>
      <c r="E1023" s="2">
        <v>45284</v>
      </c>
      <c r="F1023" t="s">
        <v>23</v>
      </c>
      <c r="G1023">
        <v>80579</v>
      </c>
      <c r="H1023">
        <v>2424</v>
      </c>
      <c r="I1023">
        <v>484</v>
      </c>
      <c r="J1023" t="b">
        <v>1</v>
      </c>
      <c r="K1023" s="10">
        <v>2906.8</v>
      </c>
      <c r="L1023" s="6">
        <f t="shared" si="94"/>
        <v>3.0082279502103525E-2</v>
      </c>
      <c r="M1023">
        <f t="shared" si="95"/>
        <v>1.1991749174917492</v>
      </c>
      <c r="N1023">
        <f t="shared" si="96"/>
        <v>6.0057851239669429</v>
      </c>
      <c r="O1023">
        <f t="shared" si="97"/>
        <v>21293.200000000001</v>
      </c>
      <c r="P1023">
        <f t="shared" si="98"/>
        <v>0.19966996699669967</v>
      </c>
      <c r="Q1023" t="s">
        <v>4136</v>
      </c>
      <c r="R1023" t="s">
        <v>4139</v>
      </c>
      <c r="S1023">
        <f>YEAR(marketing_data[[#This Row],[Start_date]])</f>
        <v>2023</v>
      </c>
      <c r="T1023" t="str">
        <f>TEXT(marketing_data[[#This Row],[Start_date]],"ddd")</f>
        <v>Fri</v>
      </c>
      <c r="U1023">
        <f>marketing_data[[#This Row],[Cleaned End_date]]-marketing_data[[#This Row],[Start_date]]</f>
        <v>30</v>
      </c>
    </row>
    <row r="1024" spans="1:21" x14ac:dyDescent="0.2">
      <c r="A1024" t="s">
        <v>2125</v>
      </c>
      <c r="B1024" t="s">
        <v>2126</v>
      </c>
      <c r="C1024" s="2">
        <v>45069</v>
      </c>
      <c r="D1024" t="str">
        <f t="shared" si="93"/>
        <v>May</v>
      </c>
      <c r="E1024" s="2">
        <v>45091</v>
      </c>
      <c r="F1024" t="s">
        <v>33</v>
      </c>
      <c r="G1024">
        <v>29746</v>
      </c>
      <c r="H1024">
        <v>462</v>
      </c>
      <c r="I1024">
        <v>35</v>
      </c>
      <c r="J1024" t="b">
        <v>1</v>
      </c>
      <c r="K1024" s="10">
        <v>539.65</v>
      </c>
      <c r="L1024" s="6">
        <f t="shared" si="94"/>
        <v>1.5531500033617966E-2</v>
      </c>
      <c r="M1024">
        <f t="shared" si="95"/>
        <v>1.168073593073593</v>
      </c>
      <c r="N1024">
        <f t="shared" si="96"/>
        <v>15.418571428571427</v>
      </c>
      <c r="O1024">
        <f t="shared" si="97"/>
        <v>1210.3499999999999</v>
      </c>
      <c r="P1024">
        <f t="shared" si="98"/>
        <v>7.575757575757576E-2</v>
      </c>
      <c r="Q1024" t="s">
        <v>4137</v>
      </c>
      <c r="R1024" t="s">
        <v>4138</v>
      </c>
      <c r="S1024">
        <f>YEAR(marketing_data[[#This Row],[Start_date]])</f>
        <v>2023</v>
      </c>
      <c r="T1024" t="str">
        <f>TEXT(marketing_data[[#This Row],[Start_date]],"ddd")</f>
        <v>Tue</v>
      </c>
      <c r="U1024">
        <f>marketing_data[[#This Row],[Cleaned End_date]]-marketing_data[[#This Row],[Start_date]]</f>
        <v>22</v>
      </c>
    </row>
    <row r="1025" spans="1:21" x14ac:dyDescent="0.2">
      <c r="A1025" t="s">
        <v>2128</v>
      </c>
      <c r="B1025" t="s">
        <v>2129</v>
      </c>
      <c r="C1025" s="2">
        <v>44967</v>
      </c>
      <c r="D1025" t="str">
        <f t="shared" si="93"/>
        <v>Feb</v>
      </c>
      <c r="E1025" s="2">
        <v>44974</v>
      </c>
      <c r="F1025" t="s">
        <v>14</v>
      </c>
      <c r="G1025">
        <v>88886</v>
      </c>
      <c r="H1025">
        <v>1300</v>
      </c>
      <c r="I1025">
        <v>66</v>
      </c>
      <c r="J1025" t="b">
        <v>1</v>
      </c>
      <c r="K1025" s="10">
        <v>678.41</v>
      </c>
      <c r="L1025" s="6">
        <f t="shared" si="94"/>
        <v>1.4625475327948159E-2</v>
      </c>
      <c r="M1025">
        <f t="shared" si="95"/>
        <v>0.52185384615384611</v>
      </c>
      <c r="N1025">
        <f t="shared" si="96"/>
        <v>10.278939393939394</v>
      </c>
      <c r="O1025">
        <f t="shared" si="97"/>
        <v>2621.59</v>
      </c>
      <c r="P1025">
        <f t="shared" si="98"/>
        <v>5.0769230769230768E-2</v>
      </c>
      <c r="Q1025" t="s">
        <v>4138</v>
      </c>
      <c r="R1025" t="s">
        <v>4138</v>
      </c>
      <c r="S1025">
        <f>YEAR(marketing_data[[#This Row],[Start_date]])</f>
        <v>2023</v>
      </c>
      <c r="T1025" t="str">
        <f>TEXT(marketing_data[[#This Row],[Start_date]],"ddd")</f>
        <v>Fri</v>
      </c>
      <c r="U1025">
        <f>marketing_data[[#This Row],[Cleaned End_date]]-marketing_data[[#This Row],[Start_date]]</f>
        <v>7</v>
      </c>
    </row>
    <row r="1026" spans="1:21" x14ac:dyDescent="0.2">
      <c r="A1026" t="s">
        <v>2130</v>
      </c>
      <c r="B1026" t="s">
        <v>2131</v>
      </c>
      <c r="C1026" s="2">
        <v>45006</v>
      </c>
      <c r="D1026" t="str">
        <f t="shared" si="93"/>
        <v>Mar</v>
      </c>
      <c r="E1026" s="2">
        <v>45021</v>
      </c>
      <c r="F1026" t="s">
        <v>14</v>
      </c>
      <c r="G1026">
        <v>1117</v>
      </c>
      <c r="H1026">
        <v>18</v>
      </c>
      <c r="I1026">
        <v>1</v>
      </c>
      <c r="J1026" t="b">
        <v>0</v>
      </c>
      <c r="K1026" s="10">
        <v>329.13249999999999</v>
      </c>
      <c r="L1026" s="6">
        <f t="shared" si="94"/>
        <v>1.611459265890779E-2</v>
      </c>
      <c r="M1026">
        <f t="shared" si="95"/>
        <v>18.285138888888888</v>
      </c>
      <c r="N1026">
        <f t="shared" si="96"/>
        <v>329.13249999999999</v>
      </c>
      <c r="O1026">
        <f t="shared" si="97"/>
        <v>-279.13249999999999</v>
      </c>
      <c r="P1026">
        <f t="shared" si="98"/>
        <v>5.5555555555555552E-2</v>
      </c>
      <c r="Q1026" t="s">
        <v>4137</v>
      </c>
      <c r="R1026" t="s">
        <v>4139</v>
      </c>
      <c r="S1026">
        <f>YEAR(marketing_data[[#This Row],[Start_date]])</f>
        <v>2023</v>
      </c>
      <c r="T1026" t="str">
        <f>TEXT(marketing_data[[#This Row],[Start_date]],"ddd")</f>
        <v>Tue</v>
      </c>
      <c r="U1026">
        <f>marketing_data[[#This Row],[Cleaned End_date]]-marketing_data[[#This Row],[Start_date]]</f>
        <v>15</v>
      </c>
    </row>
    <row r="1027" spans="1:21" x14ac:dyDescent="0.2">
      <c r="A1027" t="s">
        <v>2132</v>
      </c>
      <c r="B1027" t="s">
        <v>2133</v>
      </c>
      <c r="C1027" s="2">
        <v>45251</v>
      </c>
      <c r="D1027" t="str">
        <f t="shared" ref="D1027:D1090" si="99">TEXT(C1027,"mmm")</f>
        <v>Nov</v>
      </c>
      <c r="E1027" s="2">
        <v>45273</v>
      </c>
      <c r="F1027" t="s">
        <v>41</v>
      </c>
      <c r="G1027">
        <v>85471</v>
      </c>
      <c r="H1027">
        <v>1442</v>
      </c>
      <c r="I1027">
        <v>239</v>
      </c>
      <c r="J1027" t="b">
        <v>0</v>
      </c>
      <c r="K1027" s="10">
        <v>2594.79</v>
      </c>
      <c r="L1027" s="6">
        <f t="shared" ref="L1027:L1090" si="100">H1027/G1027</f>
        <v>1.6871219477951584E-2</v>
      </c>
      <c r="M1027">
        <f t="shared" ref="M1027:M1090" si="101">K1027/H1027</f>
        <v>1.7994382801664355</v>
      </c>
      <c r="N1027">
        <f t="shared" ref="N1027:N1090" si="102">IFERROR(K1027/I1027,0)</f>
        <v>10.856861924686193</v>
      </c>
      <c r="O1027">
        <f t="shared" ref="O1027:O1090" si="103">(50*I1027)-K1027</f>
        <v>9355.2099999999991</v>
      </c>
      <c r="P1027">
        <f t="shared" ref="P1027:P1090" si="104">I1027/H1027</f>
        <v>0.16574202496532595</v>
      </c>
      <c r="Q1027" t="s">
        <v>4136</v>
      </c>
      <c r="R1027" t="s">
        <v>4139</v>
      </c>
      <c r="S1027">
        <f>YEAR(marketing_data[[#This Row],[Start_date]])</f>
        <v>2023</v>
      </c>
      <c r="T1027" t="str">
        <f>TEXT(marketing_data[[#This Row],[Start_date]],"ddd")</f>
        <v>Tue</v>
      </c>
      <c r="U1027">
        <f>marketing_data[[#This Row],[Cleaned End_date]]-marketing_data[[#This Row],[Start_date]]</f>
        <v>22</v>
      </c>
    </row>
    <row r="1028" spans="1:21" x14ac:dyDescent="0.2">
      <c r="A1028" t="s">
        <v>2134</v>
      </c>
      <c r="B1028" t="s">
        <v>2135</v>
      </c>
      <c r="C1028" s="2">
        <v>45256</v>
      </c>
      <c r="D1028" t="str">
        <f t="shared" si="99"/>
        <v>Nov</v>
      </c>
      <c r="E1028" s="2">
        <v>45274</v>
      </c>
      <c r="F1028" t="s">
        <v>23</v>
      </c>
      <c r="G1028">
        <v>14234</v>
      </c>
      <c r="H1028">
        <v>505</v>
      </c>
      <c r="I1028">
        <v>59</v>
      </c>
      <c r="J1028" t="b">
        <v>1</v>
      </c>
      <c r="K1028" s="10">
        <v>377.21</v>
      </c>
      <c r="L1028" s="6">
        <f t="shared" si="100"/>
        <v>3.54784319235633E-2</v>
      </c>
      <c r="M1028">
        <f t="shared" si="101"/>
        <v>0.74695049504950495</v>
      </c>
      <c r="N1028">
        <f t="shared" si="102"/>
        <v>6.3933898305084744</v>
      </c>
      <c r="O1028">
        <f t="shared" si="103"/>
        <v>2572.79</v>
      </c>
      <c r="P1028">
        <f t="shared" si="104"/>
        <v>0.11683168316831684</v>
      </c>
      <c r="Q1028" t="s">
        <v>4136</v>
      </c>
      <c r="R1028" t="s">
        <v>4142</v>
      </c>
      <c r="S1028">
        <f>YEAR(marketing_data[[#This Row],[Start_date]])</f>
        <v>2023</v>
      </c>
      <c r="T1028" t="str">
        <f>TEXT(marketing_data[[#This Row],[Start_date]],"ddd")</f>
        <v>Sun</v>
      </c>
      <c r="U1028">
        <f>marketing_data[[#This Row],[Cleaned End_date]]-marketing_data[[#This Row],[Start_date]]</f>
        <v>18</v>
      </c>
    </row>
    <row r="1029" spans="1:21" x14ac:dyDescent="0.2">
      <c r="A1029" t="s">
        <v>2137</v>
      </c>
      <c r="B1029" t="s">
        <v>2138</v>
      </c>
      <c r="C1029" s="2">
        <v>45284</v>
      </c>
      <c r="D1029" t="str">
        <f t="shared" si="99"/>
        <v>Dec</v>
      </c>
      <c r="E1029" s="2">
        <v>45296</v>
      </c>
      <c r="F1029" t="s">
        <v>14</v>
      </c>
      <c r="G1029">
        <v>54441</v>
      </c>
      <c r="H1029">
        <v>2158</v>
      </c>
      <c r="I1029">
        <v>252</v>
      </c>
      <c r="J1029" t="b">
        <v>1</v>
      </c>
      <c r="K1029" s="10">
        <v>2422.7600000000002</v>
      </c>
      <c r="L1029" s="6">
        <f t="shared" si="100"/>
        <v>3.963924248268768E-2</v>
      </c>
      <c r="M1029">
        <f t="shared" si="101"/>
        <v>1.1226876737720113</v>
      </c>
      <c r="N1029">
        <f t="shared" si="102"/>
        <v>9.614126984126985</v>
      </c>
      <c r="O1029">
        <f t="shared" si="103"/>
        <v>10177.24</v>
      </c>
      <c r="P1029">
        <f t="shared" si="104"/>
        <v>0.11677479147358666</v>
      </c>
      <c r="Q1029" t="s">
        <v>4138</v>
      </c>
      <c r="R1029" t="s">
        <v>4139</v>
      </c>
      <c r="S1029">
        <f>YEAR(marketing_data[[#This Row],[Start_date]])</f>
        <v>2023</v>
      </c>
      <c r="T1029" t="str">
        <f>TEXT(marketing_data[[#This Row],[Start_date]],"ddd")</f>
        <v>Sun</v>
      </c>
      <c r="U1029">
        <f>marketing_data[[#This Row],[Cleaned End_date]]-marketing_data[[#This Row],[Start_date]]</f>
        <v>12</v>
      </c>
    </row>
    <row r="1030" spans="1:21" x14ac:dyDescent="0.2">
      <c r="A1030" t="s">
        <v>2139</v>
      </c>
      <c r="B1030" t="s">
        <v>2140</v>
      </c>
      <c r="C1030" s="2">
        <v>44990</v>
      </c>
      <c r="D1030" t="str">
        <f t="shared" si="99"/>
        <v>Mar</v>
      </c>
      <c r="E1030" s="2">
        <v>45020</v>
      </c>
      <c r="F1030" t="s">
        <v>14</v>
      </c>
      <c r="G1030">
        <v>1846</v>
      </c>
      <c r="H1030">
        <v>57</v>
      </c>
      <c r="J1030" t="b">
        <v>1</v>
      </c>
      <c r="K1030" s="10">
        <v>329.13249999999999</v>
      </c>
      <c r="L1030" s="6">
        <f t="shared" si="100"/>
        <v>3.0877573131094259E-2</v>
      </c>
      <c r="M1030">
        <f t="shared" si="101"/>
        <v>5.7742543859649125</v>
      </c>
      <c r="N1030">
        <f t="shared" si="102"/>
        <v>0</v>
      </c>
      <c r="O1030">
        <f t="shared" si="103"/>
        <v>-329.13249999999999</v>
      </c>
      <c r="P1030">
        <f t="shared" si="104"/>
        <v>0</v>
      </c>
      <c r="Q1030" t="s">
        <v>4137</v>
      </c>
      <c r="R1030" t="s">
        <v>4142</v>
      </c>
      <c r="S1030">
        <f>YEAR(marketing_data[[#This Row],[Start_date]])</f>
        <v>2023</v>
      </c>
      <c r="T1030" t="str">
        <f>TEXT(marketing_data[[#This Row],[Start_date]],"ddd")</f>
        <v>Sun</v>
      </c>
      <c r="U1030">
        <f>marketing_data[[#This Row],[Cleaned End_date]]-marketing_data[[#This Row],[Start_date]]</f>
        <v>30</v>
      </c>
    </row>
    <row r="1031" spans="1:21" x14ac:dyDescent="0.2">
      <c r="A1031" t="s">
        <v>2141</v>
      </c>
      <c r="B1031" t="s">
        <v>2142</v>
      </c>
      <c r="C1031" s="2">
        <v>44971</v>
      </c>
      <c r="D1031" t="str">
        <f t="shared" si="99"/>
        <v>Feb</v>
      </c>
      <c r="E1031" s="2">
        <v>44980</v>
      </c>
      <c r="F1031" t="s">
        <v>19</v>
      </c>
      <c r="G1031">
        <v>11954</v>
      </c>
      <c r="H1031">
        <v>515</v>
      </c>
      <c r="I1031">
        <v>96</v>
      </c>
      <c r="J1031" t="b">
        <v>1</v>
      </c>
      <c r="K1031" s="10">
        <v>627.01</v>
      </c>
      <c r="L1031" s="6">
        <f t="shared" si="100"/>
        <v>4.3081813618872346E-2</v>
      </c>
      <c r="M1031">
        <f t="shared" si="101"/>
        <v>1.2174951456310679</v>
      </c>
      <c r="N1031">
        <f t="shared" si="102"/>
        <v>6.5313541666666666</v>
      </c>
      <c r="O1031">
        <f t="shared" si="103"/>
        <v>4172.99</v>
      </c>
      <c r="P1031">
        <f t="shared" si="104"/>
        <v>0.18640776699029127</v>
      </c>
      <c r="Q1031" t="s">
        <v>4138</v>
      </c>
      <c r="R1031" t="s">
        <v>4138</v>
      </c>
      <c r="S1031">
        <f>YEAR(marketing_data[[#This Row],[Start_date]])</f>
        <v>2023</v>
      </c>
      <c r="T1031" t="str">
        <f>TEXT(marketing_data[[#This Row],[Start_date]],"ddd")</f>
        <v>Tue</v>
      </c>
      <c r="U1031">
        <f>marketing_data[[#This Row],[Cleaned End_date]]-marketing_data[[#This Row],[Start_date]]</f>
        <v>9</v>
      </c>
    </row>
    <row r="1032" spans="1:21" x14ac:dyDescent="0.2">
      <c r="A1032" t="s">
        <v>2143</v>
      </c>
      <c r="B1032" t="s">
        <v>2144</v>
      </c>
      <c r="C1032" s="2">
        <v>45240</v>
      </c>
      <c r="D1032" t="str">
        <f t="shared" si="99"/>
        <v>Nov</v>
      </c>
      <c r="E1032" s="2">
        <v>45256</v>
      </c>
      <c r="F1032" t="s">
        <v>14</v>
      </c>
      <c r="G1032">
        <v>80239</v>
      </c>
      <c r="H1032">
        <v>3983</v>
      </c>
      <c r="I1032">
        <v>385</v>
      </c>
      <c r="J1032" t="b">
        <v>0</v>
      </c>
      <c r="K1032" s="10">
        <v>2117.09</v>
      </c>
      <c r="L1032" s="6">
        <f t="shared" si="100"/>
        <v>4.9639202881391842E-2</v>
      </c>
      <c r="M1032">
        <f t="shared" si="101"/>
        <v>0.53153150891287981</v>
      </c>
      <c r="N1032">
        <f t="shared" si="102"/>
        <v>5.4989350649350657</v>
      </c>
      <c r="O1032">
        <f t="shared" si="103"/>
        <v>17132.91</v>
      </c>
      <c r="P1032">
        <f t="shared" si="104"/>
        <v>9.6660808435852369E-2</v>
      </c>
      <c r="Q1032" t="s">
        <v>4136</v>
      </c>
      <c r="R1032" t="s">
        <v>4139</v>
      </c>
      <c r="S1032">
        <f>YEAR(marketing_data[[#This Row],[Start_date]])</f>
        <v>2023</v>
      </c>
      <c r="T1032" t="str">
        <f>TEXT(marketing_data[[#This Row],[Start_date]],"ddd")</f>
        <v>Fri</v>
      </c>
      <c r="U1032">
        <f>marketing_data[[#This Row],[Cleaned End_date]]-marketing_data[[#This Row],[Start_date]]</f>
        <v>16</v>
      </c>
    </row>
    <row r="1033" spans="1:21" x14ac:dyDescent="0.2">
      <c r="A1033" t="s">
        <v>2145</v>
      </c>
      <c r="B1033" t="s">
        <v>2146</v>
      </c>
      <c r="C1033" s="2">
        <v>45263</v>
      </c>
      <c r="D1033" t="str">
        <f t="shared" si="99"/>
        <v>Dec</v>
      </c>
      <c r="E1033" s="2">
        <v>45266</v>
      </c>
      <c r="F1033" t="s">
        <v>19</v>
      </c>
      <c r="G1033">
        <v>47514</v>
      </c>
      <c r="H1033">
        <v>2033</v>
      </c>
      <c r="I1033">
        <v>165</v>
      </c>
      <c r="J1033" t="b">
        <v>1</v>
      </c>
      <c r="K1033" s="10">
        <v>3515.9</v>
      </c>
      <c r="L1033" s="6">
        <f t="shared" si="100"/>
        <v>4.2787388980090081E-2</v>
      </c>
      <c r="M1033">
        <f t="shared" si="101"/>
        <v>1.7294146581406789</v>
      </c>
      <c r="N1033">
        <f t="shared" si="102"/>
        <v>21.308484848484849</v>
      </c>
      <c r="O1033">
        <f t="shared" si="103"/>
        <v>4734.1000000000004</v>
      </c>
      <c r="P1033">
        <f t="shared" si="104"/>
        <v>8.1160846040334481E-2</v>
      </c>
      <c r="Q1033" t="s">
        <v>4138</v>
      </c>
      <c r="R1033" t="s">
        <v>4142</v>
      </c>
      <c r="S1033">
        <f>YEAR(marketing_data[[#This Row],[Start_date]])</f>
        <v>2023</v>
      </c>
      <c r="T1033" t="str">
        <f>TEXT(marketing_data[[#This Row],[Start_date]],"ddd")</f>
        <v>Sun</v>
      </c>
      <c r="U1033">
        <f>marketing_data[[#This Row],[Cleaned End_date]]-marketing_data[[#This Row],[Start_date]]</f>
        <v>3</v>
      </c>
    </row>
    <row r="1034" spans="1:21" x14ac:dyDescent="0.2">
      <c r="A1034" t="s">
        <v>2147</v>
      </c>
      <c r="B1034" t="s">
        <v>2148</v>
      </c>
      <c r="C1034" s="2">
        <v>45289</v>
      </c>
      <c r="D1034" t="str">
        <f t="shared" si="99"/>
        <v>Dec</v>
      </c>
      <c r="E1034" s="2">
        <v>45315</v>
      </c>
      <c r="F1034" t="s">
        <v>19</v>
      </c>
      <c r="G1034">
        <v>89236</v>
      </c>
      <c r="H1034">
        <v>3372</v>
      </c>
      <c r="I1034">
        <v>597</v>
      </c>
      <c r="J1034" t="b">
        <v>0</v>
      </c>
      <c r="K1034" s="10">
        <v>3631.7599999999998</v>
      </c>
      <c r="L1034" s="6">
        <f t="shared" si="100"/>
        <v>3.7787440046617958E-2</v>
      </c>
      <c r="M1034">
        <f t="shared" si="101"/>
        <v>1.0770344009489916</v>
      </c>
      <c r="N1034">
        <f t="shared" si="102"/>
        <v>6.0833500837520935</v>
      </c>
      <c r="O1034">
        <f t="shared" si="103"/>
        <v>26218.240000000002</v>
      </c>
      <c r="P1034">
        <f t="shared" si="104"/>
        <v>0.17704626334519574</v>
      </c>
      <c r="Q1034" t="s">
        <v>4138</v>
      </c>
      <c r="R1034" t="s">
        <v>4142</v>
      </c>
      <c r="S1034">
        <f>YEAR(marketing_data[[#This Row],[Start_date]])</f>
        <v>2023</v>
      </c>
      <c r="T1034" t="str">
        <f>TEXT(marketing_data[[#This Row],[Start_date]],"ddd")</f>
        <v>Fri</v>
      </c>
      <c r="U1034">
        <f>marketing_data[[#This Row],[Cleaned End_date]]-marketing_data[[#This Row],[Start_date]]</f>
        <v>26</v>
      </c>
    </row>
    <row r="1035" spans="1:21" x14ac:dyDescent="0.2">
      <c r="A1035" t="s">
        <v>2149</v>
      </c>
      <c r="B1035" t="s">
        <v>2150</v>
      </c>
      <c r="C1035" s="2">
        <v>45181</v>
      </c>
      <c r="D1035" t="str">
        <f t="shared" si="99"/>
        <v>Sep</v>
      </c>
      <c r="E1035" s="2">
        <v>45203</v>
      </c>
      <c r="F1035" t="s">
        <v>41</v>
      </c>
      <c r="G1035">
        <v>98579</v>
      </c>
      <c r="H1035">
        <v>3085</v>
      </c>
      <c r="I1035">
        <v>573</v>
      </c>
      <c r="J1035" t="b">
        <v>1</v>
      </c>
      <c r="K1035" s="10">
        <v>3631.7599999999998</v>
      </c>
      <c r="L1035" s="6">
        <f t="shared" si="100"/>
        <v>3.1294697653658485E-2</v>
      </c>
      <c r="M1035">
        <f t="shared" si="101"/>
        <v>1.1772317666126417</v>
      </c>
      <c r="N1035">
        <f t="shared" si="102"/>
        <v>6.3381500872600345</v>
      </c>
      <c r="O1035">
        <f t="shared" si="103"/>
        <v>25018.240000000002</v>
      </c>
      <c r="P1035">
        <f t="shared" si="104"/>
        <v>0.18573743922204214</v>
      </c>
      <c r="Q1035" t="s">
        <v>4136</v>
      </c>
      <c r="R1035" t="s">
        <v>4142</v>
      </c>
      <c r="S1035">
        <f>YEAR(marketing_data[[#This Row],[Start_date]])</f>
        <v>2023</v>
      </c>
      <c r="T1035" t="str">
        <f>TEXT(marketing_data[[#This Row],[Start_date]],"ddd")</f>
        <v>Tue</v>
      </c>
      <c r="U1035">
        <f>marketing_data[[#This Row],[Cleaned End_date]]-marketing_data[[#This Row],[Start_date]]</f>
        <v>22</v>
      </c>
    </row>
    <row r="1036" spans="1:21" x14ac:dyDescent="0.2">
      <c r="A1036" t="s">
        <v>2151</v>
      </c>
      <c r="B1036" t="s">
        <v>2152</v>
      </c>
      <c r="C1036" s="2">
        <v>45059</v>
      </c>
      <c r="D1036" t="str">
        <f t="shared" si="99"/>
        <v>May</v>
      </c>
      <c r="E1036" s="2">
        <v>45065</v>
      </c>
      <c r="F1036" t="s">
        <v>19</v>
      </c>
      <c r="G1036">
        <v>7469</v>
      </c>
      <c r="H1036">
        <v>208</v>
      </c>
      <c r="I1036">
        <v>27</v>
      </c>
      <c r="J1036" t="b">
        <v>0</v>
      </c>
      <c r="K1036" s="10">
        <v>329.13249999999999</v>
      </c>
      <c r="L1036" s="6">
        <f t="shared" si="100"/>
        <v>2.7848440219574239E-2</v>
      </c>
      <c r="M1036">
        <f t="shared" si="101"/>
        <v>1.5823677884615384</v>
      </c>
      <c r="N1036">
        <f t="shared" si="102"/>
        <v>12.190092592592592</v>
      </c>
      <c r="O1036">
        <f t="shared" si="103"/>
        <v>1020.8675000000001</v>
      </c>
      <c r="P1036">
        <f t="shared" si="104"/>
        <v>0.12980769230769232</v>
      </c>
      <c r="Q1036" t="s">
        <v>4137</v>
      </c>
      <c r="R1036" t="s">
        <v>4138</v>
      </c>
      <c r="S1036">
        <f>YEAR(marketing_data[[#This Row],[Start_date]])</f>
        <v>2023</v>
      </c>
      <c r="T1036" t="str">
        <f>TEXT(marketing_data[[#This Row],[Start_date]],"ddd")</f>
        <v>Sat</v>
      </c>
      <c r="U1036">
        <f>marketing_data[[#This Row],[Cleaned End_date]]-marketing_data[[#This Row],[Start_date]]</f>
        <v>6</v>
      </c>
    </row>
    <row r="1037" spans="1:21" x14ac:dyDescent="0.2">
      <c r="A1037" t="s">
        <v>2153</v>
      </c>
      <c r="B1037" t="s">
        <v>2154</v>
      </c>
      <c r="C1037" s="2">
        <v>45064</v>
      </c>
      <c r="D1037" t="str">
        <f t="shared" si="99"/>
        <v>May</v>
      </c>
      <c r="E1037" s="2">
        <v>45083</v>
      </c>
      <c r="F1037" t="s">
        <v>19</v>
      </c>
      <c r="G1037">
        <v>31105</v>
      </c>
      <c r="H1037">
        <v>416</v>
      </c>
      <c r="I1037">
        <v>60</v>
      </c>
      <c r="J1037" t="b">
        <v>0</v>
      </c>
      <c r="K1037" s="10">
        <v>730.44</v>
      </c>
      <c r="L1037" s="6">
        <f t="shared" si="100"/>
        <v>1.3374055618067834E-2</v>
      </c>
      <c r="M1037">
        <f t="shared" si="101"/>
        <v>1.7558653846153847</v>
      </c>
      <c r="N1037">
        <f t="shared" si="102"/>
        <v>12.174000000000001</v>
      </c>
      <c r="O1037">
        <f t="shared" si="103"/>
        <v>2269.56</v>
      </c>
      <c r="P1037">
        <f t="shared" si="104"/>
        <v>0.14423076923076922</v>
      </c>
      <c r="Q1037" t="s">
        <v>4137</v>
      </c>
      <c r="R1037" t="s">
        <v>4142</v>
      </c>
      <c r="S1037">
        <f>YEAR(marketing_data[[#This Row],[Start_date]])</f>
        <v>2023</v>
      </c>
      <c r="T1037" t="str">
        <f>TEXT(marketing_data[[#This Row],[Start_date]],"ddd")</f>
        <v>Thu</v>
      </c>
      <c r="U1037">
        <f>marketing_data[[#This Row],[Cleaned End_date]]-marketing_data[[#This Row],[Start_date]]</f>
        <v>19</v>
      </c>
    </row>
    <row r="1038" spans="1:21" x14ac:dyDescent="0.2">
      <c r="A1038" t="s">
        <v>2155</v>
      </c>
      <c r="B1038" t="s">
        <v>2156</v>
      </c>
      <c r="C1038" s="2">
        <v>44942</v>
      </c>
      <c r="D1038" t="str">
        <f t="shared" si="99"/>
        <v>Jan</v>
      </c>
      <c r="E1038" s="2">
        <v>44956</v>
      </c>
      <c r="F1038" t="s">
        <v>23</v>
      </c>
      <c r="G1038">
        <v>43101</v>
      </c>
      <c r="H1038">
        <v>1119</v>
      </c>
      <c r="I1038">
        <v>99</v>
      </c>
      <c r="J1038" t="b">
        <v>1</v>
      </c>
      <c r="K1038" s="10">
        <v>1470.92</v>
      </c>
      <c r="L1038" s="6">
        <f t="shared" si="100"/>
        <v>2.5962274657200531E-2</v>
      </c>
      <c r="M1038">
        <f t="shared" si="101"/>
        <v>1.3144950848972297</v>
      </c>
      <c r="N1038">
        <f t="shared" si="102"/>
        <v>14.857777777777779</v>
      </c>
      <c r="O1038">
        <f t="shared" si="103"/>
        <v>3479.08</v>
      </c>
      <c r="P1038">
        <f t="shared" si="104"/>
        <v>8.8471849865951746E-2</v>
      </c>
      <c r="Q1038" t="s">
        <v>4138</v>
      </c>
      <c r="R1038" t="s">
        <v>4138</v>
      </c>
      <c r="S1038">
        <f>YEAR(marketing_data[[#This Row],[Start_date]])</f>
        <v>2023</v>
      </c>
      <c r="T1038" t="str">
        <f>TEXT(marketing_data[[#This Row],[Start_date]],"ddd")</f>
        <v>Mon</v>
      </c>
      <c r="U1038">
        <f>marketing_data[[#This Row],[Cleaned End_date]]-marketing_data[[#This Row],[Start_date]]</f>
        <v>14</v>
      </c>
    </row>
    <row r="1039" spans="1:21" x14ac:dyDescent="0.2">
      <c r="A1039" t="s">
        <v>2157</v>
      </c>
      <c r="B1039" t="s">
        <v>2158</v>
      </c>
      <c r="C1039" s="2">
        <v>45195</v>
      </c>
      <c r="D1039" t="str">
        <f t="shared" si="99"/>
        <v>Sep</v>
      </c>
      <c r="E1039" s="2">
        <v>45199</v>
      </c>
      <c r="F1039" t="s">
        <v>19</v>
      </c>
      <c r="G1039">
        <v>65323</v>
      </c>
      <c r="H1039">
        <v>3031</v>
      </c>
      <c r="I1039">
        <v>515</v>
      </c>
      <c r="J1039" t="b">
        <v>0</v>
      </c>
      <c r="K1039" s="10">
        <v>3215.02</v>
      </c>
      <c r="L1039" s="6">
        <f t="shared" si="100"/>
        <v>4.6400195949359339E-2</v>
      </c>
      <c r="M1039">
        <f t="shared" si="101"/>
        <v>1.0607126360936985</v>
      </c>
      <c r="N1039">
        <f t="shared" si="102"/>
        <v>6.2427572815533976</v>
      </c>
      <c r="O1039">
        <f t="shared" si="103"/>
        <v>22534.98</v>
      </c>
      <c r="P1039">
        <f t="shared" si="104"/>
        <v>0.16991092048828768</v>
      </c>
      <c r="Q1039" t="s">
        <v>4136</v>
      </c>
      <c r="R1039" t="s">
        <v>4142</v>
      </c>
      <c r="S1039">
        <f>YEAR(marketing_data[[#This Row],[Start_date]])</f>
        <v>2023</v>
      </c>
      <c r="T1039" t="str">
        <f>TEXT(marketing_data[[#This Row],[Start_date]],"ddd")</f>
        <v>Tue</v>
      </c>
      <c r="U1039">
        <f>marketing_data[[#This Row],[Cleaned End_date]]-marketing_data[[#This Row],[Start_date]]</f>
        <v>4</v>
      </c>
    </row>
    <row r="1040" spans="1:21" x14ac:dyDescent="0.2">
      <c r="A1040" t="s">
        <v>2160</v>
      </c>
      <c r="B1040" t="s">
        <v>2161</v>
      </c>
      <c r="C1040" s="2">
        <v>45291</v>
      </c>
      <c r="D1040" t="str">
        <f t="shared" si="99"/>
        <v>Dec</v>
      </c>
      <c r="E1040" s="2">
        <v>45309</v>
      </c>
      <c r="F1040" t="s">
        <v>23</v>
      </c>
      <c r="G1040">
        <v>92922</v>
      </c>
      <c r="H1040">
        <v>3932</v>
      </c>
      <c r="I1040">
        <v>569</v>
      </c>
      <c r="J1040" t="b">
        <v>1</v>
      </c>
      <c r="K1040" s="10">
        <v>3631.7599999999998</v>
      </c>
      <c r="L1040" s="6">
        <f t="shared" si="100"/>
        <v>4.2315059942747681E-2</v>
      </c>
      <c r="M1040">
        <f t="shared" si="101"/>
        <v>0.9236419125127161</v>
      </c>
      <c r="N1040">
        <f t="shared" si="102"/>
        <v>6.3827065026362035</v>
      </c>
      <c r="O1040">
        <f t="shared" si="103"/>
        <v>24818.240000000002</v>
      </c>
      <c r="P1040">
        <f t="shared" si="104"/>
        <v>0.14471007121057985</v>
      </c>
      <c r="Q1040" t="s">
        <v>4138</v>
      </c>
      <c r="R1040" t="s">
        <v>4142</v>
      </c>
      <c r="S1040">
        <f>YEAR(marketing_data[[#This Row],[Start_date]])</f>
        <v>2023</v>
      </c>
      <c r="T1040" t="str">
        <f>TEXT(marketing_data[[#This Row],[Start_date]],"ddd")</f>
        <v>Sun</v>
      </c>
      <c r="U1040">
        <f>marketing_data[[#This Row],[Cleaned End_date]]-marketing_data[[#This Row],[Start_date]]</f>
        <v>18</v>
      </c>
    </row>
    <row r="1041" spans="1:21" x14ac:dyDescent="0.2">
      <c r="A1041" t="s">
        <v>2162</v>
      </c>
      <c r="B1041" t="s">
        <v>2163</v>
      </c>
      <c r="C1041" s="2">
        <v>45181</v>
      </c>
      <c r="D1041" t="str">
        <f t="shared" si="99"/>
        <v>Sep</v>
      </c>
      <c r="E1041" s="2">
        <v>45183</v>
      </c>
      <c r="F1041" t="s">
        <v>14</v>
      </c>
      <c r="G1041">
        <v>59067</v>
      </c>
      <c r="H1041">
        <v>1101</v>
      </c>
      <c r="I1041">
        <v>138</v>
      </c>
      <c r="J1041" t="b">
        <v>1</v>
      </c>
      <c r="K1041" s="10">
        <v>570.88</v>
      </c>
      <c r="L1041" s="6">
        <f t="shared" si="100"/>
        <v>1.8639849662247954E-2</v>
      </c>
      <c r="M1041">
        <f t="shared" si="101"/>
        <v>0.51851044504995458</v>
      </c>
      <c r="N1041">
        <f t="shared" si="102"/>
        <v>4.1368115942028982</v>
      </c>
      <c r="O1041">
        <f t="shared" si="103"/>
        <v>6329.12</v>
      </c>
      <c r="P1041">
        <f t="shared" si="104"/>
        <v>0.12534059945504086</v>
      </c>
      <c r="Q1041" t="s">
        <v>4136</v>
      </c>
      <c r="R1041" t="s">
        <v>4141</v>
      </c>
      <c r="S1041">
        <f>YEAR(marketing_data[[#This Row],[Start_date]])</f>
        <v>2023</v>
      </c>
      <c r="T1041" t="str">
        <f>TEXT(marketing_data[[#This Row],[Start_date]],"ddd")</f>
        <v>Tue</v>
      </c>
      <c r="U1041">
        <f>marketing_data[[#This Row],[Cleaned End_date]]-marketing_data[[#This Row],[Start_date]]</f>
        <v>2</v>
      </c>
    </row>
    <row r="1042" spans="1:21" x14ac:dyDescent="0.2">
      <c r="A1042" t="s">
        <v>2164</v>
      </c>
      <c r="B1042" t="s">
        <v>2165</v>
      </c>
      <c r="C1042" s="2">
        <v>45182</v>
      </c>
      <c r="D1042" t="str">
        <f t="shared" si="99"/>
        <v>Sep</v>
      </c>
      <c r="E1042" s="2">
        <v>45190</v>
      </c>
      <c r="F1042" t="s">
        <v>19</v>
      </c>
      <c r="G1042">
        <v>50376</v>
      </c>
      <c r="H1042">
        <v>1443</v>
      </c>
      <c r="I1042">
        <v>85</v>
      </c>
      <c r="J1042" t="b">
        <v>1</v>
      </c>
      <c r="K1042" s="10">
        <v>1030.94</v>
      </c>
      <c r="L1042" s="6">
        <f t="shared" si="100"/>
        <v>2.864459266317294E-2</v>
      </c>
      <c r="M1042">
        <f t="shared" si="101"/>
        <v>0.71444213444213445</v>
      </c>
      <c r="N1042">
        <f t="shared" si="102"/>
        <v>12.128705882352941</v>
      </c>
      <c r="O1042">
        <f t="shared" si="103"/>
        <v>3219.06</v>
      </c>
      <c r="P1042">
        <f t="shared" si="104"/>
        <v>5.8905058905058906E-2</v>
      </c>
      <c r="Q1042" t="s">
        <v>4136</v>
      </c>
      <c r="R1042" t="s">
        <v>4142</v>
      </c>
      <c r="S1042">
        <f>YEAR(marketing_data[[#This Row],[Start_date]])</f>
        <v>2023</v>
      </c>
      <c r="T1042" t="str">
        <f>TEXT(marketing_data[[#This Row],[Start_date]],"ddd")</f>
        <v>Wed</v>
      </c>
      <c r="U1042">
        <f>marketing_data[[#This Row],[Cleaned End_date]]-marketing_data[[#This Row],[Start_date]]</f>
        <v>8</v>
      </c>
    </row>
    <row r="1043" spans="1:21" x14ac:dyDescent="0.2">
      <c r="A1043" t="s">
        <v>2166</v>
      </c>
      <c r="B1043" t="s">
        <v>2167</v>
      </c>
      <c r="C1043" s="2">
        <v>45007</v>
      </c>
      <c r="D1043" t="str">
        <f t="shared" si="99"/>
        <v>Mar</v>
      </c>
      <c r="E1043" s="2">
        <v>45014</v>
      </c>
      <c r="F1043" t="s">
        <v>23</v>
      </c>
      <c r="G1043">
        <v>46587</v>
      </c>
      <c r="H1043">
        <v>1987</v>
      </c>
      <c r="I1043">
        <v>372</v>
      </c>
      <c r="J1043" t="b">
        <v>1</v>
      </c>
      <c r="K1043" s="10">
        <v>3205.91</v>
      </c>
      <c r="L1043" s="6">
        <f t="shared" si="100"/>
        <v>4.2651383433146589E-2</v>
      </c>
      <c r="M1043">
        <f t="shared" si="101"/>
        <v>1.6134423754403622</v>
      </c>
      <c r="N1043">
        <f t="shared" si="102"/>
        <v>8.6180376344086014</v>
      </c>
      <c r="O1043">
        <f t="shared" si="103"/>
        <v>15394.09</v>
      </c>
      <c r="P1043">
        <f t="shared" si="104"/>
        <v>0.1872169099144439</v>
      </c>
      <c r="Q1043" t="s">
        <v>4137</v>
      </c>
      <c r="R1043" t="s">
        <v>4141</v>
      </c>
      <c r="S1043">
        <f>YEAR(marketing_data[[#This Row],[Start_date]])</f>
        <v>2023</v>
      </c>
      <c r="T1043" t="str">
        <f>TEXT(marketing_data[[#This Row],[Start_date]],"ddd")</f>
        <v>Wed</v>
      </c>
      <c r="U1043">
        <f>marketing_data[[#This Row],[Cleaned End_date]]-marketing_data[[#This Row],[Start_date]]</f>
        <v>7</v>
      </c>
    </row>
    <row r="1044" spans="1:21" x14ac:dyDescent="0.2">
      <c r="A1044" t="s">
        <v>2168</v>
      </c>
      <c r="B1044" t="s">
        <v>2169</v>
      </c>
      <c r="C1044" s="2">
        <v>45220</v>
      </c>
      <c r="D1044" t="str">
        <f t="shared" si="99"/>
        <v>Oct</v>
      </c>
      <c r="E1044" s="2">
        <v>45225</v>
      </c>
      <c r="F1044" t="str">
        <f>F1043</f>
        <v>Email</v>
      </c>
      <c r="G1044">
        <v>37976</v>
      </c>
      <c r="H1044">
        <v>482</v>
      </c>
      <c r="I1044">
        <v>68</v>
      </c>
      <c r="J1044" t="b">
        <v>1</v>
      </c>
      <c r="K1044" s="10">
        <v>417.53</v>
      </c>
      <c r="L1044" s="6">
        <f t="shared" si="100"/>
        <v>1.2692226669475459E-2</v>
      </c>
      <c r="M1044">
        <f t="shared" si="101"/>
        <v>0.86624481327800829</v>
      </c>
      <c r="N1044">
        <f t="shared" si="102"/>
        <v>6.140147058823529</v>
      </c>
      <c r="O1044">
        <f t="shared" si="103"/>
        <v>2982.4700000000003</v>
      </c>
      <c r="P1044">
        <f t="shared" si="104"/>
        <v>0.14107883817427386</v>
      </c>
      <c r="Q1044" t="s">
        <v>4136</v>
      </c>
      <c r="R1044" t="s">
        <v>4139</v>
      </c>
      <c r="S1044">
        <f>YEAR(marketing_data[[#This Row],[Start_date]])</f>
        <v>2023</v>
      </c>
      <c r="T1044" t="str">
        <f>TEXT(marketing_data[[#This Row],[Start_date]],"ddd")</f>
        <v>Sat</v>
      </c>
      <c r="U1044">
        <f>marketing_data[[#This Row],[Cleaned End_date]]-marketing_data[[#This Row],[Start_date]]</f>
        <v>5</v>
      </c>
    </row>
    <row r="1045" spans="1:21" x14ac:dyDescent="0.2">
      <c r="A1045" t="s">
        <v>2170</v>
      </c>
      <c r="B1045" t="s">
        <v>2171</v>
      </c>
      <c r="C1045" s="2">
        <v>45187</v>
      </c>
      <c r="D1045" t="str">
        <f t="shared" si="99"/>
        <v>Sep</v>
      </c>
      <c r="E1045" s="2">
        <v>45197</v>
      </c>
      <c r="F1045" t="s">
        <v>33</v>
      </c>
      <c r="G1045">
        <v>68584</v>
      </c>
      <c r="H1045">
        <v>1748</v>
      </c>
      <c r="I1045">
        <v>137</v>
      </c>
      <c r="J1045" t="b">
        <v>0</v>
      </c>
      <c r="K1045" s="10">
        <v>2441.98</v>
      </c>
      <c r="L1045" s="6">
        <f t="shared" si="100"/>
        <v>2.5486994051090634E-2</v>
      </c>
      <c r="M1045">
        <f t="shared" si="101"/>
        <v>1.3970137299771168</v>
      </c>
      <c r="N1045">
        <f t="shared" si="102"/>
        <v>17.824671532846715</v>
      </c>
      <c r="O1045">
        <f t="shared" si="103"/>
        <v>4408.0200000000004</v>
      </c>
      <c r="P1045">
        <f t="shared" si="104"/>
        <v>7.8375286041189929E-2</v>
      </c>
      <c r="Q1045" t="s">
        <v>4136</v>
      </c>
      <c r="R1045" t="s">
        <v>4138</v>
      </c>
      <c r="S1045">
        <f>YEAR(marketing_data[[#This Row],[Start_date]])</f>
        <v>2023</v>
      </c>
      <c r="T1045" t="str">
        <f>TEXT(marketing_data[[#This Row],[Start_date]],"ddd")</f>
        <v>Mon</v>
      </c>
      <c r="U1045">
        <f>marketing_data[[#This Row],[Cleaned End_date]]-marketing_data[[#This Row],[Start_date]]</f>
        <v>10</v>
      </c>
    </row>
    <row r="1046" spans="1:21" x14ac:dyDescent="0.2">
      <c r="A1046" t="s">
        <v>2173</v>
      </c>
      <c r="B1046" t="s">
        <v>2174</v>
      </c>
      <c r="C1046" s="2">
        <v>44933</v>
      </c>
      <c r="D1046" t="str">
        <f t="shared" si="99"/>
        <v>Jan</v>
      </c>
      <c r="E1046" s="2">
        <v>44938</v>
      </c>
      <c r="F1046" t="s">
        <v>23</v>
      </c>
      <c r="G1046">
        <v>79477</v>
      </c>
      <c r="H1046">
        <v>3502</v>
      </c>
      <c r="I1046">
        <v>493</v>
      </c>
      <c r="J1046" t="b">
        <v>1</v>
      </c>
      <c r="K1046" s="10">
        <v>3631.7599999999998</v>
      </c>
      <c r="L1046" s="6">
        <f t="shared" si="100"/>
        <v>4.4063062269587429E-2</v>
      </c>
      <c r="M1046">
        <f t="shared" si="101"/>
        <v>1.0370531125071387</v>
      </c>
      <c r="N1046">
        <f t="shared" si="102"/>
        <v>7.3666531440162268</v>
      </c>
      <c r="O1046">
        <f t="shared" si="103"/>
        <v>21018.240000000002</v>
      </c>
      <c r="P1046">
        <f t="shared" si="104"/>
        <v>0.14077669902912621</v>
      </c>
      <c r="Q1046" t="s">
        <v>4138</v>
      </c>
      <c r="R1046" t="s">
        <v>4141</v>
      </c>
      <c r="S1046">
        <f>YEAR(marketing_data[[#This Row],[Start_date]])</f>
        <v>2023</v>
      </c>
      <c r="T1046" t="str">
        <f>TEXT(marketing_data[[#This Row],[Start_date]],"ddd")</f>
        <v>Sat</v>
      </c>
      <c r="U1046">
        <f>marketing_data[[#This Row],[Cleaned End_date]]-marketing_data[[#This Row],[Start_date]]</f>
        <v>5</v>
      </c>
    </row>
    <row r="1047" spans="1:21" x14ac:dyDescent="0.2">
      <c r="A1047" t="s">
        <v>2175</v>
      </c>
      <c r="B1047" t="s">
        <v>2176</v>
      </c>
      <c r="C1047" s="2">
        <v>45123</v>
      </c>
      <c r="D1047" t="str">
        <f t="shared" si="99"/>
        <v>Jul</v>
      </c>
      <c r="E1047" s="2">
        <v>45147</v>
      </c>
      <c r="F1047" t="s">
        <v>23</v>
      </c>
      <c r="G1047">
        <v>43533</v>
      </c>
      <c r="H1047">
        <v>1138</v>
      </c>
      <c r="I1047">
        <v>172</v>
      </c>
      <c r="J1047" t="b">
        <v>1</v>
      </c>
      <c r="K1047" s="10">
        <v>2028.15</v>
      </c>
      <c r="L1047" s="6">
        <f t="shared" si="100"/>
        <v>2.6141088369742493E-2</v>
      </c>
      <c r="M1047">
        <f t="shared" si="101"/>
        <v>1.7822056239015818</v>
      </c>
      <c r="N1047">
        <f t="shared" si="102"/>
        <v>11.79156976744186</v>
      </c>
      <c r="O1047">
        <f t="shared" si="103"/>
        <v>6571.85</v>
      </c>
      <c r="P1047">
        <f t="shared" si="104"/>
        <v>0.15114235500878734</v>
      </c>
      <c r="Q1047" t="s">
        <v>4139</v>
      </c>
      <c r="R1047" t="s">
        <v>4142</v>
      </c>
      <c r="S1047">
        <f>YEAR(marketing_data[[#This Row],[Start_date]])</f>
        <v>2023</v>
      </c>
      <c r="T1047" t="str">
        <f>TEXT(marketing_data[[#This Row],[Start_date]],"ddd")</f>
        <v>Sun</v>
      </c>
      <c r="U1047">
        <f>marketing_data[[#This Row],[Cleaned End_date]]-marketing_data[[#This Row],[Start_date]]</f>
        <v>24</v>
      </c>
    </row>
    <row r="1048" spans="1:21" x14ac:dyDescent="0.2">
      <c r="A1048" t="s">
        <v>2177</v>
      </c>
      <c r="B1048" t="s">
        <v>2178</v>
      </c>
      <c r="C1048" s="2">
        <v>44945</v>
      </c>
      <c r="D1048" t="str">
        <f t="shared" si="99"/>
        <v>Jan</v>
      </c>
      <c r="E1048" s="2">
        <v>44968</v>
      </c>
      <c r="F1048" t="s">
        <v>14</v>
      </c>
      <c r="G1048">
        <v>2828</v>
      </c>
      <c r="H1048">
        <v>37</v>
      </c>
      <c r="I1048">
        <v>4</v>
      </c>
      <c r="J1048" t="b">
        <v>0</v>
      </c>
      <c r="K1048" s="10">
        <v>329.13249999999999</v>
      </c>
      <c r="L1048" s="6">
        <f t="shared" si="100"/>
        <v>1.3083451202263084E-2</v>
      </c>
      <c r="M1048">
        <f t="shared" si="101"/>
        <v>8.8954729729729731</v>
      </c>
      <c r="N1048">
        <f t="shared" si="102"/>
        <v>82.283124999999998</v>
      </c>
      <c r="O1048">
        <f t="shared" si="103"/>
        <v>-129.13249999999999</v>
      </c>
      <c r="P1048">
        <f t="shared" si="104"/>
        <v>0.10810810810810811</v>
      </c>
      <c r="Q1048" t="s">
        <v>4138</v>
      </c>
      <c r="R1048" t="s">
        <v>4142</v>
      </c>
      <c r="S1048">
        <f>YEAR(marketing_data[[#This Row],[Start_date]])</f>
        <v>2023</v>
      </c>
      <c r="T1048" t="str">
        <f>TEXT(marketing_data[[#This Row],[Start_date]],"ddd")</f>
        <v>Thu</v>
      </c>
      <c r="U1048">
        <f>marketing_data[[#This Row],[Cleaned End_date]]-marketing_data[[#This Row],[Start_date]]</f>
        <v>23</v>
      </c>
    </row>
    <row r="1049" spans="1:21" x14ac:dyDescent="0.2">
      <c r="A1049" t="s">
        <v>2179</v>
      </c>
      <c r="B1049" t="s">
        <v>2180</v>
      </c>
      <c r="C1049" s="2">
        <v>45262</v>
      </c>
      <c r="D1049" t="str">
        <f t="shared" si="99"/>
        <v>Dec</v>
      </c>
      <c r="E1049" s="2">
        <v>45275</v>
      </c>
      <c r="F1049" t="s">
        <v>14</v>
      </c>
      <c r="G1049">
        <v>2917</v>
      </c>
      <c r="H1049">
        <v>92</v>
      </c>
      <c r="I1049">
        <v>14</v>
      </c>
      <c r="J1049" t="b">
        <v>1</v>
      </c>
      <c r="K1049" s="10">
        <v>329.13249999999999</v>
      </c>
      <c r="L1049" s="6">
        <f t="shared" si="100"/>
        <v>3.1539252656839219E-2</v>
      </c>
      <c r="M1049">
        <f t="shared" si="101"/>
        <v>3.5775271739130434</v>
      </c>
      <c r="N1049">
        <f t="shared" si="102"/>
        <v>23.509464285714284</v>
      </c>
      <c r="O1049">
        <f t="shared" si="103"/>
        <v>370.86750000000001</v>
      </c>
      <c r="P1049">
        <f t="shared" si="104"/>
        <v>0.15217391304347827</v>
      </c>
      <c r="Q1049" t="s">
        <v>4138</v>
      </c>
      <c r="R1049" t="s">
        <v>4139</v>
      </c>
      <c r="S1049">
        <f>YEAR(marketing_data[[#This Row],[Start_date]])</f>
        <v>2023</v>
      </c>
      <c r="T1049" t="str">
        <f>TEXT(marketing_data[[#This Row],[Start_date]],"ddd")</f>
        <v>Sat</v>
      </c>
      <c r="U1049">
        <f>marketing_data[[#This Row],[Cleaned End_date]]-marketing_data[[#This Row],[Start_date]]</f>
        <v>13</v>
      </c>
    </row>
    <row r="1050" spans="1:21" x14ac:dyDescent="0.2">
      <c r="A1050" t="s">
        <v>2181</v>
      </c>
      <c r="B1050" t="s">
        <v>2182</v>
      </c>
      <c r="C1050" s="2">
        <v>45140</v>
      </c>
      <c r="D1050" t="str">
        <f t="shared" si="99"/>
        <v>Aug</v>
      </c>
      <c r="E1050" s="2">
        <v>45141</v>
      </c>
      <c r="F1050" t="s">
        <v>19</v>
      </c>
      <c r="G1050">
        <v>21618</v>
      </c>
      <c r="H1050">
        <v>961</v>
      </c>
      <c r="I1050">
        <v>131</v>
      </c>
      <c r="J1050" t="b">
        <v>1</v>
      </c>
      <c r="K1050" s="10">
        <v>870.6</v>
      </c>
      <c r="L1050" s="6">
        <f t="shared" si="100"/>
        <v>4.4453695994079008E-2</v>
      </c>
      <c r="M1050">
        <f t="shared" si="101"/>
        <v>0.90593132154006251</v>
      </c>
      <c r="N1050">
        <f t="shared" si="102"/>
        <v>6.6458015267175572</v>
      </c>
      <c r="O1050">
        <f t="shared" si="103"/>
        <v>5679.4</v>
      </c>
      <c r="P1050">
        <f t="shared" si="104"/>
        <v>0.13631633714880334</v>
      </c>
      <c r="Q1050" t="s">
        <v>4139</v>
      </c>
      <c r="R1050" t="s">
        <v>4142</v>
      </c>
      <c r="S1050">
        <f>YEAR(marketing_data[[#This Row],[Start_date]])</f>
        <v>2023</v>
      </c>
      <c r="T1050" t="str">
        <f>TEXT(marketing_data[[#This Row],[Start_date]],"ddd")</f>
        <v>Wed</v>
      </c>
      <c r="U1050">
        <f>marketing_data[[#This Row],[Cleaned End_date]]-marketing_data[[#This Row],[Start_date]]</f>
        <v>1</v>
      </c>
    </row>
    <row r="1051" spans="1:21" x14ac:dyDescent="0.2">
      <c r="A1051" t="s">
        <v>2183</v>
      </c>
      <c r="B1051" t="s">
        <v>2184</v>
      </c>
      <c r="C1051" s="2">
        <v>44966</v>
      </c>
      <c r="D1051" t="str">
        <f t="shared" si="99"/>
        <v>Feb</v>
      </c>
      <c r="E1051" s="2">
        <v>44978</v>
      </c>
      <c r="F1051" t="s">
        <v>33</v>
      </c>
      <c r="G1051">
        <v>33254</v>
      </c>
      <c r="H1051">
        <v>1117</v>
      </c>
      <c r="I1051">
        <v>214</v>
      </c>
      <c r="J1051" t="b">
        <v>0</v>
      </c>
      <c r="K1051" s="10">
        <v>883.82</v>
      </c>
      <c r="L1051" s="6">
        <f t="shared" si="100"/>
        <v>3.3589944066879172E-2</v>
      </c>
      <c r="M1051">
        <f t="shared" si="101"/>
        <v>0.79124440465532686</v>
      </c>
      <c r="N1051">
        <f t="shared" si="102"/>
        <v>4.13</v>
      </c>
      <c r="O1051">
        <f t="shared" si="103"/>
        <v>9816.18</v>
      </c>
      <c r="P1051">
        <f t="shared" si="104"/>
        <v>0.19158460161145927</v>
      </c>
      <c r="Q1051" t="s">
        <v>4138</v>
      </c>
      <c r="R1051" t="s">
        <v>4141</v>
      </c>
      <c r="S1051">
        <f>YEAR(marketing_data[[#This Row],[Start_date]])</f>
        <v>2023</v>
      </c>
      <c r="T1051" t="str">
        <f>TEXT(marketing_data[[#This Row],[Start_date]],"ddd")</f>
        <v>Thu</v>
      </c>
      <c r="U1051">
        <f>marketing_data[[#This Row],[Cleaned End_date]]-marketing_data[[#This Row],[Start_date]]</f>
        <v>12</v>
      </c>
    </row>
    <row r="1052" spans="1:21" x14ac:dyDescent="0.2">
      <c r="A1052" t="s">
        <v>2185</v>
      </c>
      <c r="B1052" t="s">
        <v>2186</v>
      </c>
      <c r="C1052" s="2">
        <v>45271</v>
      </c>
      <c r="D1052" t="str">
        <f t="shared" si="99"/>
        <v>Dec</v>
      </c>
      <c r="E1052" s="2">
        <v>45273</v>
      </c>
      <c r="F1052" t="s">
        <v>23</v>
      </c>
      <c r="G1052">
        <v>48362</v>
      </c>
      <c r="H1052">
        <v>921</v>
      </c>
      <c r="I1052">
        <v>53</v>
      </c>
      <c r="J1052" t="b">
        <v>1</v>
      </c>
      <c r="K1052" s="10">
        <v>1115.93</v>
      </c>
      <c r="L1052" s="6">
        <f t="shared" si="100"/>
        <v>1.9043877424424135E-2</v>
      </c>
      <c r="M1052">
        <f t="shared" si="101"/>
        <v>1.2116503800217155</v>
      </c>
      <c r="N1052">
        <f t="shared" si="102"/>
        <v>21.055283018867925</v>
      </c>
      <c r="O1052">
        <f t="shared" si="103"/>
        <v>1534.07</v>
      </c>
      <c r="P1052">
        <f t="shared" si="104"/>
        <v>5.7546145494028228E-2</v>
      </c>
      <c r="Q1052" t="s">
        <v>4138</v>
      </c>
      <c r="R1052" t="s">
        <v>4139</v>
      </c>
      <c r="S1052">
        <f>YEAR(marketing_data[[#This Row],[Start_date]])</f>
        <v>2023</v>
      </c>
      <c r="T1052" t="str">
        <f>TEXT(marketing_data[[#This Row],[Start_date]],"ddd")</f>
        <v>Mon</v>
      </c>
      <c r="U1052">
        <f>marketing_data[[#This Row],[Cleaned End_date]]-marketing_data[[#This Row],[Start_date]]</f>
        <v>2</v>
      </c>
    </row>
    <row r="1053" spans="1:21" x14ac:dyDescent="0.2">
      <c r="A1053" t="s">
        <v>2187</v>
      </c>
      <c r="B1053" t="s">
        <v>2188</v>
      </c>
      <c r="C1053" s="2">
        <v>45191</v>
      </c>
      <c r="D1053" t="str">
        <f t="shared" si="99"/>
        <v>Sep</v>
      </c>
      <c r="E1053" s="2">
        <v>45208</v>
      </c>
      <c r="F1053" t="s">
        <v>41</v>
      </c>
      <c r="G1053">
        <v>21128</v>
      </c>
      <c r="H1053">
        <v>536</v>
      </c>
      <c r="I1053">
        <v>35</v>
      </c>
      <c r="J1053" t="b">
        <v>1</v>
      </c>
      <c r="K1053" s="10">
        <v>329.13249999999999</v>
      </c>
      <c r="L1053" s="6">
        <f t="shared" si="100"/>
        <v>2.5369178341537298E-2</v>
      </c>
      <c r="M1053">
        <f t="shared" si="101"/>
        <v>0.61405317164179107</v>
      </c>
      <c r="N1053">
        <f t="shared" si="102"/>
        <v>9.4037857142857142</v>
      </c>
      <c r="O1053">
        <f t="shared" si="103"/>
        <v>1420.8675000000001</v>
      </c>
      <c r="P1053">
        <f t="shared" si="104"/>
        <v>6.5298507462686561E-2</v>
      </c>
      <c r="Q1053" t="s">
        <v>4136</v>
      </c>
      <c r="R1053" t="s">
        <v>4138</v>
      </c>
      <c r="S1053">
        <f>YEAR(marketing_data[[#This Row],[Start_date]])</f>
        <v>2023</v>
      </c>
      <c r="T1053" t="str">
        <f>TEXT(marketing_data[[#This Row],[Start_date]],"ddd")</f>
        <v>Fri</v>
      </c>
      <c r="U1053">
        <f>marketing_data[[#This Row],[Cleaned End_date]]-marketing_data[[#This Row],[Start_date]]</f>
        <v>17</v>
      </c>
    </row>
    <row r="1054" spans="1:21" x14ac:dyDescent="0.2">
      <c r="A1054" t="s">
        <v>2189</v>
      </c>
      <c r="B1054" t="s">
        <v>2190</v>
      </c>
      <c r="C1054" s="2">
        <v>44962</v>
      </c>
      <c r="D1054" t="str">
        <f t="shared" si="99"/>
        <v>Feb</v>
      </c>
      <c r="E1054" s="2">
        <v>44988</v>
      </c>
      <c r="F1054" t="s">
        <v>19</v>
      </c>
      <c r="G1054">
        <v>60383</v>
      </c>
      <c r="H1054">
        <v>1691</v>
      </c>
      <c r="I1054">
        <v>128</v>
      </c>
      <c r="J1054" t="b">
        <v>0</v>
      </c>
      <c r="K1054" s="10">
        <v>910.97</v>
      </c>
      <c r="L1054" s="6">
        <f t="shared" si="100"/>
        <v>2.8004570822913733E-2</v>
      </c>
      <c r="M1054">
        <f t="shared" si="101"/>
        <v>0.53871673565937317</v>
      </c>
      <c r="N1054">
        <f t="shared" si="102"/>
        <v>7.1169531250000002</v>
      </c>
      <c r="O1054">
        <f t="shared" si="103"/>
        <v>5489.03</v>
      </c>
      <c r="P1054">
        <f t="shared" si="104"/>
        <v>7.5694855115316387E-2</v>
      </c>
      <c r="Q1054" t="s">
        <v>4138</v>
      </c>
      <c r="R1054" t="s">
        <v>4138</v>
      </c>
      <c r="S1054">
        <f>YEAR(marketing_data[[#This Row],[Start_date]])</f>
        <v>2023</v>
      </c>
      <c r="T1054" t="str">
        <f>TEXT(marketing_data[[#This Row],[Start_date]],"ddd")</f>
        <v>Sun</v>
      </c>
      <c r="U1054">
        <f>marketing_data[[#This Row],[Cleaned End_date]]-marketing_data[[#This Row],[Start_date]]</f>
        <v>26</v>
      </c>
    </row>
    <row r="1055" spans="1:21" x14ac:dyDescent="0.2">
      <c r="A1055" t="s">
        <v>2191</v>
      </c>
      <c r="B1055" t="s">
        <v>2192</v>
      </c>
      <c r="C1055" s="2">
        <v>45086</v>
      </c>
      <c r="D1055" t="str">
        <f t="shared" si="99"/>
        <v>Jun</v>
      </c>
      <c r="E1055" s="2">
        <v>45087</v>
      </c>
      <c r="F1055" t="s">
        <v>41</v>
      </c>
      <c r="G1055">
        <v>66545</v>
      </c>
      <c r="H1055">
        <v>2207</v>
      </c>
      <c r="I1055">
        <v>338</v>
      </c>
      <c r="J1055" t="b">
        <v>1</v>
      </c>
      <c r="K1055" s="10">
        <v>2935.17</v>
      </c>
      <c r="L1055" s="6">
        <f t="shared" si="100"/>
        <v>3.3165527086933655E-2</v>
      </c>
      <c r="M1055">
        <f t="shared" si="101"/>
        <v>1.3299365654734934</v>
      </c>
      <c r="N1055">
        <f t="shared" si="102"/>
        <v>8.6839349112426039</v>
      </c>
      <c r="O1055">
        <f t="shared" si="103"/>
        <v>13964.83</v>
      </c>
      <c r="P1055">
        <f t="shared" si="104"/>
        <v>0.15314907113729043</v>
      </c>
      <c r="Q1055" t="s">
        <v>4139</v>
      </c>
      <c r="R1055" t="s">
        <v>4142</v>
      </c>
      <c r="S1055">
        <f>YEAR(marketing_data[[#This Row],[Start_date]])</f>
        <v>2023</v>
      </c>
      <c r="T1055" t="str">
        <f>TEXT(marketing_data[[#This Row],[Start_date]],"ddd")</f>
        <v>Fri</v>
      </c>
      <c r="U1055">
        <f>marketing_data[[#This Row],[Cleaned End_date]]-marketing_data[[#This Row],[Start_date]]</f>
        <v>1</v>
      </c>
    </row>
    <row r="1056" spans="1:21" x14ac:dyDescent="0.2">
      <c r="A1056" t="s">
        <v>2193</v>
      </c>
      <c r="B1056" t="s">
        <v>2194</v>
      </c>
      <c r="C1056" s="2">
        <v>44931</v>
      </c>
      <c r="D1056" t="str">
        <f t="shared" si="99"/>
        <v>Jan</v>
      </c>
      <c r="E1056" s="2">
        <v>44935</v>
      </c>
      <c r="F1056" t="s">
        <v>41</v>
      </c>
      <c r="G1056">
        <v>83180</v>
      </c>
      <c r="H1056">
        <v>3358</v>
      </c>
      <c r="I1056">
        <v>493</v>
      </c>
      <c r="J1056" t="b">
        <v>1</v>
      </c>
      <c r="K1056" s="10">
        <v>3631.7599999999998</v>
      </c>
      <c r="L1056" s="6">
        <f t="shared" si="100"/>
        <v>4.0370281317624428E-2</v>
      </c>
      <c r="M1056">
        <f t="shared" si="101"/>
        <v>1.0815247170935081</v>
      </c>
      <c r="N1056">
        <f t="shared" si="102"/>
        <v>7.3666531440162268</v>
      </c>
      <c r="O1056">
        <f t="shared" si="103"/>
        <v>21018.240000000002</v>
      </c>
      <c r="P1056">
        <f t="shared" si="104"/>
        <v>0.14681357951161406</v>
      </c>
      <c r="Q1056" t="s">
        <v>4138</v>
      </c>
      <c r="R1056" t="s">
        <v>4141</v>
      </c>
      <c r="S1056">
        <f>YEAR(marketing_data[[#This Row],[Start_date]])</f>
        <v>2023</v>
      </c>
      <c r="T1056" t="str">
        <f>TEXT(marketing_data[[#This Row],[Start_date]],"ddd")</f>
        <v>Thu</v>
      </c>
      <c r="U1056">
        <f>marketing_data[[#This Row],[Cleaned End_date]]-marketing_data[[#This Row],[Start_date]]</f>
        <v>4</v>
      </c>
    </row>
    <row r="1057" spans="1:21" x14ac:dyDescent="0.2">
      <c r="A1057" t="s">
        <v>2195</v>
      </c>
      <c r="B1057" t="s">
        <v>2196</v>
      </c>
      <c r="C1057" s="2">
        <v>45082</v>
      </c>
      <c r="D1057" t="str">
        <f t="shared" si="99"/>
        <v>Jun</v>
      </c>
      <c r="E1057" s="2">
        <v>45099</v>
      </c>
      <c r="F1057" t="s">
        <v>33</v>
      </c>
      <c r="G1057">
        <v>88958</v>
      </c>
      <c r="H1057">
        <v>1241</v>
      </c>
      <c r="I1057">
        <v>228</v>
      </c>
      <c r="J1057" t="b">
        <v>0</v>
      </c>
      <c r="K1057" s="10">
        <v>2471.91</v>
      </c>
      <c r="L1057" s="6">
        <f t="shared" si="100"/>
        <v>1.3950403561231143E-2</v>
      </c>
      <c r="M1057">
        <f t="shared" si="101"/>
        <v>1.9918694601128122</v>
      </c>
      <c r="N1057">
        <f t="shared" si="102"/>
        <v>10.841710526315788</v>
      </c>
      <c r="O1057">
        <f t="shared" si="103"/>
        <v>8928.09</v>
      </c>
      <c r="P1057">
        <f t="shared" si="104"/>
        <v>0.18372280419016923</v>
      </c>
      <c r="Q1057" t="s">
        <v>4139</v>
      </c>
      <c r="R1057" t="s">
        <v>4142</v>
      </c>
      <c r="S1057">
        <f>YEAR(marketing_data[[#This Row],[Start_date]])</f>
        <v>2023</v>
      </c>
      <c r="T1057" t="str">
        <f>TEXT(marketing_data[[#This Row],[Start_date]],"ddd")</f>
        <v>Mon</v>
      </c>
      <c r="U1057">
        <f>marketing_data[[#This Row],[Cleaned End_date]]-marketing_data[[#This Row],[Start_date]]</f>
        <v>17</v>
      </c>
    </row>
    <row r="1058" spans="1:21" x14ac:dyDescent="0.2">
      <c r="A1058" t="s">
        <v>2197</v>
      </c>
      <c r="B1058" t="s">
        <v>2198</v>
      </c>
      <c r="C1058" s="2">
        <v>45115</v>
      </c>
      <c r="D1058" t="str">
        <f t="shared" si="99"/>
        <v>Jul</v>
      </c>
      <c r="E1058" s="2">
        <v>45137</v>
      </c>
      <c r="F1058" t="s">
        <v>14</v>
      </c>
      <c r="G1058">
        <v>10865</v>
      </c>
      <c r="H1058">
        <v>495</v>
      </c>
      <c r="I1058">
        <v>79</v>
      </c>
      <c r="J1058" t="b">
        <v>0</v>
      </c>
      <c r="K1058" s="10">
        <v>397.37</v>
      </c>
      <c r="L1058" s="6">
        <f t="shared" si="100"/>
        <v>4.5559134836631383E-2</v>
      </c>
      <c r="M1058">
        <f t="shared" si="101"/>
        <v>0.8027676767676768</v>
      </c>
      <c r="N1058">
        <f t="shared" si="102"/>
        <v>5.03</v>
      </c>
      <c r="O1058">
        <f t="shared" si="103"/>
        <v>3552.63</v>
      </c>
      <c r="P1058">
        <f t="shared" si="104"/>
        <v>0.1595959595959596</v>
      </c>
      <c r="Q1058" t="s">
        <v>4139</v>
      </c>
      <c r="R1058" t="s">
        <v>4142</v>
      </c>
      <c r="S1058">
        <f>YEAR(marketing_data[[#This Row],[Start_date]])</f>
        <v>2023</v>
      </c>
      <c r="T1058" t="str">
        <f>TEXT(marketing_data[[#This Row],[Start_date]],"ddd")</f>
        <v>Sat</v>
      </c>
      <c r="U1058">
        <f>marketing_data[[#This Row],[Cleaned End_date]]-marketing_data[[#This Row],[Start_date]]</f>
        <v>22</v>
      </c>
    </row>
    <row r="1059" spans="1:21" x14ac:dyDescent="0.2">
      <c r="A1059" t="s">
        <v>2199</v>
      </c>
      <c r="B1059" t="s">
        <v>2200</v>
      </c>
      <c r="C1059" s="2">
        <v>45027</v>
      </c>
      <c r="D1059" t="str">
        <f t="shared" si="99"/>
        <v>Apr</v>
      </c>
      <c r="E1059" s="2">
        <v>45036</v>
      </c>
      <c r="F1059" t="s">
        <v>19</v>
      </c>
      <c r="G1059">
        <v>3219</v>
      </c>
      <c r="H1059">
        <v>33</v>
      </c>
      <c r="I1059">
        <v>4</v>
      </c>
      <c r="J1059" t="b">
        <v>1</v>
      </c>
      <c r="K1059" s="10">
        <v>329.13249999999999</v>
      </c>
      <c r="L1059" s="6">
        <f t="shared" si="100"/>
        <v>1.0251630941286114E-2</v>
      </c>
      <c r="M1059">
        <f t="shared" si="101"/>
        <v>9.9737121212121203</v>
      </c>
      <c r="N1059">
        <f t="shared" si="102"/>
        <v>82.283124999999998</v>
      </c>
      <c r="O1059">
        <f t="shared" si="103"/>
        <v>-129.13249999999999</v>
      </c>
      <c r="P1059">
        <f t="shared" si="104"/>
        <v>0.12121212121212122</v>
      </c>
      <c r="Q1059" t="s">
        <v>4137</v>
      </c>
      <c r="R1059" t="s">
        <v>4138</v>
      </c>
      <c r="S1059">
        <f>YEAR(marketing_data[[#This Row],[Start_date]])</f>
        <v>2023</v>
      </c>
      <c r="T1059" t="str">
        <f>TEXT(marketing_data[[#This Row],[Start_date]],"ddd")</f>
        <v>Tue</v>
      </c>
      <c r="U1059">
        <f>marketing_data[[#This Row],[Cleaned End_date]]-marketing_data[[#This Row],[Start_date]]</f>
        <v>9</v>
      </c>
    </row>
    <row r="1060" spans="1:21" x14ac:dyDescent="0.2">
      <c r="A1060" t="s">
        <v>2201</v>
      </c>
      <c r="B1060" t="s">
        <v>2202</v>
      </c>
      <c r="C1060" s="2">
        <v>45052</v>
      </c>
      <c r="D1060" t="str">
        <f t="shared" si="99"/>
        <v>May</v>
      </c>
      <c r="E1060" s="2">
        <v>45071</v>
      </c>
      <c r="F1060" t="s">
        <v>41</v>
      </c>
      <c r="G1060">
        <v>40809</v>
      </c>
      <c r="H1060">
        <v>1012</v>
      </c>
      <c r="I1060">
        <v>201</v>
      </c>
      <c r="J1060" t="b">
        <v>0</v>
      </c>
      <c r="K1060" s="10">
        <v>678.35</v>
      </c>
      <c r="L1060" s="6">
        <f t="shared" si="100"/>
        <v>2.4798451322012301E-2</v>
      </c>
      <c r="M1060">
        <f t="shared" si="101"/>
        <v>0.67030632411067192</v>
      </c>
      <c r="N1060">
        <f t="shared" si="102"/>
        <v>3.3748756218905474</v>
      </c>
      <c r="O1060">
        <f t="shared" si="103"/>
        <v>9371.65</v>
      </c>
      <c r="P1060">
        <f t="shared" si="104"/>
        <v>0.19861660079051383</v>
      </c>
      <c r="Q1060" t="s">
        <v>4137</v>
      </c>
      <c r="R1060" t="s">
        <v>4141</v>
      </c>
      <c r="S1060">
        <f>YEAR(marketing_data[[#This Row],[Start_date]])</f>
        <v>2023</v>
      </c>
      <c r="T1060" t="str">
        <f>TEXT(marketing_data[[#This Row],[Start_date]],"ddd")</f>
        <v>Sat</v>
      </c>
      <c r="U1060">
        <f>marketing_data[[#This Row],[Cleaned End_date]]-marketing_data[[#This Row],[Start_date]]</f>
        <v>19</v>
      </c>
    </row>
    <row r="1061" spans="1:21" x14ac:dyDescent="0.2">
      <c r="A1061" t="s">
        <v>2203</v>
      </c>
      <c r="B1061" t="s">
        <v>2204</v>
      </c>
      <c r="C1061" s="2">
        <v>44939</v>
      </c>
      <c r="D1061" t="str">
        <f t="shared" si="99"/>
        <v>Jan</v>
      </c>
      <c r="E1061" s="2">
        <v>44956</v>
      </c>
      <c r="F1061" t="s">
        <v>19</v>
      </c>
      <c r="G1061">
        <v>6287</v>
      </c>
      <c r="H1061">
        <v>69</v>
      </c>
      <c r="I1061">
        <v>6</v>
      </c>
      <c r="J1061" t="b">
        <v>1</v>
      </c>
      <c r="K1061" s="10">
        <v>329.13249999999999</v>
      </c>
      <c r="L1061" s="6">
        <f t="shared" si="100"/>
        <v>1.0975027835215524E-2</v>
      </c>
      <c r="M1061">
        <f t="shared" si="101"/>
        <v>4.7700362318840579</v>
      </c>
      <c r="N1061">
        <f t="shared" si="102"/>
        <v>54.855416666666663</v>
      </c>
      <c r="O1061">
        <f t="shared" si="103"/>
        <v>-29.132499999999993</v>
      </c>
      <c r="P1061">
        <f t="shared" si="104"/>
        <v>8.6956521739130432E-2</v>
      </c>
      <c r="Q1061" t="s">
        <v>4138</v>
      </c>
      <c r="R1061" t="s">
        <v>4142</v>
      </c>
      <c r="S1061">
        <f>YEAR(marketing_data[[#This Row],[Start_date]])</f>
        <v>2023</v>
      </c>
      <c r="T1061" t="str">
        <f>TEXT(marketing_data[[#This Row],[Start_date]],"ddd")</f>
        <v>Fri</v>
      </c>
      <c r="U1061">
        <f>marketing_data[[#This Row],[Cleaned End_date]]-marketing_data[[#This Row],[Start_date]]</f>
        <v>17</v>
      </c>
    </row>
    <row r="1062" spans="1:21" x14ac:dyDescent="0.2">
      <c r="A1062" t="s">
        <v>2205</v>
      </c>
      <c r="B1062" t="s">
        <v>2206</v>
      </c>
      <c r="C1062" s="2">
        <v>45282</v>
      </c>
      <c r="D1062" t="str">
        <f t="shared" si="99"/>
        <v>Dec</v>
      </c>
      <c r="E1062" s="2">
        <v>45283</v>
      </c>
      <c r="F1062" t="s">
        <v>19</v>
      </c>
      <c r="G1062">
        <v>35387</v>
      </c>
      <c r="H1062">
        <v>910</v>
      </c>
      <c r="I1062">
        <v>159</v>
      </c>
      <c r="J1062" t="b">
        <v>0</v>
      </c>
      <c r="K1062" s="10">
        <v>1516.71</v>
      </c>
      <c r="L1062" s="6">
        <f t="shared" si="100"/>
        <v>2.5715658292593327E-2</v>
      </c>
      <c r="M1062">
        <f t="shared" si="101"/>
        <v>1.6667142857142858</v>
      </c>
      <c r="N1062">
        <f t="shared" si="102"/>
        <v>9.5390566037735844</v>
      </c>
      <c r="O1062">
        <f t="shared" si="103"/>
        <v>6433.29</v>
      </c>
      <c r="P1062">
        <f t="shared" si="104"/>
        <v>0.17472527472527472</v>
      </c>
      <c r="Q1062" t="s">
        <v>4138</v>
      </c>
      <c r="R1062" t="s">
        <v>4138</v>
      </c>
      <c r="S1062">
        <f>YEAR(marketing_data[[#This Row],[Start_date]])</f>
        <v>2023</v>
      </c>
      <c r="T1062" t="str">
        <f>TEXT(marketing_data[[#This Row],[Start_date]],"ddd")</f>
        <v>Fri</v>
      </c>
      <c r="U1062">
        <f>marketing_data[[#This Row],[Cleaned End_date]]-marketing_data[[#This Row],[Start_date]]</f>
        <v>1</v>
      </c>
    </row>
    <row r="1063" spans="1:21" x14ac:dyDescent="0.2">
      <c r="A1063" t="s">
        <v>2207</v>
      </c>
      <c r="B1063" t="s">
        <v>2208</v>
      </c>
      <c r="C1063" s="2">
        <v>44927</v>
      </c>
      <c r="D1063" t="str">
        <f t="shared" si="99"/>
        <v>Jan</v>
      </c>
      <c r="E1063" s="2">
        <v>44937</v>
      </c>
      <c r="F1063" t="s">
        <v>14</v>
      </c>
      <c r="G1063">
        <v>9512</v>
      </c>
      <c r="H1063">
        <v>295</v>
      </c>
      <c r="I1063">
        <v>33</v>
      </c>
      <c r="J1063" t="b">
        <v>1</v>
      </c>
      <c r="K1063" s="10">
        <v>511.39</v>
      </c>
      <c r="L1063" s="6">
        <f t="shared" si="100"/>
        <v>3.1013456686291001E-2</v>
      </c>
      <c r="M1063">
        <f t="shared" si="101"/>
        <v>1.7335254237288136</v>
      </c>
      <c r="N1063">
        <f t="shared" si="102"/>
        <v>15.496666666666666</v>
      </c>
      <c r="O1063">
        <f t="shared" si="103"/>
        <v>1138.6100000000001</v>
      </c>
      <c r="P1063">
        <f t="shared" si="104"/>
        <v>0.11186440677966102</v>
      </c>
      <c r="Q1063" t="s">
        <v>4138</v>
      </c>
      <c r="R1063" t="s">
        <v>4142</v>
      </c>
      <c r="S1063">
        <f>YEAR(marketing_data[[#This Row],[Start_date]])</f>
        <v>2023</v>
      </c>
      <c r="T1063" t="str">
        <f>TEXT(marketing_data[[#This Row],[Start_date]],"ddd")</f>
        <v>Sun</v>
      </c>
      <c r="U1063">
        <f>marketing_data[[#This Row],[Cleaned End_date]]-marketing_data[[#This Row],[Start_date]]</f>
        <v>10</v>
      </c>
    </row>
    <row r="1064" spans="1:21" x14ac:dyDescent="0.2">
      <c r="A1064" t="s">
        <v>2209</v>
      </c>
      <c r="B1064" t="s">
        <v>2210</v>
      </c>
      <c r="C1064" s="2">
        <v>45084</v>
      </c>
      <c r="D1064" t="str">
        <f t="shared" si="99"/>
        <v>Jun</v>
      </c>
      <c r="E1064" s="2">
        <v>45113</v>
      </c>
      <c r="F1064" t="s">
        <v>41</v>
      </c>
      <c r="G1064">
        <v>2342</v>
      </c>
      <c r="H1064">
        <v>71</v>
      </c>
      <c r="I1064">
        <v>10</v>
      </c>
      <c r="J1064" t="b">
        <v>1</v>
      </c>
      <c r="K1064" s="10">
        <v>329.13249999999999</v>
      </c>
      <c r="L1064" s="6">
        <f t="shared" si="100"/>
        <v>3.0315969257045262E-2</v>
      </c>
      <c r="M1064">
        <f t="shared" si="101"/>
        <v>4.6356690140845069</v>
      </c>
      <c r="N1064">
        <f t="shared" si="102"/>
        <v>32.913249999999998</v>
      </c>
      <c r="O1064">
        <f t="shared" si="103"/>
        <v>170.86750000000001</v>
      </c>
      <c r="P1064">
        <f t="shared" si="104"/>
        <v>0.14084507042253522</v>
      </c>
      <c r="Q1064" t="s">
        <v>4139</v>
      </c>
      <c r="R1064" t="s">
        <v>4141</v>
      </c>
      <c r="S1064">
        <f>YEAR(marketing_data[[#This Row],[Start_date]])</f>
        <v>2023</v>
      </c>
      <c r="T1064" t="str">
        <f>TEXT(marketing_data[[#This Row],[Start_date]],"ddd")</f>
        <v>Wed</v>
      </c>
      <c r="U1064">
        <f>marketing_data[[#This Row],[Cleaned End_date]]-marketing_data[[#This Row],[Start_date]]</f>
        <v>29</v>
      </c>
    </row>
    <row r="1065" spans="1:21" x14ac:dyDescent="0.2">
      <c r="A1065" t="s">
        <v>2211</v>
      </c>
      <c r="B1065" t="s">
        <v>2212</v>
      </c>
      <c r="C1065" s="2">
        <v>45048</v>
      </c>
      <c r="D1065" t="str">
        <f t="shared" si="99"/>
        <v>May</v>
      </c>
      <c r="E1065" s="2">
        <v>45074</v>
      </c>
      <c r="F1065" t="s">
        <v>19</v>
      </c>
      <c r="G1065">
        <v>64076</v>
      </c>
      <c r="H1065">
        <v>1065</v>
      </c>
      <c r="I1065">
        <v>169</v>
      </c>
      <c r="J1065" t="b">
        <v>1</v>
      </c>
      <c r="K1065" s="10">
        <v>1371.03</v>
      </c>
      <c r="L1065" s="6">
        <f t="shared" si="100"/>
        <v>1.6620887695861165E-2</v>
      </c>
      <c r="M1065">
        <f t="shared" si="101"/>
        <v>1.2873521126760563</v>
      </c>
      <c r="N1065">
        <f t="shared" si="102"/>
        <v>8.1126035502958587</v>
      </c>
      <c r="O1065">
        <f t="shared" si="103"/>
        <v>7078.97</v>
      </c>
      <c r="P1065">
        <f t="shared" si="104"/>
        <v>0.15868544600938966</v>
      </c>
      <c r="Q1065" t="s">
        <v>4137</v>
      </c>
      <c r="R1065" t="s">
        <v>4139</v>
      </c>
      <c r="S1065">
        <f>YEAR(marketing_data[[#This Row],[Start_date]])</f>
        <v>2023</v>
      </c>
      <c r="T1065" t="str">
        <f>TEXT(marketing_data[[#This Row],[Start_date]],"ddd")</f>
        <v>Tue</v>
      </c>
      <c r="U1065">
        <f>marketing_data[[#This Row],[Cleaned End_date]]-marketing_data[[#This Row],[Start_date]]</f>
        <v>26</v>
      </c>
    </row>
    <row r="1066" spans="1:21" x14ac:dyDescent="0.2">
      <c r="A1066" t="s">
        <v>2213</v>
      </c>
      <c r="B1066" t="s">
        <v>2214</v>
      </c>
      <c r="C1066" s="2">
        <v>44999</v>
      </c>
      <c r="D1066" t="str">
        <f t="shared" si="99"/>
        <v>Mar</v>
      </c>
      <c r="E1066" s="2">
        <v>45004</v>
      </c>
      <c r="F1066" t="s">
        <v>33</v>
      </c>
      <c r="G1066">
        <v>20216</v>
      </c>
      <c r="H1066">
        <v>724</v>
      </c>
      <c r="I1066">
        <v>105</v>
      </c>
      <c r="J1066" t="b">
        <v>0</v>
      </c>
      <c r="K1066" s="10">
        <v>852</v>
      </c>
      <c r="L1066" s="6">
        <f t="shared" si="100"/>
        <v>3.5813217253660469E-2</v>
      </c>
      <c r="M1066">
        <f t="shared" si="101"/>
        <v>1.1767955801104972</v>
      </c>
      <c r="N1066">
        <f t="shared" si="102"/>
        <v>8.1142857142857139</v>
      </c>
      <c r="O1066">
        <f t="shared" si="103"/>
        <v>4398</v>
      </c>
      <c r="P1066">
        <f t="shared" si="104"/>
        <v>0.14502762430939226</v>
      </c>
      <c r="Q1066" t="s">
        <v>4137</v>
      </c>
      <c r="R1066" t="s">
        <v>4141</v>
      </c>
      <c r="S1066">
        <f>YEAR(marketing_data[[#This Row],[Start_date]])</f>
        <v>2023</v>
      </c>
      <c r="T1066" t="str">
        <f>TEXT(marketing_data[[#This Row],[Start_date]],"ddd")</f>
        <v>Tue</v>
      </c>
      <c r="U1066">
        <f>marketing_data[[#This Row],[Cleaned End_date]]-marketing_data[[#This Row],[Start_date]]</f>
        <v>5</v>
      </c>
    </row>
    <row r="1067" spans="1:21" x14ac:dyDescent="0.2">
      <c r="A1067" t="s">
        <v>2215</v>
      </c>
      <c r="B1067" t="s">
        <v>2216</v>
      </c>
      <c r="C1067" s="2">
        <v>45045</v>
      </c>
      <c r="D1067" t="str">
        <f t="shared" si="99"/>
        <v>Apr</v>
      </c>
      <c r="E1067" s="2">
        <v>45056</v>
      </c>
      <c r="F1067" t="s">
        <v>23</v>
      </c>
      <c r="G1067">
        <v>94070</v>
      </c>
      <c r="H1067">
        <v>1109</v>
      </c>
      <c r="I1067">
        <v>78</v>
      </c>
      <c r="J1067" t="b">
        <v>0</v>
      </c>
      <c r="K1067" s="10">
        <v>1104.1099999999999</v>
      </c>
      <c r="L1067" s="6">
        <f t="shared" si="100"/>
        <v>1.1789093228446901E-2</v>
      </c>
      <c r="M1067">
        <f t="shared" si="101"/>
        <v>0.995590622182146</v>
      </c>
      <c r="N1067">
        <f t="shared" si="102"/>
        <v>14.15525641025641</v>
      </c>
      <c r="O1067">
        <f t="shared" si="103"/>
        <v>2795.8900000000003</v>
      </c>
      <c r="P1067">
        <f t="shared" si="104"/>
        <v>7.0333633904418394E-2</v>
      </c>
      <c r="Q1067" t="s">
        <v>4137</v>
      </c>
      <c r="R1067" t="s">
        <v>4141</v>
      </c>
      <c r="S1067">
        <f>YEAR(marketing_data[[#This Row],[Start_date]])</f>
        <v>2023</v>
      </c>
      <c r="T1067" t="str">
        <f>TEXT(marketing_data[[#This Row],[Start_date]],"ddd")</f>
        <v>Sat</v>
      </c>
      <c r="U1067">
        <f>marketing_data[[#This Row],[Cleaned End_date]]-marketing_data[[#This Row],[Start_date]]</f>
        <v>11</v>
      </c>
    </row>
    <row r="1068" spans="1:21" x14ac:dyDescent="0.2">
      <c r="A1068" t="s">
        <v>2217</v>
      </c>
      <c r="B1068" t="s">
        <v>2218</v>
      </c>
      <c r="C1068" s="2">
        <v>45285</v>
      </c>
      <c r="D1068" t="str">
        <f t="shared" si="99"/>
        <v>Dec</v>
      </c>
      <c r="E1068" s="2">
        <v>45315</v>
      </c>
      <c r="F1068" t="s">
        <v>23</v>
      </c>
      <c r="G1068">
        <v>80767</v>
      </c>
      <c r="H1068">
        <v>3269</v>
      </c>
      <c r="I1068">
        <v>380</v>
      </c>
      <c r="J1068" t="b">
        <v>0</v>
      </c>
      <c r="K1068" s="10">
        <v>3631.7599999999998</v>
      </c>
      <c r="L1068" s="6">
        <f t="shared" si="100"/>
        <v>4.0474451199128354E-2</v>
      </c>
      <c r="M1068">
        <f t="shared" si="101"/>
        <v>1.1109697155093301</v>
      </c>
      <c r="N1068">
        <f t="shared" si="102"/>
        <v>9.5572631578947362</v>
      </c>
      <c r="O1068">
        <f t="shared" si="103"/>
        <v>15368.24</v>
      </c>
      <c r="P1068">
        <f t="shared" si="104"/>
        <v>0.11624349954114407</v>
      </c>
      <c r="Q1068" t="s">
        <v>4138</v>
      </c>
      <c r="R1068" t="s">
        <v>4138</v>
      </c>
      <c r="S1068">
        <f>YEAR(marketing_data[[#This Row],[Start_date]])</f>
        <v>2023</v>
      </c>
      <c r="T1068" t="str">
        <f>TEXT(marketing_data[[#This Row],[Start_date]],"ddd")</f>
        <v>Mon</v>
      </c>
      <c r="U1068">
        <f>marketing_data[[#This Row],[Cleaned End_date]]-marketing_data[[#This Row],[Start_date]]</f>
        <v>30</v>
      </c>
    </row>
    <row r="1069" spans="1:21" x14ac:dyDescent="0.2">
      <c r="A1069" t="s">
        <v>2219</v>
      </c>
      <c r="B1069" t="s">
        <v>2220</v>
      </c>
      <c r="C1069" s="2">
        <v>44970</v>
      </c>
      <c r="D1069" t="str">
        <f t="shared" si="99"/>
        <v>Feb</v>
      </c>
      <c r="E1069" s="2">
        <v>44978</v>
      </c>
      <c r="F1069" t="s">
        <v>14</v>
      </c>
      <c r="G1069">
        <v>98829</v>
      </c>
      <c r="H1069">
        <v>4730</v>
      </c>
      <c r="I1069">
        <v>634</v>
      </c>
      <c r="J1069" t="b">
        <v>0</v>
      </c>
      <c r="K1069" s="10">
        <v>3631.7599999999998</v>
      </c>
      <c r="L1069" s="6">
        <f t="shared" si="100"/>
        <v>4.786044582055874E-2</v>
      </c>
      <c r="M1069">
        <f t="shared" si="101"/>
        <v>0.767813953488372</v>
      </c>
      <c r="N1069">
        <f t="shared" si="102"/>
        <v>5.7283280757097792</v>
      </c>
      <c r="O1069">
        <f t="shared" si="103"/>
        <v>28068.240000000002</v>
      </c>
      <c r="P1069">
        <f t="shared" si="104"/>
        <v>0.13403805496828752</v>
      </c>
      <c r="Q1069" t="s">
        <v>4138</v>
      </c>
      <c r="R1069" t="s">
        <v>4142</v>
      </c>
      <c r="S1069">
        <f>YEAR(marketing_data[[#This Row],[Start_date]])</f>
        <v>2023</v>
      </c>
      <c r="T1069" t="str">
        <f>TEXT(marketing_data[[#This Row],[Start_date]],"ddd")</f>
        <v>Mon</v>
      </c>
      <c r="U1069">
        <f>marketing_data[[#This Row],[Cleaned End_date]]-marketing_data[[#This Row],[Start_date]]</f>
        <v>8</v>
      </c>
    </row>
    <row r="1070" spans="1:21" x14ac:dyDescent="0.2">
      <c r="A1070" t="s">
        <v>2221</v>
      </c>
      <c r="B1070" t="s">
        <v>2222</v>
      </c>
      <c r="C1070" s="2">
        <v>45253</v>
      </c>
      <c r="D1070" t="str">
        <f t="shared" si="99"/>
        <v>Nov</v>
      </c>
      <c r="E1070" s="2">
        <v>45281</v>
      </c>
      <c r="F1070" t="s">
        <v>41</v>
      </c>
      <c r="G1070">
        <v>27614</v>
      </c>
      <c r="H1070">
        <v>651</v>
      </c>
      <c r="I1070">
        <v>115</v>
      </c>
      <c r="J1070" t="b">
        <v>0</v>
      </c>
      <c r="K1070" s="10">
        <v>766.45</v>
      </c>
      <c r="L1070" s="6">
        <f t="shared" si="100"/>
        <v>2.3574998189324257E-2</v>
      </c>
      <c r="M1070">
        <f t="shared" si="101"/>
        <v>1.1773425499231951</v>
      </c>
      <c r="N1070">
        <f t="shared" si="102"/>
        <v>6.6647826086956528</v>
      </c>
      <c r="O1070">
        <f t="shared" si="103"/>
        <v>4983.55</v>
      </c>
      <c r="P1070">
        <f t="shared" si="104"/>
        <v>0.17665130568356374</v>
      </c>
      <c r="Q1070" t="s">
        <v>4136</v>
      </c>
      <c r="R1070" t="s">
        <v>4141</v>
      </c>
      <c r="S1070">
        <f>YEAR(marketing_data[[#This Row],[Start_date]])</f>
        <v>2023</v>
      </c>
      <c r="T1070" t="str">
        <f>TEXT(marketing_data[[#This Row],[Start_date]],"ddd")</f>
        <v>Thu</v>
      </c>
      <c r="U1070">
        <f>marketing_data[[#This Row],[Cleaned End_date]]-marketing_data[[#This Row],[Start_date]]</f>
        <v>28</v>
      </c>
    </row>
    <row r="1071" spans="1:21" x14ac:dyDescent="0.2">
      <c r="A1071" t="s">
        <v>2223</v>
      </c>
      <c r="B1071" t="s">
        <v>2224</v>
      </c>
      <c r="C1071" s="2">
        <v>45217</v>
      </c>
      <c r="D1071" t="str">
        <f t="shared" si="99"/>
        <v>Oct</v>
      </c>
      <c r="E1071" s="2">
        <v>45233</v>
      </c>
      <c r="F1071" t="s">
        <v>14</v>
      </c>
      <c r="G1071">
        <v>37258</v>
      </c>
      <c r="H1071">
        <v>1143</v>
      </c>
      <c r="I1071">
        <v>133</v>
      </c>
      <c r="J1071" t="b">
        <v>1</v>
      </c>
      <c r="K1071" s="10">
        <v>2177.86</v>
      </c>
      <c r="L1071" s="6">
        <f t="shared" si="100"/>
        <v>3.0677975199957058E-2</v>
      </c>
      <c r="M1071">
        <f t="shared" si="101"/>
        <v>1.9053893263342083</v>
      </c>
      <c r="N1071">
        <f t="shared" si="102"/>
        <v>16.374887218045114</v>
      </c>
      <c r="O1071">
        <f t="shared" si="103"/>
        <v>4472.1399999999994</v>
      </c>
      <c r="P1071">
        <f t="shared" si="104"/>
        <v>0.1163604549431321</v>
      </c>
      <c r="Q1071" t="s">
        <v>4136</v>
      </c>
      <c r="R1071" t="s">
        <v>4142</v>
      </c>
      <c r="S1071">
        <f>YEAR(marketing_data[[#This Row],[Start_date]])</f>
        <v>2023</v>
      </c>
      <c r="T1071" t="str">
        <f>TEXT(marketing_data[[#This Row],[Start_date]],"ddd")</f>
        <v>Wed</v>
      </c>
      <c r="U1071">
        <f>marketing_data[[#This Row],[Cleaned End_date]]-marketing_data[[#This Row],[Start_date]]</f>
        <v>16</v>
      </c>
    </row>
    <row r="1072" spans="1:21" x14ac:dyDescent="0.2">
      <c r="A1072" t="s">
        <v>2226</v>
      </c>
      <c r="B1072" t="s">
        <v>2227</v>
      </c>
      <c r="C1072" s="2">
        <v>45266</v>
      </c>
      <c r="D1072" t="str">
        <f t="shared" si="99"/>
        <v>Dec</v>
      </c>
      <c r="E1072" s="2">
        <v>45292</v>
      </c>
      <c r="F1072" t="s">
        <v>19</v>
      </c>
      <c r="G1072">
        <v>94789</v>
      </c>
      <c r="H1072">
        <v>2384</v>
      </c>
      <c r="I1072">
        <v>447</v>
      </c>
      <c r="J1072" t="b">
        <v>1</v>
      </c>
      <c r="K1072" s="10">
        <v>3631.7599999999998</v>
      </c>
      <c r="L1072" s="6">
        <f t="shared" si="100"/>
        <v>2.5150597643186445E-2</v>
      </c>
      <c r="M1072">
        <f t="shared" si="101"/>
        <v>1.5233892617449662</v>
      </c>
      <c r="N1072">
        <f t="shared" si="102"/>
        <v>8.1247427293064867</v>
      </c>
      <c r="O1072">
        <f t="shared" si="103"/>
        <v>18718.240000000002</v>
      </c>
      <c r="P1072">
        <f t="shared" si="104"/>
        <v>0.1875</v>
      </c>
      <c r="Q1072" t="s">
        <v>4138</v>
      </c>
      <c r="R1072" t="s">
        <v>4138</v>
      </c>
      <c r="S1072">
        <f>YEAR(marketing_data[[#This Row],[Start_date]])</f>
        <v>2023</v>
      </c>
      <c r="T1072" t="str">
        <f>TEXT(marketing_data[[#This Row],[Start_date]],"ddd")</f>
        <v>Wed</v>
      </c>
      <c r="U1072">
        <f>marketing_data[[#This Row],[Cleaned End_date]]-marketing_data[[#This Row],[Start_date]]</f>
        <v>26</v>
      </c>
    </row>
    <row r="1073" spans="1:21" x14ac:dyDescent="0.2">
      <c r="A1073" t="s">
        <v>2228</v>
      </c>
      <c r="B1073" t="s">
        <v>2229</v>
      </c>
      <c r="C1073" s="2">
        <v>45060</v>
      </c>
      <c r="D1073" t="str">
        <f t="shared" si="99"/>
        <v>May</v>
      </c>
      <c r="E1073" s="2">
        <v>45067</v>
      </c>
      <c r="F1073" t="s">
        <v>14</v>
      </c>
      <c r="G1073">
        <v>43078</v>
      </c>
      <c r="H1073">
        <v>442</v>
      </c>
      <c r="I1073">
        <v>51</v>
      </c>
      <c r="J1073" t="b">
        <v>1</v>
      </c>
      <c r="K1073" s="10">
        <v>749.07</v>
      </c>
      <c r="L1073" s="6">
        <f t="shared" si="100"/>
        <v>1.0260457774269928E-2</v>
      </c>
      <c r="M1073">
        <f t="shared" si="101"/>
        <v>1.6947285067873303</v>
      </c>
      <c r="N1073">
        <f t="shared" si="102"/>
        <v>14.687647058823531</v>
      </c>
      <c r="O1073">
        <f t="shared" si="103"/>
        <v>1800.9299999999998</v>
      </c>
      <c r="P1073">
        <f t="shared" si="104"/>
        <v>0.11538461538461539</v>
      </c>
      <c r="Q1073" t="s">
        <v>4137</v>
      </c>
      <c r="R1073" t="s">
        <v>4141</v>
      </c>
      <c r="S1073">
        <f>YEAR(marketing_data[[#This Row],[Start_date]])</f>
        <v>2023</v>
      </c>
      <c r="T1073" t="str">
        <f>TEXT(marketing_data[[#This Row],[Start_date]],"ddd")</f>
        <v>Sun</v>
      </c>
      <c r="U1073">
        <f>marketing_data[[#This Row],[Cleaned End_date]]-marketing_data[[#This Row],[Start_date]]</f>
        <v>7</v>
      </c>
    </row>
    <row r="1074" spans="1:21" x14ac:dyDescent="0.2">
      <c r="A1074" t="s">
        <v>2230</v>
      </c>
      <c r="B1074" t="s">
        <v>2231</v>
      </c>
      <c r="C1074" s="2">
        <v>45128</v>
      </c>
      <c r="D1074" t="str">
        <f t="shared" si="99"/>
        <v>Jul</v>
      </c>
      <c r="E1074" s="2">
        <v>45135</v>
      </c>
      <c r="F1074" t="s">
        <v>19</v>
      </c>
      <c r="G1074">
        <v>84524</v>
      </c>
      <c r="H1074">
        <v>2149</v>
      </c>
      <c r="I1074">
        <v>284</v>
      </c>
      <c r="J1074" t="b">
        <v>1</v>
      </c>
      <c r="K1074" s="10">
        <v>3513.91</v>
      </c>
      <c r="L1074" s="6">
        <f t="shared" si="100"/>
        <v>2.5424731437224929E-2</v>
      </c>
      <c r="M1074">
        <f t="shared" si="101"/>
        <v>1.6351372731503024</v>
      </c>
      <c r="N1074">
        <f t="shared" si="102"/>
        <v>12.372922535211266</v>
      </c>
      <c r="O1074">
        <f t="shared" si="103"/>
        <v>10686.09</v>
      </c>
      <c r="P1074">
        <f t="shared" si="104"/>
        <v>0.1321544904606794</v>
      </c>
      <c r="Q1074" t="s">
        <v>4139</v>
      </c>
      <c r="R1074" t="s">
        <v>4142</v>
      </c>
      <c r="S1074">
        <f>YEAR(marketing_data[[#This Row],[Start_date]])</f>
        <v>2023</v>
      </c>
      <c r="T1074" t="str">
        <f>TEXT(marketing_data[[#This Row],[Start_date]],"ddd")</f>
        <v>Fri</v>
      </c>
      <c r="U1074">
        <f>marketing_data[[#This Row],[Cleaned End_date]]-marketing_data[[#This Row],[Start_date]]</f>
        <v>7</v>
      </c>
    </row>
    <row r="1075" spans="1:21" x14ac:dyDescent="0.2">
      <c r="A1075" t="s">
        <v>2232</v>
      </c>
      <c r="B1075" t="s">
        <v>2233</v>
      </c>
      <c r="C1075" s="2">
        <v>45089</v>
      </c>
      <c r="D1075" t="str">
        <f t="shared" si="99"/>
        <v>Jun</v>
      </c>
      <c r="E1075" s="2">
        <v>45111</v>
      </c>
      <c r="F1075" t="str">
        <f>F1074</f>
        <v>Facebook</v>
      </c>
      <c r="G1075">
        <v>97573</v>
      </c>
      <c r="H1075">
        <v>4065</v>
      </c>
      <c r="I1075">
        <v>688</v>
      </c>
      <c r="J1075" t="b">
        <v>1</v>
      </c>
      <c r="K1075" s="10">
        <v>3631.7599999999998</v>
      </c>
      <c r="L1075" s="6">
        <f t="shared" si="100"/>
        <v>4.1661115267543278E-2</v>
      </c>
      <c r="M1075">
        <f t="shared" si="101"/>
        <v>0.89342189421894214</v>
      </c>
      <c r="N1075">
        <f t="shared" si="102"/>
        <v>5.2787209302325575</v>
      </c>
      <c r="O1075">
        <f t="shared" si="103"/>
        <v>30768.240000000002</v>
      </c>
      <c r="P1075">
        <f t="shared" si="104"/>
        <v>0.16924969249692498</v>
      </c>
      <c r="Q1075" t="s">
        <v>4139</v>
      </c>
      <c r="R1075" t="s">
        <v>4139</v>
      </c>
      <c r="S1075">
        <f>YEAR(marketing_data[[#This Row],[Start_date]])</f>
        <v>2023</v>
      </c>
      <c r="T1075" t="str">
        <f>TEXT(marketing_data[[#This Row],[Start_date]],"ddd")</f>
        <v>Mon</v>
      </c>
      <c r="U1075">
        <f>marketing_data[[#This Row],[Cleaned End_date]]-marketing_data[[#This Row],[Start_date]]</f>
        <v>22</v>
      </c>
    </row>
    <row r="1076" spans="1:21" x14ac:dyDescent="0.2">
      <c r="A1076" t="s">
        <v>2234</v>
      </c>
      <c r="B1076" t="s">
        <v>2235</v>
      </c>
      <c r="C1076" s="2">
        <v>45030</v>
      </c>
      <c r="D1076" t="str">
        <f t="shared" si="99"/>
        <v>Apr</v>
      </c>
      <c r="E1076" s="2">
        <v>45046</v>
      </c>
      <c r="F1076" t="s">
        <v>33</v>
      </c>
      <c r="G1076">
        <v>13219</v>
      </c>
      <c r="H1076">
        <v>447</v>
      </c>
      <c r="I1076">
        <v>61</v>
      </c>
      <c r="J1076" t="b">
        <v>1</v>
      </c>
      <c r="K1076" s="10">
        <v>334.85</v>
      </c>
      <c r="L1076" s="6">
        <f t="shared" si="100"/>
        <v>3.3814963310386567E-2</v>
      </c>
      <c r="M1076">
        <f t="shared" si="101"/>
        <v>0.7491051454138703</v>
      </c>
      <c r="N1076">
        <f t="shared" si="102"/>
        <v>5.4893442622950825</v>
      </c>
      <c r="O1076">
        <f t="shared" si="103"/>
        <v>2715.15</v>
      </c>
      <c r="P1076">
        <f t="shared" si="104"/>
        <v>0.13646532438478748</v>
      </c>
      <c r="Q1076" t="s">
        <v>4137</v>
      </c>
      <c r="R1076" t="s">
        <v>4138</v>
      </c>
      <c r="S1076">
        <f>YEAR(marketing_data[[#This Row],[Start_date]])</f>
        <v>2023</v>
      </c>
      <c r="T1076" t="str">
        <f>TEXT(marketing_data[[#This Row],[Start_date]],"ddd")</f>
        <v>Fri</v>
      </c>
      <c r="U1076">
        <f>marketing_data[[#This Row],[Cleaned End_date]]-marketing_data[[#This Row],[Start_date]]</f>
        <v>16</v>
      </c>
    </row>
    <row r="1077" spans="1:21" x14ac:dyDescent="0.2">
      <c r="A1077" t="s">
        <v>2236</v>
      </c>
      <c r="B1077" t="s">
        <v>2237</v>
      </c>
      <c r="C1077" s="2">
        <v>44982</v>
      </c>
      <c r="D1077" t="str">
        <f t="shared" si="99"/>
        <v>Feb</v>
      </c>
      <c r="E1077" s="2">
        <v>44998</v>
      </c>
      <c r="F1077" t="s">
        <v>33</v>
      </c>
      <c r="G1077">
        <v>1235</v>
      </c>
      <c r="H1077">
        <v>17</v>
      </c>
      <c r="I1077">
        <v>3</v>
      </c>
      <c r="J1077" t="b">
        <v>1</v>
      </c>
      <c r="K1077" s="10">
        <v>329.13249999999999</v>
      </c>
      <c r="L1077" s="6">
        <f t="shared" si="100"/>
        <v>1.3765182186234818E-2</v>
      </c>
      <c r="M1077">
        <f t="shared" si="101"/>
        <v>19.360735294117646</v>
      </c>
      <c r="N1077">
        <f t="shared" si="102"/>
        <v>109.71083333333333</v>
      </c>
      <c r="O1077">
        <f t="shared" si="103"/>
        <v>-179.13249999999999</v>
      </c>
      <c r="P1077">
        <f t="shared" si="104"/>
        <v>0.17647058823529413</v>
      </c>
      <c r="Q1077" t="s">
        <v>4138</v>
      </c>
      <c r="R1077" t="s">
        <v>4138</v>
      </c>
      <c r="S1077">
        <f>YEAR(marketing_data[[#This Row],[Start_date]])</f>
        <v>2023</v>
      </c>
      <c r="T1077" t="str">
        <f>TEXT(marketing_data[[#This Row],[Start_date]],"ddd")</f>
        <v>Sat</v>
      </c>
      <c r="U1077">
        <f>marketing_data[[#This Row],[Cleaned End_date]]-marketing_data[[#This Row],[Start_date]]</f>
        <v>16</v>
      </c>
    </row>
    <row r="1078" spans="1:21" x14ac:dyDescent="0.2">
      <c r="A1078" t="s">
        <v>2238</v>
      </c>
      <c r="B1078" t="s">
        <v>2239</v>
      </c>
      <c r="C1078" s="2">
        <v>45165</v>
      </c>
      <c r="D1078" t="str">
        <f t="shared" si="99"/>
        <v>Aug</v>
      </c>
      <c r="E1078" s="2">
        <v>45181</v>
      </c>
      <c r="F1078" t="s">
        <v>14</v>
      </c>
      <c r="G1078">
        <v>43929</v>
      </c>
      <c r="H1078">
        <v>1927</v>
      </c>
      <c r="I1078">
        <v>287</v>
      </c>
      <c r="J1078" t="b">
        <v>0</v>
      </c>
      <c r="K1078" s="10">
        <v>2960.04</v>
      </c>
      <c r="L1078" s="6">
        <f t="shared" si="100"/>
        <v>4.3866238703362245E-2</v>
      </c>
      <c r="M1078">
        <f t="shared" si="101"/>
        <v>1.5360871821484172</v>
      </c>
      <c r="N1078">
        <f t="shared" si="102"/>
        <v>10.313728222996515</v>
      </c>
      <c r="O1078">
        <f t="shared" si="103"/>
        <v>11389.96</v>
      </c>
      <c r="P1078">
        <f t="shared" si="104"/>
        <v>0.14893617021276595</v>
      </c>
      <c r="Q1078" t="s">
        <v>4139</v>
      </c>
      <c r="R1078" t="s">
        <v>4138</v>
      </c>
      <c r="S1078">
        <f>YEAR(marketing_data[[#This Row],[Start_date]])</f>
        <v>2023</v>
      </c>
      <c r="T1078" t="str">
        <f>TEXT(marketing_data[[#This Row],[Start_date]],"ddd")</f>
        <v>Sun</v>
      </c>
      <c r="U1078">
        <f>marketing_data[[#This Row],[Cleaned End_date]]-marketing_data[[#This Row],[Start_date]]</f>
        <v>16</v>
      </c>
    </row>
    <row r="1079" spans="1:21" x14ac:dyDescent="0.2">
      <c r="A1079" t="s">
        <v>2240</v>
      </c>
      <c r="B1079" t="s">
        <v>2241</v>
      </c>
      <c r="C1079" s="2">
        <v>45110</v>
      </c>
      <c r="D1079" t="str">
        <f t="shared" si="99"/>
        <v>Jul</v>
      </c>
      <c r="E1079" s="2">
        <v>45117</v>
      </c>
      <c r="F1079" t="s">
        <v>23</v>
      </c>
      <c r="G1079">
        <v>68444</v>
      </c>
      <c r="H1079">
        <v>2138</v>
      </c>
      <c r="I1079">
        <v>274</v>
      </c>
      <c r="J1079" t="b">
        <v>1</v>
      </c>
      <c r="K1079" s="10">
        <v>3406.22</v>
      </c>
      <c r="L1079" s="6">
        <f t="shared" si="100"/>
        <v>3.1237215826076793E-2</v>
      </c>
      <c r="M1079">
        <f t="shared" si="101"/>
        <v>1.5931805425631431</v>
      </c>
      <c r="N1079">
        <f t="shared" si="102"/>
        <v>12.431459854014598</v>
      </c>
      <c r="O1079">
        <f t="shared" si="103"/>
        <v>10293.780000000001</v>
      </c>
      <c r="P1079">
        <f t="shared" si="104"/>
        <v>0.12815715622076707</v>
      </c>
      <c r="Q1079" t="s">
        <v>4139</v>
      </c>
      <c r="R1079" t="s">
        <v>4139</v>
      </c>
      <c r="S1079">
        <f>YEAR(marketing_data[[#This Row],[Start_date]])</f>
        <v>2023</v>
      </c>
      <c r="T1079" t="str">
        <f>TEXT(marketing_data[[#This Row],[Start_date]],"ddd")</f>
        <v>Mon</v>
      </c>
      <c r="U1079">
        <f>marketing_data[[#This Row],[Cleaned End_date]]-marketing_data[[#This Row],[Start_date]]</f>
        <v>7</v>
      </c>
    </row>
    <row r="1080" spans="1:21" x14ac:dyDescent="0.2">
      <c r="A1080" t="s">
        <v>2242</v>
      </c>
      <c r="B1080" t="s">
        <v>2243</v>
      </c>
      <c r="C1080" s="2">
        <v>45084</v>
      </c>
      <c r="D1080" t="str">
        <f t="shared" si="99"/>
        <v>Jun</v>
      </c>
      <c r="E1080" s="2">
        <v>45088</v>
      </c>
      <c r="F1080" t="s">
        <v>33</v>
      </c>
      <c r="G1080">
        <v>9567</v>
      </c>
      <c r="H1080">
        <v>417</v>
      </c>
      <c r="I1080">
        <v>22</v>
      </c>
      <c r="J1080" t="b">
        <v>0</v>
      </c>
      <c r="K1080" s="10">
        <v>329.13249999999999</v>
      </c>
      <c r="L1080" s="6">
        <f t="shared" si="100"/>
        <v>4.3587331451865788E-2</v>
      </c>
      <c r="M1080">
        <f t="shared" si="101"/>
        <v>0.78928657074340525</v>
      </c>
      <c r="N1080">
        <f t="shared" si="102"/>
        <v>14.960568181818182</v>
      </c>
      <c r="O1080">
        <f t="shared" si="103"/>
        <v>770.86750000000006</v>
      </c>
      <c r="P1080">
        <f t="shared" si="104"/>
        <v>5.2757793764988008E-2</v>
      </c>
      <c r="Q1080" t="s">
        <v>4139</v>
      </c>
      <c r="R1080" t="s">
        <v>4142</v>
      </c>
      <c r="S1080">
        <f>YEAR(marketing_data[[#This Row],[Start_date]])</f>
        <v>2023</v>
      </c>
      <c r="T1080" t="str">
        <f>TEXT(marketing_data[[#This Row],[Start_date]],"ddd")</f>
        <v>Wed</v>
      </c>
      <c r="U1080">
        <f>marketing_data[[#This Row],[Cleaned End_date]]-marketing_data[[#This Row],[Start_date]]</f>
        <v>4</v>
      </c>
    </row>
    <row r="1081" spans="1:21" x14ac:dyDescent="0.2">
      <c r="A1081" t="s">
        <v>2244</v>
      </c>
      <c r="B1081" t="s">
        <v>2245</v>
      </c>
      <c r="C1081" s="2">
        <v>44973</v>
      </c>
      <c r="D1081" t="str">
        <f t="shared" si="99"/>
        <v>Feb</v>
      </c>
      <c r="E1081" s="2">
        <v>44979</v>
      </c>
      <c r="F1081" t="s">
        <v>33</v>
      </c>
      <c r="G1081">
        <v>71792</v>
      </c>
      <c r="H1081">
        <v>2384</v>
      </c>
      <c r="I1081">
        <v>267</v>
      </c>
      <c r="J1081" t="b">
        <v>0</v>
      </c>
      <c r="K1081" s="10">
        <v>3631.7599999999998</v>
      </c>
      <c r="L1081" s="6">
        <f t="shared" si="100"/>
        <v>3.3207042567416981E-2</v>
      </c>
      <c r="M1081">
        <f t="shared" si="101"/>
        <v>1.5233892617449662</v>
      </c>
      <c r="N1081">
        <f t="shared" si="102"/>
        <v>13.602097378277152</v>
      </c>
      <c r="O1081">
        <f t="shared" si="103"/>
        <v>9718.24</v>
      </c>
      <c r="P1081">
        <f t="shared" si="104"/>
        <v>0.11199664429530201</v>
      </c>
      <c r="Q1081" t="s">
        <v>4138</v>
      </c>
      <c r="R1081" t="s">
        <v>4142</v>
      </c>
      <c r="S1081">
        <f>YEAR(marketing_data[[#This Row],[Start_date]])</f>
        <v>2023</v>
      </c>
      <c r="T1081" t="str">
        <f>TEXT(marketing_data[[#This Row],[Start_date]],"ddd")</f>
        <v>Thu</v>
      </c>
      <c r="U1081">
        <f>marketing_data[[#This Row],[Cleaned End_date]]-marketing_data[[#This Row],[Start_date]]</f>
        <v>6</v>
      </c>
    </row>
    <row r="1082" spans="1:21" x14ac:dyDescent="0.2">
      <c r="A1082" t="s">
        <v>2246</v>
      </c>
      <c r="B1082" t="s">
        <v>2247</v>
      </c>
      <c r="C1082" s="2">
        <v>45287</v>
      </c>
      <c r="D1082" t="str">
        <f t="shared" si="99"/>
        <v>Dec</v>
      </c>
      <c r="E1082" s="2">
        <v>45300</v>
      </c>
      <c r="F1082" t="s">
        <v>23</v>
      </c>
      <c r="G1082">
        <v>66441</v>
      </c>
      <c r="H1082">
        <v>2151</v>
      </c>
      <c r="I1082">
        <v>204</v>
      </c>
      <c r="J1082" t="b">
        <v>0</v>
      </c>
      <c r="K1082" s="10">
        <v>1369.57</v>
      </c>
      <c r="L1082" s="6">
        <f t="shared" si="100"/>
        <v>3.2374587980313362E-2</v>
      </c>
      <c r="M1082">
        <f t="shared" si="101"/>
        <v>0.63671315667131567</v>
      </c>
      <c r="N1082">
        <f t="shared" si="102"/>
        <v>6.7135784313725484</v>
      </c>
      <c r="O1082">
        <f t="shared" si="103"/>
        <v>8830.43</v>
      </c>
      <c r="P1082">
        <f t="shared" si="104"/>
        <v>9.4839609483960946E-2</v>
      </c>
      <c r="Q1082" t="s">
        <v>4138</v>
      </c>
      <c r="R1082" t="s">
        <v>4141</v>
      </c>
      <c r="S1082">
        <f>YEAR(marketing_data[[#This Row],[Start_date]])</f>
        <v>2023</v>
      </c>
      <c r="T1082" t="str">
        <f>TEXT(marketing_data[[#This Row],[Start_date]],"ddd")</f>
        <v>Wed</v>
      </c>
      <c r="U1082">
        <f>marketing_data[[#This Row],[Cleaned End_date]]-marketing_data[[#This Row],[Start_date]]</f>
        <v>13</v>
      </c>
    </row>
    <row r="1083" spans="1:21" x14ac:dyDescent="0.2">
      <c r="A1083" t="s">
        <v>2248</v>
      </c>
      <c r="B1083" t="s">
        <v>2249</v>
      </c>
      <c r="C1083" s="2">
        <v>45094</v>
      </c>
      <c r="D1083" t="str">
        <f t="shared" si="99"/>
        <v>Jun</v>
      </c>
      <c r="E1083" s="2">
        <v>45112</v>
      </c>
      <c r="F1083" t="s">
        <v>23</v>
      </c>
      <c r="G1083">
        <v>85555</v>
      </c>
      <c r="H1083">
        <v>1215</v>
      </c>
      <c r="J1083" t="b">
        <v>1</v>
      </c>
      <c r="K1083" s="10">
        <v>1128.55</v>
      </c>
      <c r="L1083" s="6">
        <f t="shared" si="100"/>
        <v>1.4201390918122845E-2</v>
      </c>
      <c r="M1083">
        <f t="shared" si="101"/>
        <v>0.92884773662551434</v>
      </c>
      <c r="N1083">
        <f t="shared" si="102"/>
        <v>0</v>
      </c>
      <c r="O1083">
        <f t="shared" si="103"/>
        <v>-1128.55</v>
      </c>
      <c r="P1083">
        <f t="shared" si="104"/>
        <v>0</v>
      </c>
      <c r="Q1083" t="s">
        <v>4139</v>
      </c>
      <c r="R1083" t="s">
        <v>4141</v>
      </c>
      <c r="S1083">
        <f>YEAR(marketing_data[[#This Row],[Start_date]])</f>
        <v>2023</v>
      </c>
      <c r="T1083" t="str">
        <f>TEXT(marketing_data[[#This Row],[Start_date]],"ddd")</f>
        <v>Sat</v>
      </c>
      <c r="U1083">
        <f>marketing_data[[#This Row],[Cleaned End_date]]-marketing_data[[#This Row],[Start_date]]</f>
        <v>18</v>
      </c>
    </row>
    <row r="1084" spans="1:21" x14ac:dyDescent="0.2">
      <c r="A1084" t="s">
        <v>2250</v>
      </c>
      <c r="B1084" t="s">
        <v>2251</v>
      </c>
      <c r="C1084" s="2">
        <v>45109</v>
      </c>
      <c r="D1084" t="str">
        <f t="shared" si="99"/>
        <v>Jul</v>
      </c>
      <c r="E1084" s="2">
        <v>45139</v>
      </c>
      <c r="F1084" t="s">
        <v>19</v>
      </c>
      <c r="G1084">
        <v>74698</v>
      </c>
      <c r="H1084">
        <v>1247</v>
      </c>
      <c r="I1084">
        <v>101</v>
      </c>
      <c r="J1084" t="b">
        <v>1</v>
      </c>
      <c r="K1084" s="10">
        <v>1881.21</v>
      </c>
      <c r="L1084" s="6">
        <f t="shared" si="100"/>
        <v>1.6693887386543146E-2</v>
      </c>
      <c r="M1084">
        <f t="shared" si="101"/>
        <v>1.5085886126704091</v>
      </c>
      <c r="N1084">
        <f t="shared" si="102"/>
        <v>18.625841584158415</v>
      </c>
      <c r="O1084">
        <f t="shared" si="103"/>
        <v>3168.79</v>
      </c>
      <c r="P1084">
        <f t="shared" si="104"/>
        <v>8.0994386527666398E-2</v>
      </c>
      <c r="Q1084" t="s">
        <v>4139</v>
      </c>
      <c r="R1084" t="s">
        <v>4138</v>
      </c>
      <c r="S1084">
        <f>YEAR(marketing_data[[#This Row],[Start_date]])</f>
        <v>2023</v>
      </c>
      <c r="T1084" t="str">
        <f>TEXT(marketing_data[[#This Row],[Start_date]],"ddd")</f>
        <v>Sun</v>
      </c>
      <c r="U1084">
        <f>marketing_data[[#This Row],[Cleaned End_date]]-marketing_data[[#This Row],[Start_date]]</f>
        <v>30</v>
      </c>
    </row>
    <row r="1085" spans="1:21" x14ac:dyDescent="0.2">
      <c r="A1085" t="s">
        <v>2252</v>
      </c>
      <c r="B1085" t="s">
        <v>2253</v>
      </c>
      <c r="C1085" s="2">
        <v>45080</v>
      </c>
      <c r="D1085" t="str">
        <f t="shared" si="99"/>
        <v>Jun</v>
      </c>
      <c r="E1085" s="2">
        <v>45101</v>
      </c>
      <c r="F1085" t="s">
        <v>23</v>
      </c>
      <c r="G1085">
        <v>6415</v>
      </c>
      <c r="H1085">
        <v>313</v>
      </c>
      <c r="I1085">
        <v>25</v>
      </c>
      <c r="J1085" t="b">
        <v>0</v>
      </c>
      <c r="K1085" s="10">
        <v>329.13249999999999</v>
      </c>
      <c r="L1085" s="6">
        <f t="shared" si="100"/>
        <v>4.8791893998441152E-2</v>
      </c>
      <c r="M1085">
        <f t="shared" si="101"/>
        <v>1.0515415335463258</v>
      </c>
      <c r="N1085">
        <f t="shared" si="102"/>
        <v>13.1653</v>
      </c>
      <c r="O1085">
        <f t="shared" si="103"/>
        <v>920.86750000000006</v>
      </c>
      <c r="P1085">
        <f t="shared" si="104"/>
        <v>7.9872204472843447E-2</v>
      </c>
      <c r="Q1085" t="s">
        <v>4139</v>
      </c>
      <c r="R1085" t="s">
        <v>4138</v>
      </c>
      <c r="S1085">
        <f>YEAR(marketing_data[[#This Row],[Start_date]])</f>
        <v>2023</v>
      </c>
      <c r="T1085" t="str">
        <f>TEXT(marketing_data[[#This Row],[Start_date]],"ddd")</f>
        <v>Sat</v>
      </c>
      <c r="U1085">
        <f>marketing_data[[#This Row],[Cleaned End_date]]-marketing_data[[#This Row],[Start_date]]</f>
        <v>21</v>
      </c>
    </row>
    <row r="1086" spans="1:21" x14ac:dyDescent="0.2">
      <c r="A1086" t="s">
        <v>2254</v>
      </c>
      <c r="B1086" t="s">
        <v>2255</v>
      </c>
      <c r="C1086" s="2">
        <v>44942</v>
      </c>
      <c r="D1086" t="str">
        <f t="shared" si="99"/>
        <v>Jan</v>
      </c>
      <c r="E1086" s="2">
        <v>44972</v>
      </c>
      <c r="F1086" t="s">
        <v>33</v>
      </c>
      <c r="G1086">
        <v>37159</v>
      </c>
      <c r="H1086">
        <v>711</v>
      </c>
      <c r="I1086">
        <v>55</v>
      </c>
      <c r="J1086" t="b">
        <v>1</v>
      </c>
      <c r="K1086" s="10">
        <v>414.6</v>
      </c>
      <c r="L1086" s="6">
        <f t="shared" si="100"/>
        <v>1.9133991765117469E-2</v>
      </c>
      <c r="M1086">
        <f t="shared" si="101"/>
        <v>0.58312236286919839</v>
      </c>
      <c r="N1086">
        <f t="shared" si="102"/>
        <v>7.538181818181819</v>
      </c>
      <c r="O1086">
        <f t="shared" si="103"/>
        <v>2335.4</v>
      </c>
      <c r="P1086">
        <f t="shared" si="104"/>
        <v>7.7355836849507739E-2</v>
      </c>
      <c r="Q1086" t="s">
        <v>4138</v>
      </c>
      <c r="R1086" t="s">
        <v>4142</v>
      </c>
      <c r="S1086">
        <f>YEAR(marketing_data[[#This Row],[Start_date]])</f>
        <v>2023</v>
      </c>
      <c r="T1086" t="str">
        <f>TEXT(marketing_data[[#This Row],[Start_date]],"ddd")</f>
        <v>Mon</v>
      </c>
      <c r="U1086">
        <f>marketing_data[[#This Row],[Cleaned End_date]]-marketing_data[[#This Row],[Start_date]]</f>
        <v>30</v>
      </c>
    </row>
    <row r="1087" spans="1:21" x14ac:dyDescent="0.2">
      <c r="A1087" t="s">
        <v>2256</v>
      </c>
      <c r="B1087" t="s">
        <v>2257</v>
      </c>
      <c r="C1087" s="2">
        <v>45211</v>
      </c>
      <c r="D1087" t="str">
        <f t="shared" si="99"/>
        <v>Oct</v>
      </c>
      <c r="E1087" s="2">
        <v>45239</v>
      </c>
      <c r="F1087" t="s">
        <v>14</v>
      </c>
      <c r="G1087">
        <v>44925</v>
      </c>
      <c r="H1087">
        <v>2205</v>
      </c>
      <c r="I1087">
        <v>151</v>
      </c>
      <c r="J1087" t="b">
        <v>1</v>
      </c>
      <c r="K1087" s="10">
        <v>2197.77</v>
      </c>
      <c r="L1087" s="6">
        <f t="shared" si="100"/>
        <v>4.9081803005008348E-2</v>
      </c>
      <c r="M1087">
        <f t="shared" si="101"/>
        <v>0.9967210884353741</v>
      </c>
      <c r="N1087">
        <f t="shared" si="102"/>
        <v>14.55476821192053</v>
      </c>
      <c r="O1087">
        <f t="shared" si="103"/>
        <v>5352.23</v>
      </c>
      <c r="P1087">
        <f t="shared" si="104"/>
        <v>6.8480725623582761E-2</v>
      </c>
      <c r="Q1087" t="s">
        <v>4136</v>
      </c>
      <c r="R1087" t="s">
        <v>4138</v>
      </c>
      <c r="S1087">
        <f>YEAR(marketing_data[[#This Row],[Start_date]])</f>
        <v>2023</v>
      </c>
      <c r="T1087" t="str">
        <f>TEXT(marketing_data[[#This Row],[Start_date]],"ddd")</f>
        <v>Thu</v>
      </c>
      <c r="U1087">
        <f>marketing_data[[#This Row],[Cleaned End_date]]-marketing_data[[#This Row],[Start_date]]</f>
        <v>28</v>
      </c>
    </row>
    <row r="1088" spans="1:21" x14ac:dyDescent="0.2">
      <c r="A1088" t="s">
        <v>2258</v>
      </c>
      <c r="B1088" t="s">
        <v>2259</v>
      </c>
      <c r="C1088" s="2">
        <v>45163</v>
      </c>
      <c r="D1088" t="str">
        <f t="shared" si="99"/>
        <v>Aug</v>
      </c>
      <c r="E1088" s="2">
        <v>45189</v>
      </c>
      <c r="F1088" t="s">
        <v>41</v>
      </c>
      <c r="G1088">
        <v>6951</v>
      </c>
      <c r="H1088">
        <v>217</v>
      </c>
      <c r="I1088">
        <v>20</v>
      </c>
      <c r="J1088" t="b">
        <v>0</v>
      </c>
      <c r="K1088" s="10">
        <v>357.82</v>
      </c>
      <c r="L1088" s="6">
        <f t="shared" si="100"/>
        <v>3.1218529707955689E-2</v>
      </c>
      <c r="M1088">
        <f t="shared" si="101"/>
        <v>1.6489400921658985</v>
      </c>
      <c r="N1088">
        <f t="shared" si="102"/>
        <v>17.890999999999998</v>
      </c>
      <c r="O1088">
        <f t="shared" si="103"/>
        <v>642.18000000000006</v>
      </c>
      <c r="P1088">
        <f t="shared" si="104"/>
        <v>9.2165898617511524E-2</v>
      </c>
      <c r="Q1088" t="s">
        <v>4139</v>
      </c>
      <c r="R1088" t="s">
        <v>4138</v>
      </c>
      <c r="S1088">
        <f>YEAR(marketing_data[[#This Row],[Start_date]])</f>
        <v>2023</v>
      </c>
      <c r="T1088" t="str">
        <f>TEXT(marketing_data[[#This Row],[Start_date]],"ddd")</f>
        <v>Fri</v>
      </c>
      <c r="U1088">
        <f>marketing_data[[#This Row],[Cleaned End_date]]-marketing_data[[#This Row],[Start_date]]</f>
        <v>26</v>
      </c>
    </row>
    <row r="1089" spans="1:21" x14ac:dyDescent="0.2">
      <c r="A1089" t="s">
        <v>2260</v>
      </c>
      <c r="B1089" t="s">
        <v>2261</v>
      </c>
      <c r="C1089" s="2">
        <v>45019</v>
      </c>
      <c r="D1089" t="str">
        <f t="shared" si="99"/>
        <v>Apr</v>
      </c>
      <c r="E1089" s="2">
        <v>45049</v>
      </c>
      <c r="F1089" t="s">
        <v>14</v>
      </c>
      <c r="G1089">
        <v>88388</v>
      </c>
      <c r="H1089">
        <v>1363</v>
      </c>
      <c r="I1089">
        <v>249</v>
      </c>
      <c r="J1089" t="b">
        <v>0</v>
      </c>
      <c r="K1089" s="10">
        <v>1527.27</v>
      </c>
      <c r="L1089" s="6">
        <f t="shared" si="100"/>
        <v>1.5420645336471014E-2</v>
      </c>
      <c r="M1089">
        <f t="shared" si="101"/>
        <v>1.120520909757887</v>
      </c>
      <c r="N1089">
        <f t="shared" si="102"/>
        <v>6.1336144578313254</v>
      </c>
      <c r="O1089">
        <f t="shared" si="103"/>
        <v>10922.73</v>
      </c>
      <c r="P1089">
        <f t="shared" si="104"/>
        <v>0.18268525311812178</v>
      </c>
      <c r="Q1089" t="s">
        <v>4137</v>
      </c>
      <c r="R1089" t="s">
        <v>4139</v>
      </c>
      <c r="S1089">
        <f>YEAR(marketing_data[[#This Row],[Start_date]])</f>
        <v>2023</v>
      </c>
      <c r="T1089" t="str">
        <f>TEXT(marketing_data[[#This Row],[Start_date]],"ddd")</f>
        <v>Mon</v>
      </c>
      <c r="U1089">
        <f>marketing_data[[#This Row],[Cleaned End_date]]-marketing_data[[#This Row],[Start_date]]</f>
        <v>30</v>
      </c>
    </row>
    <row r="1090" spans="1:21" x14ac:dyDescent="0.2">
      <c r="A1090" t="s">
        <v>2262</v>
      </c>
      <c r="B1090" t="s">
        <v>2263</v>
      </c>
      <c r="C1090" s="2">
        <v>45040</v>
      </c>
      <c r="D1090" t="str">
        <f t="shared" si="99"/>
        <v>Apr</v>
      </c>
      <c r="E1090" s="2">
        <v>45045</v>
      </c>
      <c r="F1090" t="s">
        <v>33</v>
      </c>
      <c r="G1090">
        <v>9007</v>
      </c>
      <c r="H1090">
        <v>125</v>
      </c>
      <c r="I1090">
        <v>20</v>
      </c>
      <c r="J1090" t="b">
        <v>0</v>
      </c>
      <c r="K1090" s="10">
        <v>329.13249999999999</v>
      </c>
      <c r="L1090" s="6">
        <f t="shared" si="100"/>
        <v>1.3878094815143778E-2</v>
      </c>
      <c r="M1090">
        <f t="shared" si="101"/>
        <v>2.63306</v>
      </c>
      <c r="N1090">
        <f t="shared" si="102"/>
        <v>16.456624999999999</v>
      </c>
      <c r="O1090">
        <f t="shared" si="103"/>
        <v>670.86750000000006</v>
      </c>
      <c r="P1090">
        <f t="shared" si="104"/>
        <v>0.16</v>
      </c>
      <c r="Q1090" t="s">
        <v>4137</v>
      </c>
      <c r="R1090" t="s">
        <v>4138</v>
      </c>
      <c r="S1090">
        <f>YEAR(marketing_data[[#This Row],[Start_date]])</f>
        <v>2023</v>
      </c>
      <c r="T1090" t="str">
        <f>TEXT(marketing_data[[#This Row],[Start_date]],"ddd")</f>
        <v>Mon</v>
      </c>
      <c r="U1090">
        <f>marketing_data[[#This Row],[Cleaned End_date]]-marketing_data[[#This Row],[Start_date]]</f>
        <v>5</v>
      </c>
    </row>
    <row r="1091" spans="1:21" x14ac:dyDescent="0.2">
      <c r="A1091" t="s">
        <v>2264</v>
      </c>
      <c r="B1091" t="s">
        <v>2265</v>
      </c>
      <c r="C1091" s="2">
        <v>45117</v>
      </c>
      <c r="D1091" t="str">
        <f t="shared" ref="D1091:D1154" si="105">TEXT(C1091,"mmm")</f>
        <v>Jul</v>
      </c>
      <c r="E1091" s="2">
        <v>45139</v>
      </c>
      <c r="F1091" t="s">
        <v>23</v>
      </c>
      <c r="G1091">
        <v>42832</v>
      </c>
      <c r="H1091">
        <v>786</v>
      </c>
      <c r="I1091">
        <v>125</v>
      </c>
      <c r="J1091" t="b">
        <v>0</v>
      </c>
      <c r="K1091" s="10">
        <v>1076.3699999999999</v>
      </c>
      <c r="L1091" s="6">
        <f t="shared" ref="L1091:L1154" si="106">H1091/G1091</f>
        <v>1.8350765782592454E-2</v>
      </c>
      <c r="M1091">
        <f t="shared" ref="M1091:M1154" si="107">K1091/H1091</f>
        <v>1.3694274809160305</v>
      </c>
      <c r="N1091">
        <f t="shared" ref="N1091:N1154" si="108">IFERROR(K1091/I1091,0)</f>
        <v>8.6109599999999986</v>
      </c>
      <c r="O1091">
        <f t="shared" ref="O1091:O1154" si="109">(50*I1091)-K1091</f>
        <v>5173.63</v>
      </c>
      <c r="P1091">
        <f t="shared" ref="P1091:P1154" si="110">I1091/H1091</f>
        <v>0.15903307888040713</v>
      </c>
      <c r="Q1091" t="s">
        <v>4139</v>
      </c>
      <c r="R1091" t="s">
        <v>4139</v>
      </c>
      <c r="S1091">
        <f>YEAR(marketing_data[[#This Row],[Start_date]])</f>
        <v>2023</v>
      </c>
      <c r="T1091" t="str">
        <f>TEXT(marketing_data[[#This Row],[Start_date]],"ddd")</f>
        <v>Mon</v>
      </c>
      <c r="U1091">
        <f>marketing_data[[#This Row],[Cleaned End_date]]-marketing_data[[#This Row],[Start_date]]</f>
        <v>22</v>
      </c>
    </row>
    <row r="1092" spans="1:21" x14ac:dyDescent="0.2">
      <c r="A1092" t="s">
        <v>2266</v>
      </c>
      <c r="B1092" t="s">
        <v>2267</v>
      </c>
      <c r="C1092" s="2">
        <v>44970</v>
      </c>
      <c r="D1092" t="str">
        <f t="shared" si="105"/>
        <v>Feb</v>
      </c>
      <c r="E1092" s="2">
        <v>44975</v>
      </c>
      <c r="F1092" t="s">
        <v>33</v>
      </c>
      <c r="G1092">
        <v>59596</v>
      </c>
      <c r="H1092">
        <v>2802</v>
      </c>
      <c r="I1092">
        <v>475</v>
      </c>
      <c r="J1092" t="b">
        <v>0</v>
      </c>
      <c r="K1092" s="10">
        <v>1494.38</v>
      </c>
      <c r="L1092" s="6">
        <f t="shared" si="106"/>
        <v>4.7016578293845222E-2</v>
      </c>
      <c r="M1092">
        <f t="shared" si="107"/>
        <v>0.5333261955745896</v>
      </c>
      <c r="N1092">
        <f t="shared" si="108"/>
        <v>3.1460631578947371</v>
      </c>
      <c r="O1092">
        <f t="shared" si="109"/>
        <v>22255.62</v>
      </c>
      <c r="P1092">
        <f t="shared" si="110"/>
        <v>0.16952177016416844</v>
      </c>
      <c r="Q1092" t="s">
        <v>4138</v>
      </c>
      <c r="R1092" t="s">
        <v>4138</v>
      </c>
      <c r="S1092">
        <f>YEAR(marketing_data[[#This Row],[Start_date]])</f>
        <v>2023</v>
      </c>
      <c r="T1092" t="str">
        <f>TEXT(marketing_data[[#This Row],[Start_date]],"ddd")</f>
        <v>Mon</v>
      </c>
      <c r="U1092">
        <f>marketing_data[[#This Row],[Cleaned End_date]]-marketing_data[[#This Row],[Start_date]]</f>
        <v>5</v>
      </c>
    </row>
    <row r="1093" spans="1:21" x14ac:dyDescent="0.2">
      <c r="A1093" t="s">
        <v>2268</v>
      </c>
      <c r="B1093" t="s">
        <v>2269</v>
      </c>
      <c r="C1093" s="2">
        <v>45140</v>
      </c>
      <c r="D1093" t="str">
        <f t="shared" si="105"/>
        <v>Aug</v>
      </c>
      <c r="E1093" s="2">
        <v>45170</v>
      </c>
      <c r="F1093" t="s">
        <v>23</v>
      </c>
      <c r="G1093">
        <v>31523</v>
      </c>
      <c r="H1093">
        <v>837</v>
      </c>
      <c r="I1093">
        <v>75</v>
      </c>
      <c r="J1093" t="b">
        <v>1</v>
      </c>
      <c r="K1093" s="10">
        <v>1659.61</v>
      </c>
      <c r="L1093" s="6">
        <f t="shared" si="106"/>
        <v>2.6552041366621197E-2</v>
      </c>
      <c r="M1093">
        <f t="shared" si="107"/>
        <v>1.9828076463560333</v>
      </c>
      <c r="N1093">
        <f t="shared" si="108"/>
        <v>22.128133333333331</v>
      </c>
      <c r="O1093">
        <f t="shared" si="109"/>
        <v>2090.3900000000003</v>
      </c>
      <c r="P1093">
        <f t="shared" si="110"/>
        <v>8.9605734767025089E-2</v>
      </c>
      <c r="Q1093" t="s">
        <v>4139</v>
      </c>
      <c r="R1093" t="s">
        <v>4139</v>
      </c>
      <c r="S1093">
        <f>YEAR(marketing_data[[#This Row],[Start_date]])</f>
        <v>2023</v>
      </c>
      <c r="T1093" t="str">
        <f>TEXT(marketing_data[[#This Row],[Start_date]],"ddd")</f>
        <v>Wed</v>
      </c>
      <c r="U1093">
        <f>marketing_data[[#This Row],[Cleaned End_date]]-marketing_data[[#This Row],[Start_date]]</f>
        <v>30</v>
      </c>
    </row>
    <row r="1094" spans="1:21" x14ac:dyDescent="0.2">
      <c r="A1094" t="s">
        <v>2270</v>
      </c>
      <c r="B1094" t="s">
        <v>2271</v>
      </c>
      <c r="C1094" s="2">
        <v>44960</v>
      </c>
      <c r="D1094" t="str">
        <f t="shared" si="105"/>
        <v>Feb</v>
      </c>
      <c r="E1094" s="2">
        <v>44977</v>
      </c>
      <c r="F1094" t="s">
        <v>19</v>
      </c>
      <c r="G1094">
        <v>89861</v>
      </c>
      <c r="H1094">
        <v>2319</v>
      </c>
      <c r="I1094">
        <v>424</v>
      </c>
      <c r="J1094" t="b">
        <v>0</v>
      </c>
      <c r="K1094" s="10">
        <v>1303.6099999999999</v>
      </c>
      <c r="L1094" s="6">
        <f t="shared" si="106"/>
        <v>2.5806523408375158E-2</v>
      </c>
      <c r="M1094">
        <f t="shared" si="107"/>
        <v>0.56214316515739537</v>
      </c>
      <c r="N1094">
        <f t="shared" si="108"/>
        <v>3.0745518867924524</v>
      </c>
      <c r="O1094">
        <f t="shared" si="109"/>
        <v>19896.39</v>
      </c>
      <c r="P1094">
        <f t="shared" si="110"/>
        <v>0.18283742992669255</v>
      </c>
      <c r="Q1094" t="s">
        <v>4138</v>
      </c>
      <c r="R1094" t="s">
        <v>4141</v>
      </c>
      <c r="S1094">
        <f>YEAR(marketing_data[[#This Row],[Start_date]])</f>
        <v>2023</v>
      </c>
      <c r="T1094" t="str">
        <f>TEXT(marketing_data[[#This Row],[Start_date]],"ddd")</f>
        <v>Fri</v>
      </c>
      <c r="U1094">
        <f>marketing_data[[#This Row],[Cleaned End_date]]-marketing_data[[#This Row],[Start_date]]</f>
        <v>17</v>
      </c>
    </row>
    <row r="1095" spans="1:21" x14ac:dyDescent="0.2">
      <c r="A1095" t="s">
        <v>2272</v>
      </c>
      <c r="B1095" t="s">
        <v>2273</v>
      </c>
      <c r="C1095" s="2">
        <v>45110</v>
      </c>
      <c r="D1095" t="str">
        <f t="shared" si="105"/>
        <v>Jul</v>
      </c>
      <c r="E1095" s="2">
        <v>45140</v>
      </c>
      <c r="F1095" t="s">
        <v>19</v>
      </c>
      <c r="G1095">
        <v>87740</v>
      </c>
      <c r="H1095">
        <v>1976</v>
      </c>
      <c r="I1095">
        <v>139</v>
      </c>
      <c r="J1095" t="b">
        <v>0</v>
      </c>
      <c r="K1095" s="10">
        <v>3631.7599999999998</v>
      </c>
      <c r="L1095" s="6">
        <f t="shared" si="106"/>
        <v>2.2521085023934351E-2</v>
      </c>
      <c r="M1095">
        <f t="shared" si="107"/>
        <v>1.8379352226720647</v>
      </c>
      <c r="N1095">
        <f t="shared" si="108"/>
        <v>26.12776978417266</v>
      </c>
      <c r="O1095">
        <f t="shared" si="109"/>
        <v>3318.2400000000002</v>
      </c>
      <c r="P1095">
        <f t="shared" si="110"/>
        <v>7.0344129554655868E-2</v>
      </c>
      <c r="Q1095" t="s">
        <v>4139</v>
      </c>
      <c r="R1095" t="s">
        <v>4141</v>
      </c>
      <c r="S1095">
        <f>YEAR(marketing_data[[#This Row],[Start_date]])</f>
        <v>2023</v>
      </c>
      <c r="T1095" t="str">
        <f>TEXT(marketing_data[[#This Row],[Start_date]],"ddd")</f>
        <v>Mon</v>
      </c>
      <c r="U1095">
        <f>marketing_data[[#This Row],[Cleaned End_date]]-marketing_data[[#This Row],[Start_date]]</f>
        <v>30</v>
      </c>
    </row>
    <row r="1096" spans="1:21" x14ac:dyDescent="0.2">
      <c r="A1096" t="s">
        <v>2274</v>
      </c>
      <c r="B1096" t="s">
        <v>2275</v>
      </c>
      <c r="C1096" s="2">
        <v>45096</v>
      </c>
      <c r="D1096" t="str">
        <f t="shared" si="105"/>
        <v>Jun</v>
      </c>
      <c r="E1096" s="2">
        <v>45124</v>
      </c>
      <c r="F1096" t="s">
        <v>23</v>
      </c>
      <c r="G1096">
        <v>16524</v>
      </c>
      <c r="H1096">
        <v>262</v>
      </c>
      <c r="I1096">
        <v>26</v>
      </c>
      <c r="J1096" t="b">
        <v>0</v>
      </c>
      <c r="K1096" s="10">
        <v>347.1</v>
      </c>
      <c r="L1096" s="6">
        <f t="shared" si="106"/>
        <v>1.5855725006051802E-2</v>
      </c>
      <c r="M1096">
        <f t="shared" si="107"/>
        <v>1.3248091603053436</v>
      </c>
      <c r="N1096">
        <f t="shared" si="108"/>
        <v>13.350000000000001</v>
      </c>
      <c r="O1096">
        <f t="shared" si="109"/>
        <v>952.9</v>
      </c>
      <c r="P1096">
        <f t="shared" si="110"/>
        <v>9.9236641221374045E-2</v>
      </c>
      <c r="Q1096" t="s">
        <v>4139</v>
      </c>
      <c r="R1096" t="s">
        <v>4141</v>
      </c>
      <c r="S1096">
        <f>YEAR(marketing_data[[#This Row],[Start_date]])</f>
        <v>2023</v>
      </c>
      <c r="T1096" t="str">
        <f>TEXT(marketing_data[[#This Row],[Start_date]],"ddd")</f>
        <v>Mon</v>
      </c>
      <c r="U1096">
        <f>marketing_data[[#This Row],[Cleaned End_date]]-marketing_data[[#This Row],[Start_date]]</f>
        <v>28</v>
      </c>
    </row>
    <row r="1097" spans="1:21" x14ac:dyDescent="0.2">
      <c r="A1097" t="s">
        <v>2276</v>
      </c>
      <c r="B1097" t="s">
        <v>2277</v>
      </c>
      <c r="C1097" s="2">
        <v>44952</v>
      </c>
      <c r="D1097" t="str">
        <f t="shared" si="105"/>
        <v>Jan</v>
      </c>
      <c r="E1097" s="2">
        <v>44977</v>
      </c>
      <c r="F1097" t="s">
        <v>14</v>
      </c>
      <c r="G1097">
        <v>20282</v>
      </c>
      <c r="H1097">
        <v>598</v>
      </c>
      <c r="J1097" t="b">
        <v>0</v>
      </c>
      <c r="K1097" s="10">
        <v>1162.95</v>
      </c>
      <c r="L1097" s="6">
        <f t="shared" si="106"/>
        <v>2.9484271768070211E-2</v>
      </c>
      <c r="M1097">
        <f t="shared" si="107"/>
        <v>1.9447324414715721</v>
      </c>
      <c r="N1097">
        <f t="shared" si="108"/>
        <v>0</v>
      </c>
      <c r="O1097">
        <f t="shared" si="109"/>
        <v>-1162.95</v>
      </c>
      <c r="P1097">
        <f t="shared" si="110"/>
        <v>0</v>
      </c>
      <c r="Q1097" t="s">
        <v>4138</v>
      </c>
      <c r="R1097" t="s">
        <v>4139</v>
      </c>
      <c r="S1097">
        <f>YEAR(marketing_data[[#This Row],[Start_date]])</f>
        <v>2023</v>
      </c>
      <c r="T1097" t="str">
        <f>TEXT(marketing_data[[#This Row],[Start_date]],"ddd")</f>
        <v>Thu</v>
      </c>
      <c r="U1097">
        <f>marketing_data[[#This Row],[Cleaned End_date]]-marketing_data[[#This Row],[Start_date]]</f>
        <v>25</v>
      </c>
    </row>
    <row r="1098" spans="1:21" x14ac:dyDescent="0.2">
      <c r="A1098" t="s">
        <v>2278</v>
      </c>
      <c r="B1098" t="s">
        <v>2279</v>
      </c>
      <c r="C1098" s="2">
        <v>45129</v>
      </c>
      <c r="D1098" t="str">
        <f t="shared" si="105"/>
        <v>Jul</v>
      </c>
      <c r="E1098" s="2">
        <v>45132</v>
      </c>
      <c r="F1098" t="s">
        <v>23</v>
      </c>
      <c r="G1098">
        <v>24930</v>
      </c>
      <c r="H1098">
        <v>378</v>
      </c>
      <c r="I1098">
        <v>24</v>
      </c>
      <c r="J1098" t="b">
        <v>1</v>
      </c>
      <c r="K1098" s="10">
        <v>329.13249999999999</v>
      </c>
      <c r="L1098" s="6">
        <f t="shared" si="106"/>
        <v>1.516245487364621E-2</v>
      </c>
      <c r="M1098">
        <f t="shared" si="107"/>
        <v>0.87072089947089948</v>
      </c>
      <c r="N1098">
        <f t="shared" si="108"/>
        <v>13.713854166666666</v>
      </c>
      <c r="O1098">
        <f t="shared" si="109"/>
        <v>870.86750000000006</v>
      </c>
      <c r="P1098">
        <f t="shared" si="110"/>
        <v>6.3492063492063489E-2</v>
      </c>
      <c r="Q1098" t="s">
        <v>4139</v>
      </c>
      <c r="R1098" t="s">
        <v>4138</v>
      </c>
      <c r="S1098">
        <f>YEAR(marketing_data[[#This Row],[Start_date]])</f>
        <v>2023</v>
      </c>
      <c r="T1098" t="str">
        <f>TEXT(marketing_data[[#This Row],[Start_date]],"ddd")</f>
        <v>Sat</v>
      </c>
      <c r="U1098">
        <f>marketing_data[[#This Row],[Cleaned End_date]]-marketing_data[[#This Row],[Start_date]]</f>
        <v>3</v>
      </c>
    </row>
    <row r="1099" spans="1:21" x14ac:dyDescent="0.2">
      <c r="A1099" t="s">
        <v>2280</v>
      </c>
      <c r="B1099" t="s">
        <v>2281</v>
      </c>
      <c r="C1099" s="2">
        <v>45145</v>
      </c>
      <c r="D1099" t="str">
        <f t="shared" si="105"/>
        <v>Aug</v>
      </c>
      <c r="E1099" s="2">
        <v>45161</v>
      </c>
      <c r="F1099" t="s">
        <v>41</v>
      </c>
      <c r="G1099">
        <v>1077</v>
      </c>
      <c r="H1099">
        <v>46</v>
      </c>
      <c r="J1099" t="b">
        <v>0</v>
      </c>
      <c r="K1099" s="10">
        <v>329.13249999999999</v>
      </c>
      <c r="L1099" s="6">
        <f t="shared" si="106"/>
        <v>4.2711234911792018E-2</v>
      </c>
      <c r="M1099">
        <f t="shared" si="107"/>
        <v>7.1550543478260868</v>
      </c>
      <c r="N1099">
        <f t="shared" si="108"/>
        <v>0</v>
      </c>
      <c r="O1099">
        <f t="shared" si="109"/>
        <v>-329.13249999999999</v>
      </c>
      <c r="P1099">
        <f t="shared" si="110"/>
        <v>0</v>
      </c>
      <c r="Q1099" t="s">
        <v>4139</v>
      </c>
      <c r="R1099" t="s">
        <v>4138</v>
      </c>
      <c r="S1099">
        <f>YEAR(marketing_data[[#This Row],[Start_date]])</f>
        <v>2023</v>
      </c>
      <c r="T1099" t="str">
        <f>TEXT(marketing_data[[#This Row],[Start_date]],"ddd")</f>
        <v>Mon</v>
      </c>
      <c r="U1099">
        <f>marketing_data[[#This Row],[Cleaned End_date]]-marketing_data[[#This Row],[Start_date]]</f>
        <v>16</v>
      </c>
    </row>
    <row r="1100" spans="1:21" x14ac:dyDescent="0.2">
      <c r="A1100" t="s">
        <v>2282</v>
      </c>
      <c r="B1100" t="s">
        <v>2283</v>
      </c>
      <c r="C1100" s="2">
        <v>45022</v>
      </c>
      <c r="D1100" t="str">
        <f t="shared" si="105"/>
        <v>Apr</v>
      </c>
      <c r="E1100" s="2">
        <v>45039</v>
      </c>
      <c r="F1100" t="s">
        <v>41</v>
      </c>
      <c r="G1100">
        <v>21611</v>
      </c>
      <c r="H1100">
        <v>536</v>
      </c>
      <c r="J1100" t="b">
        <v>0</v>
      </c>
      <c r="K1100" s="10">
        <v>404.28</v>
      </c>
      <c r="L1100" s="6">
        <f t="shared" si="106"/>
        <v>2.4802184072925827E-2</v>
      </c>
      <c r="M1100">
        <f t="shared" si="107"/>
        <v>0.75425373134328355</v>
      </c>
      <c r="N1100">
        <f t="shared" si="108"/>
        <v>0</v>
      </c>
      <c r="O1100">
        <f t="shared" si="109"/>
        <v>-404.28</v>
      </c>
      <c r="P1100">
        <f t="shared" si="110"/>
        <v>0</v>
      </c>
      <c r="Q1100" t="s">
        <v>4137</v>
      </c>
      <c r="R1100" t="s">
        <v>4142</v>
      </c>
      <c r="S1100">
        <f>YEAR(marketing_data[[#This Row],[Start_date]])</f>
        <v>2023</v>
      </c>
      <c r="T1100" t="str">
        <f>TEXT(marketing_data[[#This Row],[Start_date]],"ddd")</f>
        <v>Thu</v>
      </c>
      <c r="U1100">
        <f>marketing_data[[#This Row],[Cleaned End_date]]-marketing_data[[#This Row],[Start_date]]</f>
        <v>17</v>
      </c>
    </row>
    <row r="1101" spans="1:21" x14ac:dyDescent="0.2">
      <c r="A1101" t="s">
        <v>2284</v>
      </c>
      <c r="B1101" t="s">
        <v>2285</v>
      </c>
      <c r="C1101" s="2">
        <v>45003</v>
      </c>
      <c r="D1101" t="str">
        <f t="shared" si="105"/>
        <v>Mar</v>
      </c>
      <c r="E1101" s="2">
        <v>45006</v>
      </c>
      <c r="F1101" t="s">
        <v>14</v>
      </c>
      <c r="G1101">
        <v>17984</v>
      </c>
      <c r="H1101">
        <v>449</v>
      </c>
      <c r="I1101">
        <v>75</v>
      </c>
      <c r="J1101" t="b">
        <v>1</v>
      </c>
      <c r="K1101" s="10">
        <v>329.13249999999999</v>
      </c>
      <c r="L1101" s="6">
        <f t="shared" si="106"/>
        <v>2.4966637010676158E-2</v>
      </c>
      <c r="M1101">
        <f t="shared" si="107"/>
        <v>0.73303452115812917</v>
      </c>
      <c r="N1101">
        <f t="shared" si="108"/>
        <v>4.3884333333333334</v>
      </c>
      <c r="O1101">
        <f t="shared" si="109"/>
        <v>3420.8674999999998</v>
      </c>
      <c r="P1101">
        <f t="shared" si="110"/>
        <v>0.16703786191536749</v>
      </c>
      <c r="Q1101" t="s">
        <v>4137</v>
      </c>
      <c r="R1101" t="s">
        <v>4141</v>
      </c>
      <c r="S1101">
        <f>YEAR(marketing_data[[#This Row],[Start_date]])</f>
        <v>2023</v>
      </c>
      <c r="T1101" t="str">
        <f>TEXT(marketing_data[[#This Row],[Start_date]],"ddd")</f>
        <v>Sat</v>
      </c>
      <c r="U1101">
        <f>marketing_data[[#This Row],[Cleaned End_date]]-marketing_data[[#This Row],[Start_date]]</f>
        <v>3</v>
      </c>
    </row>
    <row r="1102" spans="1:21" x14ac:dyDescent="0.2">
      <c r="A1102" t="s">
        <v>2287</v>
      </c>
      <c r="B1102" t="s">
        <v>2288</v>
      </c>
      <c r="C1102" s="2">
        <v>45244</v>
      </c>
      <c r="D1102" t="str">
        <f t="shared" si="105"/>
        <v>Nov</v>
      </c>
      <c r="E1102" s="2">
        <v>45263</v>
      </c>
      <c r="F1102" t="s">
        <v>41</v>
      </c>
      <c r="G1102">
        <v>15060</v>
      </c>
      <c r="H1102">
        <v>436</v>
      </c>
      <c r="I1102">
        <v>54</v>
      </c>
      <c r="J1102" t="b">
        <v>0</v>
      </c>
      <c r="K1102" s="10">
        <v>621.86</v>
      </c>
      <c r="L1102" s="6">
        <f t="shared" si="106"/>
        <v>2.895086321381142E-2</v>
      </c>
      <c r="M1102">
        <f t="shared" si="107"/>
        <v>1.4262844036697249</v>
      </c>
      <c r="N1102">
        <f t="shared" si="108"/>
        <v>11.515925925925925</v>
      </c>
      <c r="O1102">
        <f t="shared" si="109"/>
        <v>2078.14</v>
      </c>
      <c r="P1102">
        <f t="shared" si="110"/>
        <v>0.12385321100917432</v>
      </c>
      <c r="Q1102" t="s">
        <v>4136</v>
      </c>
      <c r="R1102" t="s">
        <v>4139</v>
      </c>
      <c r="S1102">
        <f>YEAR(marketing_data[[#This Row],[Start_date]])</f>
        <v>2023</v>
      </c>
      <c r="T1102" t="str">
        <f>TEXT(marketing_data[[#This Row],[Start_date]],"ddd")</f>
        <v>Tue</v>
      </c>
      <c r="U1102">
        <f>marketing_data[[#This Row],[Cleaned End_date]]-marketing_data[[#This Row],[Start_date]]</f>
        <v>19</v>
      </c>
    </row>
    <row r="1103" spans="1:21" x14ac:dyDescent="0.2">
      <c r="A1103" t="s">
        <v>2289</v>
      </c>
      <c r="B1103" t="s">
        <v>2290</v>
      </c>
      <c r="C1103" s="2">
        <v>45182</v>
      </c>
      <c r="D1103" t="str">
        <f t="shared" si="105"/>
        <v>Sep</v>
      </c>
      <c r="E1103" s="2">
        <v>45188</v>
      </c>
      <c r="F1103" t="s">
        <v>14</v>
      </c>
      <c r="G1103">
        <v>83985</v>
      </c>
      <c r="H1103">
        <v>2331</v>
      </c>
      <c r="J1103" t="b">
        <v>0</v>
      </c>
      <c r="K1103" s="10">
        <v>1892.01</v>
      </c>
      <c r="L1103" s="6">
        <f t="shared" si="106"/>
        <v>2.7754956242186105E-2</v>
      </c>
      <c r="M1103">
        <f t="shared" si="107"/>
        <v>0.81167310167310169</v>
      </c>
      <c r="N1103">
        <f t="shared" si="108"/>
        <v>0</v>
      </c>
      <c r="O1103">
        <f t="shared" si="109"/>
        <v>-1892.01</v>
      </c>
      <c r="P1103">
        <f t="shared" si="110"/>
        <v>0</v>
      </c>
      <c r="Q1103" t="s">
        <v>4136</v>
      </c>
      <c r="R1103" t="s">
        <v>4141</v>
      </c>
      <c r="S1103">
        <f>YEAR(marketing_data[[#This Row],[Start_date]])</f>
        <v>2023</v>
      </c>
      <c r="T1103" t="str">
        <f>TEXT(marketing_data[[#This Row],[Start_date]],"ddd")</f>
        <v>Wed</v>
      </c>
      <c r="U1103">
        <f>marketing_data[[#This Row],[Cleaned End_date]]-marketing_data[[#This Row],[Start_date]]</f>
        <v>6</v>
      </c>
    </row>
    <row r="1104" spans="1:21" x14ac:dyDescent="0.2">
      <c r="A1104" t="s">
        <v>2291</v>
      </c>
      <c r="B1104" t="s">
        <v>2292</v>
      </c>
      <c r="C1104" s="2">
        <v>44928</v>
      </c>
      <c r="D1104" t="str">
        <f t="shared" si="105"/>
        <v>Jan</v>
      </c>
      <c r="E1104" s="2">
        <v>44966</v>
      </c>
      <c r="F1104" t="s">
        <v>41</v>
      </c>
      <c r="G1104">
        <v>85056</v>
      </c>
      <c r="H1104">
        <v>4235</v>
      </c>
      <c r="I1104">
        <v>678</v>
      </c>
      <c r="J1104" t="b">
        <v>0</v>
      </c>
      <c r="K1104" s="10">
        <v>3631.7599999999998</v>
      </c>
      <c r="L1104" s="6">
        <f t="shared" si="106"/>
        <v>4.9790726109857034E-2</v>
      </c>
      <c r="M1104">
        <f t="shared" si="107"/>
        <v>0.85755844155844152</v>
      </c>
      <c r="N1104">
        <f t="shared" si="108"/>
        <v>5.3565781710914449</v>
      </c>
      <c r="O1104">
        <f t="shared" si="109"/>
        <v>30268.240000000002</v>
      </c>
      <c r="P1104">
        <f t="shared" si="110"/>
        <v>0.16009445100354192</v>
      </c>
      <c r="Q1104" t="s">
        <v>4138</v>
      </c>
      <c r="R1104" t="s">
        <v>4138</v>
      </c>
      <c r="S1104">
        <f>YEAR(marketing_data[[#This Row],[Start_date]])</f>
        <v>2023</v>
      </c>
      <c r="T1104" t="str">
        <f>TEXT(marketing_data[[#This Row],[Start_date]],"ddd")</f>
        <v>Mon</v>
      </c>
      <c r="U1104">
        <f>marketing_data[[#This Row],[Cleaned End_date]]-marketing_data[[#This Row],[Start_date]]</f>
        <v>38</v>
      </c>
    </row>
    <row r="1105" spans="1:21" x14ac:dyDescent="0.2">
      <c r="A1105" t="s">
        <v>2293</v>
      </c>
      <c r="B1105" t="s">
        <v>2294</v>
      </c>
      <c r="C1105" s="2">
        <v>45123</v>
      </c>
      <c r="D1105" t="str">
        <f t="shared" si="105"/>
        <v>Jul</v>
      </c>
      <c r="E1105" s="2">
        <v>45144</v>
      </c>
      <c r="F1105" t="s">
        <v>33</v>
      </c>
      <c r="G1105">
        <v>44303</v>
      </c>
      <c r="H1105">
        <v>1409</v>
      </c>
      <c r="J1105" t="b">
        <v>1</v>
      </c>
      <c r="K1105" s="10">
        <v>941.98</v>
      </c>
      <c r="L1105" s="6">
        <f t="shared" si="106"/>
        <v>3.180371532401869E-2</v>
      </c>
      <c r="M1105">
        <f t="shared" si="107"/>
        <v>0.66854506742370479</v>
      </c>
      <c r="N1105">
        <f t="shared" si="108"/>
        <v>0</v>
      </c>
      <c r="O1105">
        <f t="shared" si="109"/>
        <v>-941.98</v>
      </c>
      <c r="P1105">
        <f t="shared" si="110"/>
        <v>0</v>
      </c>
      <c r="Q1105" t="s">
        <v>4139</v>
      </c>
      <c r="R1105" t="s">
        <v>4138</v>
      </c>
      <c r="S1105">
        <f>YEAR(marketing_data[[#This Row],[Start_date]])</f>
        <v>2023</v>
      </c>
      <c r="T1105" t="str">
        <f>TEXT(marketing_data[[#This Row],[Start_date]],"ddd")</f>
        <v>Sun</v>
      </c>
      <c r="U1105">
        <f>marketing_data[[#This Row],[Cleaned End_date]]-marketing_data[[#This Row],[Start_date]]</f>
        <v>21</v>
      </c>
    </row>
    <row r="1106" spans="1:21" x14ac:dyDescent="0.2">
      <c r="A1106" t="s">
        <v>2295</v>
      </c>
      <c r="B1106" t="s">
        <v>2296</v>
      </c>
      <c r="C1106" s="2">
        <v>45196</v>
      </c>
      <c r="D1106" t="str">
        <f t="shared" si="105"/>
        <v>Sep</v>
      </c>
      <c r="E1106" s="2">
        <v>45221</v>
      </c>
      <c r="F1106" t="s">
        <v>19</v>
      </c>
      <c r="G1106">
        <v>60207</v>
      </c>
      <c r="H1106">
        <v>814</v>
      </c>
      <c r="I1106">
        <v>100</v>
      </c>
      <c r="J1106" t="b">
        <v>1</v>
      </c>
      <c r="K1106" s="10">
        <v>812.36</v>
      </c>
      <c r="L1106" s="6">
        <f t="shared" si="106"/>
        <v>1.3520022588735529E-2</v>
      </c>
      <c r="M1106">
        <f t="shared" si="107"/>
        <v>0.99798525798525806</v>
      </c>
      <c r="N1106">
        <f t="shared" si="108"/>
        <v>8.1235999999999997</v>
      </c>
      <c r="O1106">
        <f t="shared" si="109"/>
        <v>4187.6400000000003</v>
      </c>
      <c r="P1106">
        <f t="shared" si="110"/>
        <v>0.12285012285012285</v>
      </c>
      <c r="Q1106" t="s">
        <v>4136</v>
      </c>
      <c r="R1106" t="s">
        <v>4142</v>
      </c>
      <c r="S1106">
        <f>YEAR(marketing_data[[#This Row],[Start_date]])</f>
        <v>2023</v>
      </c>
      <c r="T1106" t="str">
        <f>TEXT(marketing_data[[#This Row],[Start_date]],"ddd")</f>
        <v>Wed</v>
      </c>
      <c r="U1106">
        <f>marketing_data[[#This Row],[Cleaned End_date]]-marketing_data[[#This Row],[Start_date]]</f>
        <v>25</v>
      </c>
    </row>
    <row r="1107" spans="1:21" x14ac:dyDescent="0.2">
      <c r="A1107" t="s">
        <v>2297</v>
      </c>
      <c r="B1107" t="s">
        <v>2298</v>
      </c>
      <c r="C1107" s="2">
        <v>45205</v>
      </c>
      <c r="D1107" t="str">
        <f t="shared" si="105"/>
        <v>Oct</v>
      </c>
      <c r="E1107" s="2">
        <v>45219</v>
      </c>
      <c r="F1107" t="s">
        <v>19</v>
      </c>
      <c r="G1107">
        <v>76046</v>
      </c>
      <c r="H1107">
        <v>2606</v>
      </c>
      <c r="I1107">
        <v>159</v>
      </c>
      <c r="J1107" t="b">
        <v>1</v>
      </c>
      <c r="K1107" s="10">
        <v>3631.7599999999998</v>
      </c>
      <c r="L1107" s="6">
        <f t="shared" si="106"/>
        <v>3.4268732083212794E-2</v>
      </c>
      <c r="M1107">
        <f t="shared" si="107"/>
        <v>1.3936147352264006</v>
      </c>
      <c r="N1107">
        <f t="shared" si="108"/>
        <v>22.841257861635217</v>
      </c>
      <c r="O1107">
        <f t="shared" si="109"/>
        <v>4318.24</v>
      </c>
      <c r="P1107">
        <f t="shared" si="110"/>
        <v>6.1013046815042209E-2</v>
      </c>
      <c r="Q1107" t="s">
        <v>4136</v>
      </c>
      <c r="R1107" t="s">
        <v>4139</v>
      </c>
      <c r="S1107">
        <f>YEAR(marketing_data[[#This Row],[Start_date]])</f>
        <v>2023</v>
      </c>
      <c r="T1107" t="str">
        <f>TEXT(marketing_data[[#This Row],[Start_date]],"ddd")</f>
        <v>Fri</v>
      </c>
      <c r="U1107">
        <f>marketing_data[[#This Row],[Cleaned End_date]]-marketing_data[[#This Row],[Start_date]]</f>
        <v>14</v>
      </c>
    </row>
    <row r="1108" spans="1:21" x14ac:dyDescent="0.2">
      <c r="A1108" t="s">
        <v>2299</v>
      </c>
      <c r="B1108" t="s">
        <v>2300</v>
      </c>
      <c r="C1108" s="2">
        <v>45292</v>
      </c>
      <c r="D1108" t="str">
        <f t="shared" si="105"/>
        <v>Jan</v>
      </c>
      <c r="E1108" s="2">
        <v>45319</v>
      </c>
      <c r="F1108" t="s">
        <v>33</v>
      </c>
      <c r="G1108">
        <v>30287</v>
      </c>
      <c r="H1108">
        <v>486</v>
      </c>
      <c r="I1108">
        <v>69</v>
      </c>
      <c r="J1108" t="b">
        <v>0</v>
      </c>
      <c r="K1108" s="10">
        <v>561.61</v>
      </c>
      <c r="L1108" s="6">
        <f t="shared" si="106"/>
        <v>1.6046488592465415E-2</v>
      </c>
      <c r="M1108">
        <f t="shared" si="107"/>
        <v>1.1555761316872428</v>
      </c>
      <c r="N1108">
        <f t="shared" si="108"/>
        <v>8.1392753623188412</v>
      </c>
      <c r="O1108">
        <f t="shared" si="109"/>
        <v>2888.39</v>
      </c>
      <c r="P1108">
        <f t="shared" si="110"/>
        <v>0.1419753086419753</v>
      </c>
      <c r="Q1108" t="s">
        <v>4138</v>
      </c>
      <c r="R1108" t="s">
        <v>4139</v>
      </c>
      <c r="S1108">
        <f>YEAR(marketing_data[[#This Row],[Start_date]])</f>
        <v>2024</v>
      </c>
      <c r="T1108" t="str">
        <f>TEXT(marketing_data[[#This Row],[Start_date]],"ddd")</f>
        <v>Mon</v>
      </c>
      <c r="U1108">
        <f>marketing_data[[#This Row],[Cleaned End_date]]-marketing_data[[#This Row],[Start_date]]</f>
        <v>27</v>
      </c>
    </row>
    <row r="1109" spans="1:21" x14ac:dyDescent="0.2">
      <c r="A1109" t="s">
        <v>2301</v>
      </c>
      <c r="B1109" t="s">
        <v>2302</v>
      </c>
      <c r="C1109" s="2">
        <v>45175</v>
      </c>
      <c r="D1109" t="str">
        <f t="shared" si="105"/>
        <v>Sep</v>
      </c>
      <c r="E1109" s="2">
        <v>45196</v>
      </c>
      <c r="F1109" t="s">
        <v>14</v>
      </c>
      <c r="G1109">
        <v>94709</v>
      </c>
      <c r="H1109">
        <v>1064</v>
      </c>
      <c r="I1109">
        <v>159</v>
      </c>
      <c r="J1109" t="b">
        <v>1</v>
      </c>
      <c r="K1109" s="10">
        <v>1533.88</v>
      </c>
      <c r="L1109" s="6">
        <f t="shared" si="106"/>
        <v>1.1234412780200403E-2</v>
      </c>
      <c r="M1109">
        <f t="shared" si="107"/>
        <v>1.4416165413533835</v>
      </c>
      <c r="N1109">
        <f t="shared" si="108"/>
        <v>9.6470440251572338</v>
      </c>
      <c r="O1109">
        <f t="shared" si="109"/>
        <v>6416.12</v>
      </c>
      <c r="P1109">
        <f t="shared" si="110"/>
        <v>0.14943609022556392</v>
      </c>
      <c r="Q1109" t="s">
        <v>4136</v>
      </c>
      <c r="R1109" t="s">
        <v>4138</v>
      </c>
      <c r="S1109">
        <f>YEAR(marketing_data[[#This Row],[Start_date]])</f>
        <v>2023</v>
      </c>
      <c r="T1109" t="str">
        <f>TEXT(marketing_data[[#This Row],[Start_date]],"ddd")</f>
        <v>Wed</v>
      </c>
      <c r="U1109">
        <f>marketing_data[[#This Row],[Cleaned End_date]]-marketing_data[[#This Row],[Start_date]]</f>
        <v>21</v>
      </c>
    </row>
    <row r="1110" spans="1:21" x14ac:dyDescent="0.2">
      <c r="A1110" t="s">
        <v>2303</v>
      </c>
      <c r="B1110" t="s">
        <v>2304</v>
      </c>
      <c r="C1110" s="2">
        <v>45091</v>
      </c>
      <c r="D1110" t="str">
        <f t="shared" si="105"/>
        <v>Jun</v>
      </c>
      <c r="E1110" s="2">
        <v>45103</v>
      </c>
      <c r="F1110" t="s">
        <v>23</v>
      </c>
      <c r="G1110">
        <v>40711</v>
      </c>
      <c r="H1110">
        <v>1987</v>
      </c>
      <c r="I1110">
        <v>212</v>
      </c>
      <c r="J1110" t="b">
        <v>1</v>
      </c>
      <c r="K1110" s="10">
        <v>2923.25</v>
      </c>
      <c r="L1110" s="6">
        <f t="shared" si="106"/>
        <v>4.8807447618579747E-2</v>
      </c>
      <c r="M1110">
        <f t="shared" si="107"/>
        <v>1.4711877201811776</v>
      </c>
      <c r="N1110">
        <f t="shared" si="108"/>
        <v>13.788915094339623</v>
      </c>
      <c r="O1110">
        <f t="shared" si="109"/>
        <v>7676.75</v>
      </c>
      <c r="P1110">
        <f t="shared" si="110"/>
        <v>0.10669350780070458</v>
      </c>
      <c r="Q1110" t="s">
        <v>4139</v>
      </c>
      <c r="R1110" t="s">
        <v>4138</v>
      </c>
      <c r="S1110">
        <f>YEAR(marketing_data[[#This Row],[Start_date]])</f>
        <v>2023</v>
      </c>
      <c r="T1110" t="str">
        <f>TEXT(marketing_data[[#This Row],[Start_date]],"ddd")</f>
        <v>Wed</v>
      </c>
      <c r="U1110">
        <f>marketing_data[[#This Row],[Cleaned End_date]]-marketing_data[[#This Row],[Start_date]]</f>
        <v>12</v>
      </c>
    </row>
    <row r="1111" spans="1:21" x14ac:dyDescent="0.2">
      <c r="A1111" t="s">
        <v>2305</v>
      </c>
      <c r="B1111" t="s">
        <v>2306</v>
      </c>
      <c r="C1111" s="2">
        <v>45090</v>
      </c>
      <c r="D1111" t="str">
        <f t="shared" si="105"/>
        <v>Jun</v>
      </c>
      <c r="E1111" s="2">
        <v>45120</v>
      </c>
      <c r="F1111" t="s">
        <v>19</v>
      </c>
      <c r="G1111">
        <v>12954</v>
      </c>
      <c r="H1111">
        <v>530</v>
      </c>
      <c r="I1111">
        <v>102</v>
      </c>
      <c r="J1111" t="b">
        <v>1</v>
      </c>
      <c r="K1111" s="10">
        <v>935.79</v>
      </c>
      <c r="L1111" s="6">
        <f t="shared" si="106"/>
        <v>4.0914003396634244E-2</v>
      </c>
      <c r="M1111">
        <f t="shared" si="107"/>
        <v>1.7656415094339621</v>
      </c>
      <c r="N1111">
        <f t="shared" si="108"/>
        <v>9.1744117647058818</v>
      </c>
      <c r="O1111">
        <f t="shared" si="109"/>
        <v>4164.21</v>
      </c>
      <c r="P1111">
        <f t="shared" si="110"/>
        <v>0.19245283018867926</v>
      </c>
      <c r="Q1111" t="s">
        <v>4139</v>
      </c>
      <c r="R1111" t="s">
        <v>4138</v>
      </c>
      <c r="S1111">
        <f>YEAR(marketing_data[[#This Row],[Start_date]])</f>
        <v>2023</v>
      </c>
      <c r="T1111" t="str">
        <f>TEXT(marketing_data[[#This Row],[Start_date]],"ddd")</f>
        <v>Tue</v>
      </c>
      <c r="U1111">
        <f>marketing_data[[#This Row],[Cleaned End_date]]-marketing_data[[#This Row],[Start_date]]</f>
        <v>30</v>
      </c>
    </row>
    <row r="1112" spans="1:21" x14ac:dyDescent="0.2">
      <c r="A1112" t="s">
        <v>2307</v>
      </c>
      <c r="B1112" t="s">
        <v>2308</v>
      </c>
      <c r="C1112" s="2">
        <v>45070</v>
      </c>
      <c r="D1112" t="str">
        <f t="shared" si="105"/>
        <v>May</v>
      </c>
      <c r="E1112" s="2">
        <v>45097</v>
      </c>
      <c r="F1112" t="s">
        <v>14</v>
      </c>
      <c r="G1112">
        <v>74340</v>
      </c>
      <c r="H1112">
        <v>3657</v>
      </c>
      <c r="I1112">
        <v>662</v>
      </c>
      <c r="J1112" t="b">
        <v>1</v>
      </c>
      <c r="K1112" s="10">
        <v>3610.86</v>
      </c>
      <c r="L1112" s="6">
        <f t="shared" si="106"/>
        <v>4.9192897497982245E-2</v>
      </c>
      <c r="M1112">
        <f t="shared" si="107"/>
        <v>0.98738310090237902</v>
      </c>
      <c r="N1112">
        <f t="shared" si="108"/>
        <v>5.4544712990936555</v>
      </c>
      <c r="O1112">
        <f t="shared" si="109"/>
        <v>29489.14</v>
      </c>
      <c r="P1112">
        <f t="shared" si="110"/>
        <v>0.18102269619907027</v>
      </c>
      <c r="Q1112" t="s">
        <v>4137</v>
      </c>
      <c r="R1112" t="s">
        <v>4141</v>
      </c>
      <c r="S1112">
        <f>YEAR(marketing_data[[#This Row],[Start_date]])</f>
        <v>2023</v>
      </c>
      <c r="T1112" t="str">
        <f>TEXT(marketing_data[[#This Row],[Start_date]],"ddd")</f>
        <v>Wed</v>
      </c>
      <c r="U1112">
        <f>marketing_data[[#This Row],[Cleaned End_date]]-marketing_data[[#This Row],[Start_date]]</f>
        <v>27</v>
      </c>
    </row>
    <row r="1113" spans="1:21" x14ac:dyDescent="0.2">
      <c r="A1113" t="s">
        <v>2309</v>
      </c>
      <c r="B1113" t="s">
        <v>2310</v>
      </c>
      <c r="C1113" s="2">
        <v>45168</v>
      </c>
      <c r="D1113" t="str">
        <f t="shared" si="105"/>
        <v>Aug</v>
      </c>
      <c r="E1113" s="2">
        <v>45177</v>
      </c>
      <c r="F1113" t="s">
        <v>41</v>
      </c>
      <c r="G1113">
        <v>73101</v>
      </c>
      <c r="H1113">
        <v>2128</v>
      </c>
      <c r="I1113">
        <v>332</v>
      </c>
      <c r="J1113" t="b">
        <v>0</v>
      </c>
      <c r="K1113" s="10">
        <v>3257.85</v>
      </c>
      <c r="L1113" s="6">
        <f t="shared" si="106"/>
        <v>2.9110408886335343E-2</v>
      </c>
      <c r="M1113">
        <f t="shared" si="107"/>
        <v>1.5309445488721805</v>
      </c>
      <c r="N1113">
        <f t="shared" si="108"/>
        <v>9.8128012048192765</v>
      </c>
      <c r="O1113">
        <f t="shared" si="109"/>
        <v>13342.15</v>
      </c>
      <c r="P1113">
        <f t="shared" si="110"/>
        <v>0.15601503759398497</v>
      </c>
      <c r="Q1113" t="s">
        <v>4139</v>
      </c>
      <c r="R1113" t="s">
        <v>4142</v>
      </c>
      <c r="S1113">
        <f>YEAR(marketing_data[[#This Row],[Start_date]])</f>
        <v>2023</v>
      </c>
      <c r="T1113" t="str">
        <f>TEXT(marketing_data[[#This Row],[Start_date]],"ddd")</f>
        <v>Wed</v>
      </c>
      <c r="U1113">
        <f>marketing_data[[#This Row],[Cleaned End_date]]-marketing_data[[#This Row],[Start_date]]</f>
        <v>9</v>
      </c>
    </row>
    <row r="1114" spans="1:21" x14ac:dyDescent="0.2">
      <c r="A1114" t="s">
        <v>2311</v>
      </c>
      <c r="B1114" t="s">
        <v>2312</v>
      </c>
      <c r="C1114" s="2">
        <v>45046</v>
      </c>
      <c r="D1114" t="str">
        <f t="shared" si="105"/>
        <v>Apr</v>
      </c>
      <c r="E1114" s="2">
        <v>45060</v>
      </c>
      <c r="F1114" t="s">
        <v>14</v>
      </c>
      <c r="G1114">
        <v>72520</v>
      </c>
      <c r="H1114">
        <v>2269</v>
      </c>
      <c r="I1114">
        <v>356</v>
      </c>
      <c r="J1114" t="b">
        <v>1</v>
      </c>
      <c r="K1114" s="10">
        <v>3631.7599999999998</v>
      </c>
      <c r="L1114" s="6">
        <f t="shared" si="106"/>
        <v>3.1287920573634859E-2</v>
      </c>
      <c r="M1114">
        <f t="shared" si="107"/>
        <v>1.6005993829881004</v>
      </c>
      <c r="N1114">
        <f t="shared" si="108"/>
        <v>10.201573033707865</v>
      </c>
      <c r="O1114">
        <f t="shared" si="109"/>
        <v>14168.24</v>
      </c>
      <c r="P1114">
        <f t="shared" si="110"/>
        <v>0.15689731159100925</v>
      </c>
      <c r="Q1114" t="s">
        <v>4137</v>
      </c>
      <c r="R1114" t="s">
        <v>4138</v>
      </c>
      <c r="S1114">
        <f>YEAR(marketing_data[[#This Row],[Start_date]])</f>
        <v>2023</v>
      </c>
      <c r="T1114" t="str">
        <f>TEXT(marketing_data[[#This Row],[Start_date]],"ddd")</f>
        <v>Sun</v>
      </c>
      <c r="U1114">
        <f>marketing_data[[#This Row],[Cleaned End_date]]-marketing_data[[#This Row],[Start_date]]</f>
        <v>14</v>
      </c>
    </row>
    <row r="1115" spans="1:21" x14ac:dyDescent="0.2">
      <c r="A1115" t="s">
        <v>2313</v>
      </c>
      <c r="B1115" t="s">
        <v>2314</v>
      </c>
      <c r="C1115" s="2">
        <v>45263</v>
      </c>
      <c r="D1115" t="str">
        <f t="shared" si="105"/>
        <v>Dec</v>
      </c>
      <c r="E1115" s="2">
        <v>45265</v>
      </c>
      <c r="F1115" t="s">
        <v>41</v>
      </c>
      <c r="G1115">
        <v>88062</v>
      </c>
      <c r="H1115">
        <v>1473</v>
      </c>
      <c r="I1115">
        <v>129</v>
      </c>
      <c r="J1115" t="b">
        <v>0</v>
      </c>
      <c r="K1115" s="10">
        <v>2349.9699999999998</v>
      </c>
      <c r="L1115" s="6">
        <f t="shared" si="106"/>
        <v>1.6726851536417522E-2</v>
      </c>
      <c r="M1115">
        <f t="shared" si="107"/>
        <v>1.5953632043448742</v>
      </c>
      <c r="N1115">
        <f t="shared" si="108"/>
        <v>18.216821705426355</v>
      </c>
      <c r="O1115">
        <f t="shared" si="109"/>
        <v>4100.0300000000007</v>
      </c>
      <c r="P1115">
        <f t="shared" si="110"/>
        <v>8.7576374745417518E-2</v>
      </c>
      <c r="Q1115" t="s">
        <v>4138</v>
      </c>
      <c r="R1115" t="s">
        <v>4138</v>
      </c>
      <c r="S1115">
        <f>YEAR(marketing_data[[#This Row],[Start_date]])</f>
        <v>2023</v>
      </c>
      <c r="T1115" t="str">
        <f>TEXT(marketing_data[[#This Row],[Start_date]],"ddd")</f>
        <v>Sun</v>
      </c>
      <c r="U1115">
        <f>marketing_data[[#This Row],[Cleaned End_date]]-marketing_data[[#This Row],[Start_date]]</f>
        <v>2</v>
      </c>
    </row>
    <row r="1116" spans="1:21" x14ac:dyDescent="0.2">
      <c r="A1116" t="s">
        <v>2315</v>
      </c>
      <c r="B1116" t="s">
        <v>2316</v>
      </c>
      <c r="C1116" s="2">
        <v>44955</v>
      </c>
      <c r="D1116" t="str">
        <f t="shared" si="105"/>
        <v>Jan</v>
      </c>
      <c r="E1116" s="2">
        <v>44980</v>
      </c>
      <c r="F1116" t="s">
        <v>19</v>
      </c>
      <c r="G1116">
        <v>19574</v>
      </c>
      <c r="H1116">
        <v>389</v>
      </c>
      <c r="I1116">
        <v>57</v>
      </c>
      <c r="J1116" t="b">
        <v>0</v>
      </c>
      <c r="K1116" s="10">
        <v>480.34</v>
      </c>
      <c r="L1116" s="6">
        <f t="shared" si="106"/>
        <v>1.9873301318074996E-2</v>
      </c>
      <c r="M1116">
        <f t="shared" si="107"/>
        <v>1.2348071979434447</v>
      </c>
      <c r="N1116">
        <f t="shared" si="108"/>
        <v>8.4270175438596482</v>
      </c>
      <c r="O1116">
        <f t="shared" si="109"/>
        <v>2369.66</v>
      </c>
      <c r="P1116">
        <f t="shared" si="110"/>
        <v>0.14652956298200515</v>
      </c>
      <c r="Q1116" t="s">
        <v>4138</v>
      </c>
      <c r="R1116" t="s">
        <v>4142</v>
      </c>
      <c r="S1116">
        <f>YEAR(marketing_data[[#This Row],[Start_date]])</f>
        <v>2023</v>
      </c>
      <c r="T1116" t="str">
        <f>TEXT(marketing_data[[#This Row],[Start_date]],"ddd")</f>
        <v>Sun</v>
      </c>
      <c r="U1116">
        <f>marketing_data[[#This Row],[Cleaned End_date]]-marketing_data[[#This Row],[Start_date]]</f>
        <v>25</v>
      </c>
    </row>
    <row r="1117" spans="1:21" x14ac:dyDescent="0.2">
      <c r="A1117" t="s">
        <v>2317</v>
      </c>
      <c r="B1117" t="s">
        <v>2318</v>
      </c>
      <c r="C1117" s="2">
        <v>45221</v>
      </c>
      <c r="D1117" t="str">
        <f t="shared" si="105"/>
        <v>Oct</v>
      </c>
      <c r="E1117" s="2">
        <v>45235</v>
      </c>
      <c r="F1117" t="s">
        <v>41</v>
      </c>
      <c r="G1117">
        <v>10184</v>
      </c>
      <c r="H1117">
        <v>443</v>
      </c>
      <c r="J1117" t="b">
        <v>1</v>
      </c>
      <c r="K1117" s="10">
        <v>640.61</v>
      </c>
      <c r="L1117" s="6">
        <f t="shared" si="106"/>
        <v>4.3499607227022778E-2</v>
      </c>
      <c r="M1117">
        <f t="shared" si="107"/>
        <v>1.4460722347629797</v>
      </c>
      <c r="N1117">
        <f t="shared" si="108"/>
        <v>0</v>
      </c>
      <c r="O1117">
        <f t="shared" si="109"/>
        <v>-640.61</v>
      </c>
      <c r="P1117">
        <f t="shared" si="110"/>
        <v>0</v>
      </c>
      <c r="Q1117" t="s">
        <v>4136</v>
      </c>
      <c r="R1117" t="s">
        <v>4141</v>
      </c>
      <c r="S1117">
        <f>YEAR(marketing_data[[#This Row],[Start_date]])</f>
        <v>2023</v>
      </c>
      <c r="T1117" t="str">
        <f>TEXT(marketing_data[[#This Row],[Start_date]],"ddd")</f>
        <v>Sun</v>
      </c>
      <c r="U1117">
        <f>marketing_data[[#This Row],[Cleaned End_date]]-marketing_data[[#This Row],[Start_date]]</f>
        <v>14</v>
      </c>
    </row>
    <row r="1118" spans="1:21" x14ac:dyDescent="0.2">
      <c r="A1118" t="s">
        <v>2319</v>
      </c>
      <c r="B1118" t="s">
        <v>2320</v>
      </c>
      <c r="C1118" s="2">
        <v>45108</v>
      </c>
      <c r="D1118" t="str">
        <f t="shared" si="105"/>
        <v>Jul</v>
      </c>
      <c r="E1118" s="2">
        <v>45110</v>
      </c>
      <c r="F1118" t="s">
        <v>14</v>
      </c>
      <c r="G1118">
        <v>20096</v>
      </c>
      <c r="H1118">
        <v>487</v>
      </c>
      <c r="I1118">
        <v>34</v>
      </c>
      <c r="J1118" t="b">
        <v>0</v>
      </c>
      <c r="K1118" s="10">
        <v>783.84</v>
      </c>
      <c r="L1118" s="6">
        <f t="shared" si="106"/>
        <v>2.4233678343949044E-2</v>
      </c>
      <c r="M1118">
        <f t="shared" si="107"/>
        <v>1.6095277207392198</v>
      </c>
      <c r="N1118">
        <f t="shared" si="108"/>
        <v>23.054117647058824</v>
      </c>
      <c r="O1118">
        <f t="shared" si="109"/>
        <v>916.16</v>
      </c>
      <c r="P1118">
        <f t="shared" si="110"/>
        <v>6.9815195071868577E-2</v>
      </c>
      <c r="Q1118" t="s">
        <v>4139</v>
      </c>
      <c r="R1118" t="s">
        <v>4142</v>
      </c>
      <c r="S1118">
        <f>YEAR(marketing_data[[#This Row],[Start_date]])</f>
        <v>2023</v>
      </c>
      <c r="T1118" t="str">
        <f>TEXT(marketing_data[[#This Row],[Start_date]],"ddd")</f>
        <v>Sat</v>
      </c>
      <c r="U1118">
        <f>marketing_data[[#This Row],[Cleaned End_date]]-marketing_data[[#This Row],[Start_date]]</f>
        <v>2</v>
      </c>
    </row>
    <row r="1119" spans="1:21" x14ac:dyDescent="0.2">
      <c r="A1119" t="s">
        <v>2321</v>
      </c>
      <c r="B1119" t="s">
        <v>2322</v>
      </c>
      <c r="C1119" s="2">
        <v>45015</v>
      </c>
      <c r="D1119" t="str">
        <f t="shared" si="105"/>
        <v>Mar</v>
      </c>
      <c r="E1119" s="2">
        <v>45043</v>
      </c>
      <c r="F1119" t="s">
        <v>19</v>
      </c>
      <c r="G1119">
        <v>68728</v>
      </c>
      <c r="H1119">
        <v>2960</v>
      </c>
      <c r="I1119">
        <v>591</v>
      </c>
      <c r="J1119" t="b">
        <v>1</v>
      </c>
      <c r="K1119" s="10">
        <v>3631.7599999999998</v>
      </c>
      <c r="L1119" s="6">
        <f t="shared" si="106"/>
        <v>4.3068327319287628E-2</v>
      </c>
      <c r="M1119">
        <f t="shared" si="107"/>
        <v>1.226945945945946</v>
      </c>
      <c r="N1119">
        <f t="shared" si="108"/>
        <v>6.1451099830795259</v>
      </c>
      <c r="O1119">
        <f t="shared" si="109"/>
        <v>25918.240000000002</v>
      </c>
      <c r="P1119">
        <f t="shared" si="110"/>
        <v>0.19966216216216215</v>
      </c>
      <c r="Q1119" t="s">
        <v>4137</v>
      </c>
      <c r="R1119" t="s">
        <v>4138</v>
      </c>
      <c r="S1119">
        <f>YEAR(marketing_data[[#This Row],[Start_date]])</f>
        <v>2023</v>
      </c>
      <c r="T1119" t="str">
        <f>TEXT(marketing_data[[#This Row],[Start_date]],"ddd")</f>
        <v>Thu</v>
      </c>
      <c r="U1119">
        <f>marketing_data[[#This Row],[Cleaned End_date]]-marketing_data[[#This Row],[Start_date]]</f>
        <v>28</v>
      </c>
    </row>
    <row r="1120" spans="1:21" x14ac:dyDescent="0.2">
      <c r="A1120" t="s">
        <v>2323</v>
      </c>
      <c r="B1120" t="s">
        <v>2324</v>
      </c>
      <c r="C1120" s="2">
        <v>45284</v>
      </c>
      <c r="D1120" t="str">
        <f t="shared" si="105"/>
        <v>Dec</v>
      </c>
      <c r="E1120" s="2">
        <v>45295</v>
      </c>
      <c r="F1120" t="s">
        <v>41</v>
      </c>
      <c r="G1120">
        <v>35016</v>
      </c>
      <c r="H1120">
        <v>1343</v>
      </c>
      <c r="I1120">
        <v>192</v>
      </c>
      <c r="J1120" t="b">
        <v>0</v>
      </c>
      <c r="K1120" s="10">
        <v>705.09</v>
      </c>
      <c r="L1120" s="6">
        <f t="shared" si="106"/>
        <v>3.8353895362120173E-2</v>
      </c>
      <c r="M1120">
        <f t="shared" si="107"/>
        <v>0.5250111690245719</v>
      </c>
      <c r="N1120">
        <f t="shared" si="108"/>
        <v>3.67234375</v>
      </c>
      <c r="O1120">
        <f t="shared" si="109"/>
        <v>8894.91</v>
      </c>
      <c r="P1120">
        <f t="shared" si="110"/>
        <v>0.14296351451973194</v>
      </c>
      <c r="Q1120" t="s">
        <v>4138</v>
      </c>
      <c r="R1120" t="s">
        <v>4141</v>
      </c>
      <c r="S1120">
        <f>YEAR(marketing_data[[#This Row],[Start_date]])</f>
        <v>2023</v>
      </c>
      <c r="T1120" t="str">
        <f>TEXT(marketing_data[[#This Row],[Start_date]],"ddd")</f>
        <v>Sun</v>
      </c>
      <c r="U1120">
        <f>marketing_data[[#This Row],[Cleaned End_date]]-marketing_data[[#This Row],[Start_date]]</f>
        <v>11</v>
      </c>
    </row>
    <row r="1121" spans="1:21" x14ac:dyDescent="0.2">
      <c r="A1121" t="s">
        <v>2325</v>
      </c>
      <c r="B1121" t="s">
        <v>2326</v>
      </c>
      <c r="C1121" s="2">
        <v>45287</v>
      </c>
      <c r="D1121" t="str">
        <f t="shared" si="105"/>
        <v>Dec</v>
      </c>
      <c r="E1121" s="2">
        <v>45312</v>
      </c>
      <c r="F1121" t="s">
        <v>23</v>
      </c>
      <c r="G1121">
        <v>12246</v>
      </c>
      <c r="H1121">
        <v>209</v>
      </c>
      <c r="I1121">
        <v>23</v>
      </c>
      <c r="J1121" t="b">
        <v>1</v>
      </c>
      <c r="K1121" s="10">
        <v>329.13249999999999</v>
      </c>
      <c r="L1121" s="6">
        <f t="shared" si="106"/>
        <v>1.706679732157439E-2</v>
      </c>
      <c r="M1121">
        <f t="shared" si="107"/>
        <v>1.5747966507177034</v>
      </c>
      <c r="N1121">
        <f t="shared" si="108"/>
        <v>14.310108695652174</v>
      </c>
      <c r="O1121">
        <f t="shared" si="109"/>
        <v>820.86750000000006</v>
      </c>
      <c r="P1121">
        <f t="shared" si="110"/>
        <v>0.11004784688995216</v>
      </c>
      <c r="Q1121" t="s">
        <v>4138</v>
      </c>
      <c r="R1121" t="s">
        <v>4141</v>
      </c>
      <c r="S1121">
        <f>YEAR(marketing_data[[#This Row],[Start_date]])</f>
        <v>2023</v>
      </c>
      <c r="T1121" t="str">
        <f>TEXT(marketing_data[[#This Row],[Start_date]],"ddd")</f>
        <v>Wed</v>
      </c>
      <c r="U1121">
        <f>marketing_data[[#This Row],[Cleaned End_date]]-marketing_data[[#This Row],[Start_date]]</f>
        <v>25</v>
      </c>
    </row>
    <row r="1122" spans="1:21" x14ac:dyDescent="0.2">
      <c r="A1122" t="s">
        <v>2327</v>
      </c>
      <c r="B1122" t="s">
        <v>2328</v>
      </c>
      <c r="C1122" s="2">
        <v>45215</v>
      </c>
      <c r="D1122" t="str">
        <f t="shared" si="105"/>
        <v>Oct</v>
      </c>
      <c r="E1122" s="2">
        <v>45228</v>
      </c>
      <c r="F1122" t="s">
        <v>33</v>
      </c>
      <c r="G1122">
        <v>46558</v>
      </c>
      <c r="H1122">
        <v>1410</v>
      </c>
      <c r="I1122">
        <v>131</v>
      </c>
      <c r="J1122" t="b">
        <v>1</v>
      </c>
      <c r="K1122" s="10">
        <v>2419.14</v>
      </c>
      <c r="L1122" s="6">
        <f t="shared" si="106"/>
        <v>3.0284806048369774E-2</v>
      </c>
      <c r="M1122">
        <f t="shared" si="107"/>
        <v>1.7157021276595743</v>
      </c>
      <c r="N1122">
        <f t="shared" si="108"/>
        <v>18.466717557251908</v>
      </c>
      <c r="O1122">
        <f t="shared" si="109"/>
        <v>4130.8600000000006</v>
      </c>
      <c r="P1122">
        <f t="shared" si="110"/>
        <v>9.2907801418439712E-2</v>
      </c>
      <c r="Q1122" t="s">
        <v>4136</v>
      </c>
      <c r="R1122" t="s">
        <v>4142</v>
      </c>
      <c r="S1122">
        <f>YEAR(marketing_data[[#This Row],[Start_date]])</f>
        <v>2023</v>
      </c>
      <c r="T1122" t="str">
        <f>TEXT(marketing_data[[#This Row],[Start_date]],"ddd")</f>
        <v>Mon</v>
      </c>
      <c r="U1122">
        <f>marketing_data[[#This Row],[Cleaned End_date]]-marketing_data[[#This Row],[Start_date]]</f>
        <v>13</v>
      </c>
    </row>
    <row r="1123" spans="1:21" x14ac:dyDescent="0.2">
      <c r="A1123" t="s">
        <v>2329</v>
      </c>
      <c r="B1123" t="s">
        <v>2330</v>
      </c>
      <c r="C1123" s="2">
        <v>45179</v>
      </c>
      <c r="D1123" t="str">
        <f t="shared" si="105"/>
        <v>Sep</v>
      </c>
      <c r="E1123" s="2">
        <v>45180</v>
      </c>
      <c r="F1123" t="s">
        <v>14</v>
      </c>
      <c r="G1123">
        <v>19381</v>
      </c>
      <c r="H1123">
        <v>718</v>
      </c>
      <c r="I1123">
        <v>100</v>
      </c>
      <c r="J1123" t="b">
        <v>0</v>
      </c>
      <c r="K1123" s="10">
        <v>652.64</v>
      </c>
      <c r="L1123" s="6">
        <f t="shared" si="106"/>
        <v>3.7046592023115422E-2</v>
      </c>
      <c r="M1123">
        <f t="shared" si="107"/>
        <v>0.90896935933147627</v>
      </c>
      <c r="N1123">
        <f t="shared" si="108"/>
        <v>6.5263999999999998</v>
      </c>
      <c r="O1123">
        <f t="shared" si="109"/>
        <v>4347.3599999999997</v>
      </c>
      <c r="P1123">
        <f t="shared" si="110"/>
        <v>0.1392757660167131</v>
      </c>
      <c r="Q1123" t="s">
        <v>4136</v>
      </c>
      <c r="R1123" t="s">
        <v>4141</v>
      </c>
      <c r="S1123">
        <f>YEAR(marketing_data[[#This Row],[Start_date]])</f>
        <v>2023</v>
      </c>
      <c r="T1123" t="str">
        <f>TEXT(marketing_data[[#This Row],[Start_date]],"ddd")</f>
        <v>Sun</v>
      </c>
      <c r="U1123">
        <f>marketing_data[[#This Row],[Cleaned End_date]]-marketing_data[[#This Row],[Start_date]]</f>
        <v>1</v>
      </c>
    </row>
    <row r="1124" spans="1:21" x14ac:dyDescent="0.2">
      <c r="A1124" t="s">
        <v>2331</v>
      </c>
      <c r="B1124" t="s">
        <v>2332</v>
      </c>
      <c r="C1124" s="2">
        <v>44946</v>
      </c>
      <c r="D1124" t="str">
        <f t="shared" si="105"/>
        <v>Jan</v>
      </c>
      <c r="E1124" s="2">
        <v>44953</v>
      </c>
      <c r="F1124" t="s">
        <v>19</v>
      </c>
      <c r="G1124">
        <v>37455</v>
      </c>
      <c r="H1124">
        <v>726</v>
      </c>
      <c r="I1124">
        <v>41</v>
      </c>
      <c r="J1124" t="b">
        <v>1</v>
      </c>
      <c r="K1124" s="10">
        <v>1159.67</v>
      </c>
      <c r="L1124" s="6">
        <f t="shared" si="106"/>
        <v>1.9383259911894272E-2</v>
      </c>
      <c r="M1124">
        <f t="shared" si="107"/>
        <v>1.5973415977961434</v>
      </c>
      <c r="N1124">
        <f t="shared" si="108"/>
        <v>28.284634146341464</v>
      </c>
      <c r="O1124">
        <f t="shared" si="109"/>
        <v>890.32999999999993</v>
      </c>
      <c r="P1124">
        <f t="shared" si="110"/>
        <v>5.647382920110193E-2</v>
      </c>
      <c r="Q1124" t="s">
        <v>4138</v>
      </c>
      <c r="R1124" t="s">
        <v>4138</v>
      </c>
      <c r="S1124">
        <f>YEAR(marketing_data[[#This Row],[Start_date]])</f>
        <v>2023</v>
      </c>
      <c r="T1124" t="str">
        <f>TEXT(marketing_data[[#This Row],[Start_date]],"ddd")</f>
        <v>Fri</v>
      </c>
      <c r="U1124">
        <f>marketing_data[[#This Row],[Cleaned End_date]]-marketing_data[[#This Row],[Start_date]]</f>
        <v>7</v>
      </c>
    </row>
    <row r="1125" spans="1:21" x14ac:dyDescent="0.2">
      <c r="A1125" t="s">
        <v>2334</v>
      </c>
      <c r="B1125" t="s">
        <v>2335</v>
      </c>
      <c r="C1125" s="2">
        <v>45046</v>
      </c>
      <c r="D1125" t="str">
        <f t="shared" si="105"/>
        <v>Apr</v>
      </c>
      <c r="E1125" s="2">
        <v>45068</v>
      </c>
      <c r="F1125" t="s">
        <v>23</v>
      </c>
      <c r="G1125">
        <v>93263</v>
      </c>
      <c r="H1125">
        <v>4031</v>
      </c>
      <c r="I1125">
        <v>258</v>
      </c>
      <c r="J1125" t="b">
        <v>1</v>
      </c>
      <c r="K1125" s="10">
        <v>3631.7599999999998</v>
      </c>
      <c r="L1125" s="6">
        <f t="shared" si="106"/>
        <v>4.3221856470411629E-2</v>
      </c>
      <c r="M1125">
        <f t="shared" si="107"/>
        <v>0.9009575787645745</v>
      </c>
      <c r="N1125">
        <f t="shared" si="108"/>
        <v>14.076589147286821</v>
      </c>
      <c r="O1125">
        <f t="shared" si="109"/>
        <v>9268.24</v>
      </c>
      <c r="P1125">
        <f t="shared" si="110"/>
        <v>6.4003969238402375E-2</v>
      </c>
      <c r="Q1125" t="s">
        <v>4137</v>
      </c>
      <c r="R1125" t="s">
        <v>4138</v>
      </c>
      <c r="S1125">
        <f>YEAR(marketing_data[[#This Row],[Start_date]])</f>
        <v>2023</v>
      </c>
      <c r="T1125" t="str">
        <f>TEXT(marketing_data[[#This Row],[Start_date]],"ddd")</f>
        <v>Sun</v>
      </c>
      <c r="U1125">
        <f>marketing_data[[#This Row],[Cleaned End_date]]-marketing_data[[#This Row],[Start_date]]</f>
        <v>22</v>
      </c>
    </row>
    <row r="1126" spans="1:21" x14ac:dyDescent="0.2">
      <c r="A1126" t="s">
        <v>2336</v>
      </c>
      <c r="B1126" t="s">
        <v>2337</v>
      </c>
      <c r="C1126" s="2">
        <v>44966</v>
      </c>
      <c r="D1126" t="str">
        <f t="shared" si="105"/>
        <v>Feb</v>
      </c>
      <c r="E1126" s="2">
        <v>45195</v>
      </c>
      <c r="F1126" t="s">
        <v>33</v>
      </c>
      <c r="G1126">
        <v>5018</v>
      </c>
      <c r="H1126">
        <v>159</v>
      </c>
      <c r="I1126">
        <v>8</v>
      </c>
      <c r="J1126" t="b">
        <v>0</v>
      </c>
      <c r="K1126" s="10">
        <v>329.13249999999999</v>
      </c>
      <c r="L1126" s="6">
        <f t="shared" si="106"/>
        <v>3.1685930649661222E-2</v>
      </c>
      <c r="M1126">
        <f t="shared" si="107"/>
        <v>2.0700157232704401</v>
      </c>
      <c r="N1126">
        <f t="shared" si="108"/>
        <v>41.141562499999999</v>
      </c>
      <c r="O1126">
        <f t="shared" si="109"/>
        <v>70.867500000000007</v>
      </c>
      <c r="P1126">
        <f t="shared" si="110"/>
        <v>5.0314465408805034E-2</v>
      </c>
      <c r="Q1126" t="s">
        <v>4138</v>
      </c>
      <c r="R1126" t="s">
        <v>4141</v>
      </c>
      <c r="S1126">
        <f>YEAR(marketing_data[[#This Row],[Start_date]])</f>
        <v>2023</v>
      </c>
      <c r="T1126" t="str">
        <f>TEXT(marketing_data[[#This Row],[Start_date]],"ddd")</f>
        <v>Thu</v>
      </c>
      <c r="U1126">
        <f>marketing_data[[#This Row],[Cleaned End_date]]-marketing_data[[#This Row],[Start_date]]</f>
        <v>229</v>
      </c>
    </row>
    <row r="1127" spans="1:21" x14ac:dyDescent="0.2">
      <c r="A1127" t="s">
        <v>2338</v>
      </c>
      <c r="B1127" t="s">
        <v>2339</v>
      </c>
      <c r="C1127" s="2">
        <v>45241</v>
      </c>
      <c r="D1127" t="str">
        <f t="shared" si="105"/>
        <v>Nov</v>
      </c>
      <c r="E1127" s="2">
        <v>45271</v>
      </c>
      <c r="F1127" t="s">
        <v>14</v>
      </c>
      <c r="G1127">
        <v>12302</v>
      </c>
      <c r="H1127">
        <v>204</v>
      </c>
      <c r="I1127">
        <v>25</v>
      </c>
      <c r="J1127" t="b">
        <v>1</v>
      </c>
      <c r="K1127" s="10">
        <v>329.13249999999999</v>
      </c>
      <c r="L1127" s="6">
        <f t="shared" si="106"/>
        <v>1.6582669484636645E-2</v>
      </c>
      <c r="M1127">
        <f t="shared" si="107"/>
        <v>1.6133946078431372</v>
      </c>
      <c r="N1127">
        <f t="shared" si="108"/>
        <v>13.1653</v>
      </c>
      <c r="O1127">
        <f t="shared" si="109"/>
        <v>920.86750000000006</v>
      </c>
      <c r="P1127">
        <f t="shared" si="110"/>
        <v>0.12254901960784313</v>
      </c>
      <c r="Q1127" t="s">
        <v>4136</v>
      </c>
      <c r="R1127" t="s">
        <v>4141</v>
      </c>
      <c r="S1127">
        <f>YEAR(marketing_data[[#This Row],[Start_date]])</f>
        <v>2023</v>
      </c>
      <c r="T1127" t="str">
        <f>TEXT(marketing_data[[#This Row],[Start_date]],"ddd")</f>
        <v>Sat</v>
      </c>
      <c r="U1127">
        <f>marketing_data[[#This Row],[Cleaned End_date]]-marketing_data[[#This Row],[Start_date]]</f>
        <v>30</v>
      </c>
    </row>
    <row r="1128" spans="1:21" x14ac:dyDescent="0.2">
      <c r="A1128" t="s">
        <v>2340</v>
      </c>
      <c r="B1128" t="s">
        <v>2341</v>
      </c>
      <c r="C1128" s="2">
        <v>45017</v>
      </c>
      <c r="D1128" t="str">
        <f t="shared" si="105"/>
        <v>Apr</v>
      </c>
      <c r="E1128" s="2">
        <v>45029</v>
      </c>
      <c r="F1128" t="s">
        <v>41</v>
      </c>
      <c r="G1128">
        <v>68506</v>
      </c>
      <c r="H1128">
        <v>2282</v>
      </c>
      <c r="I1128">
        <v>319</v>
      </c>
      <c r="J1128" t="b">
        <v>1</v>
      </c>
      <c r="K1128" s="10">
        <v>1761.34</v>
      </c>
      <c r="L1128" s="6">
        <f t="shared" si="106"/>
        <v>3.3310950865617611E-2</v>
      </c>
      <c r="M1128">
        <f t="shared" si="107"/>
        <v>0.77184049079754602</v>
      </c>
      <c r="N1128">
        <f t="shared" si="108"/>
        <v>5.5214420062695924</v>
      </c>
      <c r="O1128">
        <f t="shared" si="109"/>
        <v>14188.66</v>
      </c>
      <c r="P1128">
        <f t="shared" si="110"/>
        <v>0.13978965819456618</v>
      </c>
      <c r="Q1128" t="s">
        <v>4137</v>
      </c>
      <c r="R1128" t="s">
        <v>4141</v>
      </c>
      <c r="S1128">
        <f>YEAR(marketing_data[[#This Row],[Start_date]])</f>
        <v>2023</v>
      </c>
      <c r="T1128" t="str">
        <f>TEXT(marketing_data[[#This Row],[Start_date]],"ddd")</f>
        <v>Sat</v>
      </c>
      <c r="U1128">
        <f>marketing_data[[#This Row],[Cleaned End_date]]-marketing_data[[#This Row],[Start_date]]</f>
        <v>12</v>
      </c>
    </row>
    <row r="1129" spans="1:21" x14ac:dyDescent="0.2">
      <c r="A1129" t="s">
        <v>2342</v>
      </c>
      <c r="B1129" t="s">
        <v>2343</v>
      </c>
      <c r="C1129" s="2">
        <v>45092</v>
      </c>
      <c r="D1129" t="str">
        <f t="shared" si="105"/>
        <v>Jun</v>
      </c>
      <c r="E1129" s="2">
        <v>45105</v>
      </c>
      <c r="F1129" t="s">
        <v>14</v>
      </c>
      <c r="G1129">
        <v>42157</v>
      </c>
      <c r="H1129">
        <v>2107</v>
      </c>
      <c r="I1129">
        <v>125</v>
      </c>
      <c r="J1129" t="b">
        <v>0</v>
      </c>
      <c r="K1129" s="10">
        <v>3631.7599999999998</v>
      </c>
      <c r="L1129" s="6">
        <f t="shared" si="106"/>
        <v>4.997983727494841E-2</v>
      </c>
      <c r="M1129">
        <f t="shared" si="107"/>
        <v>1.7236639772187943</v>
      </c>
      <c r="N1129">
        <f t="shared" si="108"/>
        <v>29.054079999999999</v>
      </c>
      <c r="O1129">
        <f t="shared" si="109"/>
        <v>2618.2400000000002</v>
      </c>
      <c r="P1129">
        <f t="shared" si="110"/>
        <v>5.9326056003796868E-2</v>
      </c>
      <c r="Q1129" t="s">
        <v>4139</v>
      </c>
      <c r="R1129" t="s">
        <v>4142</v>
      </c>
      <c r="S1129">
        <f>YEAR(marketing_data[[#This Row],[Start_date]])</f>
        <v>2023</v>
      </c>
      <c r="T1129" t="str">
        <f>TEXT(marketing_data[[#This Row],[Start_date]],"ddd")</f>
        <v>Thu</v>
      </c>
      <c r="U1129">
        <f>marketing_data[[#This Row],[Cleaned End_date]]-marketing_data[[#This Row],[Start_date]]</f>
        <v>13</v>
      </c>
    </row>
    <row r="1130" spans="1:21" x14ac:dyDescent="0.2">
      <c r="A1130" t="s">
        <v>2345</v>
      </c>
      <c r="B1130" t="s">
        <v>2346</v>
      </c>
      <c r="C1130" s="2">
        <v>45002</v>
      </c>
      <c r="D1130" t="str">
        <f t="shared" si="105"/>
        <v>Mar</v>
      </c>
      <c r="E1130" s="2">
        <v>45017</v>
      </c>
      <c r="F1130" t="s">
        <v>33</v>
      </c>
      <c r="G1130">
        <v>55917</v>
      </c>
      <c r="H1130">
        <v>895</v>
      </c>
      <c r="I1130">
        <v>141</v>
      </c>
      <c r="J1130" t="b">
        <v>1</v>
      </c>
      <c r="K1130" s="10">
        <v>1642.51</v>
      </c>
      <c r="L1130" s="6">
        <f t="shared" si="106"/>
        <v>1.6005865836865352E-2</v>
      </c>
      <c r="M1130">
        <f t="shared" si="107"/>
        <v>1.8352067039106146</v>
      </c>
      <c r="N1130">
        <f t="shared" si="108"/>
        <v>11.649007092198582</v>
      </c>
      <c r="O1130">
        <f t="shared" si="109"/>
        <v>5407.49</v>
      </c>
      <c r="P1130">
        <f t="shared" si="110"/>
        <v>0.15754189944134078</v>
      </c>
      <c r="Q1130" t="s">
        <v>4137</v>
      </c>
      <c r="R1130" t="s">
        <v>4142</v>
      </c>
      <c r="S1130">
        <f>YEAR(marketing_data[[#This Row],[Start_date]])</f>
        <v>2023</v>
      </c>
      <c r="T1130" t="str">
        <f>TEXT(marketing_data[[#This Row],[Start_date]],"ddd")</f>
        <v>Fri</v>
      </c>
      <c r="U1130">
        <f>marketing_data[[#This Row],[Cleaned End_date]]-marketing_data[[#This Row],[Start_date]]</f>
        <v>15</v>
      </c>
    </row>
    <row r="1131" spans="1:21" x14ac:dyDescent="0.2">
      <c r="A1131" t="s">
        <v>2347</v>
      </c>
      <c r="B1131" t="s">
        <v>2348</v>
      </c>
      <c r="C1131" s="2">
        <v>44983</v>
      </c>
      <c r="D1131" t="str">
        <f t="shared" si="105"/>
        <v>Feb</v>
      </c>
      <c r="E1131" s="2">
        <v>45003</v>
      </c>
      <c r="F1131" t="s">
        <v>23</v>
      </c>
      <c r="G1131">
        <v>93738</v>
      </c>
      <c r="H1131">
        <v>3999</v>
      </c>
      <c r="I1131">
        <v>338</v>
      </c>
      <c r="J1131" t="b">
        <v>0</v>
      </c>
      <c r="K1131" s="10">
        <v>3631.7599999999998</v>
      </c>
      <c r="L1131" s="6">
        <f t="shared" si="106"/>
        <v>4.266146066696537E-2</v>
      </c>
      <c r="M1131">
        <f t="shared" si="107"/>
        <v>0.90816704176044005</v>
      </c>
      <c r="N1131">
        <f t="shared" si="108"/>
        <v>10.744852071005916</v>
      </c>
      <c r="O1131">
        <f t="shared" si="109"/>
        <v>13268.24</v>
      </c>
      <c r="P1131">
        <f t="shared" si="110"/>
        <v>8.4521130282570647E-2</v>
      </c>
      <c r="Q1131" t="s">
        <v>4138</v>
      </c>
      <c r="R1131" t="s">
        <v>4141</v>
      </c>
      <c r="S1131">
        <f>YEAR(marketing_data[[#This Row],[Start_date]])</f>
        <v>2023</v>
      </c>
      <c r="T1131" t="str">
        <f>TEXT(marketing_data[[#This Row],[Start_date]],"ddd")</f>
        <v>Sun</v>
      </c>
      <c r="U1131">
        <f>marketing_data[[#This Row],[Cleaned End_date]]-marketing_data[[#This Row],[Start_date]]</f>
        <v>20</v>
      </c>
    </row>
    <row r="1132" spans="1:21" x14ac:dyDescent="0.2">
      <c r="A1132" t="s">
        <v>2349</v>
      </c>
      <c r="B1132" t="s">
        <v>2350</v>
      </c>
      <c r="C1132" s="2">
        <v>44964</v>
      </c>
      <c r="D1132" t="str">
        <f t="shared" si="105"/>
        <v>Feb</v>
      </c>
      <c r="E1132" s="2">
        <v>44991</v>
      </c>
      <c r="F1132" t="s">
        <v>23</v>
      </c>
      <c r="G1132">
        <v>97646</v>
      </c>
      <c r="H1132">
        <v>1786</v>
      </c>
      <c r="I1132">
        <v>272</v>
      </c>
      <c r="J1132" t="b">
        <v>1</v>
      </c>
      <c r="K1132" s="10">
        <v>2124.39</v>
      </c>
      <c r="L1132" s="6">
        <f t="shared" si="106"/>
        <v>1.829055977715421E-2</v>
      </c>
      <c r="M1132">
        <f t="shared" si="107"/>
        <v>1.1894680851063828</v>
      </c>
      <c r="N1132">
        <f t="shared" si="108"/>
        <v>7.8102573529411758</v>
      </c>
      <c r="O1132">
        <f t="shared" si="109"/>
        <v>11475.61</v>
      </c>
      <c r="P1132">
        <f t="shared" si="110"/>
        <v>0.1522956326987682</v>
      </c>
      <c r="Q1132" t="s">
        <v>4138</v>
      </c>
      <c r="R1132" t="s">
        <v>4141</v>
      </c>
      <c r="S1132">
        <f>YEAR(marketing_data[[#This Row],[Start_date]])</f>
        <v>2023</v>
      </c>
      <c r="T1132" t="str">
        <f>TEXT(marketing_data[[#This Row],[Start_date]],"ddd")</f>
        <v>Tue</v>
      </c>
      <c r="U1132">
        <f>marketing_data[[#This Row],[Cleaned End_date]]-marketing_data[[#This Row],[Start_date]]</f>
        <v>27</v>
      </c>
    </row>
    <row r="1133" spans="1:21" x14ac:dyDescent="0.2">
      <c r="A1133" t="s">
        <v>2351</v>
      </c>
      <c r="B1133" t="s">
        <v>2352</v>
      </c>
      <c r="C1133" s="2">
        <v>45129</v>
      </c>
      <c r="D1133" t="str">
        <f t="shared" si="105"/>
        <v>Jul</v>
      </c>
      <c r="E1133" s="2">
        <v>45157</v>
      </c>
      <c r="F1133" t="s">
        <v>19</v>
      </c>
      <c r="G1133">
        <v>84122</v>
      </c>
      <c r="H1133">
        <v>3473</v>
      </c>
      <c r="I1133">
        <v>685</v>
      </c>
      <c r="J1133" t="b">
        <v>1</v>
      </c>
      <c r="K1133" s="10">
        <v>3631.7599999999998</v>
      </c>
      <c r="L1133" s="6">
        <f t="shared" si="106"/>
        <v>4.128527614654906E-2</v>
      </c>
      <c r="M1133">
        <f t="shared" si="107"/>
        <v>1.0457126403685573</v>
      </c>
      <c r="N1133">
        <f t="shared" si="108"/>
        <v>5.3018394160583941</v>
      </c>
      <c r="O1133">
        <f t="shared" si="109"/>
        <v>30618.240000000002</v>
      </c>
      <c r="P1133">
        <f t="shared" si="110"/>
        <v>0.19723581917650446</v>
      </c>
      <c r="Q1133" t="s">
        <v>4139</v>
      </c>
      <c r="R1133" t="s">
        <v>4142</v>
      </c>
      <c r="S1133">
        <f>YEAR(marketing_data[[#This Row],[Start_date]])</f>
        <v>2023</v>
      </c>
      <c r="T1133" t="str">
        <f>TEXT(marketing_data[[#This Row],[Start_date]],"ddd")</f>
        <v>Sat</v>
      </c>
      <c r="U1133">
        <f>marketing_data[[#This Row],[Cleaned End_date]]-marketing_data[[#This Row],[Start_date]]</f>
        <v>28</v>
      </c>
    </row>
    <row r="1134" spans="1:21" x14ac:dyDescent="0.2">
      <c r="A1134" t="s">
        <v>2353</v>
      </c>
      <c r="B1134" t="s">
        <v>2354</v>
      </c>
      <c r="C1134" s="2">
        <v>45092</v>
      </c>
      <c r="D1134" t="str">
        <f t="shared" si="105"/>
        <v>Jun</v>
      </c>
      <c r="E1134" s="2">
        <v>45100</v>
      </c>
      <c r="F1134" t="s">
        <v>19</v>
      </c>
      <c r="G1134">
        <v>25519</v>
      </c>
      <c r="H1134">
        <v>1005</v>
      </c>
      <c r="I1134">
        <v>154</v>
      </c>
      <c r="J1134" t="b">
        <v>1</v>
      </c>
      <c r="K1134" s="10">
        <v>1435.06</v>
      </c>
      <c r="L1134" s="6">
        <f t="shared" si="106"/>
        <v>3.9382420941259454E-2</v>
      </c>
      <c r="M1134">
        <f t="shared" si="107"/>
        <v>1.4279203980099502</v>
      </c>
      <c r="N1134">
        <f t="shared" si="108"/>
        <v>9.3185714285714276</v>
      </c>
      <c r="O1134">
        <f t="shared" si="109"/>
        <v>6264.9400000000005</v>
      </c>
      <c r="P1134">
        <f t="shared" si="110"/>
        <v>0.15323383084577114</v>
      </c>
      <c r="Q1134" t="s">
        <v>4139</v>
      </c>
      <c r="R1134" t="s">
        <v>4138</v>
      </c>
      <c r="S1134">
        <f>YEAR(marketing_data[[#This Row],[Start_date]])</f>
        <v>2023</v>
      </c>
      <c r="T1134" t="str">
        <f>TEXT(marketing_data[[#This Row],[Start_date]],"ddd")</f>
        <v>Thu</v>
      </c>
      <c r="U1134">
        <f>marketing_data[[#This Row],[Cleaned End_date]]-marketing_data[[#This Row],[Start_date]]</f>
        <v>8</v>
      </c>
    </row>
    <row r="1135" spans="1:21" x14ac:dyDescent="0.2">
      <c r="A1135" t="s">
        <v>2355</v>
      </c>
      <c r="B1135" t="s">
        <v>2356</v>
      </c>
      <c r="C1135" s="2">
        <v>45150</v>
      </c>
      <c r="D1135" t="str">
        <f t="shared" si="105"/>
        <v>Aug</v>
      </c>
      <c r="E1135" s="2">
        <v>45174</v>
      </c>
      <c r="F1135" t="s">
        <v>23</v>
      </c>
      <c r="G1135">
        <v>97809</v>
      </c>
      <c r="H1135">
        <v>2153</v>
      </c>
      <c r="I1135">
        <v>392</v>
      </c>
      <c r="J1135" t="b">
        <v>1</v>
      </c>
      <c r="K1135" s="10">
        <v>2912.64</v>
      </c>
      <c r="L1135" s="6">
        <f t="shared" si="106"/>
        <v>2.2012289257634779E-2</v>
      </c>
      <c r="M1135">
        <f t="shared" si="107"/>
        <v>1.35282861124013</v>
      </c>
      <c r="N1135">
        <f t="shared" si="108"/>
        <v>7.4302040816326524</v>
      </c>
      <c r="O1135">
        <f t="shared" si="109"/>
        <v>16687.36</v>
      </c>
      <c r="P1135">
        <f t="shared" si="110"/>
        <v>0.18207152810032512</v>
      </c>
      <c r="Q1135" t="s">
        <v>4139</v>
      </c>
      <c r="R1135" t="s">
        <v>4141</v>
      </c>
      <c r="S1135">
        <f>YEAR(marketing_data[[#This Row],[Start_date]])</f>
        <v>2023</v>
      </c>
      <c r="T1135" t="str">
        <f>TEXT(marketing_data[[#This Row],[Start_date]],"ddd")</f>
        <v>Sat</v>
      </c>
      <c r="U1135">
        <f>marketing_data[[#This Row],[Cleaned End_date]]-marketing_data[[#This Row],[Start_date]]</f>
        <v>24</v>
      </c>
    </row>
    <row r="1136" spans="1:21" x14ac:dyDescent="0.2">
      <c r="A1136" t="s">
        <v>2357</v>
      </c>
      <c r="B1136" t="s">
        <v>2358</v>
      </c>
      <c r="C1136" s="2">
        <v>45259</v>
      </c>
      <c r="D1136" t="str">
        <f t="shared" si="105"/>
        <v>Nov</v>
      </c>
      <c r="E1136" s="2">
        <v>45289</v>
      </c>
      <c r="F1136" t="s">
        <v>23</v>
      </c>
      <c r="G1136">
        <v>88487</v>
      </c>
      <c r="H1136">
        <v>2038</v>
      </c>
      <c r="I1136">
        <v>391</v>
      </c>
      <c r="J1136" t="b">
        <v>1</v>
      </c>
      <c r="K1136" s="10">
        <v>1199.9000000000001</v>
      </c>
      <c r="L1136" s="6">
        <f t="shared" si="106"/>
        <v>2.3031631765118039E-2</v>
      </c>
      <c r="M1136">
        <f t="shared" si="107"/>
        <v>0.58876349362119729</v>
      </c>
      <c r="N1136">
        <f t="shared" si="108"/>
        <v>3.0687979539641947</v>
      </c>
      <c r="O1136">
        <f t="shared" si="109"/>
        <v>18350.099999999999</v>
      </c>
      <c r="P1136">
        <f t="shared" si="110"/>
        <v>0.19185475956820411</v>
      </c>
      <c r="Q1136" t="s">
        <v>4136</v>
      </c>
      <c r="R1136" t="s">
        <v>4138</v>
      </c>
      <c r="S1136">
        <f>YEAR(marketing_data[[#This Row],[Start_date]])</f>
        <v>2023</v>
      </c>
      <c r="T1136" t="str">
        <f>TEXT(marketing_data[[#This Row],[Start_date]],"ddd")</f>
        <v>Wed</v>
      </c>
      <c r="U1136">
        <f>marketing_data[[#This Row],[Cleaned End_date]]-marketing_data[[#This Row],[Start_date]]</f>
        <v>30</v>
      </c>
    </row>
    <row r="1137" spans="1:21" x14ac:dyDescent="0.2">
      <c r="A1137" t="s">
        <v>2359</v>
      </c>
      <c r="B1137" t="s">
        <v>2360</v>
      </c>
      <c r="C1137" s="2">
        <v>45214</v>
      </c>
      <c r="D1137" t="str">
        <f t="shared" si="105"/>
        <v>Oct</v>
      </c>
      <c r="E1137" s="2">
        <v>45219</v>
      </c>
      <c r="F1137" t="s">
        <v>41</v>
      </c>
      <c r="G1137">
        <v>57819</v>
      </c>
      <c r="H1137">
        <v>2411</v>
      </c>
      <c r="I1137">
        <v>296</v>
      </c>
      <c r="J1137" t="b">
        <v>1</v>
      </c>
      <c r="K1137" s="10">
        <v>3494.03</v>
      </c>
      <c r="L1137" s="6">
        <f t="shared" si="106"/>
        <v>4.1699095453051768E-2</v>
      </c>
      <c r="M1137">
        <f t="shared" si="107"/>
        <v>1.4492036499377852</v>
      </c>
      <c r="N1137">
        <f t="shared" si="108"/>
        <v>11.804155405405407</v>
      </c>
      <c r="O1137">
        <f t="shared" si="109"/>
        <v>11305.97</v>
      </c>
      <c r="P1137">
        <f t="shared" si="110"/>
        <v>0.12277063459145583</v>
      </c>
      <c r="Q1137" t="s">
        <v>4136</v>
      </c>
      <c r="R1137" t="s">
        <v>4142</v>
      </c>
      <c r="S1137">
        <f>YEAR(marketing_data[[#This Row],[Start_date]])</f>
        <v>2023</v>
      </c>
      <c r="T1137" t="str">
        <f>TEXT(marketing_data[[#This Row],[Start_date]],"ddd")</f>
        <v>Sun</v>
      </c>
      <c r="U1137">
        <f>marketing_data[[#This Row],[Cleaned End_date]]-marketing_data[[#This Row],[Start_date]]</f>
        <v>5</v>
      </c>
    </row>
    <row r="1138" spans="1:21" x14ac:dyDescent="0.2">
      <c r="A1138" t="s">
        <v>2361</v>
      </c>
      <c r="B1138" t="s">
        <v>2362</v>
      </c>
      <c r="C1138" s="2">
        <v>45109</v>
      </c>
      <c r="D1138" t="str">
        <f t="shared" si="105"/>
        <v>Jul</v>
      </c>
      <c r="E1138" s="2">
        <v>45125</v>
      </c>
      <c r="F1138" t="s">
        <v>19</v>
      </c>
      <c r="G1138">
        <v>81910</v>
      </c>
      <c r="H1138">
        <v>2330</v>
      </c>
      <c r="I1138">
        <v>361</v>
      </c>
      <c r="J1138" t="b">
        <v>0</v>
      </c>
      <c r="K1138" s="10">
        <v>3631.7599999999998</v>
      </c>
      <c r="L1138" s="6">
        <f t="shared" si="106"/>
        <v>2.8445855206934441E-2</v>
      </c>
      <c r="M1138">
        <f t="shared" si="107"/>
        <v>1.5586952789699571</v>
      </c>
      <c r="N1138">
        <f t="shared" si="108"/>
        <v>10.06027700831025</v>
      </c>
      <c r="O1138">
        <f t="shared" si="109"/>
        <v>14418.24</v>
      </c>
      <c r="P1138">
        <f t="shared" si="110"/>
        <v>0.15493562231759656</v>
      </c>
      <c r="Q1138" t="s">
        <v>4139</v>
      </c>
      <c r="R1138" t="s">
        <v>4138</v>
      </c>
      <c r="S1138">
        <f>YEAR(marketing_data[[#This Row],[Start_date]])</f>
        <v>2023</v>
      </c>
      <c r="T1138" t="str">
        <f>TEXT(marketing_data[[#This Row],[Start_date]],"ddd")</f>
        <v>Sun</v>
      </c>
      <c r="U1138">
        <f>marketing_data[[#This Row],[Cleaned End_date]]-marketing_data[[#This Row],[Start_date]]</f>
        <v>16</v>
      </c>
    </row>
    <row r="1139" spans="1:21" x14ac:dyDescent="0.2">
      <c r="A1139" t="s">
        <v>2363</v>
      </c>
      <c r="B1139" t="s">
        <v>2364</v>
      </c>
      <c r="C1139" s="2">
        <v>45016</v>
      </c>
      <c r="D1139" t="str">
        <f t="shared" si="105"/>
        <v>Mar</v>
      </c>
      <c r="E1139" s="2">
        <v>45036</v>
      </c>
      <c r="F1139" t="s">
        <v>23</v>
      </c>
      <c r="G1139">
        <v>72324</v>
      </c>
      <c r="H1139">
        <v>2837</v>
      </c>
      <c r="I1139">
        <v>504</v>
      </c>
      <c r="J1139" t="b">
        <v>1</v>
      </c>
      <c r="K1139" s="10">
        <v>3631.7599999999998</v>
      </c>
      <c r="L1139" s="6">
        <f t="shared" si="106"/>
        <v>3.9226259609534873E-2</v>
      </c>
      <c r="M1139">
        <f t="shared" si="107"/>
        <v>1.2801409940077546</v>
      </c>
      <c r="N1139">
        <f t="shared" si="108"/>
        <v>7.2058730158730153</v>
      </c>
      <c r="O1139">
        <f t="shared" si="109"/>
        <v>21568.240000000002</v>
      </c>
      <c r="P1139">
        <f t="shared" si="110"/>
        <v>0.17765244977088473</v>
      </c>
      <c r="Q1139" t="s">
        <v>4137</v>
      </c>
      <c r="R1139" t="s">
        <v>4141</v>
      </c>
      <c r="S1139">
        <f>YEAR(marketing_data[[#This Row],[Start_date]])</f>
        <v>2023</v>
      </c>
      <c r="T1139" t="str">
        <f>TEXT(marketing_data[[#This Row],[Start_date]],"ddd")</f>
        <v>Fri</v>
      </c>
      <c r="U1139">
        <f>marketing_data[[#This Row],[Cleaned End_date]]-marketing_data[[#This Row],[Start_date]]</f>
        <v>20</v>
      </c>
    </row>
    <row r="1140" spans="1:21" x14ac:dyDescent="0.2">
      <c r="A1140" t="s">
        <v>2365</v>
      </c>
      <c r="B1140" t="s">
        <v>2366</v>
      </c>
      <c r="C1140" s="2">
        <v>45077</v>
      </c>
      <c r="D1140" t="str">
        <f t="shared" si="105"/>
        <v>May</v>
      </c>
      <c r="E1140" s="2">
        <v>45103</v>
      </c>
      <c r="F1140" t="s">
        <v>23</v>
      </c>
      <c r="G1140">
        <v>6408</v>
      </c>
      <c r="H1140">
        <v>102</v>
      </c>
      <c r="J1140" t="b">
        <v>0</v>
      </c>
      <c r="K1140" s="10">
        <v>329.13249999999999</v>
      </c>
      <c r="L1140" s="6">
        <f t="shared" si="106"/>
        <v>1.5917602996254682E-2</v>
      </c>
      <c r="M1140">
        <f t="shared" si="107"/>
        <v>3.2267892156862743</v>
      </c>
      <c r="N1140">
        <f t="shared" si="108"/>
        <v>0</v>
      </c>
      <c r="O1140">
        <f t="shared" si="109"/>
        <v>-329.13249999999999</v>
      </c>
      <c r="P1140">
        <f t="shared" si="110"/>
        <v>0</v>
      </c>
      <c r="Q1140" t="s">
        <v>4137</v>
      </c>
      <c r="R1140" t="s">
        <v>4141</v>
      </c>
      <c r="S1140">
        <f>YEAR(marketing_data[[#This Row],[Start_date]])</f>
        <v>2023</v>
      </c>
      <c r="T1140" t="str">
        <f>TEXT(marketing_data[[#This Row],[Start_date]],"ddd")</f>
        <v>Wed</v>
      </c>
      <c r="U1140">
        <f>marketing_data[[#This Row],[Cleaned End_date]]-marketing_data[[#This Row],[Start_date]]</f>
        <v>26</v>
      </c>
    </row>
    <row r="1141" spans="1:21" x14ac:dyDescent="0.2">
      <c r="A1141" t="s">
        <v>2367</v>
      </c>
      <c r="B1141" t="s">
        <v>2368</v>
      </c>
      <c r="C1141" s="2">
        <v>45286</v>
      </c>
      <c r="D1141" t="str">
        <f t="shared" si="105"/>
        <v>Dec</v>
      </c>
      <c r="E1141" s="2">
        <v>45303</v>
      </c>
      <c r="F1141" t="s">
        <v>19</v>
      </c>
      <c r="G1141">
        <v>60379</v>
      </c>
      <c r="H1141">
        <v>2662</v>
      </c>
      <c r="I1141">
        <v>237</v>
      </c>
      <c r="J1141" t="b">
        <v>0</v>
      </c>
      <c r="K1141" s="10">
        <v>3631.7599999999998</v>
      </c>
      <c r="L1141" s="6">
        <f t="shared" si="106"/>
        <v>4.4088176352705413E-2</v>
      </c>
      <c r="M1141">
        <f t="shared" si="107"/>
        <v>1.3642975206611569</v>
      </c>
      <c r="N1141">
        <f t="shared" si="108"/>
        <v>15.323881856540083</v>
      </c>
      <c r="O1141">
        <f t="shared" si="109"/>
        <v>8218.24</v>
      </c>
      <c r="P1141">
        <f t="shared" si="110"/>
        <v>8.9030803906836958E-2</v>
      </c>
      <c r="Q1141" t="s">
        <v>4138</v>
      </c>
      <c r="R1141" t="s">
        <v>4139</v>
      </c>
      <c r="S1141">
        <f>YEAR(marketing_data[[#This Row],[Start_date]])</f>
        <v>2023</v>
      </c>
      <c r="T1141" t="str">
        <f>TEXT(marketing_data[[#This Row],[Start_date]],"ddd")</f>
        <v>Tue</v>
      </c>
      <c r="U1141">
        <f>marketing_data[[#This Row],[Cleaned End_date]]-marketing_data[[#This Row],[Start_date]]</f>
        <v>17</v>
      </c>
    </row>
    <row r="1142" spans="1:21" x14ac:dyDescent="0.2">
      <c r="A1142" t="s">
        <v>2369</v>
      </c>
      <c r="B1142" t="s">
        <v>2370</v>
      </c>
      <c r="C1142" s="2">
        <v>45217</v>
      </c>
      <c r="D1142" t="str">
        <f t="shared" si="105"/>
        <v>Oct</v>
      </c>
      <c r="E1142" s="2">
        <v>45246</v>
      </c>
      <c r="F1142" t="s">
        <v>19</v>
      </c>
      <c r="G1142">
        <v>26053</v>
      </c>
      <c r="H1142">
        <v>1001</v>
      </c>
      <c r="I1142">
        <v>192</v>
      </c>
      <c r="J1142" t="b">
        <v>0</v>
      </c>
      <c r="K1142" s="10">
        <v>1359.04</v>
      </c>
      <c r="L1142" s="6">
        <f t="shared" si="106"/>
        <v>3.8421678885349093E-2</v>
      </c>
      <c r="M1142">
        <f t="shared" si="107"/>
        <v>1.3576823176823176</v>
      </c>
      <c r="N1142">
        <f t="shared" si="108"/>
        <v>7.0783333333333331</v>
      </c>
      <c r="O1142">
        <f t="shared" si="109"/>
        <v>8240.9599999999991</v>
      </c>
      <c r="P1142">
        <f t="shared" si="110"/>
        <v>0.19180819180819181</v>
      </c>
      <c r="Q1142" t="s">
        <v>4136</v>
      </c>
      <c r="R1142" t="s">
        <v>4141</v>
      </c>
      <c r="S1142">
        <f>YEAR(marketing_data[[#This Row],[Start_date]])</f>
        <v>2023</v>
      </c>
      <c r="T1142" t="str">
        <f>TEXT(marketing_data[[#This Row],[Start_date]],"ddd")</f>
        <v>Wed</v>
      </c>
      <c r="U1142">
        <f>marketing_data[[#This Row],[Cleaned End_date]]-marketing_data[[#This Row],[Start_date]]</f>
        <v>29</v>
      </c>
    </row>
    <row r="1143" spans="1:21" x14ac:dyDescent="0.2">
      <c r="A1143" t="s">
        <v>2371</v>
      </c>
      <c r="B1143" t="s">
        <v>2372</v>
      </c>
      <c r="C1143" s="2">
        <v>45235</v>
      </c>
      <c r="D1143" t="str">
        <f t="shared" si="105"/>
        <v>Nov</v>
      </c>
      <c r="E1143" s="2">
        <v>45249</v>
      </c>
      <c r="F1143" t="s">
        <v>41</v>
      </c>
      <c r="G1143">
        <v>10446</v>
      </c>
      <c r="H1143">
        <v>483</v>
      </c>
      <c r="J1143" t="b">
        <v>1</v>
      </c>
      <c r="K1143" s="10">
        <v>555.97</v>
      </c>
      <c r="L1143" s="6">
        <f t="shared" si="106"/>
        <v>4.6237794371051119E-2</v>
      </c>
      <c r="M1143">
        <f t="shared" si="107"/>
        <v>1.1510766045548655</v>
      </c>
      <c r="N1143">
        <f t="shared" si="108"/>
        <v>0</v>
      </c>
      <c r="O1143">
        <f t="shared" si="109"/>
        <v>-555.97</v>
      </c>
      <c r="P1143">
        <f t="shared" si="110"/>
        <v>0</v>
      </c>
      <c r="Q1143" t="s">
        <v>4136</v>
      </c>
      <c r="R1143" t="s">
        <v>4142</v>
      </c>
      <c r="S1143">
        <f>YEAR(marketing_data[[#This Row],[Start_date]])</f>
        <v>2023</v>
      </c>
      <c r="T1143" t="str">
        <f>TEXT(marketing_data[[#This Row],[Start_date]],"ddd")</f>
        <v>Sun</v>
      </c>
      <c r="U1143">
        <f>marketing_data[[#This Row],[Cleaned End_date]]-marketing_data[[#This Row],[Start_date]]</f>
        <v>14</v>
      </c>
    </row>
    <row r="1144" spans="1:21" x14ac:dyDescent="0.2">
      <c r="A1144" t="s">
        <v>2373</v>
      </c>
      <c r="B1144" t="s">
        <v>2374</v>
      </c>
      <c r="C1144" s="2">
        <v>45240</v>
      </c>
      <c r="D1144" t="str">
        <f t="shared" si="105"/>
        <v>Nov</v>
      </c>
      <c r="E1144" s="2">
        <v>45261</v>
      </c>
      <c r="F1144" t="str">
        <f>F1143</f>
        <v>Google Ads</v>
      </c>
      <c r="G1144">
        <v>1922</v>
      </c>
      <c r="H1144">
        <v>29</v>
      </c>
      <c r="I1144">
        <v>2</v>
      </c>
      <c r="J1144" t="b">
        <v>1</v>
      </c>
      <c r="K1144" s="10">
        <v>329.13249999999999</v>
      </c>
      <c r="L1144" s="6">
        <f t="shared" si="106"/>
        <v>1.5088449531737774E-2</v>
      </c>
      <c r="M1144">
        <f t="shared" si="107"/>
        <v>11.349396551724137</v>
      </c>
      <c r="N1144">
        <f t="shared" si="108"/>
        <v>164.56625</v>
      </c>
      <c r="O1144">
        <f t="shared" si="109"/>
        <v>-229.13249999999999</v>
      </c>
      <c r="P1144">
        <f t="shared" si="110"/>
        <v>6.8965517241379309E-2</v>
      </c>
      <c r="Q1144" t="s">
        <v>4136</v>
      </c>
      <c r="R1144" t="s">
        <v>4142</v>
      </c>
      <c r="S1144">
        <f>YEAR(marketing_data[[#This Row],[Start_date]])</f>
        <v>2023</v>
      </c>
      <c r="T1144" t="str">
        <f>TEXT(marketing_data[[#This Row],[Start_date]],"ddd")</f>
        <v>Fri</v>
      </c>
      <c r="U1144">
        <f>marketing_data[[#This Row],[Cleaned End_date]]-marketing_data[[#This Row],[Start_date]]</f>
        <v>21</v>
      </c>
    </row>
    <row r="1145" spans="1:21" x14ac:dyDescent="0.2">
      <c r="A1145" t="s">
        <v>2375</v>
      </c>
      <c r="B1145" t="s">
        <v>2376</v>
      </c>
      <c r="C1145" s="2">
        <v>45181</v>
      </c>
      <c r="D1145" t="str">
        <f t="shared" si="105"/>
        <v>Sep</v>
      </c>
      <c r="E1145" s="2">
        <v>45209</v>
      </c>
      <c r="F1145" t="s">
        <v>23</v>
      </c>
      <c r="G1145">
        <v>99723</v>
      </c>
      <c r="H1145">
        <v>3362</v>
      </c>
      <c r="I1145">
        <v>394</v>
      </c>
      <c r="J1145" t="b">
        <v>1</v>
      </c>
      <c r="K1145" s="10">
        <v>3631.7599999999998</v>
      </c>
      <c r="L1145" s="6">
        <f t="shared" si="106"/>
        <v>3.371338607944005E-2</v>
      </c>
      <c r="M1145">
        <f t="shared" si="107"/>
        <v>1.0802379535990481</v>
      </c>
      <c r="N1145">
        <f t="shared" si="108"/>
        <v>9.2176649746192894</v>
      </c>
      <c r="O1145">
        <f t="shared" si="109"/>
        <v>16068.24</v>
      </c>
      <c r="P1145">
        <f t="shared" si="110"/>
        <v>0.11719214753123142</v>
      </c>
      <c r="Q1145" t="s">
        <v>4136</v>
      </c>
      <c r="R1145" t="s">
        <v>4141</v>
      </c>
      <c r="S1145">
        <f>YEAR(marketing_data[[#This Row],[Start_date]])</f>
        <v>2023</v>
      </c>
      <c r="T1145" t="str">
        <f>TEXT(marketing_data[[#This Row],[Start_date]],"ddd")</f>
        <v>Tue</v>
      </c>
      <c r="U1145">
        <f>marketing_data[[#This Row],[Cleaned End_date]]-marketing_data[[#This Row],[Start_date]]</f>
        <v>28</v>
      </c>
    </row>
    <row r="1146" spans="1:21" x14ac:dyDescent="0.2">
      <c r="A1146" t="s">
        <v>2377</v>
      </c>
      <c r="B1146" t="s">
        <v>2378</v>
      </c>
      <c r="C1146" s="2">
        <v>45048</v>
      </c>
      <c r="D1146" t="str">
        <f t="shared" si="105"/>
        <v>May</v>
      </c>
      <c r="E1146" s="2">
        <v>45073</v>
      </c>
      <c r="F1146" t="s">
        <v>41</v>
      </c>
      <c r="G1146">
        <v>52356</v>
      </c>
      <c r="H1146">
        <v>1778</v>
      </c>
      <c r="I1146">
        <v>301</v>
      </c>
      <c r="J1146" t="b">
        <v>1</v>
      </c>
      <c r="K1146" s="10">
        <v>1834.12</v>
      </c>
      <c r="L1146" s="6">
        <f t="shared" si="106"/>
        <v>3.3959813583925434E-2</v>
      </c>
      <c r="M1146">
        <f t="shared" si="107"/>
        <v>1.0315635545556805</v>
      </c>
      <c r="N1146">
        <f t="shared" si="108"/>
        <v>6.0934219269102989</v>
      </c>
      <c r="O1146">
        <f t="shared" si="109"/>
        <v>13215.880000000001</v>
      </c>
      <c r="P1146">
        <f t="shared" si="110"/>
        <v>0.16929133858267717</v>
      </c>
      <c r="Q1146" t="s">
        <v>4137</v>
      </c>
      <c r="R1146" t="s">
        <v>4142</v>
      </c>
      <c r="S1146">
        <f>YEAR(marketing_data[[#This Row],[Start_date]])</f>
        <v>2023</v>
      </c>
      <c r="T1146" t="str">
        <f>TEXT(marketing_data[[#This Row],[Start_date]],"ddd")</f>
        <v>Tue</v>
      </c>
      <c r="U1146">
        <f>marketing_data[[#This Row],[Cleaned End_date]]-marketing_data[[#This Row],[Start_date]]</f>
        <v>25</v>
      </c>
    </row>
    <row r="1147" spans="1:21" x14ac:dyDescent="0.2">
      <c r="A1147" t="s">
        <v>2379</v>
      </c>
      <c r="B1147" t="s">
        <v>2380</v>
      </c>
      <c r="C1147" s="2">
        <v>45252</v>
      </c>
      <c r="D1147" t="str">
        <f t="shared" si="105"/>
        <v>Nov</v>
      </c>
      <c r="E1147" s="2">
        <v>45273</v>
      </c>
      <c r="F1147" t="s">
        <v>19</v>
      </c>
      <c r="G1147">
        <v>11789</v>
      </c>
      <c r="H1147">
        <v>284</v>
      </c>
      <c r="I1147">
        <v>37</v>
      </c>
      <c r="J1147" t="b">
        <v>1</v>
      </c>
      <c r="K1147" s="10">
        <v>329.13249999999999</v>
      </c>
      <c r="L1147" s="6">
        <f t="shared" si="106"/>
        <v>2.4090253626261771E-2</v>
      </c>
      <c r="M1147">
        <f t="shared" si="107"/>
        <v>1.1589172535211267</v>
      </c>
      <c r="N1147">
        <f t="shared" si="108"/>
        <v>8.8954729729729731</v>
      </c>
      <c r="O1147">
        <f t="shared" si="109"/>
        <v>1520.8675000000001</v>
      </c>
      <c r="P1147">
        <f t="shared" si="110"/>
        <v>0.13028169014084506</v>
      </c>
      <c r="Q1147" t="s">
        <v>4136</v>
      </c>
      <c r="R1147" t="s">
        <v>4142</v>
      </c>
      <c r="S1147">
        <f>YEAR(marketing_data[[#This Row],[Start_date]])</f>
        <v>2023</v>
      </c>
      <c r="T1147" t="str">
        <f>TEXT(marketing_data[[#This Row],[Start_date]],"ddd")</f>
        <v>Wed</v>
      </c>
      <c r="U1147">
        <f>marketing_data[[#This Row],[Cleaned End_date]]-marketing_data[[#This Row],[Start_date]]</f>
        <v>21</v>
      </c>
    </row>
    <row r="1148" spans="1:21" x14ac:dyDescent="0.2">
      <c r="A1148" t="s">
        <v>2381</v>
      </c>
      <c r="B1148" t="s">
        <v>2382</v>
      </c>
      <c r="C1148" s="2">
        <v>45289</v>
      </c>
      <c r="D1148" t="str">
        <f t="shared" si="105"/>
        <v>Dec</v>
      </c>
      <c r="E1148" s="2">
        <v>45295</v>
      </c>
      <c r="F1148" t="s">
        <v>33</v>
      </c>
      <c r="G1148">
        <v>98720</v>
      </c>
      <c r="H1148">
        <v>2797</v>
      </c>
      <c r="I1148">
        <v>412</v>
      </c>
      <c r="J1148" t="b">
        <v>1</v>
      </c>
      <c r="K1148" s="10">
        <v>3631.7599999999998</v>
      </c>
      <c r="L1148" s="6">
        <f t="shared" si="106"/>
        <v>2.8332658022690436E-2</v>
      </c>
      <c r="M1148">
        <f t="shared" si="107"/>
        <v>1.2984483375044691</v>
      </c>
      <c r="N1148">
        <f t="shared" si="108"/>
        <v>8.8149514563106788</v>
      </c>
      <c r="O1148">
        <f t="shared" si="109"/>
        <v>16968.240000000002</v>
      </c>
      <c r="P1148">
        <f t="shared" si="110"/>
        <v>0.1473006792992492</v>
      </c>
      <c r="Q1148" t="s">
        <v>4138</v>
      </c>
      <c r="R1148" t="s">
        <v>4142</v>
      </c>
      <c r="S1148">
        <f>YEAR(marketing_data[[#This Row],[Start_date]])</f>
        <v>2023</v>
      </c>
      <c r="T1148" t="str">
        <f>TEXT(marketing_data[[#This Row],[Start_date]],"ddd")</f>
        <v>Fri</v>
      </c>
      <c r="U1148">
        <f>marketing_data[[#This Row],[Cleaned End_date]]-marketing_data[[#This Row],[Start_date]]</f>
        <v>6</v>
      </c>
    </row>
    <row r="1149" spans="1:21" x14ac:dyDescent="0.2">
      <c r="A1149" t="s">
        <v>2383</v>
      </c>
      <c r="B1149" t="s">
        <v>2384</v>
      </c>
      <c r="C1149" s="2">
        <v>45098</v>
      </c>
      <c r="D1149" t="str">
        <f t="shared" si="105"/>
        <v>Jun</v>
      </c>
      <c r="E1149" s="2">
        <v>45106</v>
      </c>
      <c r="F1149" t="s">
        <v>14</v>
      </c>
      <c r="G1149">
        <v>67656</v>
      </c>
      <c r="H1149">
        <v>779</v>
      </c>
      <c r="I1149">
        <v>127</v>
      </c>
      <c r="J1149" t="b">
        <v>0</v>
      </c>
      <c r="K1149" s="10">
        <v>1208.3</v>
      </c>
      <c r="L1149" s="6">
        <f t="shared" si="106"/>
        <v>1.1514130306255173E-2</v>
      </c>
      <c r="M1149">
        <f t="shared" si="107"/>
        <v>1.5510911424903722</v>
      </c>
      <c r="N1149">
        <f t="shared" si="108"/>
        <v>9.514173228346456</v>
      </c>
      <c r="O1149">
        <f t="shared" si="109"/>
        <v>5141.7</v>
      </c>
      <c r="P1149">
        <f t="shared" si="110"/>
        <v>0.16302952503209242</v>
      </c>
      <c r="Q1149" t="s">
        <v>4139</v>
      </c>
      <c r="R1149" t="s">
        <v>4141</v>
      </c>
      <c r="S1149">
        <f>YEAR(marketing_data[[#This Row],[Start_date]])</f>
        <v>2023</v>
      </c>
      <c r="T1149" t="str">
        <f>TEXT(marketing_data[[#This Row],[Start_date]],"ddd")</f>
        <v>Wed</v>
      </c>
      <c r="U1149">
        <f>marketing_data[[#This Row],[Cleaned End_date]]-marketing_data[[#This Row],[Start_date]]</f>
        <v>8</v>
      </c>
    </row>
    <row r="1150" spans="1:21" x14ac:dyDescent="0.2">
      <c r="A1150" t="s">
        <v>2385</v>
      </c>
      <c r="B1150" t="s">
        <v>2386</v>
      </c>
      <c r="C1150" s="2">
        <v>45054</v>
      </c>
      <c r="D1150" t="str">
        <f t="shared" si="105"/>
        <v>May</v>
      </c>
      <c r="E1150" s="2">
        <v>45074</v>
      </c>
      <c r="F1150" t="s">
        <v>41</v>
      </c>
      <c r="G1150">
        <v>45028</v>
      </c>
      <c r="H1150">
        <v>1793</v>
      </c>
      <c r="I1150">
        <v>256</v>
      </c>
      <c r="J1150" t="b">
        <v>1</v>
      </c>
      <c r="K1150" s="10">
        <v>2480.67</v>
      </c>
      <c r="L1150" s="6">
        <f t="shared" si="106"/>
        <v>3.9819667762281248E-2</v>
      </c>
      <c r="M1150">
        <f t="shared" si="107"/>
        <v>1.3835303959843837</v>
      </c>
      <c r="N1150">
        <f t="shared" si="108"/>
        <v>9.6901171875000003</v>
      </c>
      <c r="O1150">
        <f t="shared" si="109"/>
        <v>10319.33</v>
      </c>
      <c r="P1150">
        <f t="shared" si="110"/>
        <v>0.14277746793084217</v>
      </c>
      <c r="Q1150" t="s">
        <v>4137</v>
      </c>
      <c r="R1150" t="s">
        <v>4141</v>
      </c>
      <c r="S1150">
        <f>YEAR(marketing_data[[#This Row],[Start_date]])</f>
        <v>2023</v>
      </c>
      <c r="T1150" t="str">
        <f>TEXT(marketing_data[[#This Row],[Start_date]],"ddd")</f>
        <v>Mon</v>
      </c>
      <c r="U1150">
        <f>marketing_data[[#This Row],[Cleaned End_date]]-marketing_data[[#This Row],[Start_date]]</f>
        <v>20</v>
      </c>
    </row>
    <row r="1151" spans="1:21" x14ac:dyDescent="0.2">
      <c r="A1151" t="s">
        <v>2387</v>
      </c>
      <c r="B1151" t="s">
        <v>2388</v>
      </c>
      <c r="C1151" s="2">
        <v>44982</v>
      </c>
      <c r="D1151" t="str">
        <f t="shared" si="105"/>
        <v>Feb</v>
      </c>
      <c r="E1151" s="2">
        <v>44999</v>
      </c>
      <c r="F1151" t="s">
        <v>33</v>
      </c>
      <c r="G1151">
        <v>65484</v>
      </c>
      <c r="H1151">
        <v>2093</v>
      </c>
      <c r="I1151">
        <v>274</v>
      </c>
      <c r="J1151" t="b">
        <v>0</v>
      </c>
      <c r="K1151" s="10">
        <v>3631.7599999999998</v>
      </c>
      <c r="L1151" s="6">
        <f t="shared" si="106"/>
        <v>3.1962005986195099E-2</v>
      </c>
      <c r="M1151">
        <f t="shared" si="107"/>
        <v>1.7351935021500238</v>
      </c>
      <c r="N1151">
        <f t="shared" si="108"/>
        <v>13.254598540145984</v>
      </c>
      <c r="O1151">
        <f t="shared" si="109"/>
        <v>10068.24</v>
      </c>
      <c r="P1151">
        <f t="shared" si="110"/>
        <v>0.1309125656951744</v>
      </c>
      <c r="Q1151" t="s">
        <v>4138</v>
      </c>
      <c r="R1151" t="s">
        <v>4142</v>
      </c>
      <c r="S1151">
        <f>YEAR(marketing_data[[#This Row],[Start_date]])</f>
        <v>2023</v>
      </c>
      <c r="T1151" t="str">
        <f>TEXT(marketing_data[[#This Row],[Start_date]],"ddd")</f>
        <v>Sat</v>
      </c>
      <c r="U1151">
        <f>marketing_data[[#This Row],[Cleaned End_date]]-marketing_data[[#This Row],[Start_date]]</f>
        <v>17</v>
      </c>
    </row>
    <row r="1152" spans="1:21" x14ac:dyDescent="0.2">
      <c r="A1152" t="s">
        <v>2389</v>
      </c>
      <c r="B1152" t="s">
        <v>2390</v>
      </c>
      <c r="C1152" s="2">
        <v>45151</v>
      </c>
      <c r="D1152" t="str">
        <f t="shared" si="105"/>
        <v>Aug</v>
      </c>
      <c r="E1152" s="2">
        <v>45161</v>
      </c>
      <c r="F1152" t="s">
        <v>23</v>
      </c>
      <c r="G1152">
        <v>33154</v>
      </c>
      <c r="H1152">
        <v>408</v>
      </c>
      <c r="J1152" t="b">
        <v>1</v>
      </c>
      <c r="K1152" s="10">
        <v>418.11</v>
      </c>
      <c r="L1152" s="6">
        <f t="shared" si="106"/>
        <v>1.2306207395789347E-2</v>
      </c>
      <c r="M1152">
        <f t="shared" si="107"/>
        <v>1.024779411764706</v>
      </c>
      <c r="N1152">
        <f t="shared" si="108"/>
        <v>0</v>
      </c>
      <c r="O1152">
        <f t="shared" si="109"/>
        <v>-418.11</v>
      </c>
      <c r="P1152">
        <f t="shared" si="110"/>
        <v>0</v>
      </c>
      <c r="Q1152" t="s">
        <v>4139</v>
      </c>
      <c r="R1152" t="s">
        <v>4139</v>
      </c>
      <c r="S1152">
        <f>YEAR(marketing_data[[#This Row],[Start_date]])</f>
        <v>2023</v>
      </c>
      <c r="T1152" t="str">
        <f>TEXT(marketing_data[[#This Row],[Start_date]],"ddd")</f>
        <v>Sun</v>
      </c>
      <c r="U1152">
        <f>marketing_data[[#This Row],[Cleaned End_date]]-marketing_data[[#This Row],[Start_date]]</f>
        <v>10</v>
      </c>
    </row>
    <row r="1153" spans="1:21" x14ac:dyDescent="0.2">
      <c r="A1153" t="s">
        <v>2391</v>
      </c>
      <c r="B1153" t="s">
        <v>2392</v>
      </c>
      <c r="C1153" s="2">
        <v>45138</v>
      </c>
      <c r="D1153" t="str">
        <f t="shared" si="105"/>
        <v>Jul</v>
      </c>
      <c r="E1153" s="2">
        <v>45154</v>
      </c>
      <c r="F1153" t="s">
        <v>33</v>
      </c>
      <c r="G1153">
        <v>83870</v>
      </c>
      <c r="H1153">
        <v>3122</v>
      </c>
      <c r="J1153" t="b">
        <v>1</v>
      </c>
      <c r="K1153" s="10">
        <v>2702.72</v>
      </c>
      <c r="L1153" s="6">
        <f t="shared" si="106"/>
        <v>3.7224275664719211E-2</v>
      </c>
      <c r="M1153">
        <f t="shared" si="107"/>
        <v>0.86570147341447778</v>
      </c>
      <c r="N1153">
        <f t="shared" si="108"/>
        <v>0</v>
      </c>
      <c r="O1153">
        <f t="shared" si="109"/>
        <v>-2702.72</v>
      </c>
      <c r="P1153">
        <f t="shared" si="110"/>
        <v>0</v>
      </c>
      <c r="Q1153" t="s">
        <v>4139</v>
      </c>
      <c r="R1153" t="s">
        <v>4139</v>
      </c>
      <c r="S1153">
        <f>YEAR(marketing_data[[#This Row],[Start_date]])</f>
        <v>2023</v>
      </c>
      <c r="T1153" t="str">
        <f>TEXT(marketing_data[[#This Row],[Start_date]],"ddd")</f>
        <v>Mon</v>
      </c>
      <c r="U1153">
        <f>marketing_data[[#This Row],[Cleaned End_date]]-marketing_data[[#This Row],[Start_date]]</f>
        <v>16</v>
      </c>
    </row>
    <row r="1154" spans="1:21" x14ac:dyDescent="0.2">
      <c r="A1154" t="s">
        <v>2393</v>
      </c>
      <c r="B1154" t="s">
        <v>2394</v>
      </c>
      <c r="C1154" s="2">
        <v>45206</v>
      </c>
      <c r="D1154" t="str">
        <f t="shared" si="105"/>
        <v>Oct</v>
      </c>
      <c r="E1154" s="2">
        <v>45231</v>
      </c>
      <c r="F1154" t="s">
        <v>14</v>
      </c>
      <c r="G1154">
        <v>3336</v>
      </c>
      <c r="H1154">
        <v>95</v>
      </c>
      <c r="I1154">
        <v>13</v>
      </c>
      <c r="J1154" t="b">
        <v>1</v>
      </c>
      <c r="K1154" s="10">
        <v>329.13249999999999</v>
      </c>
      <c r="L1154" s="6">
        <f t="shared" si="106"/>
        <v>2.8477218225419664E-2</v>
      </c>
      <c r="M1154">
        <f t="shared" si="107"/>
        <v>3.4645526315789472</v>
      </c>
      <c r="N1154">
        <f t="shared" si="108"/>
        <v>25.317884615384614</v>
      </c>
      <c r="O1154">
        <f t="shared" si="109"/>
        <v>320.86750000000001</v>
      </c>
      <c r="P1154">
        <f t="shared" si="110"/>
        <v>0.1368421052631579</v>
      </c>
      <c r="Q1154" t="s">
        <v>4136</v>
      </c>
      <c r="R1154" t="s">
        <v>4138</v>
      </c>
      <c r="S1154">
        <f>YEAR(marketing_data[[#This Row],[Start_date]])</f>
        <v>2023</v>
      </c>
      <c r="T1154" t="str">
        <f>TEXT(marketing_data[[#This Row],[Start_date]],"ddd")</f>
        <v>Sat</v>
      </c>
      <c r="U1154">
        <f>marketing_data[[#This Row],[Cleaned End_date]]-marketing_data[[#This Row],[Start_date]]</f>
        <v>25</v>
      </c>
    </row>
    <row r="1155" spans="1:21" x14ac:dyDescent="0.2">
      <c r="A1155" t="s">
        <v>2395</v>
      </c>
      <c r="B1155" t="s">
        <v>2396</v>
      </c>
      <c r="C1155" s="2">
        <v>45222</v>
      </c>
      <c r="D1155" t="str">
        <f t="shared" ref="D1155:D1218" si="111">TEXT(C1155,"mmm")</f>
        <v>Oct</v>
      </c>
      <c r="E1155" s="2">
        <v>45225</v>
      </c>
      <c r="F1155" t="s">
        <v>33</v>
      </c>
      <c r="G1155">
        <v>68779</v>
      </c>
      <c r="H1155">
        <v>782</v>
      </c>
      <c r="I1155">
        <v>81</v>
      </c>
      <c r="J1155" t="b">
        <v>0</v>
      </c>
      <c r="K1155" s="10">
        <v>624.21</v>
      </c>
      <c r="L1155" s="6">
        <f t="shared" ref="L1155:L1218" si="112">H1155/G1155</f>
        <v>1.1369749487488914E-2</v>
      </c>
      <c r="M1155">
        <f t="shared" ref="M1155:M1218" si="113">K1155/H1155</f>
        <v>0.79822250639386194</v>
      </c>
      <c r="N1155">
        <f t="shared" ref="N1155:N1218" si="114">IFERROR(K1155/I1155,0)</f>
        <v>7.7062962962962969</v>
      </c>
      <c r="O1155">
        <f t="shared" ref="O1155:O1218" si="115">(50*I1155)-K1155</f>
        <v>3425.79</v>
      </c>
      <c r="P1155">
        <f t="shared" ref="P1155:P1218" si="116">I1155/H1155</f>
        <v>0.10358056265984655</v>
      </c>
      <c r="Q1155" t="s">
        <v>4136</v>
      </c>
      <c r="R1155" t="s">
        <v>4139</v>
      </c>
      <c r="S1155">
        <f>YEAR(marketing_data[[#This Row],[Start_date]])</f>
        <v>2023</v>
      </c>
      <c r="T1155" t="str">
        <f>TEXT(marketing_data[[#This Row],[Start_date]],"ddd")</f>
        <v>Mon</v>
      </c>
      <c r="U1155">
        <f>marketing_data[[#This Row],[Cleaned End_date]]-marketing_data[[#This Row],[Start_date]]</f>
        <v>3</v>
      </c>
    </row>
    <row r="1156" spans="1:21" x14ac:dyDescent="0.2">
      <c r="A1156" t="s">
        <v>2397</v>
      </c>
      <c r="B1156" t="s">
        <v>2398</v>
      </c>
      <c r="C1156" s="2">
        <v>45010</v>
      </c>
      <c r="D1156" t="str">
        <f t="shared" si="111"/>
        <v>Mar</v>
      </c>
      <c r="E1156" s="2">
        <v>45024</v>
      </c>
      <c r="F1156" t="s">
        <v>41</v>
      </c>
      <c r="G1156">
        <v>20029</v>
      </c>
      <c r="H1156">
        <v>977</v>
      </c>
      <c r="I1156">
        <v>108</v>
      </c>
      <c r="J1156" t="b">
        <v>1</v>
      </c>
      <c r="K1156" s="10">
        <v>950.15</v>
      </c>
      <c r="L1156" s="6">
        <f t="shared" si="112"/>
        <v>4.87792700584153E-2</v>
      </c>
      <c r="M1156">
        <f t="shared" si="113"/>
        <v>0.97251791197543502</v>
      </c>
      <c r="N1156">
        <f t="shared" si="114"/>
        <v>8.7976851851851858</v>
      </c>
      <c r="O1156">
        <f t="shared" si="115"/>
        <v>4449.8500000000004</v>
      </c>
      <c r="P1156">
        <f t="shared" si="116"/>
        <v>0.1105424769703173</v>
      </c>
      <c r="Q1156" t="s">
        <v>4137</v>
      </c>
      <c r="R1156" t="s">
        <v>4138</v>
      </c>
      <c r="S1156">
        <f>YEAR(marketing_data[[#This Row],[Start_date]])</f>
        <v>2023</v>
      </c>
      <c r="T1156" t="str">
        <f>TEXT(marketing_data[[#This Row],[Start_date]],"ddd")</f>
        <v>Sat</v>
      </c>
      <c r="U1156">
        <f>marketing_data[[#This Row],[Cleaned End_date]]-marketing_data[[#This Row],[Start_date]]</f>
        <v>14</v>
      </c>
    </row>
    <row r="1157" spans="1:21" x14ac:dyDescent="0.2">
      <c r="A1157" t="s">
        <v>2399</v>
      </c>
      <c r="B1157" t="s">
        <v>2400</v>
      </c>
      <c r="C1157" s="2">
        <v>44944</v>
      </c>
      <c r="D1157" t="str">
        <f t="shared" si="111"/>
        <v>Jan</v>
      </c>
      <c r="E1157" s="2">
        <v>44964</v>
      </c>
      <c r="F1157" t="s">
        <v>19</v>
      </c>
      <c r="G1157">
        <v>60201</v>
      </c>
      <c r="H1157">
        <v>2887</v>
      </c>
      <c r="I1157">
        <v>564</v>
      </c>
      <c r="J1157" t="b">
        <v>0</v>
      </c>
      <c r="K1157" s="10">
        <v>2416.14</v>
      </c>
      <c r="L1157" s="6">
        <f t="shared" si="112"/>
        <v>4.795601401970067E-2</v>
      </c>
      <c r="M1157">
        <f t="shared" si="113"/>
        <v>0.8369033598891582</v>
      </c>
      <c r="N1157">
        <f t="shared" si="114"/>
        <v>4.2839361702127654</v>
      </c>
      <c r="O1157">
        <f t="shared" si="115"/>
        <v>25783.86</v>
      </c>
      <c r="P1157">
        <f t="shared" si="116"/>
        <v>0.19535850363699342</v>
      </c>
      <c r="Q1157" t="s">
        <v>4138</v>
      </c>
      <c r="R1157" t="s">
        <v>4141</v>
      </c>
      <c r="S1157">
        <f>YEAR(marketing_data[[#This Row],[Start_date]])</f>
        <v>2023</v>
      </c>
      <c r="T1157" t="str">
        <f>TEXT(marketing_data[[#This Row],[Start_date]],"ddd")</f>
        <v>Wed</v>
      </c>
      <c r="U1157">
        <f>marketing_data[[#This Row],[Cleaned End_date]]-marketing_data[[#This Row],[Start_date]]</f>
        <v>20</v>
      </c>
    </row>
    <row r="1158" spans="1:21" x14ac:dyDescent="0.2">
      <c r="A1158" t="s">
        <v>2401</v>
      </c>
      <c r="B1158" t="s">
        <v>2402</v>
      </c>
      <c r="C1158" s="2">
        <v>44980</v>
      </c>
      <c r="D1158" t="str">
        <f t="shared" si="111"/>
        <v>Feb</v>
      </c>
      <c r="E1158" s="2">
        <v>44981</v>
      </c>
      <c r="F1158" t="s">
        <v>14</v>
      </c>
      <c r="G1158">
        <v>33265</v>
      </c>
      <c r="H1158">
        <v>1015</v>
      </c>
      <c r="I1158">
        <v>67</v>
      </c>
      <c r="J1158" t="b">
        <v>1</v>
      </c>
      <c r="K1158" s="10">
        <v>612.79</v>
      </c>
      <c r="L1158" s="6">
        <f t="shared" si="112"/>
        <v>3.0512550728994437E-2</v>
      </c>
      <c r="M1158">
        <f t="shared" si="113"/>
        <v>0.60373399014778317</v>
      </c>
      <c r="N1158">
        <f t="shared" si="114"/>
        <v>9.1461194029850734</v>
      </c>
      <c r="O1158">
        <f t="shared" si="115"/>
        <v>2737.21</v>
      </c>
      <c r="P1158">
        <f t="shared" si="116"/>
        <v>6.6009852216748766E-2</v>
      </c>
      <c r="Q1158" t="s">
        <v>4138</v>
      </c>
      <c r="R1158" t="s">
        <v>4142</v>
      </c>
      <c r="S1158">
        <f>YEAR(marketing_data[[#This Row],[Start_date]])</f>
        <v>2023</v>
      </c>
      <c r="T1158" t="str">
        <f>TEXT(marketing_data[[#This Row],[Start_date]],"ddd")</f>
        <v>Thu</v>
      </c>
      <c r="U1158">
        <f>marketing_data[[#This Row],[Cleaned End_date]]-marketing_data[[#This Row],[Start_date]]</f>
        <v>1</v>
      </c>
    </row>
    <row r="1159" spans="1:21" x14ac:dyDescent="0.2">
      <c r="A1159" t="s">
        <v>2404</v>
      </c>
      <c r="B1159" t="s">
        <v>2405</v>
      </c>
      <c r="C1159" s="2">
        <v>45014</v>
      </c>
      <c r="D1159" t="str">
        <f t="shared" si="111"/>
        <v>Mar</v>
      </c>
      <c r="E1159" s="2">
        <v>45028</v>
      </c>
      <c r="F1159" t="s">
        <v>23</v>
      </c>
      <c r="G1159">
        <v>44872</v>
      </c>
      <c r="H1159">
        <v>616</v>
      </c>
      <c r="J1159" t="b">
        <v>0</v>
      </c>
      <c r="K1159" s="10">
        <v>1072.6099999999999</v>
      </c>
      <c r="L1159" s="6">
        <f t="shared" si="112"/>
        <v>1.3727937243715457E-2</v>
      </c>
      <c r="M1159">
        <f t="shared" si="113"/>
        <v>1.7412499999999997</v>
      </c>
      <c r="N1159">
        <f t="shared" si="114"/>
        <v>0</v>
      </c>
      <c r="O1159">
        <f t="shared" si="115"/>
        <v>-1072.6099999999999</v>
      </c>
      <c r="P1159">
        <f t="shared" si="116"/>
        <v>0</v>
      </c>
      <c r="Q1159" t="s">
        <v>4137</v>
      </c>
      <c r="R1159" t="s">
        <v>4141</v>
      </c>
      <c r="S1159">
        <f>YEAR(marketing_data[[#This Row],[Start_date]])</f>
        <v>2023</v>
      </c>
      <c r="T1159" t="str">
        <f>TEXT(marketing_data[[#This Row],[Start_date]],"ddd")</f>
        <v>Wed</v>
      </c>
      <c r="U1159">
        <f>marketing_data[[#This Row],[Cleaned End_date]]-marketing_data[[#This Row],[Start_date]]</f>
        <v>14</v>
      </c>
    </row>
    <row r="1160" spans="1:21" x14ac:dyDescent="0.2">
      <c r="A1160" t="s">
        <v>2406</v>
      </c>
      <c r="B1160" t="s">
        <v>2407</v>
      </c>
      <c r="C1160" s="2">
        <v>44965</v>
      </c>
      <c r="D1160" t="str">
        <f t="shared" si="111"/>
        <v>Feb</v>
      </c>
      <c r="E1160" s="2">
        <v>44968</v>
      </c>
      <c r="F1160" t="s">
        <v>41</v>
      </c>
      <c r="G1160">
        <v>47197</v>
      </c>
      <c r="H1160">
        <v>1896</v>
      </c>
      <c r="I1160">
        <v>234</v>
      </c>
      <c r="J1160" t="b">
        <v>0</v>
      </c>
      <c r="K1160" s="10">
        <v>1671.91</v>
      </c>
      <c r="L1160" s="6">
        <f t="shared" si="112"/>
        <v>4.0172044833358053E-2</v>
      </c>
      <c r="M1160">
        <f t="shared" si="113"/>
        <v>0.88180907172995782</v>
      </c>
      <c r="N1160">
        <f t="shared" si="114"/>
        <v>7.14491452991453</v>
      </c>
      <c r="O1160">
        <f t="shared" si="115"/>
        <v>10028.09</v>
      </c>
      <c r="P1160">
        <f t="shared" si="116"/>
        <v>0.12341772151898735</v>
      </c>
      <c r="Q1160" t="s">
        <v>4138</v>
      </c>
      <c r="R1160" t="s">
        <v>4141</v>
      </c>
      <c r="S1160">
        <f>YEAR(marketing_data[[#This Row],[Start_date]])</f>
        <v>2023</v>
      </c>
      <c r="T1160" t="str">
        <f>TEXT(marketing_data[[#This Row],[Start_date]],"ddd")</f>
        <v>Wed</v>
      </c>
      <c r="U1160">
        <f>marketing_data[[#This Row],[Cleaned End_date]]-marketing_data[[#This Row],[Start_date]]</f>
        <v>3</v>
      </c>
    </row>
    <row r="1161" spans="1:21" x14ac:dyDescent="0.2">
      <c r="A1161" t="s">
        <v>2408</v>
      </c>
      <c r="B1161" t="s">
        <v>2409</v>
      </c>
      <c r="C1161" s="2">
        <v>44974</v>
      </c>
      <c r="D1161" t="str">
        <f t="shared" si="111"/>
        <v>Feb</v>
      </c>
      <c r="E1161" s="2">
        <v>44992</v>
      </c>
      <c r="F1161" t="s">
        <v>33</v>
      </c>
      <c r="G1161">
        <v>56180</v>
      </c>
      <c r="H1161">
        <v>1667</v>
      </c>
      <c r="I1161">
        <v>292</v>
      </c>
      <c r="J1161" t="b">
        <v>1</v>
      </c>
      <c r="K1161" s="10">
        <v>2016.31</v>
      </c>
      <c r="L1161" s="6">
        <f t="shared" si="112"/>
        <v>2.9672481310074758E-2</v>
      </c>
      <c r="M1161">
        <f t="shared" si="113"/>
        <v>1.2095440911817636</v>
      </c>
      <c r="N1161">
        <f t="shared" si="114"/>
        <v>6.9051712328767119</v>
      </c>
      <c r="O1161">
        <f t="shared" si="115"/>
        <v>12583.69</v>
      </c>
      <c r="P1161">
        <f t="shared" si="116"/>
        <v>0.17516496700659867</v>
      </c>
      <c r="Q1161" t="s">
        <v>4138</v>
      </c>
      <c r="R1161" t="s">
        <v>4139</v>
      </c>
      <c r="S1161">
        <f>YEAR(marketing_data[[#This Row],[Start_date]])</f>
        <v>2023</v>
      </c>
      <c r="T1161" t="str">
        <f>TEXT(marketing_data[[#This Row],[Start_date]],"ddd")</f>
        <v>Fri</v>
      </c>
      <c r="U1161">
        <f>marketing_data[[#This Row],[Cleaned End_date]]-marketing_data[[#This Row],[Start_date]]</f>
        <v>18</v>
      </c>
    </row>
    <row r="1162" spans="1:21" x14ac:dyDescent="0.2">
      <c r="A1162" t="s">
        <v>2410</v>
      </c>
      <c r="B1162" t="s">
        <v>2411</v>
      </c>
      <c r="C1162" s="2">
        <v>45174</v>
      </c>
      <c r="D1162" t="str">
        <f t="shared" si="111"/>
        <v>Sep</v>
      </c>
      <c r="E1162" s="2">
        <v>45177</v>
      </c>
      <c r="F1162" t="s">
        <v>33</v>
      </c>
      <c r="G1162">
        <v>24710</v>
      </c>
      <c r="H1162">
        <v>546</v>
      </c>
      <c r="I1162">
        <v>40</v>
      </c>
      <c r="J1162" t="b">
        <v>1</v>
      </c>
      <c r="K1162" s="10">
        <v>329.13249999999999</v>
      </c>
      <c r="L1162" s="6">
        <f t="shared" si="112"/>
        <v>2.2096317280453259E-2</v>
      </c>
      <c r="M1162">
        <f t="shared" si="113"/>
        <v>0.6028067765567765</v>
      </c>
      <c r="N1162">
        <f t="shared" si="114"/>
        <v>8.2283124999999995</v>
      </c>
      <c r="O1162">
        <f t="shared" si="115"/>
        <v>1670.8675000000001</v>
      </c>
      <c r="P1162">
        <f t="shared" si="116"/>
        <v>7.3260073260073263E-2</v>
      </c>
      <c r="Q1162" t="s">
        <v>4136</v>
      </c>
      <c r="R1162" t="s">
        <v>4142</v>
      </c>
      <c r="S1162">
        <f>YEAR(marketing_data[[#This Row],[Start_date]])</f>
        <v>2023</v>
      </c>
      <c r="T1162" t="str">
        <f>TEXT(marketing_data[[#This Row],[Start_date]],"ddd")</f>
        <v>Tue</v>
      </c>
      <c r="U1162">
        <f>marketing_data[[#This Row],[Cleaned End_date]]-marketing_data[[#This Row],[Start_date]]</f>
        <v>3</v>
      </c>
    </row>
    <row r="1163" spans="1:21" x14ac:dyDescent="0.2">
      <c r="A1163" t="s">
        <v>2412</v>
      </c>
      <c r="B1163" t="s">
        <v>2413</v>
      </c>
      <c r="C1163" s="2">
        <v>45261</v>
      </c>
      <c r="D1163" t="str">
        <f t="shared" si="111"/>
        <v>Dec</v>
      </c>
      <c r="E1163" s="2">
        <v>45284</v>
      </c>
      <c r="F1163" t="s">
        <v>19</v>
      </c>
      <c r="G1163">
        <v>30486</v>
      </c>
      <c r="H1163">
        <v>904</v>
      </c>
      <c r="I1163">
        <v>82</v>
      </c>
      <c r="J1163" t="b">
        <v>1</v>
      </c>
      <c r="K1163" s="10">
        <v>1400.3</v>
      </c>
      <c r="L1163" s="6">
        <f t="shared" si="112"/>
        <v>2.9652955454962934E-2</v>
      </c>
      <c r="M1163">
        <f t="shared" si="113"/>
        <v>1.5490044247787611</v>
      </c>
      <c r="N1163">
        <f t="shared" si="114"/>
        <v>17.076829268292684</v>
      </c>
      <c r="O1163">
        <f t="shared" si="115"/>
        <v>2699.7</v>
      </c>
      <c r="P1163">
        <f t="shared" si="116"/>
        <v>9.0707964601769914E-2</v>
      </c>
      <c r="Q1163" t="s">
        <v>4138</v>
      </c>
      <c r="R1163" t="s">
        <v>4138</v>
      </c>
      <c r="S1163">
        <f>YEAR(marketing_data[[#This Row],[Start_date]])</f>
        <v>2023</v>
      </c>
      <c r="T1163" t="str">
        <f>TEXT(marketing_data[[#This Row],[Start_date]],"ddd")</f>
        <v>Fri</v>
      </c>
      <c r="U1163">
        <f>marketing_data[[#This Row],[Cleaned End_date]]-marketing_data[[#This Row],[Start_date]]</f>
        <v>23</v>
      </c>
    </row>
    <row r="1164" spans="1:21" x14ac:dyDescent="0.2">
      <c r="A1164" t="s">
        <v>2414</v>
      </c>
      <c r="B1164" t="s">
        <v>2415</v>
      </c>
      <c r="C1164" s="2">
        <v>45007</v>
      </c>
      <c r="D1164" t="str">
        <f t="shared" si="111"/>
        <v>Mar</v>
      </c>
      <c r="E1164" s="2">
        <v>45036</v>
      </c>
      <c r="F1164" t="s">
        <v>23</v>
      </c>
      <c r="G1164">
        <v>72907</v>
      </c>
      <c r="H1164">
        <v>2252</v>
      </c>
      <c r="J1164" t="b">
        <v>0</v>
      </c>
      <c r="K1164" s="10">
        <v>2242.64</v>
      </c>
      <c r="L1164" s="6">
        <f t="shared" si="112"/>
        <v>3.0888666383200515E-2</v>
      </c>
      <c r="M1164">
        <f t="shared" si="113"/>
        <v>0.99584369449378329</v>
      </c>
      <c r="N1164">
        <f t="shared" si="114"/>
        <v>0</v>
      </c>
      <c r="O1164">
        <f t="shared" si="115"/>
        <v>-2242.64</v>
      </c>
      <c r="P1164">
        <f t="shared" si="116"/>
        <v>0</v>
      </c>
      <c r="Q1164" t="s">
        <v>4137</v>
      </c>
      <c r="R1164" t="s">
        <v>4141</v>
      </c>
      <c r="S1164">
        <f>YEAR(marketing_data[[#This Row],[Start_date]])</f>
        <v>2023</v>
      </c>
      <c r="T1164" t="str">
        <f>TEXT(marketing_data[[#This Row],[Start_date]],"ddd")</f>
        <v>Wed</v>
      </c>
      <c r="U1164">
        <f>marketing_data[[#This Row],[Cleaned End_date]]-marketing_data[[#This Row],[Start_date]]</f>
        <v>29</v>
      </c>
    </row>
    <row r="1165" spans="1:21" x14ac:dyDescent="0.2">
      <c r="A1165" t="s">
        <v>2416</v>
      </c>
      <c r="B1165" t="s">
        <v>2417</v>
      </c>
      <c r="C1165" s="2">
        <v>45096</v>
      </c>
      <c r="D1165" t="str">
        <f t="shared" si="111"/>
        <v>Jun</v>
      </c>
      <c r="E1165" s="2">
        <v>45121</v>
      </c>
      <c r="F1165" t="s">
        <v>19</v>
      </c>
      <c r="G1165">
        <v>72895</v>
      </c>
      <c r="H1165">
        <v>2369</v>
      </c>
      <c r="I1165">
        <v>369</v>
      </c>
      <c r="J1165" t="b">
        <v>0</v>
      </c>
      <c r="K1165" s="10">
        <v>3631.7599999999998</v>
      </c>
      <c r="L1165" s="6">
        <f t="shared" si="112"/>
        <v>3.2498799643322585E-2</v>
      </c>
      <c r="M1165">
        <f t="shared" si="113"/>
        <v>1.5330350358801181</v>
      </c>
      <c r="N1165">
        <f t="shared" si="114"/>
        <v>9.8421680216802159</v>
      </c>
      <c r="O1165">
        <f t="shared" si="115"/>
        <v>14818.24</v>
      </c>
      <c r="P1165">
        <f t="shared" si="116"/>
        <v>0.15576192486281132</v>
      </c>
      <c r="Q1165" t="s">
        <v>4139</v>
      </c>
      <c r="R1165" t="s">
        <v>4142</v>
      </c>
      <c r="S1165">
        <f>YEAR(marketing_data[[#This Row],[Start_date]])</f>
        <v>2023</v>
      </c>
      <c r="T1165" t="str">
        <f>TEXT(marketing_data[[#This Row],[Start_date]],"ddd")</f>
        <v>Mon</v>
      </c>
      <c r="U1165">
        <f>marketing_data[[#This Row],[Cleaned End_date]]-marketing_data[[#This Row],[Start_date]]</f>
        <v>25</v>
      </c>
    </row>
    <row r="1166" spans="1:21" x14ac:dyDescent="0.2">
      <c r="A1166" t="s">
        <v>2418</v>
      </c>
      <c r="B1166" t="s">
        <v>2419</v>
      </c>
      <c r="C1166" s="2">
        <v>45283</v>
      </c>
      <c r="D1166" t="str">
        <f t="shared" si="111"/>
        <v>Dec</v>
      </c>
      <c r="E1166" s="2">
        <v>45288</v>
      </c>
      <c r="F1166" t="s">
        <v>23</v>
      </c>
      <c r="G1166">
        <v>65435</v>
      </c>
      <c r="H1166">
        <v>1809</v>
      </c>
      <c r="I1166">
        <v>155</v>
      </c>
      <c r="J1166" t="b">
        <v>1</v>
      </c>
      <c r="K1166" s="10">
        <v>2023.56</v>
      </c>
      <c r="L1166" s="6">
        <f t="shared" si="112"/>
        <v>2.7645755329716512E-2</v>
      </c>
      <c r="M1166">
        <f t="shared" si="113"/>
        <v>1.1186069651741293</v>
      </c>
      <c r="N1166">
        <f t="shared" si="114"/>
        <v>13.055225806451613</v>
      </c>
      <c r="O1166">
        <f t="shared" si="115"/>
        <v>5726.4400000000005</v>
      </c>
      <c r="P1166">
        <f t="shared" si="116"/>
        <v>8.5682697622996129E-2</v>
      </c>
      <c r="Q1166" t="s">
        <v>4138</v>
      </c>
      <c r="R1166" t="s">
        <v>4141</v>
      </c>
      <c r="S1166">
        <f>YEAR(marketing_data[[#This Row],[Start_date]])</f>
        <v>2023</v>
      </c>
      <c r="T1166" t="str">
        <f>TEXT(marketing_data[[#This Row],[Start_date]],"ddd")</f>
        <v>Sat</v>
      </c>
      <c r="U1166">
        <f>marketing_data[[#This Row],[Cleaned End_date]]-marketing_data[[#This Row],[Start_date]]</f>
        <v>5</v>
      </c>
    </row>
    <row r="1167" spans="1:21" x14ac:dyDescent="0.2">
      <c r="A1167" t="s">
        <v>2420</v>
      </c>
      <c r="B1167" t="s">
        <v>2421</v>
      </c>
      <c r="C1167" s="2">
        <v>45203</v>
      </c>
      <c r="D1167" t="str">
        <f t="shared" si="111"/>
        <v>Oct</v>
      </c>
      <c r="E1167" s="2">
        <v>45228</v>
      </c>
      <c r="F1167" t="s">
        <v>19</v>
      </c>
      <c r="G1167">
        <v>41631</v>
      </c>
      <c r="H1167">
        <v>1425</v>
      </c>
      <c r="I1167">
        <v>154</v>
      </c>
      <c r="J1167" t="b">
        <v>0</v>
      </c>
      <c r="K1167" s="10">
        <v>1130.93</v>
      </c>
      <c r="L1167" s="6">
        <f t="shared" si="112"/>
        <v>3.422930028104057E-2</v>
      </c>
      <c r="M1167">
        <f t="shared" si="113"/>
        <v>0.79363508771929825</v>
      </c>
      <c r="N1167">
        <f t="shared" si="114"/>
        <v>7.3437012987012995</v>
      </c>
      <c r="O1167">
        <f t="shared" si="115"/>
        <v>6569.07</v>
      </c>
      <c r="P1167">
        <f t="shared" si="116"/>
        <v>0.1080701754385965</v>
      </c>
      <c r="Q1167" t="s">
        <v>4136</v>
      </c>
      <c r="R1167" t="s">
        <v>4139</v>
      </c>
      <c r="S1167">
        <f>YEAR(marketing_data[[#This Row],[Start_date]])</f>
        <v>2023</v>
      </c>
      <c r="T1167" t="str">
        <f>TEXT(marketing_data[[#This Row],[Start_date]],"ddd")</f>
        <v>Wed</v>
      </c>
      <c r="U1167">
        <f>marketing_data[[#This Row],[Cleaned End_date]]-marketing_data[[#This Row],[Start_date]]</f>
        <v>25</v>
      </c>
    </row>
    <row r="1168" spans="1:21" x14ac:dyDescent="0.2">
      <c r="A1168" t="s">
        <v>2422</v>
      </c>
      <c r="B1168" t="s">
        <v>2423</v>
      </c>
      <c r="C1168" s="2">
        <v>44962</v>
      </c>
      <c r="D1168" t="str">
        <f t="shared" si="111"/>
        <v>Feb</v>
      </c>
      <c r="E1168" s="2">
        <v>45069</v>
      </c>
      <c r="F1168" t="s">
        <v>23</v>
      </c>
      <c r="G1168">
        <v>21103</v>
      </c>
      <c r="H1168">
        <v>986</v>
      </c>
      <c r="I1168">
        <v>114</v>
      </c>
      <c r="J1168" t="b">
        <v>0</v>
      </c>
      <c r="K1168" s="10">
        <v>1251.99</v>
      </c>
      <c r="L1168" s="6">
        <f t="shared" si="112"/>
        <v>4.6723214708809177E-2</v>
      </c>
      <c r="M1168">
        <f t="shared" si="113"/>
        <v>1.2697667342799188</v>
      </c>
      <c r="N1168">
        <f t="shared" si="114"/>
        <v>10.982368421052632</v>
      </c>
      <c r="O1168">
        <f t="shared" si="115"/>
        <v>4448.01</v>
      </c>
      <c r="P1168">
        <f t="shared" si="116"/>
        <v>0.11561866125760649</v>
      </c>
      <c r="Q1168" t="s">
        <v>4138</v>
      </c>
      <c r="R1168" t="s">
        <v>4142</v>
      </c>
      <c r="S1168">
        <f>YEAR(marketing_data[[#This Row],[Start_date]])</f>
        <v>2023</v>
      </c>
      <c r="T1168" t="str">
        <f>TEXT(marketing_data[[#This Row],[Start_date]],"ddd")</f>
        <v>Sun</v>
      </c>
      <c r="U1168">
        <f>marketing_data[[#This Row],[Cleaned End_date]]-marketing_data[[#This Row],[Start_date]]</f>
        <v>107</v>
      </c>
    </row>
    <row r="1169" spans="1:21" x14ac:dyDescent="0.2">
      <c r="A1169" t="s">
        <v>2424</v>
      </c>
      <c r="B1169" t="s">
        <v>2425</v>
      </c>
      <c r="C1169" s="2">
        <v>45128</v>
      </c>
      <c r="D1169" t="str">
        <f t="shared" si="111"/>
        <v>Jul</v>
      </c>
      <c r="E1169" s="2">
        <v>45130</v>
      </c>
      <c r="F1169" t="s">
        <v>19</v>
      </c>
      <c r="G1169">
        <v>65772</v>
      </c>
      <c r="H1169">
        <v>1610</v>
      </c>
      <c r="I1169">
        <v>295</v>
      </c>
      <c r="J1169" t="b">
        <v>1</v>
      </c>
      <c r="K1169" s="10">
        <v>1120.17</v>
      </c>
      <c r="L1169" s="6">
        <f t="shared" si="112"/>
        <v>2.4478501489995742E-2</v>
      </c>
      <c r="M1169">
        <f t="shared" si="113"/>
        <v>0.69575776397515532</v>
      </c>
      <c r="N1169">
        <f t="shared" si="114"/>
        <v>3.7971864406779665</v>
      </c>
      <c r="O1169">
        <f t="shared" si="115"/>
        <v>13629.83</v>
      </c>
      <c r="P1169">
        <f t="shared" si="116"/>
        <v>0.18322981366459629</v>
      </c>
      <c r="Q1169" t="s">
        <v>4139</v>
      </c>
      <c r="R1169" t="s">
        <v>4141</v>
      </c>
      <c r="S1169">
        <f>YEAR(marketing_data[[#This Row],[Start_date]])</f>
        <v>2023</v>
      </c>
      <c r="T1169" t="str">
        <f>TEXT(marketing_data[[#This Row],[Start_date]],"ddd")</f>
        <v>Fri</v>
      </c>
      <c r="U1169">
        <f>marketing_data[[#This Row],[Cleaned End_date]]-marketing_data[[#This Row],[Start_date]]</f>
        <v>2</v>
      </c>
    </row>
    <row r="1170" spans="1:21" x14ac:dyDescent="0.2">
      <c r="A1170" t="s">
        <v>2426</v>
      </c>
      <c r="B1170" t="s">
        <v>2427</v>
      </c>
      <c r="C1170" s="2">
        <v>45005</v>
      </c>
      <c r="D1170" t="str">
        <f t="shared" si="111"/>
        <v>Mar</v>
      </c>
      <c r="E1170" s="2">
        <v>45017</v>
      </c>
      <c r="F1170" t="s">
        <v>14</v>
      </c>
      <c r="G1170">
        <v>15382</v>
      </c>
      <c r="H1170">
        <v>600</v>
      </c>
      <c r="I1170">
        <v>67</v>
      </c>
      <c r="J1170" t="b">
        <v>1</v>
      </c>
      <c r="K1170" s="10">
        <v>696.49</v>
      </c>
      <c r="L1170" s="6">
        <f t="shared" si="112"/>
        <v>3.9006631127291642E-2</v>
      </c>
      <c r="M1170">
        <f t="shared" si="113"/>
        <v>1.1608166666666666</v>
      </c>
      <c r="N1170">
        <f t="shared" si="114"/>
        <v>10.395373134328358</v>
      </c>
      <c r="O1170">
        <f t="shared" si="115"/>
        <v>2653.51</v>
      </c>
      <c r="P1170">
        <f t="shared" si="116"/>
        <v>0.11166666666666666</v>
      </c>
      <c r="Q1170" t="s">
        <v>4137</v>
      </c>
      <c r="R1170" t="s">
        <v>4138</v>
      </c>
      <c r="S1170">
        <f>YEAR(marketing_data[[#This Row],[Start_date]])</f>
        <v>2023</v>
      </c>
      <c r="T1170" t="str">
        <f>TEXT(marketing_data[[#This Row],[Start_date]],"ddd")</f>
        <v>Mon</v>
      </c>
      <c r="U1170">
        <f>marketing_data[[#This Row],[Cleaned End_date]]-marketing_data[[#This Row],[Start_date]]</f>
        <v>12</v>
      </c>
    </row>
    <row r="1171" spans="1:21" x14ac:dyDescent="0.2">
      <c r="A1171" t="s">
        <v>2429</v>
      </c>
      <c r="B1171" t="s">
        <v>2430</v>
      </c>
      <c r="C1171" s="2">
        <v>44928</v>
      </c>
      <c r="D1171" t="str">
        <f t="shared" si="111"/>
        <v>Jan</v>
      </c>
      <c r="E1171" s="2">
        <v>44937</v>
      </c>
      <c r="F1171" t="s">
        <v>19</v>
      </c>
      <c r="G1171">
        <v>85291</v>
      </c>
      <c r="H1171">
        <v>3904</v>
      </c>
      <c r="I1171">
        <v>280</v>
      </c>
      <c r="J1171" t="b">
        <v>1</v>
      </c>
      <c r="K1171" s="10">
        <v>3631.7599999999998</v>
      </c>
      <c r="L1171" s="6">
        <f t="shared" si="112"/>
        <v>4.5772707554138183E-2</v>
      </c>
      <c r="M1171">
        <f t="shared" si="113"/>
        <v>0.93026639344262285</v>
      </c>
      <c r="N1171">
        <f t="shared" si="114"/>
        <v>12.970571428571427</v>
      </c>
      <c r="O1171">
        <f t="shared" si="115"/>
        <v>10368.24</v>
      </c>
      <c r="P1171">
        <f t="shared" si="116"/>
        <v>7.1721311475409832E-2</v>
      </c>
      <c r="Q1171" t="s">
        <v>4138</v>
      </c>
      <c r="R1171" t="s">
        <v>4142</v>
      </c>
      <c r="S1171">
        <f>YEAR(marketing_data[[#This Row],[Start_date]])</f>
        <v>2023</v>
      </c>
      <c r="T1171" t="str">
        <f>TEXT(marketing_data[[#This Row],[Start_date]],"ddd")</f>
        <v>Mon</v>
      </c>
      <c r="U1171">
        <f>marketing_data[[#This Row],[Cleaned End_date]]-marketing_data[[#This Row],[Start_date]]</f>
        <v>9</v>
      </c>
    </row>
    <row r="1172" spans="1:21" x14ac:dyDescent="0.2">
      <c r="A1172" t="s">
        <v>2431</v>
      </c>
      <c r="B1172" t="s">
        <v>2432</v>
      </c>
      <c r="C1172" s="2">
        <v>45265</v>
      </c>
      <c r="D1172" t="str">
        <f t="shared" si="111"/>
        <v>Dec</v>
      </c>
      <c r="E1172" s="2">
        <v>45278</v>
      </c>
      <c r="F1172" t="s">
        <v>19</v>
      </c>
      <c r="G1172">
        <v>4756</v>
      </c>
      <c r="H1172">
        <v>134</v>
      </c>
      <c r="I1172">
        <v>17</v>
      </c>
      <c r="J1172" t="b">
        <v>0</v>
      </c>
      <c r="K1172" s="10">
        <v>329.13249999999999</v>
      </c>
      <c r="L1172" s="6">
        <f t="shared" si="112"/>
        <v>2.8174936921783012E-2</v>
      </c>
      <c r="M1172">
        <f t="shared" si="113"/>
        <v>2.4562126865671643</v>
      </c>
      <c r="N1172">
        <f t="shared" si="114"/>
        <v>19.360735294117646</v>
      </c>
      <c r="O1172">
        <f t="shared" si="115"/>
        <v>520.86750000000006</v>
      </c>
      <c r="P1172">
        <f t="shared" si="116"/>
        <v>0.12686567164179105</v>
      </c>
      <c r="Q1172" t="s">
        <v>4138</v>
      </c>
      <c r="R1172" t="s">
        <v>4139</v>
      </c>
      <c r="S1172">
        <f>YEAR(marketing_data[[#This Row],[Start_date]])</f>
        <v>2023</v>
      </c>
      <c r="T1172" t="str">
        <f>TEXT(marketing_data[[#This Row],[Start_date]],"ddd")</f>
        <v>Tue</v>
      </c>
      <c r="U1172">
        <f>marketing_data[[#This Row],[Cleaned End_date]]-marketing_data[[#This Row],[Start_date]]</f>
        <v>13</v>
      </c>
    </row>
    <row r="1173" spans="1:21" x14ac:dyDescent="0.2">
      <c r="A1173" t="s">
        <v>2433</v>
      </c>
      <c r="B1173" t="s">
        <v>2434</v>
      </c>
      <c r="C1173" s="2">
        <v>44976</v>
      </c>
      <c r="D1173" t="str">
        <f t="shared" si="111"/>
        <v>Feb</v>
      </c>
      <c r="E1173" s="2">
        <v>44985</v>
      </c>
      <c r="F1173" t="s">
        <v>14</v>
      </c>
      <c r="G1173">
        <v>21609</v>
      </c>
      <c r="H1173">
        <v>599</v>
      </c>
      <c r="I1173">
        <v>116</v>
      </c>
      <c r="J1173" t="b">
        <v>1</v>
      </c>
      <c r="K1173" s="10">
        <v>354.24</v>
      </c>
      <c r="L1173" s="6">
        <f t="shared" si="112"/>
        <v>2.7719931510018975E-2</v>
      </c>
      <c r="M1173">
        <f t="shared" si="113"/>
        <v>0.59138564273789651</v>
      </c>
      <c r="N1173">
        <f t="shared" si="114"/>
        <v>3.0537931034482759</v>
      </c>
      <c r="O1173">
        <f t="shared" si="115"/>
        <v>5445.76</v>
      </c>
      <c r="P1173">
        <f t="shared" si="116"/>
        <v>0.19365609348914858</v>
      </c>
      <c r="Q1173" t="s">
        <v>4138</v>
      </c>
      <c r="R1173" t="s">
        <v>4141</v>
      </c>
      <c r="S1173">
        <f>YEAR(marketing_data[[#This Row],[Start_date]])</f>
        <v>2023</v>
      </c>
      <c r="T1173" t="str">
        <f>TEXT(marketing_data[[#This Row],[Start_date]],"ddd")</f>
        <v>Sun</v>
      </c>
      <c r="U1173">
        <f>marketing_data[[#This Row],[Cleaned End_date]]-marketing_data[[#This Row],[Start_date]]</f>
        <v>9</v>
      </c>
    </row>
    <row r="1174" spans="1:21" x14ac:dyDescent="0.2">
      <c r="A1174" t="s">
        <v>2435</v>
      </c>
      <c r="B1174" t="s">
        <v>2436</v>
      </c>
      <c r="C1174" s="2">
        <v>45014</v>
      </c>
      <c r="D1174" t="str">
        <f t="shared" si="111"/>
        <v>Mar</v>
      </c>
      <c r="E1174" s="2">
        <v>45029</v>
      </c>
      <c r="F1174" t="s">
        <v>23</v>
      </c>
      <c r="G1174">
        <v>17478</v>
      </c>
      <c r="H1174">
        <v>595</v>
      </c>
      <c r="I1174">
        <v>83</v>
      </c>
      <c r="J1174" t="b">
        <v>0</v>
      </c>
      <c r="K1174" s="10">
        <v>916.91</v>
      </c>
      <c r="L1174" s="6">
        <f t="shared" si="112"/>
        <v>3.4042796658656595E-2</v>
      </c>
      <c r="M1174">
        <f t="shared" si="113"/>
        <v>1.5410252100840336</v>
      </c>
      <c r="N1174">
        <f t="shared" si="114"/>
        <v>11.047108433734939</v>
      </c>
      <c r="O1174">
        <f t="shared" si="115"/>
        <v>3233.09</v>
      </c>
      <c r="P1174">
        <f t="shared" si="116"/>
        <v>0.13949579831932774</v>
      </c>
      <c r="Q1174" t="s">
        <v>4137</v>
      </c>
      <c r="R1174" t="s">
        <v>4141</v>
      </c>
      <c r="S1174">
        <f>YEAR(marketing_data[[#This Row],[Start_date]])</f>
        <v>2023</v>
      </c>
      <c r="T1174" t="str">
        <f>TEXT(marketing_data[[#This Row],[Start_date]],"ddd")</f>
        <v>Wed</v>
      </c>
      <c r="U1174">
        <f>marketing_data[[#This Row],[Cleaned End_date]]-marketing_data[[#This Row],[Start_date]]</f>
        <v>15</v>
      </c>
    </row>
    <row r="1175" spans="1:21" x14ac:dyDescent="0.2">
      <c r="A1175" t="s">
        <v>2437</v>
      </c>
      <c r="B1175" t="s">
        <v>2438</v>
      </c>
      <c r="C1175" s="2">
        <v>45169</v>
      </c>
      <c r="D1175" t="str">
        <f t="shared" si="111"/>
        <v>Aug</v>
      </c>
      <c r="E1175" s="2">
        <v>45190</v>
      </c>
      <c r="F1175" t="s">
        <v>19</v>
      </c>
      <c r="G1175">
        <v>40666</v>
      </c>
      <c r="H1175">
        <v>1368</v>
      </c>
      <c r="I1175">
        <v>270</v>
      </c>
      <c r="J1175" t="b">
        <v>1</v>
      </c>
      <c r="K1175" s="10">
        <v>1059.01</v>
      </c>
      <c r="L1175" s="6">
        <f t="shared" si="112"/>
        <v>3.363989573599567E-2</v>
      </c>
      <c r="M1175">
        <f t="shared" si="113"/>
        <v>0.77413011695906431</v>
      </c>
      <c r="N1175">
        <f t="shared" si="114"/>
        <v>3.9222592592592593</v>
      </c>
      <c r="O1175">
        <f t="shared" si="115"/>
        <v>12440.99</v>
      </c>
      <c r="P1175">
        <f t="shared" si="116"/>
        <v>0.19736842105263158</v>
      </c>
      <c r="Q1175" t="s">
        <v>4139</v>
      </c>
      <c r="R1175" t="s">
        <v>4138</v>
      </c>
      <c r="S1175">
        <f>YEAR(marketing_data[[#This Row],[Start_date]])</f>
        <v>2023</v>
      </c>
      <c r="T1175" t="str">
        <f>TEXT(marketing_data[[#This Row],[Start_date]],"ddd")</f>
        <v>Thu</v>
      </c>
      <c r="U1175">
        <f>marketing_data[[#This Row],[Cleaned End_date]]-marketing_data[[#This Row],[Start_date]]</f>
        <v>21</v>
      </c>
    </row>
    <row r="1176" spans="1:21" x14ac:dyDescent="0.2">
      <c r="A1176" t="s">
        <v>2439</v>
      </c>
      <c r="B1176" t="s">
        <v>2440</v>
      </c>
      <c r="C1176" s="2">
        <v>45130</v>
      </c>
      <c r="D1176" t="str">
        <f t="shared" si="111"/>
        <v>Jul</v>
      </c>
      <c r="E1176" s="2">
        <v>45156</v>
      </c>
      <c r="F1176" t="s">
        <v>19</v>
      </c>
      <c r="G1176">
        <v>76683</v>
      </c>
      <c r="H1176">
        <v>3240</v>
      </c>
      <c r="I1176">
        <v>570</v>
      </c>
      <c r="J1176" t="b">
        <v>1</v>
      </c>
      <c r="K1176" s="10">
        <v>3170.56</v>
      </c>
      <c r="L1176" s="6">
        <f t="shared" si="112"/>
        <v>4.2251868080278553E-2</v>
      </c>
      <c r="M1176">
        <f t="shared" si="113"/>
        <v>0.97856790123456794</v>
      </c>
      <c r="N1176">
        <f t="shared" si="114"/>
        <v>5.5623859649122807</v>
      </c>
      <c r="O1176">
        <f t="shared" si="115"/>
        <v>25329.439999999999</v>
      </c>
      <c r="P1176">
        <f t="shared" si="116"/>
        <v>0.17592592592592593</v>
      </c>
      <c r="Q1176" t="s">
        <v>4139</v>
      </c>
      <c r="R1176" t="s">
        <v>4139</v>
      </c>
      <c r="S1176">
        <f>YEAR(marketing_data[[#This Row],[Start_date]])</f>
        <v>2023</v>
      </c>
      <c r="T1176" t="str">
        <f>TEXT(marketing_data[[#This Row],[Start_date]],"ddd")</f>
        <v>Sun</v>
      </c>
      <c r="U1176">
        <f>marketing_data[[#This Row],[Cleaned End_date]]-marketing_data[[#This Row],[Start_date]]</f>
        <v>26</v>
      </c>
    </row>
    <row r="1177" spans="1:21" x14ac:dyDescent="0.2">
      <c r="A1177" t="s">
        <v>2441</v>
      </c>
      <c r="B1177" t="s">
        <v>2442</v>
      </c>
      <c r="C1177" s="2">
        <v>45062</v>
      </c>
      <c r="D1177" t="str">
        <f t="shared" si="111"/>
        <v>May</v>
      </c>
      <c r="E1177" s="2">
        <v>45092</v>
      </c>
      <c r="F1177" t="s">
        <v>41</v>
      </c>
      <c r="G1177">
        <v>72315</v>
      </c>
      <c r="H1177">
        <v>2101</v>
      </c>
      <c r="I1177">
        <v>116</v>
      </c>
      <c r="J1177" t="b">
        <v>0</v>
      </c>
      <c r="K1177" s="10">
        <v>2359.9899999999998</v>
      </c>
      <c r="L1177" s="6">
        <f t="shared" si="112"/>
        <v>2.9053446726128741E-2</v>
      </c>
      <c r="M1177">
        <f t="shared" si="113"/>
        <v>1.1232698714897666</v>
      </c>
      <c r="N1177">
        <f t="shared" si="114"/>
        <v>20.344741379310342</v>
      </c>
      <c r="O1177">
        <f t="shared" si="115"/>
        <v>3440.01</v>
      </c>
      <c r="P1177">
        <f t="shared" si="116"/>
        <v>5.5211803902903381E-2</v>
      </c>
      <c r="Q1177" t="s">
        <v>4137</v>
      </c>
      <c r="R1177" t="s">
        <v>4138</v>
      </c>
      <c r="S1177">
        <f>YEAR(marketing_data[[#This Row],[Start_date]])</f>
        <v>2023</v>
      </c>
      <c r="T1177" t="str">
        <f>TEXT(marketing_data[[#This Row],[Start_date]],"ddd")</f>
        <v>Tue</v>
      </c>
      <c r="U1177">
        <f>marketing_data[[#This Row],[Cleaned End_date]]-marketing_data[[#This Row],[Start_date]]</f>
        <v>30</v>
      </c>
    </row>
    <row r="1178" spans="1:21" x14ac:dyDescent="0.2">
      <c r="A1178" t="s">
        <v>2443</v>
      </c>
      <c r="B1178" t="s">
        <v>2444</v>
      </c>
      <c r="C1178" s="2">
        <v>45205</v>
      </c>
      <c r="D1178" t="str">
        <f t="shared" si="111"/>
        <v>Oct</v>
      </c>
      <c r="E1178" s="2">
        <v>45216</v>
      </c>
      <c r="F1178" t="s">
        <v>14</v>
      </c>
      <c r="G1178">
        <v>78834</v>
      </c>
      <c r="H1178">
        <v>3929</v>
      </c>
      <c r="I1178">
        <v>584</v>
      </c>
      <c r="J1178" t="b">
        <v>0</v>
      </c>
      <c r="K1178" s="10">
        <v>3631.7599999999998</v>
      </c>
      <c r="L1178" s="6">
        <f t="shared" si="112"/>
        <v>4.9838901996600453E-2</v>
      </c>
      <c r="M1178">
        <f t="shared" si="113"/>
        <v>0.9243471621277678</v>
      </c>
      <c r="N1178">
        <f t="shared" si="114"/>
        <v>6.2187671232876705</v>
      </c>
      <c r="O1178">
        <f t="shared" si="115"/>
        <v>25568.240000000002</v>
      </c>
      <c r="P1178">
        <f t="shared" si="116"/>
        <v>0.14863833036396029</v>
      </c>
      <c r="Q1178" t="s">
        <v>4136</v>
      </c>
      <c r="R1178" t="s">
        <v>4142</v>
      </c>
      <c r="S1178">
        <f>YEAR(marketing_data[[#This Row],[Start_date]])</f>
        <v>2023</v>
      </c>
      <c r="T1178" t="str">
        <f>TEXT(marketing_data[[#This Row],[Start_date]],"ddd")</f>
        <v>Fri</v>
      </c>
      <c r="U1178">
        <f>marketing_data[[#This Row],[Cleaned End_date]]-marketing_data[[#This Row],[Start_date]]</f>
        <v>11</v>
      </c>
    </row>
    <row r="1179" spans="1:21" x14ac:dyDescent="0.2">
      <c r="A1179" t="s">
        <v>2445</v>
      </c>
      <c r="B1179" t="s">
        <v>2446</v>
      </c>
      <c r="C1179" s="2">
        <v>45122</v>
      </c>
      <c r="D1179" t="str">
        <f t="shared" si="111"/>
        <v>Jul</v>
      </c>
      <c r="E1179" s="2">
        <v>45132</v>
      </c>
      <c r="F1179" t="s">
        <v>14</v>
      </c>
      <c r="G1179">
        <v>15153</v>
      </c>
      <c r="H1179">
        <v>187</v>
      </c>
      <c r="I1179">
        <v>17</v>
      </c>
      <c r="J1179" t="b">
        <v>0</v>
      </c>
      <c r="K1179" s="10">
        <v>329.13249999999999</v>
      </c>
      <c r="L1179" s="6">
        <f t="shared" si="112"/>
        <v>1.2340790602520952E-2</v>
      </c>
      <c r="M1179">
        <f t="shared" si="113"/>
        <v>1.760066844919786</v>
      </c>
      <c r="N1179">
        <f t="shared" si="114"/>
        <v>19.360735294117646</v>
      </c>
      <c r="O1179">
        <f t="shared" si="115"/>
        <v>520.86750000000006</v>
      </c>
      <c r="P1179">
        <f t="shared" si="116"/>
        <v>9.0909090909090912E-2</v>
      </c>
      <c r="Q1179" t="s">
        <v>4139</v>
      </c>
      <c r="R1179" t="s">
        <v>4141</v>
      </c>
      <c r="S1179">
        <f>YEAR(marketing_data[[#This Row],[Start_date]])</f>
        <v>2023</v>
      </c>
      <c r="T1179" t="str">
        <f>TEXT(marketing_data[[#This Row],[Start_date]],"ddd")</f>
        <v>Sat</v>
      </c>
      <c r="U1179">
        <f>marketing_data[[#This Row],[Cleaned End_date]]-marketing_data[[#This Row],[Start_date]]</f>
        <v>10</v>
      </c>
    </row>
    <row r="1180" spans="1:21" x14ac:dyDescent="0.2">
      <c r="A1180" t="s">
        <v>2447</v>
      </c>
      <c r="B1180" t="s">
        <v>2448</v>
      </c>
      <c r="C1180" s="2">
        <v>45061</v>
      </c>
      <c r="D1180" t="str">
        <f t="shared" si="111"/>
        <v>May</v>
      </c>
      <c r="E1180" s="2">
        <v>45088</v>
      </c>
      <c r="F1180" t="s">
        <v>23</v>
      </c>
      <c r="G1180">
        <v>77325</v>
      </c>
      <c r="H1180">
        <v>783</v>
      </c>
      <c r="I1180">
        <v>104</v>
      </c>
      <c r="J1180" t="b">
        <v>1</v>
      </c>
      <c r="K1180" s="10">
        <v>498.74</v>
      </c>
      <c r="L1180" s="6">
        <f t="shared" si="112"/>
        <v>1.0126091173617846E-2</v>
      </c>
      <c r="M1180">
        <f t="shared" si="113"/>
        <v>0.63696040868454662</v>
      </c>
      <c r="N1180">
        <f t="shared" si="114"/>
        <v>4.795576923076923</v>
      </c>
      <c r="O1180">
        <f t="shared" si="115"/>
        <v>4701.26</v>
      </c>
      <c r="P1180">
        <f t="shared" si="116"/>
        <v>0.13282247765006386</v>
      </c>
      <c r="Q1180" t="s">
        <v>4137</v>
      </c>
      <c r="R1180" t="s">
        <v>4139</v>
      </c>
      <c r="S1180">
        <f>YEAR(marketing_data[[#This Row],[Start_date]])</f>
        <v>2023</v>
      </c>
      <c r="T1180" t="str">
        <f>TEXT(marketing_data[[#This Row],[Start_date]],"ddd")</f>
        <v>Mon</v>
      </c>
      <c r="U1180">
        <f>marketing_data[[#This Row],[Cleaned End_date]]-marketing_data[[#This Row],[Start_date]]</f>
        <v>27</v>
      </c>
    </row>
    <row r="1181" spans="1:21" x14ac:dyDescent="0.2">
      <c r="A1181" t="s">
        <v>2449</v>
      </c>
      <c r="B1181" t="s">
        <v>2450</v>
      </c>
      <c r="C1181" s="2">
        <v>45064</v>
      </c>
      <c r="D1181" t="str">
        <f t="shared" si="111"/>
        <v>May</v>
      </c>
      <c r="E1181" s="2">
        <v>45082</v>
      </c>
      <c r="F1181" t="s">
        <v>23</v>
      </c>
      <c r="G1181">
        <v>13999</v>
      </c>
      <c r="H1181">
        <v>498</v>
      </c>
      <c r="I1181">
        <v>45</v>
      </c>
      <c r="J1181" t="b">
        <v>1</v>
      </c>
      <c r="K1181" s="10">
        <v>487.06</v>
      </c>
      <c r="L1181" s="6">
        <f t="shared" si="112"/>
        <v>3.5573969569254946E-2</v>
      </c>
      <c r="M1181">
        <f t="shared" si="113"/>
        <v>0.97803212851405619</v>
      </c>
      <c r="N1181">
        <f t="shared" si="114"/>
        <v>10.823555555555556</v>
      </c>
      <c r="O1181">
        <f t="shared" si="115"/>
        <v>1762.94</v>
      </c>
      <c r="P1181">
        <f t="shared" si="116"/>
        <v>9.036144578313253E-2</v>
      </c>
      <c r="Q1181" t="s">
        <v>4137</v>
      </c>
      <c r="R1181" t="s">
        <v>4138</v>
      </c>
      <c r="S1181">
        <f>YEAR(marketing_data[[#This Row],[Start_date]])</f>
        <v>2023</v>
      </c>
      <c r="T1181" t="str">
        <f>TEXT(marketing_data[[#This Row],[Start_date]],"ddd")</f>
        <v>Thu</v>
      </c>
      <c r="U1181">
        <f>marketing_data[[#This Row],[Cleaned End_date]]-marketing_data[[#This Row],[Start_date]]</f>
        <v>18</v>
      </c>
    </row>
    <row r="1182" spans="1:21" x14ac:dyDescent="0.2">
      <c r="A1182" t="s">
        <v>2451</v>
      </c>
      <c r="B1182" t="s">
        <v>2452</v>
      </c>
      <c r="C1182" s="2">
        <v>45283</v>
      </c>
      <c r="D1182" t="str">
        <f t="shared" si="111"/>
        <v>Dec</v>
      </c>
      <c r="E1182" s="2">
        <v>45303</v>
      </c>
      <c r="F1182" t="s">
        <v>14</v>
      </c>
      <c r="G1182">
        <v>56318</v>
      </c>
      <c r="H1182">
        <v>1235</v>
      </c>
      <c r="I1182">
        <v>126</v>
      </c>
      <c r="J1182" t="b">
        <v>1</v>
      </c>
      <c r="K1182" s="10">
        <v>811.41</v>
      </c>
      <c r="L1182" s="6">
        <f t="shared" si="112"/>
        <v>2.1929045775773287E-2</v>
      </c>
      <c r="M1182">
        <f t="shared" si="113"/>
        <v>0.65701214574898781</v>
      </c>
      <c r="N1182">
        <f t="shared" si="114"/>
        <v>6.4397619047619044</v>
      </c>
      <c r="O1182">
        <f t="shared" si="115"/>
        <v>5488.59</v>
      </c>
      <c r="P1182">
        <f t="shared" si="116"/>
        <v>0.10202429149797571</v>
      </c>
      <c r="Q1182" t="s">
        <v>4138</v>
      </c>
      <c r="R1182" t="s">
        <v>4142</v>
      </c>
      <c r="S1182">
        <f>YEAR(marketing_data[[#This Row],[Start_date]])</f>
        <v>2023</v>
      </c>
      <c r="T1182" t="str">
        <f>TEXT(marketing_data[[#This Row],[Start_date]],"ddd")</f>
        <v>Sat</v>
      </c>
      <c r="U1182">
        <f>marketing_data[[#This Row],[Cleaned End_date]]-marketing_data[[#This Row],[Start_date]]</f>
        <v>20</v>
      </c>
    </row>
    <row r="1183" spans="1:21" x14ac:dyDescent="0.2">
      <c r="A1183" t="s">
        <v>2453</v>
      </c>
      <c r="B1183" t="s">
        <v>2454</v>
      </c>
      <c r="C1183" s="2">
        <v>45103</v>
      </c>
      <c r="D1183" t="str">
        <f t="shared" si="111"/>
        <v>Jun</v>
      </c>
      <c r="E1183" s="2">
        <v>45114</v>
      </c>
      <c r="F1183" t="s">
        <v>14</v>
      </c>
      <c r="G1183">
        <v>1814</v>
      </c>
      <c r="H1183">
        <v>35</v>
      </c>
      <c r="I1183">
        <v>6</v>
      </c>
      <c r="J1183" t="b">
        <v>0</v>
      </c>
      <c r="K1183" s="10">
        <v>329.13249999999999</v>
      </c>
      <c r="L1183" s="6">
        <f t="shared" si="112"/>
        <v>1.9294377067254686E-2</v>
      </c>
      <c r="M1183">
        <f t="shared" si="113"/>
        <v>9.4037857142857142</v>
      </c>
      <c r="N1183">
        <f t="shared" si="114"/>
        <v>54.855416666666663</v>
      </c>
      <c r="O1183">
        <f t="shared" si="115"/>
        <v>-29.132499999999993</v>
      </c>
      <c r="P1183">
        <f t="shared" si="116"/>
        <v>0.17142857142857143</v>
      </c>
      <c r="Q1183" t="s">
        <v>4139</v>
      </c>
      <c r="R1183" t="s">
        <v>4142</v>
      </c>
      <c r="S1183">
        <f>YEAR(marketing_data[[#This Row],[Start_date]])</f>
        <v>2023</v>
      </c>
      <c r="T1183" t="str">
        <f>TEXT(marketing_data[[#This Row],[Start_date]],"ddd")</f>
        <v>Mon</v>
      </c>
      <c r="U1183">
        <f>marketing_data[[#This Row],[Cleaned End_date]]-marketing_data[[#This Row],[Start_date]]</f>
        <v>11</v>
      </c>
    </row>
    <row r="1184" spans="1:21" x14ac:dyDescent="0.2">
      <c r="A1184" t="s">
        <v>2455</v>
      </c>
      <c r="B1184" t="s">
        <v>2456</v>
      </c>
      <c r="C1184" s="2">
        <v>45228</v>
      </c>
      <c r="D1184" t="str">
        <f t="shared" si="111"/>
        <v>Oct</v>
      </c>
      <c r="E1184" s="2">
        <v>45258</v>
      </c>
      <c r="F1184" t="s">
        <v>23</v>
      </c>
      <c r="G1184">
        <v>77077</v>
      </c>
      <c r="H1184">
        <v>1732</v>
      </c>
      <c r="I1184">
        <v>140</v>
      </c>
      <c r="J1184" t="b">
        <v>1</v>
      </c>
      <c r="K1184" s="10">
        <v>2356.86</v>
      </c>
      <c r="L1184" s="6">
        <f t="shared" si="112"/>
        <v>2.2471035458048447E-2</v>
      </c>
      <c r="M1184">
        <f t="shared" si="113"/>
        <v>1.3607736720554273</v>
      </c>
      <c r="N1184">
        <f t="shared" si="114"/>
        <v>16.834714285714288</v>
      </c>
      <c r="O1184">
        <f t="shared" si="115"/>
        <v>4643.1399999999994</v>
      </c>
      <c r="P1184">
        <f t="shared" si="116"/>
        <v>8.0831408775981523E-2</v>
      </c>
      <c r="Q1184" t="s">
        <v>4136</v>
      </c>
      <c r="R1184" t="s">
        <v>4138</v>
      </c>
      <c r="S1184">
        <f>YEAR(marketing_data[[#This Row],[Start_date]])</f>
        <v>2023</v>
      </c>
      <c r="T1184" t="str">
        <f>TEXT(marketing_data[[#This Row],[Start_date]],"ddd")</f>
        <v>Sun</v>
      </c>
      <c r="U1184">
        <f>marketing_data[[#This Row],[Cleaned End_date]]-marketing_data[[#This Row],[Start_date]]</f>
        <v>30</v>
      </c>
    </row>
    <row r="1185" spans="1:21" x14ac:dyDescent="0.2">
      <c r="A1185" t="s">
        <v>2457</v>
      </c>
      <c r="B1185" t="s">
        <v>2458</v>
      </c>
      <c r="C1185" s="2">
        <v>45125</v>
      </c>
      <c r="D1185" t="str">
        <f t="shared" si="111"/>
        <v>Jul</v>
      </c>
      <c r="E1185" s="2">
        <v>45135</v>
      </c>
      <c r="F1185" t="s">
        <v>19</v>
      </c>
      <c r="G1185">
        <v>91474</v>
      </c>
      <c r="H1185">
        <v>1851</v>
      </c>
      <c r="J1185" t="b">
        <v>0</v>
      </c>
      <c r="K1185" s="10">
        <v>1094.5899999999999</v>
      </c>
      <c r="L1185" s="6">
        <f t="shared" si="112"/>
        <v>2.0235258106128518E-2</v>
      </c>
      <c r="M1185">
        <f t="shared" si="113"/>
        <v>0.59135062128579141</v>
      </c>
      <c r="N1185">
        <f t="shared" si="114"/>
        <v>0</v>
      </c>
      <c r="O1185">
        <f t="shared" si="115"/>
        <v>-1094.5899999999999</v>
      </c>
      <c r="P1185">
        <f t="shared" si="116"/>
        <v>0</v>
      </c>
      <c r="Q1185" t="s">
        <v>4139</v>
      </c>
      <c r="R1185" t="s">
        <v>4139</v>
      </c>
      <c r="S1185">
        <f>YEAR(marketing_data[[#This Row],[Start_date]])</f>
        <v>2023</v>
      </c>
      <c r="T1185" t="str">
        <f>TEXT(marketing_data[[#This Row],[Start_date]],"ddd")</f>
        <v>Tue</v>
      </c>
      <c r="U1185">
        <f>marketing_data[[#This Row],[Cleaned End_date]]-marketing_data[[#This Row],[Start_date]]</f>
        <v>10</v>
      </c>
    </row>
    <row r="1186" spans="1:21" x14ac:dyDescent="0.2">
      <c r="A1186" t="s">
        <v>2459</v>
      </c>
      <c r="B1186" t="s">
        <v>2460</v>
      </c>
      <c r="C1186" s="2">
        <v>45201</v>
      </c>
      <c r="D1186" t="str">
        <f t="shared" si="111"/>
        <v>Oct</v>
      </c>
      <c r="E1186" s="2">
        <v>45229</v>
      </c>
      <c r="F1186" t="s">
        <v>41</v>
      </c>
      <c r="G1186">
        <v>3443</v>
      </c>
      <c r="H1186">
        <v>38</v>
      </c>
      <c r="I1186">
        <v>2</v>
      </c>
      <c r="J1186" t="b">
        <v>1</v>
      </c>
      <c r="K1186" s="10">
        <v>329.13249999999999</v>
      </c>
      <c r="L1186" s="6">
        <f t="shared" si="112"/>
        <v>1.1036886436247459E-2</v>
      </c>
      <c r="M1186">
        <f t="shared" si="113"/>
        <v>8.6613815789473687</v>
      </c>
      <c r="N1186">
        <f t="shared" si="114"/>
        <v>164.56625</v>
      </c>
      <c r="O1186">
        <f t="shared" si="115"/>
        <v>-229.13249999999999</v>
      </c>
      <c r="P1186">
        <f t="shared" si="116"/>
        <v>5.2631578947368418E-2</v>
      </c>
      <c r="Q1186" t="s">
        <v>4136</v>
      </c>
      <c r="R1186" t="s">
        <v>4138</v>
      </c>
      <c r="S1186">
        <f>YEAR(marketing_data[[#This Row],[Start_date]])</f>
        <v>2023</v>
      </c>
      <c r="T1186" t="str">
        <f>TEXT(marketing_data[[#This Row],[Start_date]],"ddd")</f>
        <v>Mon</v>
      </c>
      <c r="U1186">
        <f>marketing_data[[#This Row],[Cleaned End_date]]-marketing_data[[#This Row],[Start_date]]</f>
        <v>28</v>
      </c>
    </row>
    <row r="1187" spans="1:21" x14ac:dyDescent="0.2">
      <c r="A1187" t="s">
        <v>2461</v>
      </c>
      <c r="B1187" t="s">
        <v>2462</v>
      </c>
      <c r="C1187" s="2">
        <v>45220</v>
      </c>
      <c r="D1187" t="str">
        <f t="shared" si="111"/>
        <v>Oct</v>
      </c>
      <c r="E1187" s="2">
        <v>45250</v>
      </c>
      <c r="F1187" t="s">
        <v>19</v>
      </c>
      <c r="G1187">
        <v>76993</v>
      </c>
      <c r="H1187">
        <v>3761</v>
      </c>
      <c r="I1187">
        <v>239</v>
      </c>
      <c r="J1187" t="b">
        <v>1</v>
      </c>
      <c r="K1187" s="10">
        <v>3631.7599999999998</v>
      </c>
      <c r="L1187" s="6">
        <f t="shared" si="112"/>
        <v>4.8848596625667269E-2</v>
      </c>
      <c r="M1187">
        <f t="shared" si="113"/>
        <v>0.96563679872374364</v>
      </c>
      <c r="N1187">
        <f t="shared" si="114"/>
        <v>15.195648535564853</v>
      </c>
      <c r="O1187">
        <f t="shared" si="115"/>
        <v>8318.24</v>
      </c>
      <c r="P1187">
        <f t="shared" si="116"/>
        <v>6.3546929008242492E-2</v>
      </c>
      <c r="Q1187" t="s">
        <v>4136</v>
      </c>
      <c r="R1187" t="s">
        <v>4142</v>
      </c>
      <c r="S1187">
        <f>YEAR(marketing_data[[#This Row],[Start_date]])</f>
        <v>2023</v>
      </c>
      <c r="T1187" t="str">
        <f>TEXT(marketing_data[[#This Row],[Start_date]],"ddd")</f>
        <v>Sat</v>
      </c>
      <c r="U1187">
        <f>marketing_data[[#This Row],[Cleaned End_date]]-marketing_data[[#This Row],[Start_date]]</f>
        <v>30</v>
      </c>
    </row>
    <row r="1188" spans="1:21" x14ac:dyDescent="0.2">
      <c r="A1188" t="s">
        <v>2463</v>
      </c>
      <c r="B1188" t="s">
        <v>2464</v>
      </c>
      <c r="C1188" s="2">
        <v>44967</v>
      </c>
      <c r="D1188" t="str">
        <f t="shared" si="111"/>
        <v>Feb</v>
      </c>
      <c r="E1188" s="2">
        <v>44984</v>
      </c>
      <c r="F1188" t="s">
        <v>23</v>
      </c>
      <c r="G1188">
        <v>76916</v>
      </c>
      <c r="H1188">
        <v>1448</v>
      </c>
      <c r="I1188">
        <v>258</v>
      </c>
      <c r="J1188" t="b">
        <v>1</v>
      </c>
      <c r="K1188" s="10">
        <v>1509.5</v>
      </c>
      <c r="L1188" s="6">
        <f t="shared" si="112"/>
        <v>1.8825731967340994E-2</v>
      </c>
      <c r="M1188">
        <f t="shared" si="113"/>
        <v>1.0424723756906078</v>
      </c>
      <c r="N1188">
        <f t="shared" si="114"/>
        <v>5.8507751937984498</v>
      </c>
      <c r="O1188">
        <f t="shared" si="115"/>
        <v>11390.5</v>
      </c>
      <c r="P1188">
        <f t="shared" si="116"/>
        <v>0.17817679558011049</v>
      </c>
      <c r="Q1188" t="s">
        <v>4138</v>
      </c>
      <c r="R1188" t="s">
        <v>4141</v>
      </c>
      <c r="S1188">
        <f>YEAR(marketing_data[[#This Row],[Start_date]])</f>
        <v>2023</v>
      </c>
      <c r="T1188" t="str">
        <f>TEXT(marketing_data[[#This Row],[Start_date]],"ddd")</f>
        <v>Fri</v>
      </c>
      <c r="U1188">
        <f>marketing_data[[#This Row],[Cleaned End_date]]-marketing_data[[#This Row],[Start_date]]</f>
        <v>17</v>
      </c>
    </row>
    <row r="1189" spans="1:21" x14ac:dyDescent="0.2">
      <c r="A1189" t="s">
        <v>2465</v>
      </c>
      <c r="B1189" t="s">
        <v>2466</v>
      </c>
      <c r="C1189" s="2">
        <v>44944</v>
      </c>
      <c r="D1189" t="str">
        <f t="shared" si="111"/>
        <v>Jan</v>
      </c>
      <c r="E1189" s="2">
        <v>44960</v>
      </c>
      <c r="F1189" t="s">
        <v>23</v>
      </c>
      <c r="G1189">
        <v>74319</v>
      </c>
      <c r="H1189">
        <v>2925</v>
      </c>
      <c r="I1189">
        <v>422</v>
      </c>
      <c r="J1189" t="b">
        <v>0</v>
      </c>
      <c r="K1189" s="10">
        <v>2012.58</v>
      </c>
      <c r="L1189" s="6">
        <f t="shared" si="112"/>
        <v>3.9357364873047272E-2</v>
      </c>
      <c r="M1189">
        <f t="shared" si="113"/>
        <v>0.68806153846153839</v>
      </c>
      <c r="N1189">
        <f t="shared" si="114"/>
        <v>4.7691469194312797</v>
      </c>
      <c r="O1189">
        <f t="shared" si="115"/>
        <v>19087.419999999998</v>
      </c>
      <c r="P1189">
        <f t="shared" si="116"/>
        <v>0.14427350427350427</v>
      </c>
      <c r="Q1189" t="s">
        <v>4138</v>
      </c>
      <c r="R1189" t="s">
        <v>4141</v>
      </c>
      <c r="S1189">
        <f>YEAR(marketing_data[[#This Row],[Start_date]])</f>
        <v>2023</v>
      </c>
      <c r="T1189" t="str">
        <f>TEXT(marketing_data[[#This Row],[Start_date]],"ddd")</f>
        <v>Wed</v>
      </c>
      <c r="U1189">
        <f>marketing_data[[#This Row],[Cleaned End_date]]-marketing_data[[#This Row],[Start_date]]</f>
        <v>16</v>
      </c>
    </row>
    <row r="1190" spans="1:21" x14ac:dyDescent="0.2">
      <c r="A1190" t="s">
        <v>2467</v>
      </c>
      <c r="B1190" t="s">
        <v>2468</v>
      </c>
      <c r="C1190" s="2">
        <v>45219</v>
      </c>
      <c r="D1190" t="str">
        <f t="shared" si="111"/>
        <v>Oct</v>
      </c>
      <c r="E1190" s="2">
        <v>45232</v>
      </c>
      <c r="F1190" t="s">
        <v>33</v>
      </c>
      <c r="G1190">
        <v>18368</v>
      </c>
      <c r="H1190">
        <v>743</v>
      </c>
      <c r="I1190">
        <v>120</v>
      </c>
      <c r="J1190" t="b">
        <v>0</v>
      </c>
      <c r="K1190" s="10">
        <v>654.15</v>
      </c>
      <c r="L1190" s="6">
        <f t="shared" si="112"/>
        <v>4.0450783972125433E-2</v>
      </c>
      <c r="M1190">
        <f t="shared" si="113"/>
        <v>0.88041722745625839</v>
      </c>
      <c r="N1190">
        <f t="shared" si="114"/>
        <v>5.4512499999999999</v>
      </c>
      <c r="O1190">
        <f t="shared" si="115"/>
        <v>5345.85</v>
      </c>
      <c r="P1190">
        <f t="shared" si="116"/>
        <v>0.16150740242261102</v>
      </c>
      <c r="Q1190" t="s">
        <v>4136</v>
      </c>
      <c r="R1190" t="s">
        <v>4139</v>
      </c>
      <c r="S1190">
        <f>YEAR(marketing_data[[#This Row],[Start_date]])</f>
        <v>2023</v>
      </c>
      <c r="T1190" t="str">
        <f>TEXT(marketing_data[[#This Row],[Start_date]],"ddd")</f>
        <v>Fri</v>
      </c>
      <c r="U1190">
        <f>marketing_data[[#This Row],[Cleaned End_date]]-marketing_data[[#This Row],[Start_date]]</f>
        <v>13</v>
      </c>
    </row>
    <row r="1191" spans="1:21" x14ac:dyDescent="0.2">
      <c r="A1191" t="s">
        <v>2469</v>
      </c>
      <c r="B1191" t="s">
        <v>2470</v>
      </c>
      <c r="C1191" s="2">
        <v>44988</v>
      </c>
      <c r="D1191" t="str">
        <f t="shared" si="111"/>
        <v>Mar</v>
      </c>
      <c r="E1191" s="2">
        <v>45013</v>
      </c>
      <c r="F1191" t="str">
        <f>F1190</f>
        <v>Instagram</v>
      </c>
      <c r="G1191">
        <v>16328</v>
      </c>
      <c r="H1191">
        <v>770</v>
      </c>
      <c r="I1191">
        <v>62</v>
      </c>
      <c r="J1191" t="b">
        <v>1</v>
      </c>
      <c r="K1191" s="10">
        <v>1126.6099999999999</v>
      </c>
      <c r="L1191" s="6">
        <f t="shared" si="112"/>
        <v>4.7158255756981869E-2</v>
      </c>
      <c r="M1191">
        <f t="shared" si="113"/>
        <v>1.4631298701298701</v>
      </c>
      <c r="N1191">
        <f t="shared" si="114"/>
        <v>18.171129032258062</v>
      </c>
      <c r="O1191">
        <f t="shared" si="115"/>
        <v>1973.39</v>
      </c>
      <c r="P1191">
        <f t="shared" si="116"/>
        <v>8.0519480519480519E-2</v>
      </c>
      <c r="Q1191" t="s">
        <v>4137</v>
      </c>
      <c r="R1191" t="s">
        <v>4142</v>
      </c>
      <c r="S1191">
        <f>YEAR(marketing_data[[#This Row],[Start_date]])</f>
        <v>2023</v>
      </c>
      <c r="T1191" t="str">
        <f>TEXT(marketing_data[[#This Row],[Start_date]],"ddd")</f>
        <v>Fri</v>
      </c>
      <c r="U1191">
        <f>marketing_data[[#This Row],[Cleaned End_date]]-marketing_data[[#This Row],[Start_date]]</f>
        <v>25</v>
      </c>
    </row>
    <row r="1192" spans="1:21" x14ac:dyDescent="0.2">
      <c r="A1192" t="s">
        <v>2471</v>
      </c>
      <c r="B1192" t="s">
        <v>2472</v>
      </c>
      <c r="C1192" s="2">
        <v>45012</v>
      </c>
      <c r="D1192" t="str">
        <f t="shared" si="111"/>
        <v>Mar</v>
      </c>
      <c r="E1192" s="2">
        <v>45040</v>
      </c>
      <c r="F1192" t="s">
        <v>41</v>
      </c>
      <c r="G1192">
        <v>57942</v>
      </c>
      <c r="H1192">
        <v>650</v>
      </c>
      <c r="I1192">
        <v>84</v>
      </c>
      <c r="J1192" t="b">
        <v>0</v>
      </c>
      <c r="K1192" s="10">
        <v>593.65</v>
      </c>
      <c r="L1192" s="6">
        <f t="shared" si="112"/>
        <v>1.1218114666390529E-2</v>
      </c>
      <c r="M1192">
        <f t="shared" si="113"/>
        <v>0.91330769230769226</v>
      </c>
      <c r="N1192">
        <f t="shared" si="114"/>
        <v>7.0672619047619047</v>
      </c>
      <c r="O1192">
        <f t="shared" si="115"/>
        <v>3606.35</v>
      </c>
      <c r="P1192">
        <f t="shared" si="116"/>
        <v>0.12923076923076923</v>
      </c>
      <c r="Q1192" t="s">
        <v>4137</v>
      </c>
      <c r="R1192" t="s">
        <v>4142</v>
      </c>
      <c r="S1192">
        <f>YEAR(marketing_data[[#This Row],[Start_date]])</f>
        <v>2023</v>
      </c>
      <c r="T1192" t="str">
        <f>TEXT(marketing_data[[#This Row],[Start_date]],"ddd")</f>
        <v>Mon</v>
      </c>
      <c r="U1192">
        <f>marketing_data[[#This Row],[Cleaned End_date]]-marketing_data[[#This Row],[Start_date]]</f>
        <v>28</v>
      </c>
    </row>
    <row r="1193" spans="1:21" x14ac:dyDescent="0.2">
      <c r="A1193" t="s">
        <v>2473</v>
      </c>
      <c r="B1193" t="s">
        <v>2474</v>
      </c>
      <c r="C1193" s="2">
        <v>45080</v>
      </c>
      <c r="D1193" t="str">
        <f t="shared" si="111"/>
        <v>Jun</v>
      </c>
      <c r="E1193" s="2">
        <v>45110</v>
      </c>
      <c r="F1193" t="s">
        <v>14</v>
      </c>
      <c r="G1193">
        <v>92751</v>
      </c>
      <c r="H1193">
        <v>4162</v>
      </c>
      <c r="I1193">
        <v>668</v>
      </c>
      <c r="J1193" t="b">
        <v>1</v>
      </c>
      <c r="K1193" s="10">
        <v>3631.7599999999998</v>
      </c>
      <c r="L1193" s="6">
        <f t="shared" si="112"/>
        <v>4.4872831559767547E-2</v>
      </c>
      <c r="M1193">
        <f t="shared" si="113"/>
        <v>0.87259971167707828</v>
      </c>
      <c r="N1193">
        <f t="shared" si="114"/>
        <v>5.4367664670658682</v>
      </c>
      <c r="O1193">
        <f t="shared" si="115"/>
        <v>29768.240000000002</v>
      </c>
      <c r="P1193">
        <f t="shared" si="116"/>
        <v>0.16049975973089861</v>
      </c>
      <c r="Q1193" t="s">
        <v>4139</v>
      </c>
      <c r="R1193" t="s">
        <v>4138</v>
      </c>
      <c r="S1193">
        <f>YEAR(marketing_data[[#This Row],[Start_date]])</f>
        <v>2023</v>
      </c>
      <c r="T1193" t="str">
        <f>TEXT(marketing_data[[#This Row],[Start_date]],"ddd")</f>
        <v>Sat</v>
      </c>
      <c r="U1193">
        <f>marketing_data[[#This Row],[Cleaned End_date]]-marketing_data[[#This Row],[Start_date]]</f>
        <v>30</v>
      </c>
    </row>
    <row r="1194" spans="1:21" x14ac:dyDescent="0.2">
      <c r="A1194" t="s">
        <v>2475</v>
      </c>
      <c r="B1194" t="s">
        <v>2476</v>
      </c>
      <c r="C1194" s="2">
        <v>44967</v>
      </c>
      <c r="D1194" t="str">
        <f t="shared" si="111"/>
        <v>Feb</v>
      </c>
      <c r="E1194" s="2">
        <v>44990</v>
      </c>
      <c r="F1194" t="s">
        <v>14</v>
      </c>
      <c r="G1194">
        <v>28306</v>
      </c>
      <c r="H1194">
        <v>880</v>
      </c>
      <c r="I1194">
        <v>126</v>
      </c>
      <c r="J1194" t="b">
        <v>0</v>
      </c>
      <c r="K1194" s="10">
        <v>600.64</v>
      </c>
      <c r="L1194" s="6">
        <f t="shared" si="112"/>
        <v>3.1088815092206599E-2</v>
      </c>
      <c r="M1194">
        <f t="shared" si="113"/>
        <v>0.68254545454545457</v>
      </c>
      <c r="N1194">
        <f t="shared" si="114"/>
        <v>4.7669841269841271</v>
      </c>
      <c r="O1194">
        <f t="shared" si="115"/>
        <v>5699.36</v>
      </c>
      <c r="P1194">
        <f t="shared" si="116"/>
        <v>0.14318181818181819</v>
      </c>
      <c r="Q1194" t="s">
        <v>4138</v>
      </c>
      <c r="R1194" t="s">
        <v>4141</v>
      </c>
      <c r="S1194">
        <f>YEAR(marketing_data[[#This Row],[Start_date]])</f>
        <v>2023</v>
      </c>
      <c r="T1194" t="str">
        <f>TEXT(marketing_data[[#This Row],[Start_date]],"ddd")</f>
        <v>Fri</v>
      </c>
      <c r="U1194">
        <f>marketing_data[[#This Row],[Cleaned End_date]]-marketing_data[[#This Row],[Start_date]]</f>
        <v>23</v>
      </c>
    </row>
    <row r="1195" spans="1:21" x14ac:dyDescent="0.2">
      <c r="A1195" t="s">
        <v>2477</v>
      </c>
      <c r="B1195" t="s">
        <v>2478</v>
      </c>
      <c r="C1195" s="2">
        <v>45248</v>
      </c>
      <c r="D1195" t="str">
        <f t="shared" si="111"/>
        <v>Nov</v>
      </c>
      <c r="E1195" s="2">
        <v>45267</v>
      </c>
      <c r="F1195" t="s">
        <v>33</v>
      </c>
      <c r="G1195">
        <v>86451</v>
      </c>
      <c r="H1195">
        <v>3051</v>
      </c>
      <c r="J1195" t="b">
        <v>1</v>
      </c>
      <c r="K1195" s="10">
        <v>3631.7599999999998</v>
      </c>
      <c r="L1195" s="6">
        <f t="shared" si="112"/>
        <v>3.5291668112572443E-2</v>
      </c>
      <c r="M1195">
        <f t="shared" si="113"/>
        <v>1.1903507046869879</v>
      </c>
      <c r="N1195">
        <f t="shared" si="114"/>
        <v>0</v>
      </c>
      <c r="O1195">
        <f t="shared" si="115"/>
        <v>-3631.7599999999998</v>
      </c>
      <c r="P1195">
        <f t="shared" si="116"/>
        <v>0</v>
      </c>
      <c r="Q1195" t="s">
        <v>4136</v>
      </c>
      <c r="R1195" t="s">
        <v>4138</v>
      </c>
      <c r="S1195">
        <f>YEAR(marketing_data[[#This Row],[Start_date]])</f>
        <v>2023</v>
      </c>
      <c r="T1195" t="str">
        <f>TEXT(marketing_data[[#This Row],[Start_date]],"ddd")</f>
        <v>Sat</v>
      </c>
      <c r="U1195">
        <f>marketing_data[[#This Row],[Cleaned End_date]]-marketing_data[[#This Row],[Start_date]]</f>
        <v>19</v>
      </c>
    </row>
    <row r="1196" spans="1:21" x14ac:dyDescent="0.2">
      <c r="A1196" t="s">
        <v>2479</v>
      </c>
      <c r="B1196" t="s">
        <v>2480</v>
      </c>
      <c r="C1196" s="2">
        <v>45090</v>
      </c>
      <c r="D1196" t="str">
        <f t="shared" si="111"/>
        <v>Jun</v>
      </c>
      <c r="E1196" s="2">
        <v>45113</v>
      </c>
      <c r="F1196" t="s">
        <v>19</v>
      </c>
      <c r="G1196">
        <v>40915</v>
      </c>
      <c r="H1196">
        <v>1463</v>
      </c>
      <c r="I1196">
        <v>283</v>
      </c>
      <c r="J1196" t="b">
        <v>1</v>
      </c>
      <c r="K1196" s="10">
        <v>1425.13</v>
      </c>
      <c r="L1196" s="6">
        <f t="shared" si="112"/>
        <v>3.575705731394354E-2</v>
      </c>
      <c r="M1196">
        <f t="shared" si="113"/>
        <v>0.97411483253588527</v>
      </c>
      <c r="N1196">
        <f t="shared" si="114"/>
        <v>5.0357950530035342</v>
      </c>
      <c r="O1196">
        <f t="shared" si="115"/>
        <v>12724.869999999999</v>
      </c>
      <c r="P1196">
        <f t="shared" si="116"/>
        <v>0.19343814080656185</v>
      </c>
      <c r="Q1196" t="s">
        <v>4139</v>
      </c>
      <c r="R1196" t="s">
        <v>4142</v>
      </c>
      <c r="S1196">
        <f>YEAR(marketing_data[[#This Row],[Start_date]])</f>
        <v>2023</v>
      </c>
      <c r="T1196" t="str">
        <f>TEXT(marketing_data[[#This Row],[Start_date]],"ddd")</f>
        <v>Tue</v>
      </c>
      <c r="U1196">
        <f>marketing_data[[#This Row],[Cleaned End_date]]-marketing_data[[#This Row],[Start_date]]</f>
        <v>23</v>
      </c>
    </row>
    <row r="1197" spans="1:21" x14ac:dyDescent="0.2">
      <c r="A1197" t="s">
        <v>2481</v>
      </c>
      <c r="B1197" t="s">
        <v>2482</v>
      </c>
      <c r="C1197" s="2">
        <v>45018</v>
      </c>
      <c r="D1197" t="str">
        <f t="shared" si="111"/>
        <v>Apr</v>
      </c>
      <c r="E1197" s="2">
        <v>45048</v>
      </c>
      <c r="F1197" t="s">
        <v>23</v>
      </c>
      <c r="G1197">
        <v>38219</v>
      </c>
      <c r="H1197">
        <v>1635</v>
      </c>
      <c r="I1197">
        <v>247</v>
      </c>
      <c r="J1197" t="b">
        <v>1</v>
      </c>
      <c r="K1197" s="10">
        <v>2355.14</v>
      </c>
      <c r="L1197" s="6">
        <f t="shared" si="112"/>
        <v>4.2779769224731153E-2</v>
      </c>
      <c r="M1197">
        <f t="shared" si="113"/>
        <v>1.4404525993883792</v>
      </c>
      <c r="N1197">
        <f t="shared" si="114"/>
        <v>9.5349797570850203</v>
      </c>
      <c r="O1197">
        <f t="shared" si="115"/>
        <v>9994.86</v>
      </c>
      <c r="P1197">
        <f t="shared" si="116"/>
        <v>0.1510703363914373</v>
      </c>
      <c r="Q1197" t="s">
        <v>4137</v>
      </c>
      <c r="R1197" t="s">
        <v>4139</v>
      </c>
      <c r="S1197">
        <f>YEAR(marketing_data[[#This Row],[Start_date]])</f>
        <v>2023</v>
      </c>
      <c r="T1197" t="str">
        <f>TEXT(marketing_data[[#This Row],[Start_date]],"ddd")</f>
        <v>Sun</v>
      </c>
      <c r="U1197">
        <f>marketing_data[[#This Row],[Cleaned End_date]]-marketing_data[[#This Row],[Start_date]]</f>
        <v>30</v>
      </c>
    </row>
    <row r="1198" spans="1:21" x14ac:dyDescent="0.2">
      <c r="A1198" t="s">
        <v>2483</v>
      </c>
      <c r="B1198" t="s">
        <v>2484</v>
      </c>
      <c r="C1198" s="2">
        <v>45211</v>
      </c>
      <c r="D1198" t="str">
        <f t="shared" si="111"/>
        <v>Oct</v>
      </c>
      <c r="E1198" s="2">
        <v>45241</v>
      </c>
      <c r="F1198" t="s">
        <v>41</v>
      </c>
      <c r="G1198">
        <v>81879</v>
      </c>
      <c r="H1198">
        <v>1910</v>
      </c>
      <c r="I1198">
        <v>355</v>
      </c>
      <c r="J1198" t="b">
        <v>1</v>
      </c>
      <c r="K1198" s="10">
        <v>3271.05</v>
      </c>
      <c r="L1198" s="6">
        <f t="shared" si="112"/>
        <v>2.3327104630002808E-2</v>
      </c>
      <c r="M1198">
        <f t="shared" si="113"/>
        <v>1.7125916230366494</v>
      </c>
      <c r="N1198">
        <f t="shared" si="114"/>
        <v>9.2142253521126758</v>
      </c>
      <c r="O1198">
        <f t="shared" si="115"/>
        <v>14478.95</v>
      </c>
      <c r="P1198">
        <f t="shared" si="116"/>
        <v>0.18586387434554974</v>
      </c>
      <c r="Q1198" t="s">
        <v>4136</v>
      </c>
      <c r="R1198" t="s">
        <v>4141</v>
      </c>
      <c r="S1198">
        <f>YEAR(marketing_data[[#This Row],[Start_date]])</f>
        <v>2023</v>
      </c>
      <c r="T1198" t="str">
        <f>TEXT(marketing_data[[#This Row],[Start_date]],"ddd")</f>
        <v>Thu</v>
      </c>
      <c r="U1198">
        <f>marketing_data[[#This Row],[Cleaned End_date]]-marketing_data[[#This Row],[Start_date]]</f>
        <v>30</v>
      </c>
    </row>
    <row r="1199" spans="1:21" x14ac:dyDescent="0.2">
      <c r="A1199" t="s">
        <v>2485</v>
      </c>
      <c r="B1199" t="s">
        <v>2486</v>
      </c>
      <c r="C1199" s="2">
        <v>45068</v>
      </c>
      <c r="D1199" t="str">
        <f t="shared" si="111"/>
        <v>May</v>
      </c>
      <c r="E1199" s="2">
        <v>45090</v>
      </c>
      <c r="F1199" t="s">
        <v>23</v>
      </c>
      <c r="G1199">
        <v>65644</v>
      </c>
      <c r="H1199">
        <v>2581</v>
      </c>
      <c r="I1199">
        <v>411</v>
      </c>
      <c r="J1199" t="b">
        <v>1</v>
      </c>
      <c r="K1199" s="10">
        <v>3631.7599999999998</v>
      </c>
      <c r="L1199" s="6">
        <f t="shared" si="112"/>
        <v>3.9318140271768935E-2</v>
      </c>
      <c r="M1199">
        <f t="shared" si="113"/>
        <v>1.40711352189074</v>
      </c>
      <c r="N1199">
        <f t="shared" si="114"/>
        <v>8.8363990267639902</v>
      </c>
      <c r="O1199">
        <f t="shared" si="115"/>
        <v>16918.240000000002</v>
      </c>
      <c r="P1199">
        <f t="shared" si="116"/>
        <v>0.15924060441689267</v>
      </c>
      <c r="Q1199" t="s">
        <v>4137</v>
      </c>
      <c r="R1199" t="s">
        <v>4139</v>
      </c>
      <c r="S1199">
        <f>YEAR(marketing_data[[#This Row],[Start_date]])</f>
        <v>2023</v>
      </c>
      <c r="T1199" t="str">
        <f>TEXT(marketing_data[[#This Row],[Start_date]],"ddd")</f>
        <v>Mon</v>
      </c>
      <c r="U1199">
        <f>marketing_data[[#This Row],[Cleaned End_date]]-marketing_data[[#This Row],[Start_date]]</f>
        <v>22</v>
      </c>
    </row>
    <row r="1200" spans="1:21" x14ac:dyDescent="0.2">
      <c r="A1200" t="s">
        <v>2487</v>
      </c>
      <c r="B1200" t="s">
        <v>2488</v>
      </c>
      <c r="C1200" s="2">
        <v>44933</v>
      </c>
      <c r="D1200" t="str">
        <f t="shared" si="111"/>
        <v>Jan</v>
      </c>
      <c r="E1200" s="2">
        <v>44953</v>
      </c>
      <c r="F1200" t="s">
        <v>33</v>
      </c>
      <c r="G1200">
        <v>61279</v>
      </c>
      <c r="H1200">
        <v>1908</v>
      </c>
      <c r="J1200" t="b">
        <v>1</v>
      </c>
      <c r="K1200" s="10">
        <v>1800.43</v>
      </c>
      <c r="L1200" s="6">
        <f t="shared" si="112"/>
        <v>3.1136278333523719E-2</v>
      </c>
      <c r="M1200">
        <f t="shared" si="113"/>
        <v>0.9436215932914046</v>
      </c>
      <c r="N1200">
        <f t="shared" si="114"/>
        <v>0</v>
      </c>
      <c r="O1200">
        <f t="shared" si="115"/>
        <v>-1800.43</v>
      </c>
      <c r="P1200">
        <f t="shared" si="116"/>
        <v>0</v>
      </c>
      <c r="Q1200" t="s">
        <v>4138</v>
      </c>
      <c r="R1200" t="s">
        <v>4142</v>
      </c>
      <c r="S1200">
        <f>YEAR(marketing_data[[#This Row],[Start_date]])</f>
        <v>2023</v>
      </c>
      <c r="T1200" t="str">
        <f>TEXT(marketing_data[[#This Row],[Start_date]],"ddd")</f>
        <v>Sat</v>
      </c>
      <c r="U1200">
        <f>marketing_data[[#This Row],[Cleaned End_date]]-marketing_data[[#This Row],[Start_date]]</f>
        <v>20</v>
      </c>
    </row>
    <row r="1201" spans="1:21" x14ac:dyDescent="0.2">
      <c r="A1201" t="s">
        <v>2489</v>
      </c>
      <c r="B1201" t="s">
        <v>2490</v>
      </c>
      <c r="C1201" s="2">
        <v>45194</v>
      </c>
      <c r="D1201" t="str">
        <f t="shared" si="111"/>
        <v>Sep</v>
      </c>
      <c r="E1201" s="2">
        <v>45214</v>
      </c>
      <c r="F1201" t="s">
        <v>23</v>
      </c>
      <c r="G1201">
        <v>54028</v>
      </c>
      <c r="H1201">
        <v>2254</v>
      </c>
      <c r="I1201">
        <v>139</v>
      </c>
      <c r="J1201" t="b">
        <v>0</v>
      </c>
      <c r="K1201" s="10">
        <v>1991.67</v>
      </c>
      <c r="L1201" s="6">
        <f t="shared" si="112"/>
        <v>4.1719108610350192E-2</v>
      </c>
      <c r="M1201">
        <f t="shared" si="113"/>
        <v>0.88361579414374447</v>
      </c>
      <c r="N1201">
        <f t="shared" si="114"/>
        <v>14.328561151079137</v>
      </c>
      <c r="O1201">
        <f t="shared" si="115"/>
        <v>4958.33</v>
      </c>
      <c r="P1201">
        <f t="shared" si="116"/>
        <v>6.1668145519077198E-2</v>
      </c>
      <c r="Q1201" t="s">
        <v>4136</v>
      </c>
      <c r="R1201" t="s">
        <v>4142</v>
      </c>
      <c r="S1201">
        <f>YEAR(marketing_data[[#This Row],[Start_date]])</f>
        <v>2023</v>
      </c>
      <c r="T1201" t="str">
        <f>TEXT(marketing_data[[#This Row],[Start_date]],"ddd")</f>
        <v>Mon</v>
      </c>
      <c r="U1201">
        <f>marketing_data[[#This Row],[Cleaned End_date]]-marketing_data[[#This Row],[Start_date]]</f>
        <v>20</v>
      </c>
    </row>
    <row r="1202" spans="1:21" x14ac:dyDescent="0.2">
      <c r="A1202" t="s">
        <v>2491</v>
      </c>
      <c r="B1202" t="s">
        <v>2492</v>
      </c>
      <c r="C1202" s="2">
        <v>45003</v>
      </c>
      <c r="D1202" t="str">
        <f t="shared" si="111"/>
        <v>Mar</v>
      </c>
      <c r="E1202" s="2">
        <v>45025</v>
      </c>
      <c r="F1202" t="s">
        <v>41</v>
      </c>
      <c r="G1202">
        <v>1126</v>
      </c>
      <c r="H1202">
        <v>55</v>
      </c>
      <c r="I1202">
        <v>5</v>
      </c>
      <c r="J1202" t="b">
        <v>0</v>
      </c>
      <c r="K1202" s="10">
        <v>329.13249999999999</v>
      </c>
      <c r="L1202" s="6">
        <f t="shared" si="112"/>
        <v>4.8845470692717587E-2</v>
      </c>
      <c r="M1202">
        <f t="shared" si="113"/>
        <v>5.9842272727272725</v>
      </c>
      <c r="N1202">
        <f t="shared" si="114"/>
        <v>65.826499999999996</v>
      </c>
      <c r="O1202">
        <f t="shared" si="115"/>
        <v>-79.132499999999993</v>
      </c>
      <c r="P1202">
        <f t="shared" si="116"/>
        <v>9.0909090909090912E-2</v>
      </c>
      <c r="Q1202" t="s">
        <v>4137</v>
      </c>
      <c r="R1202" t="s">
        <v>4141</v>
      </c>
      <c r="S1202">
        <f>YEAR(marketing_data[[#This Row],[Start_date]])</f>
        <v>2023</v>
      </c>
      <c r="T1202" t="str">
        <f>TEXT(marketing_data[[#This Row],[Start_date]],"ddd")</f>
        <v>Sat</v>
      </c>
      <c r="U1202">
        <f>marketing_data[[#This Row],[Cleaned End_date]]-marketing_data[[#This Row],[Start_date]]</f>
        <v>22</v>
      </c>
    </row>
    <row r="1203" spans="1:21" x14ac:dyDescent="0.2">
      <c r="A1203" t="s">
        <v>2493</v>
      </c>
      <c r="B1203" t="s">
        <v>2494</v>
      </c>
      <c r="C1203" s="2">
        <v>44978</v>
      </c>
      <c r="D1203" t="str">
        <f t="shared" si="111"/>
        <v>Feb</v>
      </c>
      <c r="E1203" s="2">
        <v>45004</v>
      </c>
      <c r="F1203" t="s">
        <v>23</v>
      </c>
      <c r="G1203">
        <v>53329</v>
      </c>
      <c r="H1203">
        <v>961</v>
      </c>
      <c r="I1203">
        <v>171</v>
      </c>
      <c r="J1203" t="b">
        <v>0</v>
      </c>
      <c r="K1203" s="10">
        <v>717.8</v>
      </c>
      <c r="L1203" s="6">
        <f t="shared" si="112"/>
        <v>1.8020214142399071E-2</v>
      </c>
      <c r="M1203">
        <f t="shared" si="113"/>
        <v>0.74693028095733605</v>
      </c>
      <c r="N1203">
        <f t="shared" si="114"/>
        <v>4.1976608187134499</v>
      </c>
      <c r="O1203">
        <f t="shared" si="115"/>
        <v>7832.2</v>
      </c>
      <c r="P1203">
        <f t="shared" si="116"/>
        <v>0.17793964620187305</v>
      </c>
      <c r="Q1203" t="s">
        <v>4138</v>
      </c>
      <c r="R1203" t="s">
        <v>4139</v>
      </c>
      <c r="S1203">
        <f>YEAR(marketing_data[[#This Row],[Start_date]])</f>
        <v>2023</v>
      </c>
      <c r="T1203" t="str">
        <f>TEXT(marketing_data[[#This Row],[Start_date]],"ddd")</f>
        <v>Tue</v>
      </c>
      <c r="U1203">
        <f>marketing_data[[#This Row],[Cleaned End_date]]-marketing_data[[#This Row],[Start_date]]</f>
        <v>26</v>
      </c>
    </row>
    <row r="1204" spans="1:21" x14ac:dyDescent="0.2">
      <c r="A1204" t="s">
        <v>2495</v>
      </c>
      <c r="B1204" t="s">
        <v>2496</v>
      </c>
      <c r="C1204" s="2">
        <v>44978</v>
      </c>
      <c r="D1204" t="str">
        <f t="shared" si="111"/>
        <v>Feb</v>
      </c>
      <c r="E1204" s="2">
        <v>44997</v>
      </c>
      <c r="F1204" t="s">
        <v>33</v>
      </c>
      <c r="G1204">
        <v>28632</v>
      </c>
      <c r="H1204">
        <v>1425</v>
      </c>
      <c r="J1204" t="b">
        <v>0</v>
      </c>
      <c r="K1204" s="10">
        <v>1099.75</v>
      </c>
      <c r="L1204" s="6">
        <f t="shared" si="112"/>
        <v>4.9769488683989942E-2</v>
      </c>
      <c r="M1204">
        <f t="shared" si="113"/>
        <v>0.7717543859649123</v>
      </c>
      <c r="N1204">
        <f t="shared" si="114"/>
        <v>0</v>
      </c>
      <c r="O1204">
        <f t="shared" si="115"/>
        <v>-1099.75</v>
      </c>
      <c r="P1204">
        <f t="shared" si="116"/>
        <v>0</v>
      </c>
      <c r="Q1204" t="s">
        <v>4138</v>
      </c>
      <c r="R1204" t="s">
        <v>4138</v>
      </c>
      <c r="S1204">
        <f>YEAR(marketing_data[[#This Row],[Start_date]])</f>
        <v>2023</v>
      </c>
      <c r="T1204" t="str">
        <f>TEXT(marketing_data[[#This Row],[Start_date]],"ddd")</f>
        <v>Tue</v>
      </c>
      <c r="U1204">
        <f>marketing_data[[#This Row],[Cleaned End_date]]-marketing_data[[#This Row],[Start_date]]</f>
        <v>19</v>
      </c>
    </row>
    <row r="1205" spans="1:21" x14ac:dyDescent="0.2">
      <c r="A1205" t="s">
        <v>2497</v>
      </c>
      <c r="B1205" t="s">
        <v>2498</v>
      </c>
      <c r="C1205" s="2">
        <v>45103</v>
      </c>
      <c r="D1205" t="str">
        <f t="shared" si="111"/>
        <v>Jun</v>
      </c>
      <c r="E1205" s="2">
        <v>45108</v>
      </c>
      <c r="F1205" t="s">
        <v>23</v>
      </c>
      <c r="G1205">
        <v>66310</v>
      </c>
      <c r="H1205">
        <v>901</v>
      </c>
      <c r="I1205">
        <v>60</v>
      </c>
      <c r="J1205" t="b">
        <v>0</v>
      </c>
      <c r="K1205" s="10">
        <v>1519.12</v>
      </c>
      <c r="L1205" s="6">
        <f t="shared" si="112"/>
        <v>1.3587694163776204E-2</v>
      </c>
      <c r="M1205">
        <f t="shared" si="113"/>
        <v>1.6860377358490566</v>
      </c>
      <c r="N1205">
        <f t="shared" si="114"/>
        <v>25.318666666666665</v>
      </c>
      <c r="O1205">
        <f t="shared" si="115"/>
        <v>1480.88</v>
      </c>
      <c r="P1205">
        <f t="shared" si="116"/>
        <v>6.6592674805771371E-2</v>
      </c>
      <c r="Q1205" t="s">
        <v>4139</v>
      </c>
      <c r="R1205" t="s">
        <v>4141</v>
      </c>
      <c r="S1205">
        <f>YEAR(marketing_data[[#This Row],[Start_date]])</f>
        <v>2023</v>
      </c>
      <c r="T1205" t="str">
        <f>TEXT(marketing_data[[#This Row],[Start_date]],"ddd")</f>
        <v>Mon</v>
      </c>
      <c r="U1205">
        <f>marketing_data[[#This Row],[Cleaned End_date]]-marketing_data[[#This Row],[Start_date]]</f>
        <v>5</v>
      </c>
    </row>
    <row r="1206" spans="1:21" x14ac:dyDescent="0.2">
      <c r="A1206" t="s">
        <v>2499</v>
      </c>
      <c r="B1206" t="s">
        <v>2500</v>
      </c>
      <c r="C1206" s="2">
        <v>45262</v>
      </c>
      <c r="D1206" t="str">
        <f t="shared" si="111"/>
        <v>Dec</v>
      </c>
      <c r="E1206" s="2">
        <v>45278</v>
      </c>
      <c r="F1206" t="s">
        <v>23</v>
      </c>
      <c r="G1206">
        <v>56176</v>
      </c>
      <c r="H1206">
        <v>566</v>
      </c>
      <c r="I1206">
        <v>55</v>
      </c>
      <c r="J1206" t="b">
        <v>0</v>
      </c>
      <c r="K1206" s="10">
        <v>609.64</v>
      </c>
      <c r="L1206" s="6">
        <f t="shared" si="112"/>
        <v>1.0075477072059242E-2</v>
      </c>
      <c r="M1206">
        <f t="shared" si="113"/>
        <v>1.0771024734982333</v>
      </c>
      <c r="N1206">
        <f t="shared" si="114"/>
        <v>11.084363636363635</v>
      </c>
      <c r="O1206">
        <f t="shared" si="115"/>
        <v>2140.36</v>
      </c>
      <c r="P1206">
        <f t="shared" si="116"/>
        <v>9.7173144876325085E-2</v>
      </c>
      <c r="Q1206" t="s">
        <v>4138</v>
      </c>
      <c r="R1206" t="s">
        <v>4139</v>
      </c>
      <c r="S1206">
        <f>YEAR(marketing_data[[#This Row],[Start_date]])</f>
        <v>2023</v>
      </c>
      <c r="T1206" t="str">
        <f>TEXT(marketing_data[[#This Row],[Start_date]],"ddd")</f>
        <v>Sat</v>
      </c>
      <c r="U1206">
        <f>marketing_data[[#This Row],[Cleaned End_date]]-marketing_data[[#This Row],[Start_date]]</f>
        <v>16</v>
      </c>
    </row>
    <row r="1207" spans="1:21" x14ac:dyDescent="0.2">
      <c r="A1207" t="s">
        <v>2501</v>
      </c>
      <c r="B1207" t="s">
        <v>2502</v>
      </c>
      <c r="C1207" s="2">
        <v>44946</v>
      </c>
      <c r="D1207" t="str">
        <f t="shared" si="111"/>
        <v>Jan</v>
      </c>
      <c r="E1207" s="2">
        <v>44957</v>
      </c>
      <c r="F1207" t="s">
        <v>14</v>
      </c>
      <c r="G1207">
        <v>87066</v>
      </c>
      <c r="H1207">
        <v>1024</v>
      </c>
      <c r="J1207" t="b">
        <v>0</v>
      </c>
      <c r="K1207" s="10">
        <v>1181.69</v>
      </c>
      <c r="L1207" s="6">
        <f t="shared" si="112"/>
        <v>1.1761192658443021E-2</v>
      </c>
      <c r="M1207">
        <f t="shared" si="113"/>
        <v>1.1539941406250001</v>
      </c>
      <c r="N1207">
        <f t="shared" si="114"/>
        <v>0</v>
      </c>
      <c r="O1207">
        <f t="shared" si="115"/>
        <v>-1181.69</v>
      </c>
      <c r="P1207">
        <f t="shared" si="116"/>
        <v>0</v>
      </c>
      <c r="Q1207" t="s">
        <v>4138</v>
      </c>
      <c r="R1207" t="s">
        <v>4141</v>
      </c>
      <c r="S1207">
        <f>YEAR(marketing_data[[#This Row],[Start_date]])</f>
        <v>2023</v>
      </c>
      <c r="T1207" t="str">
        <f>TEXT(marketing_data[[#This Row],[Start_date]],"ddd")</f>
        <v>Fri</v>
      </c>
      <c r="U1207">
        <f>marketing_data[[#This Row],[Cleaned End_date]]-marketing_data[[#This Row],[Start_date]]</f>
        <v>11</v>
      </c>
    </row>
    <row r="1208" spans="1:21" x14ac:dyDescent="0.2">
      <c r="A1208" t="s">
        <v>2503</v>
      </c>
      <c r="B1208" t="s">
        <v>2504</v>
      </c>
      <c r="C1208" s="2">
        <v>45243</v>
      </c>
      <c r="D1208" t="str">
        <f t="shared" si="111"/>
        <v>Nov</v>
      </c>
      <c r="E1208" s="2">
        <v>45246</v>
      </c>
      <c r="F1208" t="s">
        <v>33</v>
      </c>
      <c r="G1208">
        <v>45327</v>
      </c>
      <c r="H1208">
        <v>1072</v>
      </c>
      <c r="I1208">
        <v>202</v>
      </c>
      <c r="J1208" t="b">
        <v>1</v>
      </c>
      <c r="K1208" s="10">
        <v>1491.23</v>
      </c>
      <c r="L1208" s="6">
        <f t="shared" si="112"/>
        <v>2.3650362918348888E-2</v>
      </c>
      <c r="M1208">
        <f t="shared" si="113"/>
        <v>1.3910727611940299</v>
      </c>
      <c r="N1208">
        <f t="shared" si="114"/>
        <v>7.3823267326732678</v>
      </c>
      <c r="O1208">
        <f t="shared" si="115"/>
        <v>8608.77</v>
      </c>
      <c r="P1208">
        <f t="shared" si="116"/>
        <v>0.18843283582089551</v>
      </c>
      <c r="Q1208" t="s">
        <v>4136</v>
      </c>
      <c r="R1208" t="s">
        <v>4141</v>
      </c>
      <c r="S1208">
        <f>YEAR(marketing_data[[#This Row],[Start_date]])</f>
        <v>2023</v>
      </c>
      <c r="T1208" t="str">
        <f>TEXT(marketing_data[[#This Row],[Start_date]],"ddd")</f>
        <v>Mon</v>
      </c>
      <c r="U1208">
        <f>marketing_data[[#This Row],[Cleaned End_date]]-marketing_data[[#This Row],[Start_date]]</f>
        <v>3</v>
      </c>
    </row>
    <row r="1209" spans="1:21" x14ac:dyDescent="0.2">
      <c r="A1209" t="s">
        <v>2505</v>
      </c>
      <c r="B1209" t="s">
        <v>2506</v>
      </c>
      <c r="C1209" s="2">
        <v>44946</v>
      </c>
      <c r="D1209" t="str">
        <f t="shared" si="111"/>
        <v>Jan</v>
      </c>
      <c r="E1209" s="2">
        <v>44969</v>
      </c>
      <c r="F1209" t="s">
        <v>33</v>
      </c>
      <c r="G1209">
        <v>69904</v>
      </c>
      <c r="H1209">
        <v>2468</v>
      </c>
      <c r="I1209">
        <v>444</v>
      </c>
      <c r="J1209" t="b">
        <v>1</v>
      </c>
      <c r="K1209" s="10">
        <v>3416.9</v>
      </c>
      <c r="L1209" s="6">
        <f t="shared" si="112"/>
        <v>3.5305561913481345E-2</v>
      </c>
      <c r="M1209">
        <f t="shared" si="113"/>
        <v>1.3844813614262561</v>
      </c>
      <c r="N1209">
        <f t="shared" si="114"/>
        <v>7.695720720720721</v>
      </c>
      <c r="O1209">
        <f t="shared" si="115"/>
        <v>18783.099999999999</v>
      </c>
      <c r="P1209">
        <f t="shared" si="116"/>
        <v>0.17990275526742303</v>
      </c>
      <c r="Q1209" t="s">
        <v>4138</v>
      </c>
      <c r="R1209" t="s">
        <v>4141</v>
      </c>
      <c r="S1209">
        <f>YEAR(marketing_data[[#This Row],[Start_date]])</f>
        <v>2023</v>
      </c>
      <c r="T1209" t="str">
        <f>TEXT(marketing_data[[#This Row],[Start_date]],"ddd")</f>
        <v>Fri</v>
      </c>
      <c r="U1209">
        <f>marketing_data[[#This Row],[Cleaned End_date]]-marketing_data[[#This Row],[Start_date]]</f>
        <v>23</v>
      </c>
    </row>
    <row r="1210" spans="1:21" x14ac:dyDescent="0.2">
      <c r="A1210" t="s">
        <v>2507</v>
      </c>
      <c r="B1210" t="s">
        <v>2508</v>
      </c>
      <c r="C1210" s="2">
        <v>45280</v>
      </c>
      <c r="D1210" t="str">
        <f t="shared" si="111"/>
        <v>Dec</v>
      </c>
      <c r="E1210" s="2">
        <v>45296</v>
      </c>
      <c r="F1210" t="s">
        <v>41</v>
      </c>
      <c r="G1210">
        <v>4797</v>
      </c>
      <c r="H1210">
        <v>61</v>
      </c>
      <c r="I1210">
        <v>7</v>
      </c>
      <c r="J1210" t="b">
        <v>0</v>
      </c>
      <c r="K1210" s="10">
        <v>329.13249999999999</v>
      </c>
      <c r="L1210" s="6">
        <f t="shared" si="112"/>
        <v>1.2716281008963937E-2</v>
      </c>
      <c r="M1210">
        <f t="shared" si="113"/>
        <v>5.3956147540983608</v>
      </c>
      <c r="N1210">
        <f t="shared" si="114"/>
        <v>47.018928571428567</v>
      </c>
      <c r="O1210">
        <f t="shared" si="115"/>
        <v>20.867500000000007</v>
      </c>
      <c r="P1210">
        <f t="shared" si="116"/>
        <v>0.11475409836065574</v>
      </c>
      <c r="Q1210" t="s">
        <v>4138</v>
      </c>
      <c r="R1210" t="s">
        <v>4139</v>
      </c>
      <c r="S1210">
        <f>YEAR(marketing_data[[#This Row],[Start_date]])</f>
        <v>2023</v>
      </c>
      <c r="T1210" t="str">
        <f>TEXT(marketing_data[[#This Row],[Start_date]],"ddd")</f>
        <v>Wed</v>
      </c>
      <c r="U1210">
        <f>marketing_data[[#This Row],[Cleaned End_date]]-marketing_data[[#This Row],[Start_date]]</f>
        <v>16</v>
      </c>
    </row>
    <row r="1211" spans="1:21" x14ac:dyDescent="0.2">
      <c r="A1211" t="s">
        <v>2509</v>
      </c>
      <c r="B1211" t="s">
        <v>2510</v>
      </c>
      <c r="C1211" s="2">
        <v>45064</v>
      </c>
      <c r="D1211" t="str">
        <f t="shared" si="111"/>
        <v>May</v>
      </c>
      <c r="E1211" s="2">
        <v>45075</v>
      </c>
      <c r="F1211" t="s">
        <v>14</v>
      </c>
      <c r="G1211">
        <v>48882</v>
      </c>
      <c r="H1211">
        <v>499</v>
      </c>
      <c r="I1211">
        <v>29</v>
      </c>
      <c r="J1211" t="b">
        <v>0</v>
      </c>
      <c r="K1211" s="10">
        <v>871.91</v>
      </c>
      <c r="L1211" s="6">
        <f t="shared" si="112"/>
        <v>1.0208256617977987E-2</v>
      </c>
      <c r="M1211">
        <f t="shared" si="113"/>
        <v>1.7473146292585169</v>
      </c>
      <c r="N1211">
        <f t="shared" si="114"/>
        <v>30.065862068965515</v>
      </c>
      <c r="O1211">
        <f t="shared" si="115"/>
        <v>578.09</v>
      </c>
      <c r="P1211">
        <f t="shared" si="116"/>
        <v>5.8116232464929862E-2</v>
      </c>
      <c r="Q1211" t="s">
        <v>4137</v>
      </c>
      <c r="R1211" t="s">
        <v>4138</v>
      </c>
      <c r="S1211">
        <f>YEAR(marketing_data[[#This Row],[Start_date]])</f>
        <v>2023</v>
      </c>
      <c r="T1211" t="str">
        <f>TEXT(marketing_data[[#This Row],[Start_date]],"ddd")</f>
        <v>Thu</v>
      </c>
      <c r="U1211">
        <f>marketing_data[[#This Row],[Cleaned End_date]]-marketing_data[[#This Row],[Start_date]]</f>
        <v>11</v>
      </c>
    </row>
    <row r="1212" spans="1:21" x14ac:dyDescent="0.2">
      <c r="A1212" t="s">
        <v>2511</v>
      </c>
      <c r="B1212" t="s">
        <v>2512</v>
      </c>
      <c r="C1212" s="2">
        <v>45082</v>
      </c>
      <c r="D1212" t="str">
        <f t="shared" si="111"/>
        <v>Jun</v>
      </c>
      <c r="E1212" s="2">
        <v>45100</v>
      </c>
      <c r="F1212" t="s">
        <v>14</v>
      </c>
      <c r="G1212">
        <v>14718</v>
      </c>
      <c r="H1212">
        <v>698</v>
      </c>
      <c r="I1212">
        <v>109</v>
      </c>
      <c r="J1212" t="b">
        <v>0</v>
      </c>
      <c r="K1212" s="10">
        <v>534.66</v>
      </c>
      <c r="L1212" s="6">
        <f t="shared" si="112"/>
        <v>4.7424921864383747E-2</v>
      </c>
      <c r="M1212">
        <f t="shared" si="113"/>
        <v>0.76598853868194838</v>
      </c>
      <c r="N1212">
        <f t="shared" si="114"/>
        <v>4.9051376146788987</v>
      </c>
      <c r="O1212">
        <f t="shared" si="115"/>
        <v>4915.34</v>
      </c>
      <c r="P1212">
        <f t="shared" si="116"/>
        <v>0.15616045845272206</v>
      </c>
      <c r="Q1212" t="s">
        <v>4139</v>
      </c>
      <c r="R1212" t="s">
        <v>4139</v>
      </c>
      <c r="S1212">
        <f>YEAR(marketing_data[[#This Row],[Start_date]])</f>
        <v>2023</v>
      </c>
      <c r="T1212" t="str">
        <f>TEXT(marketing_data[[#This Row],[Start_date]],"ddd")</f>
        <v>Mon</v>
      </c>
      <c r="U1212">
        <f>marketing_data[[#This Row],[Cleaned End_date]]-marketing_data[[#This Row],[Start_date]]</f>
        <v>18</v>
      </c>
    </row>
    <row r="1213" spans="1:21" x14ac:dyDescent="0.2">
      <c r="A1213" t="s">
        <v>2513</v>
      </c>
      <c r="B1213" t="s">
        <v>2514</v>
      </c>
      <c r="C1213" s="2">
        <v>45283</v>
      </c>
      <c r="D1213" t="str">
        <f t="shared" si="111"/>
        <v>Dec</v>
      </c>
      <c r="E1213" s="2">
        <v>45300</v>
      </c>
      <c r="F1213" t="s">
        <v>41</v>
      </c>
      <c r="G1213">
        <v>35560</v>
      </c>
      <c r="H1213">
        <v>1524</v>
      </c>
      <c r="J1213" t="b">
        <v>1</v>
      </c>
      <c r="K1213" s="10">
        <v>2414.94</v>
      </c>
      <c r="L1213" s="6">
        <f t="shared" si="112"/>
        <v>4.2857142857142858E-2</v>
      </c>
      <c r="M1213">
        <f t="shared" si="113"/>
        <v>1.5846062992125984</v>
      </c>
      <c r="N1213">
        <f t="shared" si="114"/>
        <v>0</v>
      </c>
      <c r="O1213">
        <f t="shared" si="115"/>
        <v>-2414.94</v>
      </c>
      <c r="P1213">
        <f t="shared" si="116"/>
        <v>0</v>
      </c>
      <c r="Q1213" t="s">
        <v>4138</v>
      </c>
      <c r="R1213" t="s">
        <v>4138</v>
      </c>
      <c r="S1213">
        <f>YEAR(marketing_data[[#This Row],[Start_date]])</f>
        <v>2023</v>
      </c>
      <c r="T1213" t="str">
        <f>TEXT(marketing_data[[#This Row],[Start_date]],"ddd")</f>
        <v>Sat</v>
      </c>
      <c r="U1213">
        <f>marketing_data[[#This Row],[Cleaned End_date]]-marketing_data[[#This Row],[Start_date]]</f>
        <v>17</v>
      </c>
    </row>
    <row r="1214" spans="1:21" x14ac:dyDescent="0.2">
      <c r="A1214" t="s">
        <v>2515</v>
      </c>
      <c r="B1214" t="s">
        <v>2516</v>
      </c>
      <c r="C1214" s="2">
        <v>45043</v>
      </c>
      <c r="D1214" t="str">
        <f t="shared" si="111"/>
        <v>Apr</v>
      </c>
      <c r="E1214" s="2">
        <v>45063</v>
      </c>
      <c r="F1214" t="s">
        <v>23</v>
      </c>
      <c r="G1214">
        <v>77589</v>
      </c>
      <c r="H1214">
        <v>3287</v>
      </c>
      <c r="I1214">
        <v>642</v>
      </c>
      <c r="J1214" t="b">
        <v>1</v>
      </c>
      <c r="K1214" s="10">
        <v>3631.7599999999998</v>
      </c>
      <c r="L1214" s="6">
        <f t="shared" si="112"/>
        <v>4.2364252664681849E-2</v>
      </c>
      <c r="M1214">
        <f t="shared" si="113"/>
        <v>1.1048859142074841</v>
      </c>
      <c r="N1214">
        <f t="shared" si="114"/>
        <v>5.6569470404984417</v>
      </c>
      <c r="O1214">
        <f t="shared" si="115"/>
        <v>28468.240000000002</v>
      </c>
      <c r="P1214">
        <f t="shared" si="116"/>
        <v>0.19531487678734408</v>
      </c>
      <c r="Q1214" t="s">
        <v>4137</v>
      </c>
      <c r="R1214" t="s">
        <v>4141</v>
      </c>
      <c r="S1214">
        <f>YEAR(marketing_data[[#This Row],[Start_date]])</f>
        <v>2023</v>
      </c>
      <c r="T1214" t="str">
        <f>TEXT(marketing_data[[#This Row],[Start_date]],"ddd")</f>
        <v>Thu</v>
      </c>
      <c r="U1214">
        <f>marketing_data[[#This Row],[Cleaned End_date]]-marketing_data[[#This Row],[Start_date]]</f>
        <v>20</v>
      </c>
    </row>
    <row r="1215" spans="1:21" x14ac:dyDescent="0.2">
      <c r="A1215" t="s">
        <v>2517</v>
      </c>
      <c r="B1215" t="s">
        <v>2518</v>
      </c>
      <c r="C1215" s="2">
        <v>45153</v>
      </c>
      <c r="D1215" t="str">
        <f t="shared" si="111"/>
        <v>Aug</v>
      </c>
      <c r="E1215" s="2">
        <v>45174</v>
      </c>
      <c r="F1215" t="str">
        <f>F1214</f>
        <v>Email</v>
      </c>
      <c r="G1215">
        <v>23116</v>
      </c>
      <c r="H1215">
        <v>1048</v>
      </c>
      <c r="I1215">
        <v>140</v>
      </c>
      <c r="J1215" t="b">
        <v>0</v>
      </c>
      <c r="K1215" s="10">
        <v>1647.82</v>
      </c>
      <c r="L1215" s="6">
        <f t="shared" si="112"/>
        <v>4.5336563419276693E-2</v>
      </c>
      <c r="M1215">
        <f t="shared" si="113"/>
        <v>1.5723473282442748</v>
      </c>
      <c r="N1215">
        <f t="shared" si="114"/>
        <v>11.770142857142856</v>
      </c>
      <c r="O1215">
        <f t="shared" si="115"/>
        <v>5352.18</v>
      </c>
      <c r="P1215">
        <f t="shared" si="116"/>
        <v>0.13358778625954199</v>
      </c>
      <c r="Q1215" t="s">
        <v>4139</v>
      </c>
      <c r="R1215" t="s">
        <v>4142</v>
      </c>
      <c r="S1215">
        <f>YEAR(marketing_data[[#This Row],[Start_date]])</f>
        <v>2023</v>
      </c>
      <c r="T1215" t="str">
        <f>TEXT(marketing_data[[#This Row],[Start_date]],"ddd")</f>
        <v>Tue</v>
      </c>
      <c r="U1215">
        <f>marketing_data[[#This Row],[Cleaned End_date]]-marketing_data[[#This Row],[Start_date]]</f>
        <v>21</v>
      </c>
    </row>
    <row r="1216" spans="1:21" x14ac:dyDescent="0.2">
      <c r="A1216" t="s">
        <v>2519</v>
      </c>
      <c r="B1216" t="s">
        <v>2520</v>
      </c>
      <c r="C1216" s="2">
        <v>45140</v>
      </c>
      <c r="D1216" t="str">
        <f t="shared" si="111"/>
        <v>Aug</v>
      </c>
      <c r="E1216" s="2">
        <v>45170</v>
      </c>
      <c r="F1216" t="s">
        <v>41</v>
      </c>
      <c r="G1216">
        <v>37244</v>
      </c>
      <c r="H1216">
        <v>1415</v>
      </c>
      <c r="I1216">
        <v>142</v>
      </c>
      <c r="J1216" t="b">
        <v>1</v>
      </c>
      <c r="K1216" s="10">
        <v>1936.38</v>
      </c>
      <c r="L1216" s="6">
        <f t="shared" si="112"/>
        <v>3.7992696810224463E-2</v>
      </c>
      <c r="M1216">
        <f t="shared" si="113"/>
        <v>1.3684664310954064</v>
      </c>
      <c r="N1216">
        <f t="shared" si="114"/>
        <v>13.636478873239437</v>
      </c>
      <c r="O1216">
        <f t="shared" si="115"/>
        <v>5163.62</v>
      </c>
      <c r="P1216">
        <f t="shared" si="116"/>
        <v>0.10035335689045936</v>
      </c>
      <c r="Q1216" t="s">
        <v>4139</v>
      </c>
      <c r="R1216" t="s">
        <v>4141</v>
      </c>
      <c r="S1216">
        <f>YEAR(marketing_data[[#This Row],[Start_date]])</f>
        <v>2023</v>
      </c>
      <c r="T1216" t="str">
        <f>TEXT(marketing_data[[#This Row],[Start_date]],"ddd")</f>
        <v>Wed</v>
      </c>
      <c r="U1216">
        <f>marketing_data[[#This Row],[Cleaned End_date]]-marketing_data[[#This Row],[Start_date]]</f>
        <v>30</v>
      </c>
    </row>
    <row r="1217" spans="1:21" x14ac:dyDescent="0.2">
      <c r="A1217" t="s">
        <v>2521</v>
      </c>
      <c r="B1217" t="s">
        <v>2522</v>
      </c>
      <c r="C1217" s="2">
        <v>45153</v>
      </c>
      <c r="D1217" t="str">
        <f t="shared" si="111"/>
        <v>Aug</v>
      </c>
      <c r="E1217" s="2">
        <v>45162</v>
      </c>
      <c r="F1217" t="s">
        <v>14</v>
      </c>
      <c r="G1217">
        <v>2645</v>
      </c>
      <c r="H1217">
        <v>37</v>
      </c>
      <c r="J1217" t="b">
        <v>1</v>
      </c>
      <c r="K1217" s="10">
        <v>329.13249999999999</v>
      </c>
      <c r="L1217" s="6">
        <f t="shared" si="112"/>
        <v>1.3988657844990548E-2</v>
      </c>
      <c r="M1217">
        <f t="shared" si="113"/>
        <v>8.8954729729729731</v>
      </c>
      <c r="N1217">
        <f t="shared" si="114"/>
        <v>0</v>
      </c>
      <c r="O1217">
        <f t="shared" si="115"/>
        <v>-329.13249999999999</v>
      </c>
      <c r="P1217">
        <f t="shared" si="116"/>
        <v>0</v>
      </c>
      <c r="Q1217" t="s">
        <v>4139</v>
      </c>
      <c r="R1217" t="s">
        <v>4142</v>
      </c>
      <c r="S1217">
        <f>YEAR(marketing_data[[#This Row],[Start_date]])</f>
        <v>2023</v>
      </c>
      <c r="T1217" t="str">
        <f>TEXT(marketing_data[[#This Row],[Start_date]],"ddd")</f>
        <v>Tue</v>
      </c>
      <c r="U1217">
        <f>marketing_data[[#This Row],[Cleaned End_date]]-marketing_data[[#This Row],[Start_date]]</f>
        <v>9</v>
      </c>
    </row>
    <row r="1218" spans="1:21" x14ac:dyDescent="0.2">
      <c r="A1218" t="s">
        <v>2523</v>
      </c>
      <c r="B1218" t="s">
        <v>2524</v>
      </c>
      <c r="C1218" s="2">
        <v>45175</v>
      </c>
      <c r="D1218" t="str">
        <f t="shared" si="111"/>
        <v>Sep</v>
      </c>
      <c r="E1218" s="2">
        <v>45196</v>
      </c>
      <c r="F1218" t="s">
        <v>19</v>
      </c>
      <c r="G1218">
        <v>48523</v>
      </c>
      <c r="H1218">
        <v>1259</v>
      </c>
      <c r="I1218">
        <v>247</v>
      </c>
      <c r="J1218" t="b">
        <v>1</v>
      </c>
      <c r="K1218" s="10">
        <v>1310.07</v>
      </c>
      <c r="L1218" s="6">
        <f t="shared" si="112"/>
        <v>2.5946458380561796E-2</v>
      </c>
      <c r="M1218">
        <f t="shared" si="113"/>
        <v>1.0405639396346307</v>
      </c>
      <c r="N1218">
        <f t="shared" si="114"/>
        <v>5.3039271255060729</v>
      </c>
      <c r="O1218">
        <f t="shared" si="115"/>
        <v>11039.93</v>
      </c>
      <c r="P1218">
        <f t="shared" si="116"/>
        <v>0.19618745035742652</v>
      </c>
      <c r="Q1218" t="s">
        <v>4136</v>
      </c>
      <c r="R1218" t="s">
        <v>4139</v>
      </c>
      <c r="S1218">
        <f>YEAR(marketing_data[[#This Row],[Start_date]])</f>
        <v>2023</v>
      </c>
      <c r="T1218" t="str">
        <f>TEXT(marketing_data[[#This Row],[Start_date]],"ddd")</f>
        <v>Wed</v>
      </c>
      <c r="U1218">
        <f>marketing_data[[#This Row],[Cleaned End_date]]-marketing_data[[#This Row],[Start_date]]</f>
        <v>21</v>
      </c>
    </row>
    <row r="1219" spans="1:21" x14ac:dyDescent="0.2">
      <c r="A1219" t="s">
        <v>2525</v>
      </c>
      <c r="B1219" t="s">
        <v>2526</v>
      </c>
      <c r="C1219" s="2">
        <v>44955</v>
      </c>
      <c r="D1219" t="str">
        <f t="shared" ref="D1219:D1282" si="117">TEXT(C1219,"mmm")</f>
        <v>Jan</v>
      </c>
      <c r="E1219" s="2">
        <v>44964</v>
      </c>
      <c r="F1219" t="s">
        <v>19</v>
      </c>
      <c r="G1219">
        <v>20256</v>
      </c>
      <c r="H1219">
        <v>788</v>
      </c>
      <c r="I1219">
        <v>121</v>
      </c>
      <c r="J1219" t="b">
        <v>1</v>
      </c>
      <c r="K1219" s="10">
        <v>1108.92</v>
      </c>
      <c r="L1219" s="6">
        <f t="shared" ref="L1219:L1282" si="118">H1219/G1219</f>
        <v>3.8902053712480254E-2</v>
      </c>
      <c r="M1219">
        <f t="shared" ref="M1219:M1282" si="119">K1219/H1219</f>
        <v>1.4072588832487312</v>
      </c>
      <c r="N1219">
        <f t="shared" ref="N1219:N1282" si="120">IFERROR(K1219/I1219,0)</f>
        <v>9.1646280991735551</v>
      </c>
      <c r="O1219">
        <f t="shared" ref="O1219:O1282" si="121">(50*I1219)-K1219</f>
        <v>4941.08</v>
      </c>
      <c r="P1219">
        <f t="shared" ref="P1219:P1282" si="122">I1219/H1219</f>
        <v>0.15355329949238578</v>
      </c>
      <c r="Q1219" t="s">
        <v>4138</v>
      </c>
      <c r="R1219" t="s">
        <v>4141</v>
      </c>
      <c r="S1219">
        <f>YEAR(marketing_data[[#This Row],[Start_date]])</f>
        <v>2023</v>
      </c>
      <c r="T1219" t="str">
        <f>TEXT(marketing_data[[#This Row],[Start_date]],"ddd")</f>
        <v>Sun</v>
      </c>
      <c r="U1219">
        <f>marketing_data[[#This Row],[Cleaned End_date]]-marketing_data[[#This Row],[Start_date]]</f>
        <v>9</v>
      </c>
    </row>
    <row r="1220" spans="1:21" x14ac:dyDescent="0.2">
      <c r="A1220" t="s">
        <v>2527</v>
      </c>
      <c r="B1220" t="s">
        <v>2528</v>
      </c>
      <c r="C1220" s="2">
        <v>45086</v>
      </c>
      <c r="D1220" t="str">
        <f t="shared" si="117"/>
        <v>Jun</v>
      </c>
      <c r="E1220" s="2">
        <v>45116</v>
      </c>
      <c r="F1220" t="s">
        <v>33</v>
      </c>
      <c r="G1220">
        <v>54173</v>
      </c>
      <c r="H1220">
        <v>1149</v>
      </c>
      <c r="I1220">
        <v>173</v>
      </c>
      <c r="J1220" t="b">
        <v>0</v>
      </c>
      <c r="K1220" s="10">
        <v>1242.27</v>
      </c>
      <c r="L1220" s="6">
        <f t="shared" si="118"/>
        <v>2.120982777398335E-2</v>
      </c>
      <c r="M1220">
        <f t="shared" si="119"/>
        <v>1.0811749347258486</v>
      </c>
      <c r="N1220">
        <f t="shared" si="120"/>
        <v>7.1807514450867052</v>
      </c>
      <c r="O1220">
        <f t="shared" si="121"/>
        <v>7407.73</v>
      </c>
      <c r="P1220">
        <f t="shared" si="122"/>
        <v>0.15056570931244562</v>
      </c>
      <c r="Q1220" t="s">
        <v>4139</v>
      </c>
      <c r="R1220" t="s">
        <v>4141</v>
      </c>
      <c r="S1220">
        <f>YEAR(marketing_data[[#This Row],[Start_date]])</f>
        <v>2023</v>
      </c>
      <c r="T1220" t="str">
        <f>TEXT(marketing_data[[#This Row],[Start_date]],"ddd")</f>
        <v>Fri</v>
      </c>
      <c r="U1220">
        <f>marketing_data[[#This Row],[Cleaned End_date]]-marketing_data[[#This Row],[Start_date]]</f>
        <v>30</v>
      </c>
    </row>
    <row r="1221" spans="1:21" x14ac:dyDescent="0.2">
      <c r="A1221" t="s">
        <v>2529</v>
      </c>
      <c r="B1221" t="s">
        <v>2530</v>
      </c>
      <c r="C1221" s="2">
        <v>45195</v>
      </c>
      <c r="D1221" t="str">
        <f t="shared" si="117"/>
        <v>Sep</v>
      </c>
      <c r="E1221" s="2">
        <v>45204</v>
      </c>
      <c r="F1221" t="s">
        <v>33</v>
      </c>
      <c r="G1221">
        <v>38430</v>
      </c>
      <c r="H1221">
        <v>1440</v>
      </c>
      <c r="I1221">
        <v>123</v>
      </c>
      <c r="J1221" t="b">
        <v>0</v>
      </c>
      <c r="K1221" s="10">
        <v>2585.12</v>
      </c>
      <c r="L1221" s="6">
        <f t="shared" si="118"/>
        <v>3.7470725995316159E-2</v>
      </c>
      <c r="M1221">
        <f t="shared" si="119"/>
        <v>1.7952222222222221</v>
      </c>
      <c r="N1221">
        <f t="shared" si="120"/>
        <v>21.017235772357722</v>
      </c>
      <c r="O1221">
        <f t="shared" si="121"/>
        <v>3564.88</v>
      </c>
      <c r="P1221">
        <f t="shared" si="122"/>
        <v>8.5416666666666669E-2</v>
      </c>
      <c r="Q1221" t="s">
        <v>4136</v>
      </c>
      <c r="R1221" t="s">
        <v>4141</v>
      </c>
      <c r="S1221">
        <f>YEAR(marketing_data[[#This Row],[Start_date]])</f>
        <v>2023</v>
      </c>
      <c r="T1221" t="str">
        <f>TEXT(marketing_data[[#This Row],[Start_date]],"ddd")</f>
        <v>Tue</v>
      </c>
      <c r="U1221">
        <f>marketing_data[[#This Row],[Cleaned End_date]]-marketing_data[[#This Row],[Start_date]]</f>
        <v>9</v>
      </c>
    </row>
    <row r="1222" spans="1:21" x14ac:dyDescent="0.2">
      <c r="A1222" t="s">
        <v>2531</v>
      </c>
      <c r="B1222" t="s">
        <v>2532</v>
      </c>
      <c r="C1222" s="2">
        <v>45025</v>
      </c>
      <c r="D1222" t="str">
        <f t="shared" si="117"/>
        <v>Apr</v>
      </c>
      <c r="E1222" s="2">
        <v>45053</v>
      </c>
      <c r="F1222" t="str">
        <f>F1221</f>
        <v>Instagram</v>
      </c>
      <c r="G1222">
        <v>40282</v>
      </c>
      <c r="H1222">
        <v>442</v>
      </c>
      <c r="I1222">
        <v>71</v>
      </c>
      <c r="J1222" t="b">
        <v>1</v>
      </c>
      <c r="K1222" s="10">
        <v>425.74</v>
      </c>
      <c r="L1222" s="6">
        <f t="shared" si="118"/>
        <v>1.0972642867782136E-2</v>
      </c>
      <c r="M1222">
        <f t="shared" si="119"/>
        <v>0.96321266968325792</v>
      </c>
      <c r="N1222">
        <f t="shared" si="120"/>
        <v>5.9963380281690144</v>
      </c>
      <c r="O1222">
        <f t="shared" si="121"/>
        <v>3124.26</v>
      </c>
      <c r="P1222">
        <f t="shared" si="122"/>
        <v>0.16063348416289594</v>
      </c>
      <c r="Q1222" t="s">
        <v>4137</v>
      </c>
      <c r="R1222" t="s">
        <v>4141</v>
      </c>
      <c r="S1222">
        <f>YEAR(marketing_data[[#This Row],[Start_date]])</f>
        <v>2023</v>
      </c>
      <c r="T1222" t="str">
        <f>TEXT(marketing_data[[#This Row],[Start_date]],"ddd")</f>
        <v>Sun</v>
      </c>
      <c r="U1222">
        <f>marketing_data[[#This Row],[Cleaned End_date]]-marketing_data[[#This Row],[Start_date]]</f>
        <v>28</v>
      </c>
    </row>
    <row r="1223" spans="1:21" x14ac:dyDescent="0.2">
      <c r="A1223" t="s">
        <v>2533</v>
      </c>
      <c r="B1223" t="s">
        <v>2534</v>
      </c>
      <c r="C1223" s="2">
        <v>44956</v>
      </c>
      <c r="D1223" t="str">
        <f t="shared" si="117"/>
        <v>Jan</v>
      </c>
      <c r="E1223" s="2">
        <v>44966</v>
      </c>
      <c r="F1223" t="s">
        <v>14</v>
      </c>
      <c r="G1223">
        <v>64374</v>
      </c>
      <c r="H1223">
        <v>1432</v>
      </c>
      <c r="I1223">
        <v>232</v>
      </c>
      <c r="J1223" t="b">
        <v>1</v>
      </c>
      <c r="K1223" s="10">
        <v>1346.51</v>
      </c>
      <c r="L1223" s="6">
        <f t="shared" si="118"/>
        <v>2.2245005747662101E-2</v>
      </c>
      <c r="M1223">
        <f t="shared" si="119"/>
        <v>0.94030027932960891</v>
      </c>
      <c r="N1223">
        <f t="shared" si="120"/>
        <v>5.8039224137931038</v>
      </c>
      <c r="O1223">
        <f t="shared" si="121"/>
        <v>10253.49</v>
      </c>
      <c r="P1223">
        <f t="shared" si="122"/>
        <v>0.16201117318435754</v>
      </c>
      <c r="Q1223" t="s">
        <v>4138</v>
      </c>
      <c r="R1223" t="s">
        <v>4138</v>
      </c>
      <c r="S1223">
        <f>YEAR(marketing_data[[#This Row],[Start_date]])</f>
        <v>2023</v>
      </c>
      <c r="T1223" t="str">
        <f>TEXT(marketing_data[[#This Row],[Start_date]],"ddd")</f>
        <v>Mon</v>
      </c>
      <c r="U1223">
        <f>marketing_data[[#This Row],[Cleaned End_date]]-marketing_data[[#This Row],[Start_date]]</f>
        <v>10</v>
      </c>
    </row>
    <row r="1224" spans="1:21" x14ac:dyDescent="0.2">
      <c r="A1224" t="s">
        <v>2535</v>
      </c>
      <c r="B1224" t="s">
        <v>2536</v>
      </c>
      <c r="C1224" s="2">
        <v>45111</v>
      </c>
      <c r="D1224" t="str">
        <f t="shared" si="117"/>
        <v>Jul</v>
      </c>
      <c r="E1224" s="2">
        <v>45131</v>
      </c>
      <c r="F1224" t="s">
        <v>33</v>
      </c>
      <c r="G1224">
        <v>69244</v>
      </c>
      <c r="H1224">
        <v>2213</v>
      </c>
      <c r="I1224">
        <v>215</v>
      </c>
      <c r="J1224" t="b">
        <v>1</v>
      </c>
      <c r="K1224" s="10">
        <v>1989.48</v>
      </c>
      <c r="L1224" s="6">
        <f t="shared" si="118"/>
        <v>3.1959447749985562E-2</v>
      </c>
      <c r="M1224">
        <f t="shared" si="119"/>
        <v>0.89899683687302301</v>
      </c>
      <c r="N1224">
        <f t="shared" si="120"/>
        <v>9.2533953488372092</v>
      </c>
      <c r="O1224">
        <f t="shared" si="121"/>
        <v>8760.52</v>
      </c>
      <c r="P1224">
        <f t="shared" si="122"/>
        <v>9.7153185720741081E-2</v>
      </c>
      <c r="Q1224" t="s">
        <v>4139</v>
      </c>
      <c r="R1224" t="s">
        <v>4142</v>
      </c>
      <c r="S1224">
        <f>YEAR(marketing_data[[#This Row],[Start_date]])</f>
        <v>2023</v>
      </c>
      <c r="T1224" t="str">
        <f>TEXT(marketing_data[[#This Row],[Start_date]],"ddd")</f>
        <v>Tue</v>
      </c>
      <c r="U1224">
        <f>marketing_data[[#This Row],[Cleaned End_date]]-marketing_data[[#This Row],[Start_date]]</f>
        <v>20</v>
      </c>
    </row>
    <row r="1225" spans="1:21" x14ac:dyDescent="0.2">
      <c r="A1225" t="s">
        <v>2537</v>
      </c>
      <c r="B1225" t="s">
        <v>2538</v>
      </c>
      <c r="C1225" s="2">
        <v>45164</v>
      </c>
      <c r="D1225" t="str">
        <f t="shared" si="117"/>
        <v>Aug</v>
      </c>
      <c r="E1225" s="2">
        <v>45181</v>
      </c>
      <c r="F1225" t="s">
        <v>19</v>
      </c>
      <c r="G1225">
        <v>12694</v>
      </c>
      <c r="H1225">
        <v>447</v>
      </c>
      <c r="I1225">
        <v>54</v>
      </c>
      <c r="J1225" t="b">
        <v>1</v>
      </c>
      <c r="K1225" s="10">
        <v>446.63</v>
      </c>
      <c r="L1225" s="6">
        <f t="shared" si="118"/>
        <v>3.52134866866236E-2</v>
      </c>
      <c r="M1225">
        <f t="shared" si="119"/>
        <v>0.99917225950782995</v>
      </c>
      <c r="N1225">
        <f t="shared" si="120"/>
        <v>8.2709259259259262</v>
      </c>
      <c r="O1225">
        <f t="shared" si="121"/>
        <v>2253.37</v>
      </c>
      <c r="P1225">
        <f t="shared" si="122"/>
        <v>0.12080536912751678</v>
      </c>
      <c r="Q1225" t="s">
        <v>4139</v>
      </c>
      <c r="R1225" t="s">
        <v>4142</v>
      </c>
      <c r="S1225">
        <f>YEAR(marketing_data[[#This Row],[Start_date]])</f>
        <v>2023</v>
      </c>
      <c r="T1225" t="str">
        <f>TEXT(marketing_data[[#This Row],[Start_date]],"ddd")</f>
        <v>Sat</v>
      </c>
      <c r="U1225">
        <f>marketing_data[[#This Row],[Cleaned End_date]]-marketing_data[[#This Row],[Start_date]]</f>
        <v>17</v>
      </c>
    </row>
    <row r="1226" spans="1:21" x14ac:dyDescent="0.2">
      <c r="A1226" t="s">
        <v>2539</v>
      </c>
      <c r="B1226" t="s">
        <v>2540</v>
      </c>
      <c r="C1226" s="2">
        <v>44990</v>
      </c>
      <c r="D1226" t="str">
        <f t="shared" si="117"/>
        <v>Mar</v>
      </c>
      <c r="E1226" s="2">
        <v>44998</v>
      </c>
      <c r="F1226" t="s">
        <v>19</v>
      </c>
      <c r="G1226">
        <v>57264</v>
      </c>
      <c r="H1226">
        <v>1894</v>
      </c>
      <c r="I1226">
        <v>178</v>
      </c>
      <c r="J1226" t="b">
        <v>0</v>
      </c>
      <c r="K1226" s="10">
        <v>2530.59</v>
      </c>
      <c r="L1226" s="6">
        <f t="shared" si="118"/>
        <v>3.3074881251746298E-2</v>
      </c>
      <c r="M1226">
        <f t="shared" si="119"/>
        <v>1.3361087645195355</v>
      </c>
      <c r="N1226">
        <f t="shared" si="120"/>
        <v>14.21679775280899</v>
      </c>
      <c r="O1226">
        <f t="shared" si="121"/>
        <v>6369.41</v>
      </c>
      <c r="P1226">
        <f t="shared" si="122"/>
        <v>9.398099260823653E-2</v>
      </c>
      <c r="Q1226" t="s">
        <v>4137</v>
      </c>
      <c r="R1226" t="s">
        <v>4138</v>
      </c>
      <c r="S1226">
        <f>YEAR(marketing_data[[#This Row],[Start_date]])</f>
        <v>2023</v>
      </c>
      <c r="T1226" t="str">
        <f>TEXT(marketing_data[[#This Row],[Start_date]],"ddd")</f>
        <v>Sun</v>
      </c>
      <c r="U1226">
        <f>marketing_data[[#This Row],[Cleaned End_date]]-marketing_data[[#This Row],[Start_date]]</f>
        <v>8</v>
      </c>
    </row>
    <row r="1227" spans="1:21" x14ac:dyDescent="0.2">
      <c r="A1227" t="s">
        <v>2541</v>
      </c>
      <c r="B1227" t="s">
        <v>2542</v>
      </c>
      <c r="C1227" s="2">
        <v>45177</v>
      </c>
      <c r="D1227" t="str">
        <f t="shared" si="117"/>
        <v>Sep</v>
      </c>
      <c r="E1227" s="2">
        <v>45188</v>
      </c>
      <c r="F1227" t="s">
        <v>23</v>
      </c>
      <c r="G1227">
        <v>76060</v>
      </c>
      <c r="H1227">
        <v>2883</v>
      </c>
      <c r="I1227">
        <v>256</v>
      </c>
      <c r="J1227" t="b">
        <v>0</v>
      </c>
      <c r="K1227" s="10">
        <v>3631.7599999999998</v>
      </c>
      <c r="L1227" s="6">
        <f t="shared" si="118"/>
        <v>3.7904286089929004E-2</v>
      </c>
      <c r="M1227">
        <f t="shared" si="119"/>
        <v>1.2597155740548038</v>
      </c>
      <c r="N1227">
        <f t="shared" si="120"/>
        <v>14.186562499999999</v>
      </c>
      <c r="O1227">
        <f t="shared" si="121"/>
        <v>9168.24</v>
      </c>
      <c r="P1227">
        <f t="shared" si="122"/>
        <v>8.8796392646548733E-2</v>
      </c>
      <c r="Q1227" t="s">
        <v>4136</v>
      </c>
      <c r="R1227" t="s">
        <v>4141</v>
      </c>
      <c r="S1227">
        <f>YEAR(marketing_data[[#This Row],[Start_date]])</f>
        <v>2023</v>
      </c>
      <c r="T1227" t="str">
        <f>TEXT(marketing_data[[#This Row],[Start_date]],"ddd")</f>
        <v>Fri</v>
      </c>
      <c r="U1227">
        <f>marketing_data[[#This Row],[Cleaned End_date]]-marketing_data[[#This Row],[Start_date]]</f>
        <v>11</v>
      </c>
    </row>
    <row r="1228" spans="1:21" x14ac:dyDescent="0.2">
      <c r="A1228" t="s">
        <v>2543</v>
      </c>
      <c r="B1228" t="s">
        <v>2544</v>
      </c>
      <c r="C1228" s="2">
        <v>45169</v>
      </c>
      <c r="D1228" t="str">
        <f t="shared" si="117"/>
        <v>Aug</v>
      </c>
      <c r="E1228" s="2">
        <v>45199</v>
      </c>
      <c r="F1228" t="s">
        <v>41</v>
      </c>
      <c r="G1228">
        <v>98416</v>
      </c>
      <c r="H1228">
        <v>1008</v>
      </c>
      <c r="J1228" t="b">
        <v>1</v>
      </c>
      <c r="K1228" s="10">
        <v>1505.8</v>
      </c>
      <c r="L1228" s="6">
        <f t="shared" si="118"/>
        <v>1.0242237034628515E-2</v>
      </c>
      <c r="M1228">
        <f t="shared" si="119"/>
        <v>1.4938492063492064</v>
      </c>
      <c r="N1228">
        <f t="shared" si="120"/>
        <v>0</v>
      </c>
      <c r="O1228">
        <f t="shared" si="121"/>
        <v>-1505.8</v>
      </c>
      <c r="P1228">
        <f t="shared" si="122"/>
        <v>0</v>
      </c>
      <c r="Q1228" t="s">
        <v>4139</v>
      </c>
      <c r="R1228" t="s">
        <v>4141</v>
      </c>
      <c r="S1228">
        <f>YEAR(marketing_data[[#This Row],[Start_date]])</f>
        <v>2023</v>
      </c>
      <c r="T1228" t="str">
        <f>TEXT(marketing_data[[#This Row],[Start_date]],"ddd")</f>
        <v>Thu</v>
      </c>
      <c r="U1228">
        <f>marketing_data[[#This Row],[Cleaned End_date]]-marketing_data[[#This Row],[Start_date]]</f>
        <v>30</v>
      </c>
    </row>
    <row r="1229" spans="1:21" x14ac:dyDescent="0.2">
      <c r="A1229" t="s">
        <v>2545</v>
      </c>
      <c r="B1229" t="s">
        <v>2546</v>
      </c>
      <c r="C1229" s="2">
        <v>45010</v>
      </c>
      <c r="D1229" t="str">
        <f t="shared" si="117"/>
        <v>Mar</v>
      </c>
      <c r="E1229" s="2">
        <v>45039</v>
      </c>
      <c r="F1229" t="s">
        <v>23</v>
      </c>
      <c r="G1229">
        <v>58545</v>
      </c>
      <c r="H1229">
        <v>821</v>
      </c>
      <c r="I1229">
        <v>76</v>
      </c>
      <c r="J1229" t="b">
        <v>1</v>
      </c>
      <c r="K1229" s="10">
        <v>1405.2</v>
      </c>
      <c r="L1229" s="6">
        <f t="shared" si="118"/>
        <v>1.4023400802801265E-2</v>
      </c>
      <c r="M1229">
        <f t="shared" si="119"/>
        <v>1.7115712545676005</v>
      </c>
      <c r="N1229">
        <f t="shared" si="120"/>
        <v>18.489473684210527</v>
      </c>
      <c r="O1229">
        <f t="shared" si="121"/>
        <v>2394.8000000000002</v>
      </c>
      <c r="P1229">
        <f t="shared" si="122"/>
        <v>9.2570036540803896E-2</v>
      </c>
      <c r="Q1229" t="s">
        <v>4137</v>
      </c>
      <c r="R1229" t="s">
        <v>4138</v>
      </c>
      <c r="S1229">
        <f>YEAR(marketing_data[[#This Row],[Start_date]])</f>
        <v>2023</v>
      </c>
      <c r="T1229" t="str">
        <f>TEXT(marketing_data[[#This Row],[Start_date]],"ddd")</f>
        <v>Sat</v>
      </c>
      <c r="U1229">
        <f>marketing_data[[#This Row],[Cleaned End_date]]-marketing_data[[#This Row],[Start_date]]</f>
        <v>29</v>
      </c>
    </row>
    <row r="1230" spans="1:21" x14ac:dyDescent="0.2">
      <c r="A1230" t="s">
        <v>2547</v>
      </c>
      <c r="B1230" t="s">
        <v>2548</v>
      </c>
      <c r="C1230" s="2">
        <v>45279</v>
      </c>
      <c r="D1230" t="str">
        <f t="shared" si="117"/>
        <v>Dec</v>
      </c>
      <c r="E1230" s="2">
        <v>45290</v>
      </c>
      <c r="F1230" t="s">
        <v>41</v>
      </c>
      <c r="G1230">
        <v>40224</v>
      </c>
      <c r="H1230">
        <v>1800</v>
      </c>
      <c r="I1230">
        <v>239</v>
      </c>
      <c r="J1230" t="b">
        <v>0</v>
      </c>
      <c r="K1230" s="10">
        <v>3291.97</v>
      </c>
      <c r="L1230" s="6">
        <f t="shared" si="118"/>
        <v>4.4749403341288782E-2</v>
      </c>
      <c r="M1230">
        <f t="shared" si="119"/>
        <v>1.828872222222222</v>
      </c>
      <c r="N1230">
        <f t="shared" si="120"/>
        <v>13.773933054393305</v>
      </c>
      <c r="O1230">
        <f t="shared" si="121"/>
        <v>8658.0300000000007</v>
      </c>
      <c r="P1230">
        <f t="shared" si="122"/>
        <v>0.13277777777777777</v>
      </c>
      <c r="Q1230" t="s">
        <v>4138</v>
      </c>
      <c r="R1230" t="s">
        <v>4138</v>
      </c>
      <c r="S1230">
        <f>YEAR(marketing_data[[#This Row],[Start_date]])</f>
        <v>2023</v>
      </c>
      <c r="T1230" t="str">
        <f>TEXT(marketing_data[[#This Row],[Start_date]],"ddd")</f>
        <v>Tue</v>
      </c>
      <c r="U1230">
        <f>marketing_data[[#This Row],[Cleaned End_date]]-marketing_data[[#This Row],[Start_date]]</f>
        <v>11</v>
      </c>
    </row>
    <row r="1231" spans="1:21" x14ac:dyDescent="0.2">
      <c r="A1231" t="s">
        <v>2549</v>
      </c>
      <c r="B1231" t="s">
        <v>2550</v>
      </c>
      <c r="C1231" s="2">
        <v>44941</v>
      </c>
      <c r="D1231" t="str">
        <f t="shared" si="117"/>
        <v>Jan</v>
      </c>
      <c r="E1231" s="2">
        <v>44971</v>
      </c>
      <c r="F1231" t="s">
        <v>19</v>
      </c>
      <c r="G1231">
        <v>98945</v>
      </c>
      <c r="H1231">
        <v>3687</v>
      </c>
      <c r="I1231">
        <v>185</v>
      </c>
      <c r="J1231" t="b">
        <v>1</v>
      </c>
      <c r="K1231" s="10">
        <v>3631.7599999999998</v>
      </c>
      <c r="L1231" s="6">
        <f t="shared" si="118"/>
        <v>3.7263125979079284E-2</v>
      </c>
      <c r="M1231">
        <f t="shared" si="119"/>
        <v>0.98501762950908589</v>
      </c>
      <c r="N1231">
        <f t="shared" si="120"/>
        <v>19.631135135135136</v>
      </c>
      <c r="O1231">
        <f t="shared" si="121"/>
        <v>5618.24</v>
      </c>
      <c r="P1231">
        <f t="shared" si="122"/>
        <v>5.0176295090859781E-2</v>
      </c>
      <c r="Q1231" t="s">
        <v>4138</v>
      </c>
      <c r="R1231" t="s">
        <v>4139</v>
      </c>
      <c r="S1231">
        <f>YEAR(marketing_data[[#This Row],[Start_date]])</f>
        <v>2023</v>
      </c>
      <c r="T1231" t="str">
        <f>TEXT(marketing_data[[#This Row],[Start_date]],"ddd")</f>
        <v>Sun</v>
      </c>
      <c r="U1231">
        <f>marketing_data[[#This Row],[Cleaned End_date]]-marketing_data[[#This Row],[Start_date]]</f>
        <v>30</v>
      </c>
    </row>
    <row r="1232" spans="1:21" x14ac:dyDescent="0.2">
      <c r="A1232" t="s">
        <v>2551</v>
      </c>
      <c r="B1232" t="s">
        <v>2552</v>
      </c>
      <c r="C1232" s="2">
        <v>45219</v>
      </c>
      <c r="D1232" t="str">
        <f t="shared" si="117"/>
        <v>Oct</v>
      </c>
      <c r="E1232" s="2">
        <v>45227</v>
      </c>
      <c r="F1232" t="str">
        <f>F1231</f>
        <v>Facebook</v>
      </c>
      <c r="G1232">
        <v>14224</v>
      </c>
      <c r="H1232">
        <v>206</v>
      </c>
      <c r="I1232">
        <v>19</v>
      </c>
      <c r="J1232" t="b">
        <v>0</v>
      </c>
      <c r="K1232" s="10">
        <v>329.13249999999999</v>
      </c>
      <c r="L1232" s="6">
        <f t="shared" si="118"/>
        <v>1.4482564679415073E-2</v>
      </c>
      <c r="M1232">
        <f t="shared" si="119"/>
        <v>1.5977305825242718</v>
      </c>
      <c r="N1232">
        <f t="shared" si="120"/>
        <v>17.322763157894737</v>
      </c>
      <c r="O1232">
        <f t="shared" si="121"/>
        <v>620.86750000000006</v>
      </c>
      <c r="P1232">
        <f t="shared" si="122"/>
        <v>9.2233009708737865E-2</v>
      </c>
      <c r="Q1232" t="s">
        <v>4136</v>
      </c>
      <c r="R1232" t="s">
        <v>4139</v>
      </c>
      <c r="S1232">
        <f>YEAR(marketing_data[[#This Row],[Start_date]])</f>
        <v>2023</v>
      </c>
      <c r="T1232" t="str">
        <f>TEXT(marketing_data[[#This Row],[Start_date]],"ddd")</f>
        <v>Fri</v>
      </c>
      <c r="U1232">
        <f>marketing_data[[#This Row],[Cleaned End_date]]-marketing_data[[#This Row],[Start_date]]</f>
        <v>8</v>
      </c>
    </row>
    <row r="1233" spans="1:21" x14ac:dyDescent="0.2">
      <c r="A1233" t="s">
        <v>2553</v>
      </c>
      <c r="B1233" t="s">
        <v>2554</v>
      </c>
      <c r="C1233" s="2">
        <v>45040</v>
      </c>
      <c r="D1233" t="str">
        <f t="shared" si="117"/>
        <v>Apr</v>
      </c>
      <c r="E1233" s="2">
        <v>45059</v>
      </c>
      <c r="F1233" t="s">
        <v>41</v>
      </c>
      <c r="G1233">
        <v>41738</v>
      </c>
      <c r="H1233">
        <v>1823</v>
      </c>
      <c r="I1233">
        <v>332</v>
      </c>
      <c r="J1233" t="b">
        <v>1</v>
      </c>
      <c r="K1233" s="10">
        <v>2923.87</v>
      </c>
      <c r="L1233" s="6">
        <f t="shared" si="118"/>
        <v>4.367722459149935E-2</v>
      </c>
      <c r="M1233">
        <f t="shared" si="119"/>
        <v>1.6038782227098189</v>
      </c>
      <c r="N1233">
        <f t="shared" si="120"/>
        <v>8.8068373493975898</v>
      </c>
      <c r="O1233">
        <f t="shared" si="121"/>
        <v>13676.130000000001</v>
      </c>
      <c r="P1233">
        <f t="shared" si="122"/>
        <v>0.18211738891936369</v>
      </c>
      <c r="Q1233" t="s">
        <v>4137</v>
      </c>
      <c r="R1233" t="s">
        <v>4138</v>
      </c>
      <c r="S1233">
        <f>YEAR(marketing_data[[#This Row],[Start_date]])</f>
        <v>2023</v>
      </c>
      <c r="T1233" t="str">
        <f>TEXT(marketing_data[[#This Row],[Start_date]],"ddd")</f>
        <v>Mon</v>
      </c>
      <c r="U1233">
        <f>marketing_data[[#This Row],[Cleaned End_date]]-marketing_data[[#This Row],[Start_date]]</f>
        <v>19</v>
      </c>
    </row>
    <row r="1234" spans="1:21" x14ac:dyDescent="0.2">
      <c r="A1234" t="s">
        <v>2555</v>
      </c>
      <c r="B1234" t="s">
        <v>2556</v>
      </c>
      <c r="C1234" s="2">
        <v>45064</v>
      </c>
      <c r="D1234" t="str">
        <f t="shared" si="117"/>
        <v>May</v>
      </c>
      <c r="E1234" s="2">
        <v>45071</v>
      </c>
      <c r="F1234" t="s">
        <v>41</v>
      </c>
      <c r="G1234">
        <v>26150</v>
      </c>
      <c r="H1234">
        <v>514</v>
      </c>
      <c r="I1234">
        <v>71</v>
      </c>
      <c r="J1234" t="b">
        <v>1</v>
      </c>
      <c r="K1234" s="10">
        <v>417.68</v>
      </c>
      <c r="L1234" s="6">
        <f t="shared" si="118"/>
        <v>1.9655831739961761E-2</v>
      </c>
      <c r="M1234">
        <f t="shared" si="119"/>
        <v>0.81260700389105056</v>
      </c>
      <c r="N1234">
        <f t="shared" si="120"/>
        <v>5.882816901408451</v>
      </c>
      <c r="O1234">
        <f t="shared" si="121"/>
        <v>3132.32</v>
      </c>
      <c r="P1234">
        <f t="shared" si="122"/>
        <v>0.13813229571984437</v>
      </c>
      <c r="Q1234" t="s">
        <v>4137</v>
      </c>
      <c r="R1234" t="s">
        <v>4141</v>
      </c>
      <c r="S1234">
        <f>YEAR(marketing_data[[#This Row],[Start_date]])</f>
        <v>2023</v>
      </c>
      <c r="T1234" t="str">
        <f>TEXT(marketing_data[[#This Row],[Start_date]],"ddd")</f>
        <v>Thu</v>
      </c>
      <c r="U1234">
        <f>marketing_data[[#This Row],[Cleaned End_date]]-marketing_data[[#This Row],[Start_date]]</f>
        <v>7</v>
      </c>
    </row>
    <row r="1235" spans="1:21" x14ac:dyDescent="0.2">
      <c r="A1235" t="s">
        <v>2557</v>
      </c>
      <c r="B1235" t="s">
        <v>2558</v>
      </c>
      <c r="C1235" s="2">
        <v>45276</v>
      </c>
      <c r="D1235" t="str">
        <f t="shared" si="117"/>
        <v>Dec</v>
      </c>
      <c r="E1235" s="2">
        <v>45288</v>
      </c>
      <c r="F1235" t="s">
        <v>33</v>
      </c>
      <c r="G1235">
        <v>64731</v>
      </c>
      <c r="H1235">
        <v>1885</v>
      </c>
      <c r="I1235">
        <v>266</v>
      </c>
      <c r="J1235" t="b">
        <v>1</v>
      </c>
      <c r="K1235" s="10">
        <v>1318.35</v>
      </c>
      <c r="L1235" s="6">
        <f t="shared" si="118"/>
        <v>2.9120514127697703E-2</v>
      </c>
      <c r="M1235">
        <f t="shared" si="119"/>
        <v>0.69938992042440318</v>
      </c>
      <c r="N1235">
        <f t="shared" si="120"/>
        <v>4.9562030075187966</v>
      </c>
      <c r="O1235">
        <f t="shared" si="121"/>
        <v>11981.65</v>
      </c>
      <c r="P1235">
        <f t="shared" si="122"/>
        <v>0.14111405835543767</v>
      </c>
      <c r="Q1235" t="s">
        <v>4138</v>
      </c>
      <c r="R1235" t="s">
        <v>4142</v>
      </c>
      <c r="S1235">
        <f>YEAR(marketing_data[[#This Row],[Start_date]])</f>
        <v>2023</v>
      </c>
      <c r="T1235" t="str">
        <f>TEXT(marketing_data[[#This Row],[Start_date]],"ddd")</f>
        <v>Sat</v>
      </c>
      <c r="U1235">
        <f>marketing_data[[#This Row],[Cleaned End_date]]-marketing_data[[#This Row],[Start_date]]</f>
        <v>12</v>
      </c>
    </row>
    <row r="1236" spans="1:21" x14ac:dyDescent="0.2">
      <c r="A1236" t="s">
        <v>2560</v>
      </c>
      <c r="B1236" t="s">
        <v>2561</v>
      </c>
      <c r="C1236" s="2">
        <v>44994</v>
      </c>
      <c r="D1236" t="str">
        <f t="shared" si="117"/>
        <v>Mar</v>
      </c>
      <c r="E1236" s="2">
        <v>45004</v>
      </c>
      <c r="F1236" t="s">
        <v>19</v>
      </c>
      <c r="G1236">
        <v>50688</v>
      </c>
      <c r="H1236">
        <v>801</v>
      </c>
      <c r="I1236">
        <v>88</v>
      </c>
      <c r="J1236" t="b">
        <v>0</v>
      </c>
      <c r="K1236" s="10">
        <v>1167.6400000000001</v>
      </c>
      <c r="L1236" s="6">
        <f t="shared" si="118"/>
        <v>1.580255681818182E-2</v>
      </c>
      <c r="M1236">
        <f t="shared" si="119"/>
        <v>1.4577278401997504</v>
      </c>
      <c r="N1236">
        <f t="shared" si="120"/>
        <v>13.268636363636364</v>
      </c>
      <c r="O1236">
        <f t="shared" si="121"/>
        <v>3232.3599999999997</v>
      </c>
      <c r="P1236">
        <f t="shared" si="122"/>
        <v>0.10986267166042447</v>
      </c>
      <c r="Q1236" t="s">
        <v>4137</v>
      </c>
      <c r="R1236" t="s">
        <v>4141</v>
      </c>
      <c r="S1236">
        <f>YEAR(marketing_data[[#This Row],[Start_date]])</f>
        <v>2023</v>
      </c>
      <c r="T1236" t="str">
        <f>TEXT(marketing_data[[#This Row],[Start_date]],"ddd")</f>
        <v>Thu</v>
      </c>
      <c r="U1236">
        <f>marketing_data[[#This Row],[Cleaned End_date]]-marketing_data[[#This Row],[Start_date]]</f>
        <v>10</v>
      </c>
    </row>
    <row r="1237" spans="1:21" x14ac:dyDescent="0.2">
      <c r="A1237" t="s">
        <v>2562</v>
      </c>
      <c r="B1237" t="s">
        <v>2563</v>
      </c>
      <c r="C1237" s="2">
        <v>44931</v>
      </c>
      <c r="D1237" t="str">
        <f t="shared" si="117"/>
        <v>Jan</v>
      </c>
      <c r="E1237" s="2">
        <v>44938</v>
      </c>
      <c r="F1237" t="s">
        <v>41</v>
      </c>
      <c r="G1237">
        <v>74509</v>
      </c>
      <c r="H1237">
        <v>2861</v>
      </c>
      <c r="I1237">
        <v>433</v>
      </c>
      <c r="J1237" t="b">
        <v>1</v>
      </c>
      <c r="K1237" s="10">
        <v>2802.68</v>
      </c>
      <c r="L1237" s="6">
        <f t="shared" si="118"/>
        <v>3.839804587365285E-2</v>
      </c>
      <c r="M1237">
        <f t="shared" si="119"/>
        <v>0.97961551904928346</v>
      </c>
      <c r="N1237">
        <f t="shared" si="120"/>
        <v>6.47270207852194</v>
      </c>
      <c r="O1237">
        <f t="shared" si="121"/>
        <v>18847.32</v>
      </c>
      <c r="P1237">
        <f t="shared" si="122"/>
        <v>0.15134568332750786</v>
      </c>
      <c r="Q1237" t="s">
        <v>4138</v>
      </c>
      <c r="R1237" t="s">
        <v>4138</v>
      </c>
      <c r="S1237">
        <f>YEAR(marketing_data[[#This Row],[Start_date]])</f>
        <v>2023</v>
      </c>
      <c r="T1237" t="str">
        <f>TEXT(marketing_data[[#This Row],[Start_date]],"ddd")</f>
        <v>Thu</v>
      </c>
      <c r="U1237">
        <f>marketing_data[[#This Row],[Cleaned End_date]]-marketing_data[[#This Row],[Start_date]]</f>
        <v>7</v>
      </c>
    </row>
    <row r="1238" spans="1:21" x14ac:dyDescent="0.2">
      <c r="A1238" t="s">
        <v>2564</v>
      </c>
      <c r="B1238" t="s">
        <v>2565</v>
      </c>
      <c r="C1238" s="2">
        <v>45083</v>
      </c>
      <c r="D1238" t="str">
        <f t="shared" si="117"/>
        <v>Jun</v>
      </c>
      <c r="E1238" s="2">
        <v>45110</v>
      </c>
      <c r="F1238" t="s">
        <v>19</v>
      </c>
      <c r="G1238">
        <v>9577</v>
      </c>
      <c r="H1238">
        <v>351</v>
      </c>
      <c r="I1238">
        <v>27</v>
      </c>
      <c r="J1238" t="b">
        <v>0</v>
      </c>
      <c r="K1238" s="10">
        <v>329.13249999999999</v>
      </c>
      <c r="L1238" s="6">
        <f t="shared" si="118"/>
        <v>3.6650308029654383E-2</v>
      </c>
      <c r="M1238">
        <f t="shared" si="119"/>
        <v>0.93769943019943014</v>
      </c>
      <c r="N1238">
        <f t="shared" si="120"/>
        <v>12.190092592592592</v>
      </c>
      <c r="O1238">
        <f t="shared" si="121"/>
        <v>1020.8675000000001</v>
      </c>
      <c r="P1238">
        <f t="shared" si="122"/>
        <v>7.6923076923076927E-2</v>
      </c>
      <c r="Q1238" t="s">
        <v>4139</v>
      </c>
      <c r="R1238" t="s">
        <v>4142</v>
      </c>
      <c r="S1238">
        <f>YEAR(marketing_data[[#This Row],[Start_date]])</f>
        <v>2023</v>
      </c>
      <c r="T1238" t="str">
        <f>TEXT(marketing_data[[#This Row],[Start_date]],"ddd")</f>
        <v>Tue</v>
      </c>
      <c r="U1238">
        <f>marketing_data[[#This Row],[Cleaned End_date]]-marketing_data[[#This Row],[Start_date]]</f>
        <v>27</v>
      </c>
    </row>
    <row r="1239" spans="1:21" x14ac:dyDescent="0.2">
      <c r="A1239" t="s">
        <v>2566</v>
      </c>
      <c r="B1239" t="s">
        <v>2567</v>
      </c>
      <c r="C1239" s="2">
        <v>45067</v>
      </c>
      <c r="D1239" t="str">
        <f t="shared" si="117"/>
        <v>May</v>
      </c>
      <c r="E1239" s="2">
        <v>45078</v>
      </c>
      <c r="F1239" t="s">
        <v>33</v>
      </c>
      <c r="G1239">
        <v>9070</v>
      </c>
      <c r="H1239">
        <v>167</v>
      </c>
      <c r="I1239">
        <v>28</v>
      </c>
      <c r="J1239" t="b">
        <v>1</v>
      </c>
      <c r="K1239" s="10">
        <v>329.13249999999999</v>
      </c>
      <c r="L1239" s="6">
        <f t="shared" si="118"/>
        <v>1.8412348401323043E-2</v>
      </c>
      <c r="M1239">
        <f t="shared" si="119"/>
        <v>1.9708532934131735</v>
      </c>
      <c r="N1239">
        <f t="shared" si="120"/>
        <v>11.754732142857142</v>
      </c>
      <c r="O1239">
        <f t="shared" si="121"/>
        <v>1070.8675000000001</v>
      </c>
      <c r="P1239">
        <f t="shared" si="122"/>
        <v>0.16766467065868262</v>
      </c>
      <c r="Q1239" t="s">
        <v>4137</v>
      </c>
      <c r="R1239" t="s">
        <v>4138</v>
      </c>
      <c r="S1239">
        <f>YEAR(marketing_data[[#This Row],[Start_date]])</f>
        <v>2023</v>
      </c>
      <c r="T1239" t="str">
        <f>TEXT(marketing_data[[#This Row],[Start_date]],"ddd")</f>
        <v>Sun</v>
      </c>
      <c r="U1239">
        <f>marketing_data[[#This Row],[Cleaned End_date]]-marketing_data[[#This Row],[Start_date]]</f>
        <v>11</v>
      </c>
    </row>
    <row r="1240" spans="1:21" x14ac:dyDescent="0.2">
      <c r="A1240" t="s">
        <v>2568</v>
      </c>
      <c r="B1240" t="s">
        <v>2569</v>
      </c>
      <c r="C1240" s="2">
        <v>45105</v>
      </c>
      <c r="D1240" t="str">
        <f t="shared" si="117"/>
        <v>Jun</v>
      </c>
      <c r="E1240" s="2">
        <v>45122</v>
      </c>
      <c r="F1240" t="s">
        <v>19</v>
      </c>
      <c r="G1240">
        <v>9666</v>
      </c>
      <c r="H1240">
        <v>430</v>
      </c>
      <c r="I1240">
        <v>29</v>
      </c>
      <c r="J1240" t="b">
        <v>0</v>
      </c>
      <c r="K1240" s="10">
        <v>329.13249999999999</v>
      </c>
      <c r="L1240" s="6">
        <f t="shared" si="118"/>
        <v>4.4485826608731634E-2</v>
      </c>
      <c r="M1240">
        <f t="shared" si="119"/>
        <v>0.76542441860465116</v>
      </c>
      <c r="N1240">
        <f t="shared" si="120"/>
        <v>11.349396551724137</v>
      </c>
      <c r="O1240">
        <f t="shared" si="121"/>
        <v>1120.8675000000001</v>
      </c>
      <c r="P1240">
        <f t="shared" si="122"/>
        <v>6.7441860465116285E-2</v>
      </c>
      <c r="Q1240" t="s">
        <v>4139</v>
      </c>
      <c r="R1240" t="s">
        <v>4138</v>
      </c>
      <c r="S1240">
        <f>YEAR(marketing_data[[#This Row],[Start_date]])</f>
        <v>2023</v>
      </c>
      <c r="T1240" t="str">
        <f>TEXT(marketing_data[[#This Row],[Start_date]],"ddd")</f>
        <v>Wed</v>
      </c>
      <c r="U1240">
        <f>marketing_data[[#This Row],[Cleaned End_date]]-marketing_data[[#This Row],[Start_date]]</f>
        <v>17</v>
      </c>
    </row>
    <row r="1241" spans="1:21" x14ac:dyDescent="0.2">
      <c r="A1241" t="s">
        <v>2570</v>
      </c>
      <c r="B1241" t="s">
        <v>2571</v>
      </c>
      <c r="C1241" s="2">
        <v>45081</v>
      </c>
      <c r="D1241" t="str">
        <f t="shared" si="117"/>
        <v>Jun</v>
      </c>
      <c r="E1241" s="2">
        <v>45103</v>
      </c>
      <c r="F1241" t="s">
        <v>33</v>
      </c>
      <c r="G1241">
        <v>58761</v>
      </c>
      <c r="H1241">
        <v>1530</v>
      </c>
      <c r="I1241">
        <v>227</v>
      </c>
      <c r="J1241" t="b">
        <v>0</v>
      </c>
      <c r="K1241" s="10">
        <v>2837.9</v>
      </c>
      <c r="L1241" s="6">
        <f t="shared" si="118"/>
        <v>2.6037678051769032E-2</v>
      </c>
      <c r="M1241">
        <f t="shared" si="119"/>
        <v>1.8548366013071895</v>
      </c>
      <c r="N1241">
        <f t="shared" si="120"/>
        <v>12.501762114537446</v>
      </c>
      <c r="O1241">
        <f t="shared" si="121"/>
        <v>8512.1</v>
      </c>
      <c r="P1241">
        <f t="shared" si="122"/>
        <v>0.14836601307189543</v>
      </c>
      <c r="Q1241" t="s">
        <v>4139</v>
      </c>
      <c r="R1241" t="s">
        <v>4138</v>
      </c>
      <c r="S1241">
        <f>YEAR(marketing_data[[#This Row],[Start_date]])</f>
        <v>2023</v>
      </c>
      <c r="T1241" t="str">
        <f>TEXT(marketing_data[[#This Row],[Start_date]],"ddd")</f>
        <v>Sun</v>
      </c>
      <c r="U1241">
        <f>marketing_data[[#This Row],[Cleaned End_date]]-marketing_data[[#This Row],[Start_date]]</f>
        <v>22</v>
      </c>
    </row>
    <row r="1242" spans="1:21" x14ac:dyDescent="0.2">
      <c r="A1242" t="s">
        <v>2572</v>
      </c>
      <c r="B1242" t="s">
        <v>2573</v>
      </c>
      <c r="C1242" s="2">
        <v>45130</v>
      </c>
      <c r="D1242" t="str">
        <f t="shared" si="117"/>
        <v>Jul</v>
      </c>
      <c r="E1242" s="2">
        <v>45144</v>
      </c>
      <c r="F1242" t="s">
        <v>33</v>
      </c>
      <c r="G1242">
        <v>37368</v>
      </c>
      <c r="H1242">
        <v>810</v>
      </c>
      <c r="I1242">
        <v>81</v>
      </c>
      <c r="J1242" t="b">
        <v>0</v>
      </c>
      <c r="K1242" s="10">
        <v>434.91</v>
      </c>
      <c r="L1242" s="6">
        <f t="shared" si="118"/>
        <v>2.1676300578034682E-2</v>
      </c>
      <c r="M1242">
        <f t="shared" si="119"/>
        <v>0.53692592592592592</v>
      </c>
      <c r="N1242">
        <f t="shared" si="120"/>
        <v>5.3692592592592598</v>
      </c>
      <c r="O1242">
        <f t="shared" si="121"/>
        <v>3615.09</v>
      </c>
      <c r="P1242">
        <f t="shared" si="122"/>
        <v>0.1</v>
      </c>
      <c r="Q1242" t="s">
        <v>4139</v>
      </c>
      <c r="R1242" t="s">
        <v>4139</v>
      </c>
      <c r="S1242">
        <f>YEAR(marketing_data[[#This Row],[Start_date]])</f>
        <v>2023</v>
      </c>
      <c r="T1242" t="str">
        <f>TEXT(marketing_data[[#This Row],[Start_date]],"ddd")</f>
        <v>Sun</v>
      </c>
      <c r="U1242">
        <f>marketing_data[[#This Row],[Cleaned End_date]]-marketing_data[[#This Row],[Start_date]]</f>
        <v>14</v>
      </c>
    </row>
    <row r="1243" spans="1:21" x14ac:dyDescent="0.2">
      <c r="A1243" t="s">
        <v>2574</v>
      </c>
      <c r="B1243" t="s">
        <v>2575</v>
      </c>
      <c r="C1243" s="2">
        <v>45266</v>
      </c>
      <c r="D1243" t="str">
        <f t="shared" si="117"/>
        <v>Dec</v>
      </c>
      <c r="E1243" s="2">
        <v>45275</v>
      </c>
      <c r="F1243" t="s">
        <v>41</v>
      </c>
      <c r="G1243">
        <v>7783</v>
      </c>
      <c r="H1243">
        <v>125</v>
      </c>
      <c r="I1243">
        <v>20</v>
      </c>
      <c r="J1243" t="b">
        <v>0</v>
      </c>
      <c r="K1243" s="10">
        <v>329.13249999999999</v>
      </c>
      <c r="L1243" s="6">
        <f t="shared" si="118"/>
        <v>1.6060644995503019E-2</v>
      </c>
      <c r="M1243">
        <f t="shared" si="119"/>
        <v>2.63306</v>
      </c>
      <c r="N1243">
        <f t="shared" si="120"/>
        <v>16.456624999999999</v>
      </c>
      <c r="O1243">
        <f t="shared" si="121"/>
        <v>670.86750000000006</v>
      </c>
      <c r="P1243">
        <f t="shared" si="122"/>
        <v>0.16</v>
      </c>
      <c r="Q1243" t="s">
        <v>4138</v>
      </c>
      <c r="R1243" t="s">
        <v>4138</v>
      </c>
      <c r="S1243">
        <f>YEAR(marketing_data[[#This Row],[Start_date]])</f>
        <v>2023</v>
      </c>
      <c r="T1243" t="str">
        <f>TEXT(marketing_data[[#This Row],[Start_date]],"ddd")</f>
        <v>Wed</v>
      </c>
      <c r="U1243">
        <f>marketing_data[[#This Row],[Cleaned End_date]]-marketing_data[[#This Row],[Start_date]]</f>
        <v>9</v>
      </c>
    </row>
    <row r="1244" spans="1:21" x14ac:dyDescent="0.2">
      <c r="A1244" t="s">
        <v>2576</v>
      </c>
      <c r="B1244" t="s">
        <v>2577</v>
      </c>
      <c r="C1244" s="2">
        <v>45214</v>
      </c>
      <c r="D1244" t="str">
        <f t="shared" si="117"/>
        <v>Oct</v>
      </c>
      <c r="E1244" s="2">
        <v>45223</v>
      </c>
      <c r="F1244" t="s">
        <v>23</v>
      </c>
      <c r="G1244">
        <v>42914</v>
      </c>
      <c r="H1244">
        <v>886</v>
      </c>
      <c r="I1244">
        <v>117</v>
      </c>
      <c r="J1244" t="b">
        <v>1</v>
      </c>
      <c r="K1244" s="10">
        <v>996.21</v>
      </c>
      <c r="L1244" s="6">
        <f t="shared" si="118"/>
        <v>2.0645943048888473E-2</v>
      </c>
      <c r="M1244">
        <f t="shared" si="119"/>
        <v>1.1243905191873589</v>
      </c>
      <c r="N1244">
        <f t="shared" si="120"/>
        <v>8.5146153846153858</v>
      </c>
      <c r="O1244">
        <f t="shared" si="121"/>
        <v>4853.79</v>
      </c>
      <c r="P1244">
        <f t="shared" si="122"/>
        <v>0.13205417607223477</v>
      </c>
      <c r="Q1244" t="s">
        <v>4136</v>
      </c>
      <c r="R1244" t="s">
        <v>4141</v>
      </c>
      <c r="S1244">
        <f>YEAR(marketing_data[[#This Row],[Start_date]])</f>
        <v>2023</v>
      </c>
      <c r="T1244" t="str">
        <f>TEXT(marketing_data[[#This Row],[Start_date]],"ddd")</f>
        <v>Sun</v>
      </c>
      <c r="U1244">
        <f>marketing_data[[#This Row],[Cleaned End_date]]-marketing_data[[#This Row],[Start_date]]</f>
        <v>9</v>
      </c>
    </row>
    <row r="1245" spans="1:21" x14ac:dyDescent="0.2">
      <c r="A1245" t="s">
        <v>2578</v>
      </c>
      <c r="B1245" t="s">
        <v>2579</v>
      </c>
      <c r="C1245" s="2">
        <v>45079</v>
      </c>
      <c r="D1245" t="str">
        <f t="shared" si="117"/>
        <v>Jun</v>
      </c>
      <c r="E1245" s="2">
        <v>45099</v>
      </c>
      <c r="F1245" t="s">
        <v>23</v>
      </c>
      <c r="G1245">
        <v>71507</v>
      </c>
      <c r="H1245">
        <v>778</v>
      </c>
      <c r="I1245">
        <v>91</v>
      </c>
      <c r="J1245" t="b">
        <v>1</v>
      </c>
      <c r="K1245" s="10">
        <v>805.12</v>
      </c>
      <c r="L1245" s="6">
        <f t="shared" si="118"/>
        <v>1.0880053701036263E-2</v>
      </c>
      <c r="M1245">
        <f t="shared" si="119"/>
        <v>1.0348586118251928</v>
      </c>
      <c r="N1245">
        <f t="shared" si="120"/>
        <v>8.8474725274725277</v>
      </c>
      <c r="O1245">
        <f t="shared" si="121"/>
        <v>3744.88</v>
      </c>
      <c r="P1245">
        <f t="shared" si="122"/>
        <v>0.11696658097686376</v>
      </c>
      <c r="Q1245" t="s">
        <v>4139</v>
      </c>
      <c r="R1245" t="s">
        <v>4141</v>
      </c>
      <c r="S1245">
        <f>YEAR(marketing_data[[#This Row],[Start_date]])</f>
        <v>2023</v>
      </c>
      <c r="T1245" t="str">
        <f>TEXT(marketing_data[[#This Row],[Start_date]],"ddd")</f>
        <v>Fri</v>
      </c>
      <c r="U1245">
        <f>marketing_data[[#This Row],[Cleaned End_date]]-marketing_data[[#This Row],[Start_date]]</f>
        <v>20</v>
      </c>
    </row>
    <row r="1246" spans="1:21" x14ac:dyDescent="0.2">
      <c r="A1246" t="s">
        <v>2580</v>
      </c>
      <c r="B1246" t="s">
        <v>2581</v>
      </c>
      <c r="C1246" s="2">
        <v>45099</v>
      </c>
      <c r="D1246" t="str">
        <f t="shared" si="117"/>
        <v>Jun</v>
      </c>
      <c r="E1246" s="2">
        <v>45113</v>
      </c>
      <c r="F1246" t="s">
        <v>19</v>
      </c>
      <c r="G1246">
        <v>80026</v>
      </c>
      <c r="H1246">
        <v>2667</v>
      </c>
      <c r="I1246">
        <v>201</v>
      </c>
      <c r="J1246" t="b">
        <v>0</v>
      </c>
      <c r="K1246" s="10">
        <v>3631.7599999999998</v>
      </c>
      <c r="L1246" s="6">
        <f t="shared" si="118"/>
        <v>3.3326668832629393E-2</v>
      </c>
      <c r="M1246">
        <f t="shared" si="119"/>
        <v>1.361739782527184</v>
      </c>
      <c r="N1246">
        <f t="shared" si="120"/>
        <v>18.068457711442786</v>
      </c>
      <c r="O1246">
        <f t="shared" si="121"/>
        <v>6418.24</v>
      </c>
      <c r="P1246">
        <f t="shared" si="122"/>
        <v>7.536557930258718E-2</v>
      </c>
      <c r="Q1246" t="s">
        <v>4139</v>
      </c>
      <c r="R1246" t="s">
        <v>4138</v>
      </c>
      <c r="S1246">
        <f>YEAR(marketing_data[[#This Row],[Start_date]])</f>
        <v>2023</v>
      </c>
      <c r="T1246" t="str">
        <f>TEXT(marketing_data[[#This Row],[Start_date]],"ddd")</f>
        <v>Thu</v>
      </c>
      <c r="U1246">
        <f>marketing_data[[#This Row],[Cleaned End_date]]-marketing_data[[#This Row],[Start_date]]</f>
        <v>14</v>
      </c>
    </row>
    <row r="1247" spans="1:21" x14ac:dyDescent="0.2">
      <c r="A1247" t="s">
        <v>2582</v>
      </c>
      <c r="B1247" t="s">
        <v>2583</v>
      </c>
      <c r="C1247" s="2">
        <v>45068</v>
      </c>
      <c r="D1247" t="str">
        <f t="shared" si="117"/>
        <v>May</v>
      </c>
      <c r="E1247" s="2">
        <v>45090</v>
      </c>
      <c r="F1247" t="s">
        <v>33</v>
      </c>
      <c r="G1247">
        <v>68526</v>
      </c>
      <c r="H1247">
        <v>2993</v>
      </c>
      <c r="I1247">
        <v>435</v>
      </c>
      <c r="J1247" t="b">
        <v>1</v>
      </c>
      <c r="K1247" s="10">
        <v>1677.38</v>
      </c>
      <c r="L1247" s="6">
        <f t="shared" si="118"/>
        <v>4.3676852581501911E-2</v>
      </c>
      <c r="M1247">
        <f t="shared" si="119"/>
        <v>0.56043434680922155</v>
      </c>
      <c r="N1247">
        <f t="shared" si="120"/>
        <v>3.8560459770114943</v>
      </c>
      <c r="O1247">
        <f t="shared" si="121"/>
        <v>20072.62</v>
      </c>
      <c r="P1247">
        <f t="shared" si="122"/>
        <v>0.14533912462412296</v>
      </c>
      <c r="Q1247" t="s">
        <v>4137</v>
      </c>
      <c r="R1247" t="s">
        <v>4139</v>
      </c>
      <c r="S1247">
        <f>YEAR(marketing_data[[#This Row],[Start_date]])</f>
        <v>2023</v>
      </c>
      <c r="T1247" t="str">
        <f>TEXT(marketing_data[[#This Row],[Start_date]],"ddd")</f>
        <v>Mon</v>
      </c>
      <c r="U1247">
        <f>marketing_data[[#This Row],[Cleaned End_date]]-marketing_data[[#This Row],[Start_date]]</f>
        <v>22</v>
      </c>
    </row>
    <row r="1248" spans="1:21" x14ac:dyDescent="0.2">
      <c r="A1248" t="s">
        <v>2584</v>
      </c>
      <c r="B1248" t="s">
        <v>2585</v>
      </c>
      <c r="C1248" s="2">
        <v>45260</v>
      </c>
      <c r="D1248" t="str">
        <f t="shared" si="117"/>
        <v>Nov</v>
      </c>
      <c r="E1248" s="2">
        <v>45282</v>
      </c>
      <c r="F1248" t="s">
        <v>33</v>
      </c>
      <c r="G1248">
        <v>71835</v>
      </c>
      <c r="H1248">
        <v>2295</v>
      </c>
      <c r="I1248">
        <v>450</v>
      </c>
      <c r="J1248" t="b">
        <v>1</v>
      </c>
      <c r="K1248" s="10">
        <v>2910.8</v>
      </c>
      <c r="L1248" s="6">
        <f t="shared" si="118"/>
        <v>3.1948214658592607E-2</v>
      </c>
      <c r="M1248">
        <f t="shared" si="119"/>
        <v>1.268322440087146</v>
      </c>
      <c r="N1248">
        <f t="shared" si="120"/>
        <v>6.4684444444444447</v>
      </c>
      <c r="O1248">
        <f t="shared" si="121"/>
        <v>19589.2</v>
      </c>
      <c r="P1248">
        <f t="shared" si="122"/>
        <v>0.19607843137254902</v>
      </c>
      <c r="Q1248" t="s">
        <v>4136</v>
      </c>
      <c r="R1248" t="s">
        <v>4138</v>
      </c>
      <c r="S1248">
        <f>YEAR(marketing_data[[#This Row],[Start_date]])</f>
        <v>2023</v>
      </c>
      <c r="T1248" t="str">
        <f>TEXT(marketing_data[[#This Row],[Start_date]],"ddd")</f>
        <v>Thu</v>
      </c>
      <c r="U1248">
        <f>marketing_data[[#This Row],[Cleaned End_date]]-marketing_data[[#This Row],[Start_date]]</f>
        <v>22</v>
      </c>
    </row>
    <row r="1249" spans="1:21" x14ac:dyDescent="0.2">
      <c r="A1249" t="s">
        <v>2586</v>
      </c>
      <c r="B1249" t="s">
        <v>2587</v>
      </c>
      <c r="C1249" s="2">
        <v>45050</v>
      </c>
      <c r="D1249" t="str">
        <f t="shared" si="117"/>
        <v>May</v>
      </c>
      <c r="E1249" s="2">
        <v>45057</v>
      </c>
      <c r="F1249" t="s">
        <v>41</v>
      </c>
      <c r="G1249">
        <v>46765</v>
      </c>
      <c r="H1249">
        <v>877</v>
      </c>
      <c r="I1249">
        <v>152</v>
      </c>
      <c r="J1249" t="b">
        <v>0</v>
      </c>
      <c r="K1249" s="10">
        <v>1333.67</v>
      </c>
      <c r="L1249" s="6">
        <f t="shared" si="118"/>
        <v>1.8753341173954882E-2</v>
      </c>
      <c r="M1249">
        <f t="shared" si="119"/>
        <v>1.5207183580387686</v>
      </c>
      <c r="N1249">
        <f t="shared" si="120"/>
        <v>8.7741447368421053</v>
      </c>
      <c r="O1249">
        <f t="shared" si="121"/>
        <v>6266.33</v>
      </c>
      <c r="P1249">
        <f t="shared" si="122"/>
        <v>0.1733181299885975</v>
      </c>
      <c r="Q1249" t="s">
        <v>4137</v>
      </c>
      <c r="R1249" t="s">
        <v>4141</v>
      </c>
      <c r="S1249">
        <f>YEAR(marketing_data[[#This Row],[Start_date]])</f>
        <v>2023</v>
      </c>
      <c r="T1249" t="str">
        <f>TEXT(marketing_data[[#This Row],[Start_date]],"ddd")</f>
        <v>Thu</v>
      </c>
      <c r="U1249">
        <f>marketing_data[[#This Row],[Cleaned End_date]]-marketing_data[[#This Row],[Start_date]]</f>
        <v>7</v>
      </c>
    </row>
    <row r="1250" spans="1:21" x14ac:dyDescent="0.2">
      <c r="A1250" t="s">
        <v>2588</v>
      </c>
      <c r="B1250" t="s">
        <v>2589</v>
      </c>
      <c r="C1250" s="2">
        <v>45234</v>
      </c>
      <c r="D1250" t="str">
        <f t="shared" si="117"/>
        <v>Nov</v>
      </c>
      <c r="E1250" s="2">
        <v>45259</v>
      </c>
      <c r="F1250" t="s">
        <v>14</v>
      </c>
      <c r="G1250">
        <v>20956</v>
      </c>
      <c r="H1250">
        <v>237</v>
      </c>
      <c r="I1250">
        <v>13</v>
      </c>
      <c r="J1250" t="b">
        <v>0</v>
      </c>
      <c r="K1250" s="10">
        <v>449.72</v>
      </c>
      <c r="L1250" s="6">
        <f t="shared" si="118"/>
        <v>1.1309410192784882E-2</v>
      </c>
      <c r="M1250">
        <f t="shared" si="119"/>
        <v>1.8975527426160339</v>
      </c>
      <c r="N1250">
        <f t="shared" si="120"/>
        <v>34.593846153846158</v>
      </c>
      <c r="O1250">
        <f t="shared" si="121"/>
        <v>200.27999999999997</v>
      </c>
      <c r="P1250">
        <f t="shared" si="122"/>
        <v>5.4852320675105488E-2</v>
      </c>
      <c r="Q1250" t="s">
        <v>4136</v>
      </c>
      <c r="R1250" t="s">
        <v>4139</v>
      </c>
      <c r="S1250">
        <f>YEAR(marketing_data[[#This Row],[Start_date]])</f>
        <v>2023</v>
      </c>
      <c r="T1250" t="str">
        <f>TEXT(marketing_data[[#This Row],[Start_date]],"ddd")</f>
        <v>Sat</v>
      </c>
      <c r="U1250">
        <f>marketing_data[[#This Row],[Cleaned End_date]]-marketing_data[[#This Row],[Start_date]]</f>
        <v>25</v>
      </c>
    </row>
    <row r="1251" spans="1:21" x14ac:dyDescent="0.2">
      <c r="A1251" t="s">
        <v>2590</v>
      </c>
      <c r="B1251" t="s">
        <v>2591</v>
      </c>
      <c r="C1251" s="2">
        <v>44998</v>
      </c>
      <c r="D1251" t="str">
        <f t="shared" si="117"/>
        <v>Mar</v>
      </c>
      <c r="E1251" s="2">
        <v>45018</v>
      </c>
      <c r="F1251" t="s">
        <v>33</v>
      </c>
      <c r="G1251">
        <v>88895</v>
      </c>
      <c r="H1251">
        <v>1652</v>
      </c>
      <c r="I1251">
        <v>175</v>
      </c>
      <c r="J1251" t="b">
        <v>0</v>
      </c>
      <c r="K1251" s="10">
        <v>2363.2800000000002</v>
      </c>
      <c r="L1251" s="6">
        <f t="shared" si="118"/>
        <v>1.8583722369087126E-2</v>
      </c>
      <c r="M1251">
        <f t="shared" si="119"/>
        <v>1.4305569007263923</v>
      </c>
      <c r="N1251">
        <f t="shared" si="120"/>
        <v>13.504457142857143</v>
      </c>
      <c r="O1251">
        <f t="shared" si="121"/>
        <v>6386.7199999999993</v>
      </c>
      <c r="P1251">
        <f t="shared" si="122"/>
        <v>0.1059322033898305</v>
      </c>
      <c r="Q1251" t="s">
        <v>4137</v>
      </c>
      <c r="R1251" t="s">
        <v>4141</v>
      </c>
      <c r="S1251">
        <f>YEAR(marketing_data[[#This Row],[Start_date]])</f>
        <v>2023</v>
      </c>
      <c r="T1251" t="str">
        <f>TEXT(marketing_data[[#This Row],[Start_date]],"ddd")</f>
        <v>Mon</v>
      </c>
      <c r="U1251">
        <f>marketing_data[[#This Row],[Cleaned End_date]]-marketing_data[[#This Row],[Start_date]]</f>
        <v>20</v>
      </c>
    </row>
    <row r="1252" spans="1:21" x14ac:dyDescent="0.2">
      <c r="A1252" t="s">
        <v>2592</v>
      </c>
      <c r="B1252" t="s">
        <v>2593</v>
      </c>
      <c r="C1252" s="2">
        <v>45078</v>
      </c>
      <c r="D1252" t="str">
        <f t="shared" si="117"/>
        <v>Jun</v>
      </c>
      <c r="E1252" s="2">
        <v>45107</v>
      </c>
      <c r="F1252" t="s">
        <v>23</v>
      </c>
      <c r="G1252">
        <v>47240</v>
      </c>
      <c r="H1252">
        <v>1258</v>
      </c>
      <c r="I1252">
        <v>237</v>
      </c>
      <c r="J1252" t="b">
        <v>0</v>
      </c>
      <c r="K1252" s="10">
        <v>2145.69</v>
      </c>
      <c r="L1252" s="6">
        <f t="shared" si="118"/>
        <v>2.6629974597798475E-2</v>
      </c>
      <c r="M1252">
        <f t="shared" si="119"/>
        <v>1.7056359300476949</v>
      </c>
      <c r="N1252">
        <f t="shared" si="120"/>
        <v>9.0535443037974694</v>
      </c>
      <c r="O1252">
        <f t="shared" si="121"/>
        <v>9704.31</v>
      </c>
      <c r="P1252">
        <f t="shared" si="122"/>
        <v>0.18839427662957076</v>
      </c>
      <c r="Q1252" t="s">
        <v>4139</v>
      </c>
      <c r="R1252" t="s">
        <v>4141</v>
      </c>
      <c r="S1252">
        <f>YEAR(marketing_data[[#This Row],[Start_date]])</f>
        <v>2023</v>
      </c>
      <c r="T1252" t="str">
        <f>TEXT(marketing_data[[#This Row],[Start_date]],"ddd")</f>
        <v>Thu</v>
      </c>
      <c r="U1252">
        <f>marketing_data[[#This Row],[Cleaned End_date]]-marketing_data[[#This Row],[Start_date]]</f>
        <v>29</v>
      </c>
    </row>
    <row r="1253" spans="1:21" x14ac:dyDescent="0.2">
      <c r="A1253" t="s">
        <v>2594</v>
      </c>
      <c r="B1253" t="s">
        <v>2595</v>
      </c>
      <c r="C1253" s="2">
        <v>45125</v>
      </c>
      <c r="D1253" t="str">
        <f t="shared" si="117"/>
        <v>Jul</v>
      </c>
      <c r="E1253" s="2">
        <v>45151</v>
      </c>
      <c r="F1253" t="s">
        <v>23</v>
      </c>
      <c r="G1253">
        <v>38148</v>
      </c>
      <c r="H1253">
        <v>1540</v>
      </c>
      <c r="I1253">
        <v>193</v>
      </c>
      <c r="J1253" t="b">
        <v>1</v>
      </c>
      <c r="K1253" s="10">
        <v>963.4</v>
      </c>
      <c r="L1253" s="6">
        <f t="shared" si="118"/>
        <v>4.0369088811995385E-2</v>
      </c>
      <c r="M1253">
        <f t="shared" si="119"/>
        <v>0.62558441558441558</v>
      </c>
      <c r="N1253">
        <f t="shared" si="120"/>
        <v>4.9917098445595851</v>
      </c>
      <c r="O1253">
        <f t="shared" si="121"/>
        <v>8686.6</v>
      </c>
      <c r="P1253">
        <f t="shared" si="122"/>
        <v>0.12532467532467531</v>
      </c>
      <c r="Q1253" t="s">
        <v>4139</v>
      </c>
      <c r="R1253" t="s">
        <v>4141</v>
      </c>
      <c r="S1253">
        <f>YEAR(marketing_data[[#This Row],[Start_date]])</f>
        <v>2023</v>
      </c>
      <c r="T1253" t="str">
        <f>TEXT(marketing_data[[#This Row],[Start_date]],"ddd")</f>
        <v>Tue</v>
      </c>
      <c r="U1253">
        <f>marketing_data[[#This Row],[Cleaned End_date]]-marketing_data[[#This Row],[Start_date]]</f>
        <v>26</v>
      </c>
    </row>
    <row r="1254" spans="1:21" x14ac:dyDescent="0.2">
      <c r="A1254" t="s">
        <v>2596</v>
      </c>
      <c r="B1254" t="s">
        <v>2597</v>
      </c>
      <c r="C1254" s="2">
        <v>45219</v>
      </c>
      <c r="D1254" t="str">
        <f t="shared" si="117"/>
        <v>Oct</v>
      </c>
      <c r="E1254" s="2">
        <v>45224</v>
      </c>
      <c r="F1254" t="s">
        <v>33</v>
      </c>
      <c r="G1254">
        <v>95270</v>
      </c>
      <c r="H1254">
        <v>1668</v>
      </c>
      <c r="I1254">
        <v>249</v>
      </c>
      <c r="J1254" t="b">
        <v>1</v>
      </c>
      <c r="K1254" s="10">
        <v>1799.62</v>
      </c>
      <c r="L1254" s="6">
        <f t="shared" si="118"/>
        <v>1.7508134774850425E-2</v>
      </c>
      <c r="M1254">
        <f t="shared" si="119"/>
        <v>1.0789088729016787</v>
      </c>
      <c r="N1254">
        <f t="shared" si="120"/>
        <v>7.2273895582329315</v>
      </c>
      <c r="O1254">
        <f t="shared" si="121"/>
        <v>10650.380000000001</v>
      </c>
      <c r="P1254">
        <f t="shared" si="122"/>
        <v>0.14928057553956833</v>
      </c>
      <c r="Q1254" t="s">
        <v>4136</v>
      </c>
      <c r="R1254" t="s">
        <v>4139</v>
      </c>
      <c r="S1254">
        <f>YEAR(marketing_data[[#This Row],[Start_date]])</f>
        <v>2023</v>
      </c>
      <c r="T1254" t="str">
        <f>TEXT(marketing_data[[#This Row],[Start_date]],"ddd")</f>
        <v>Fri</v>
      </c>
      <c r="U1254">
        <f>marketing_data[[#This Row],[Cleaned End_date]]-marketing_data[[#This Row],[Start_date]]</f>
        <v>5</v>
      </c>
    </row>
    <row r="1255" spans="1:21" x14ac:dyDescent="0.2">
      <c r="A1255" t="s">
        <v>2598</v>
      </c>
      <c r="B1255" t="s">
        <v>2599</v>
      </c>
      <c r="C1255" s="2">
        <v>45292</v>
      </c>
      <c r="D1255" t="str">
        <f t="shared" si="117"/>
        <v>Jan</v>
      </c>
      <c r="E1255" s="2">
        <v>45318</v>
      </c>
      <c r="F1255" t="s">
        <v>19</v>
      </c>
      <c r="G1255">
        <v>5757</v>
      </c>
      <c r="H1255">
        <v>223</v>
      </c>
      <c r="I1255">
        <v>41</v>
      </c>
      <c r="J1255" t="b">
        <v>1</v>
      </c>
      <c r="K1255" s="10">
        <v>329.13249999999999</v>
      </c>
      <c r="L1255" s="6">
        <f t="shared" si="118"/>
        <v>3.8735452492617679E-2</v>
      </c>
      <c r="M1255">
        <f t="shared" si="119"/>
        <v>1.4759304932735426</v>
      </c>
      <c r="N1255">
        <f t="shared" si="120"/>
        <v>8.0276219512195119</v>
      </c>
      <c r="O1255">
        <f t="shared" si="121"/>
        <v>1720.8675000000001</v>
      </c>
      <c r="P1255">
        <f t="shared" si="122"/>
        <v>0.18385650224215247</v>
      </c>
      <c r="Q1255" t="s">
        <v>4138</v>
      </c>
      <c r="R1255" t="s">
        <v>4141</v>
      </c>
      <c r="S1255">
        <f>YEAR(marketing_data[[#This Row],[Start_date]])</f>
        <v>2024</v>
      </c>
      <c r="T1255" t="str">
        <f>TEXT(marketing_data[[#This Row],[Start_date]],"ddd")</f>
        <v>Mon</v>
      </c>
      <c r="U1255">
        <f>marketing_data[[#This Row],[Cleaned End_date]]-marketing_data[[#This Row],[Start_date]]</f>
        <v>26</v>
      </c>
    </row>
    <row r="1256" spans="1:21" x14ac:dyDescent="0.2">
      <c r="A1256" t="s">
        <v>2600</v>
      </c>
      <c r="B1256" t="s">
        <v>2601</v>
      </c>
      <c r="C1256" s="2">
        <v>45170</v>
      </c>
      <c r="D1256" t="str">
        <f t="shared" si="117"/>
        <v>Sep</v>
      </c>
      <c r="E1256" s="2">
        <v>45195</v>
      </c>
      <c r="F1256" t="s">
        <v>41</v>
      </c>
      <c r="G1256">
        <v>20097</v>
      </c>
      <c r="H1256">
        <v>897</v>
      </c>
      <c r="I1256">
        <v>162</v>
      </c>
      <c r="J1256" t="b">
        <v>0</v>
      </c>
      <c r="K1256" s="10">
        <v>1641</v>
      </c>
      <c r="L1256" s="6">
        <f t="shared" si="118"/>
        <v>4.4633527392148084E-2</v>
      </c>
      <c r="M1256">
        <f t="shared" si="119"/>
        <v>1.8294314381270902</v>
      </c>
      <c r="N1256">
        <f t="shared" si="120"/>
        <v>10.12962962962963</v>
      </c>
      <c r="O1256">
        <f t="shared" si="121"/>
        <v>6459</v>
      </c>
      <c r="P1256">
        <f t="shared" si="122"/>
        <v>0.1806020066889632</v>
      </c>
      <c r="Q1256" t="s">
        <v>4136</v>
      </c>
      <c r="R1256" t="s">
        <v>4139</v>
      </c>
      <c r="S1256">
        <f>YEAR(marketing_data[[#This Row],[Start_date]])</f>
        <v>2023</v>
      </c>
      <c r="T1256" t="str">
        <f>TEXT(marketing_data[[#This Row],[Start_date]],"ddd")</f>
        <v>Fri</v>
      </c>
      <c r="U1256">
        <f>marketing_data[[#This Row],[Cleaned End_date]]-marketing_data[[#This Row],[Start_date]]</f>
        <v>25</v>
      </c>
    </row>
    <row r="1257" spans="1:21" x14ac:dyDescent="0.2">
      <c r="A1257" t="s">
        <v>2602</v>
      </c>
      <c r="B1257" t="s">
        <v>2603</v>
      </c>
      <c r="C1257" s="2">
        <v>45186</v>
      </c>
      <c r="D1257" t="str">
        <f t="shared" si="117"/>
        <v>Sep</v>
      </c>
      <c r="E1257" s="2">
        <v>45209</v>
      </c>
      <c r="F1257" t="s">
        <v>23</v>
      </c>
      <c r="G1257">
        <v>11395</v>
      </c>
      <c r="H1257">
        <v>320</v>
      </c>
      <c r="I1257">
        <v>40</v>
      </c>
      <c r="J1257" t="b">
        <v>1</v>
      </c>
      <c r="K1257" s="10">
        <v>329.13249999999999</v>
      </c>
      <c r="L1257" s="6">
        <f t="shared" si="118"/>
        <v>2.8082492321193506E-2</v>
      </c>
      <c r="M1257">
        <f t="shared" si="119"/>
        <v>1.0285390624999999</v>
      </c>
      <c r="N1257">
        <f t="shared" si="120"/>
        <v>8.2283124999999995</v>
      </c>
      <c r="O1257">
        <f t="shared" si="121"/>
        <v>1670.8675000000001</v>
      </c>
      <c r="P1257">
        <f t="shared" si="122"/>
        <v>0.125</v>
      </c>
      <c r="Q1257" t="s">
        <v>4136</v>
      </c>
      <c r="R1257" t="s">
        <v>4141</v>
      </c>
      <c r="S1257">
        <f>YEAR(marketing_data[[#This Row],[Start_date]])</f>
        <v>2023</v>
      </c>
      <c r="T1257" t="str">
        <f>TEXT(marketing_data[[#This Row],[Start_date]],"ddd")</f>
        <v>Sun</v>
      </c>
      <c r="U1257">
        <f>marketing_data[[#This Row],[Cleaned End_date]]-marketing_data[[#This Row],[Start_date]]</f>
        <v>23</v>
      </c>
    </row>
    <row r="1258" spans="1:21" x14ac:dyDescent="0.2">
      <c r="A1258" t="s">
        <v>2604</v>
      </c>
      <c r="B1258" t="s">
        <v>2605</v>
      </c>
      <c r="C1258" s="2">
        <v>45263</v>
      </c>
      <c r="D1258" t="str">
        <f t="shared" si="117"/>
        <v>Dec</v>
      </c>
      <c r="E1258" s="2">
        <v>45273</v>
      </c>
      <c r="F1258" t="s">
        <v>14</v>
      </c>
      <c r="G1258">
        <v>17241</v>
      </c>
      <c r="H1258">
        <v>738</v>
      </c>
      <c r="J1258" t="b">
        <v>0</v>
      </c>
      <c r="K1258" s="10">
        <v>537.14</v>
      </c>
      <c r="L1258" s="6">
        <f t="shared" si="118"/>
        <v>4.2804941708717591E-2</v>
      </c>
      <c r="M1258">
        <f t="shared" si="119"/>
        <v>0.72783197831978319</v>
      </c>
      <c r="N1258">
        <f t="shared" si="120"/>
        <v>0</v>
      </c>
      <c r="O1258">
        <f t="shared" si="121"/>
        <v>-537.14</v>
      </c>
      <c r="P1258">
        <f t="shared" si="122"/>
        <v>0</v>
      </c>
      <c r="Q1258" t="s">
        <v>4138</v>
      </c>
      <c r="R1258" t="s">
        <v>4142</v>
      </c>
      <c r="S1258">
        <f>YEAR(marketing_data[[#This Row],[Start_date]])</f>
        <v>2023</v>
      </c>
      <c r="T1258" t="str">
        <f>TEXT(marketing_data[[#This Row],[Start_date]],"ddd")</f>
        <v>Sun</v>
      </c>
      <c r="U1258">
        <f>marketing_data[[#This Row],[Cleaned End_date]]-marketing_data[[#This Row],[Start_date]]</f>
        <v>10</v>
      </c>
    </row>
    <row r="1259" spans="1:21" x14ac:dyDescent="0.2">
      <c r="A1259" t="s">
        <v>2606</v>
      </c>
      <c r="B1259" t="s">
        <v>2607</v>
      </c>
      <c r="C1259" s="2">
        <v>44976</v>
      </c>
      <c r="D1259" t="str">
        <f t="shared" si="117"/>
        <v>Feb</v>
      </c>
      <c r="E1259" s="2">
        <v>44983</v>
      </c>
      <c r="F1259" t="s">
        <v>19</v>
      </c>
      <c r="G1259">
        <v>28696</v>
      </c>
      <c r="H1259">
        <v>923</v>
      </c>
      <c r="I1259">
        <v>93</v>
      </c>
      <c r="J1259" t="b">
        <v>0</v>
      </c>
      <c r="K1259" s="10">
        <v>916.39</v>
      </c>
      <c r="L1259" s="6">
        <f t="shared" si="118"/>
        <v>3.2164761639252859E-2</v>
      </c>
      <c r="M1259">
        <f t="shared" si="119"/>
        <v>0.99283856988082342</v>
      </c>
      <c r="N1259">
        <f t="shared" si="120"/>
        <v>9.8536559139784945</v>
      </c>
      <c r="O1259">
        <f t="shared" si="121"/>
        <v>3733.61</v>
      </c>
      <c r="P1259">
        <f t="shared" si="122"/>
        <v>0.10075839653304441</v>
      </c>
      <c r="Q1259" t="s">
        <v>4138</v>
      </c>
      <c r="R1259" t="s">
        <v>4141</v>
      </c>
      <c r="S1259">
        <f>YEAR(marketing_data[[#This Row],[Start_date]])</f>
        <v>2023</v>
      </c>
      <c r="T1259" t="str">
        <f>TEXT(marketing_data[[#This Row],[Start_date]],"ddd")</f>
        <v>Sun</v>
      </c>
      <c r="U1259">
        <f>marketing_data[[#This Row],[Cleaned End_date]]-marketing_data[[#This Row],[Start_date]]</f>
        <v>7</v>
      </c>
    </row>
    <row r="1260" spans="1:21" x14ac:dyDescent="0.2">
      <c r="A1260" t="s">
        <v>2608</v>
      </c>
      <c r="B1260" t="s">
        <v>2609</v>
      </c>
      <c r="C1260" s="2">
        <v>45213</v>
      </c>
      <c r="D1260" t="str">
        <f t="shared" si="117"/>
        <v>Oct</v>
      </c>
      <c r="E1260" s="2">
        <v>45235</v>
      </c>
      <c r="F1260" t="s">
        <v>23</v>
      </c>
      <c r="G1260">
        <v>71480</v>
      </c>
      <c r="H1260">
        <v>2536</v>
      </c>
      <c r="I1260">
        <v>400</v>
      </c>
      <c r="J1260" t="b">
        <v>1</v>
      </c>
      <c r="K1260" s="10">
        <v>1475.19</v>
      </c>
      <c r="L1260" s="6">
        <f t="shared" si="118"/>
        <v>3.547845551203134E-2</v>
      </c>
      <c r="M1260">
        <f t="shared" si="119"/>
        <v>0.58169952681388015</v>
      </c>
      <c r="N1260">
        <f t="shared" si="120"/>
        <v>3.6879750000000002</v>
      </c>
      <c r="O1260">
        <f t="shared" si="121"/>
        <v>18524.810000000001</v>
      </c>
      <c r="P1260">
        <f t="shared" si="122"/>
        <v>0.15772870662460567</v>
      </c>
      <c r="Q1260" t="s">
        <v>4136</v>
      </c>
      <c r="R1260" t="s">
        <v>4139</v>
      </c>
      <c r="S1260">
        <f>YEAR(marketing_data[[#This Row],[Start_date]])</f>
        <v>2023</v>
      </c>
      <c r="T1260" t="str">
        <f>TEXT(marketing_data[[#This Row],[Start_date]],"ddd")</f>
        <v>Sat</v>
      </c>
      <c r="U1260">
        <f>marketing_data[[#This Row],[Cleaned End_date]]-marketing_data[[#This Row],[Start_date]]</f>
        <v>22</v>
      </c>
    </row>
    <row r="1261" spans="1:21" x14ac:dyDescent="0.2">
      <c r="A1261" t="s">
        <v>2610</v>
      </c>
      <c r="B1261" t="s">
        <v>2611</v>
      </c>
      <c r="C1261" s="2">
        <v>45275</v>
      </c>
      <c r="D1261" t="str">
        <f t="shared" si="117"/>
        <v>Dec</v>
      </c>
      <c r="E1261" s="2">
        <v>45297</v>
      </c>
      <c r="F1261" t="s">
        <v>23</v>
      </c>
      <c r="G1261">
        <v>47163</v>
      </c>
      <c r="H1261">
        <v>1464</v>
      </c>
      <c r="I1261">
        <v>136</v>
      </c>
      <c r="J1261" t="b">
        <v>1</v>
      </c>
      <c r="K1261" s="10">
        <v>1132.68</v>
      </c>
      <c r="L1261" s="6">
        <f t="shared" si="118"/>
        <v>3.1041282361172953E-2</v>
      </c>
      <c r="M1261">
        <f t="shared" si="119"/>
        <v>0.77368852459016402</v>
      </c>
      <c r="N1261">
        <f t="shared" si="120"/>
        <v>8.3285294117647055</v>
      </c>
      <c r="O1261">
        <f t="shared" si="121"/>
        <v>5667.32</v>
      </c>
      <c r="P1261">
        <f t="shared" si="122"/>
        <v>9.2896174863387984E-2</v>
      </c>
      <c r="Q1261" t="s">
        <v>4138</v>
      </c>
      <c r="R1261" t="s">
        <v>4138</v>
      </c>
      <c r="S1261">
        <f>YEAR(marketing_data[[#This Row],[Start_date]])</f>
        <v>2023</v>
      </c>
      <c r="T1261" t="str">
        <f>TEXT(marketing_data[[#This Row],[Start_date]],"ddd")</f>
        <v>Fri</v>
      </c>
      <c r="U1261">
        <f>marketing_data[[#This Row],[Cleaned End_date]]-marketing_data[[#This Row],[Start_date]]</f>
        <v>22</v>
      </c>
    </row>
    <row r="1262" spans="1:21" x14ac:dyDescent="0.2">
      <c r="A1262" t="s">
        <v>2612</v>
      </c>
      <c r="B1262" t="s">
        <v>2613</v>
      </c>
      <c r="C1262" s="2">
        <v>45040</v>
      </c>
      <c r="D1262" t="str">
        <f t="shared" si="117"/>
        <v>Apr</v>
      </c>
      <c r="E1262" s="2">
        <v>45052</v>
      </c>
      <c r="F1262" t="s">
        <v>23</v>
      </c>
      <c r="G1262">
        <v>20816</v>
      </c>
      <c r="H1262">
        <v>593</v>
      </c>
      <c r="I1262">
        <v>51</v>
      </c>
      <c r="J1262" t="b">
        <v>1</v>
      </c>
      <c r="K1262" s="10">
        <v>1155.05</v>
      </c>
      <c r="L1262" s="6">
        <f t="shared" si="118"/>
        <v>2.8487701767870868E-2</v>
      </c>
      <c r="M1262">
        <f t="shared" si="119"/>
        <v>1.9478077571669477</v>
      </c>
      <c r="N1262">
        <f t="shared" si="120"/>
        <v>22.648039215686275</v>
      </c>
      <c r="O1262">
        <f t="shared" si="121"/>
        <v>1394.95</v>
      </c>
      <c r="P1262">
        <f t="shared" si="122"/>
        <v>8.6003372681281623E-2</v>
      </c>
      <c r="Q1262" t="s">
        <v>4137</v>
      </c>
      <c r="R1262" t="s">
        <v>4139</v>
      </c>
      <c r="S1262">
        <f>YEAR(marketing_data[[#This Row],[Start_date]])</f>
        <v>2023</v>
      </c>
      <c r="T1262" t="str">
        <f>TEXT(marketing_data[[#This Row],[Start_date]],"ddd")</f>
        <v>Mon</v>
      </c>
      <c r="U1262">
        <f>marketing_data[[#This Row],[Cleaned End_date]]-marketing_data[[#This Row],[Start_date]]</f>
        <v>12</v>
      </c>
    </row>
    <row r="1263" spans="1:21" x14ac:dyDescent="0.2">
      <c r="A1263" t="s">
        <v>2614</v>
      </c>
      <c r="B1263" t="s">
        <v>2615</v>
      </c>
      <c r="C1263" s="2">
        <v>45084</v>
      </c>
      <c r="D1263" t="str">
        <f t="shared" si="117"/>
        <v>Jun</v>
      </c>
      <c r="E1263" s="2">
        <v>45107</v>
      </c>
      <c r="F1263" t="s">
        <v>23</v>
      </c>
      <c r="G1263">
        <v>50840</v>
      </c>
      <c r="H1263">
        <v>985</v>
      </c>
      <c r="I1263">
        <v>101</v>
      </c>
      <c r="J1263" t="b">
        <v>1</v>
      </c>
      <c r="K1263" s="10">
        <v>1125.1400000000001</v>
      </c>
      <c r="L1263" s="6">
        <f t="shared" si="118"/>
        <v>1.9374508261211645E-2</v>
      </c>
      <c r="M1263">
        <f t="shared" si="119"/>
        <v>1.1422741116751269</v>
      </c>
      <c r="N1263">
        <f t="shared" si="120"/>
        <v>11.14</v>
      </c>
      <c r="O1263">
        <f t="shared" si="121"/>
        <v>3924.8599999999997</v>
      </c>
      <c r="P1263">
        <f t="shared" si="122"/>
        <v>0.10253807106598985</v>
      </c>
      <c r="Q1263" t="s">
        <v>4139</v>
      </c>
      <c r="R1263" t="s">
        <v>4142</v>
      </c>
      <c r="S1263">
        <f>YEAR(marketing_data[[#This Row],[Start_date]])</f>
        <v>2023</v>
      </c>
      <c r="T1263" t="str">
        <f>TEXT(marketing_data[[#This Row],[Start_date]],"ddd")</f>
        <v>Wed</v>
      </c>
      <c r="U1263">
        <f>marketing_data[[#This Row],[Cleaned End_date]]-marketing_data[[#This Row],[Start_date]]</f>
        <v>23</v>
      </c>
    </row>
    <row r="1264" spans="1:21" x14ac:dyDescent="0.2">
      <c r="A1264" t="s">
        <v>2616</v>
      </c>
      <c r="B1264" t="s">
        <v>2617</v>
      </c>
      <c r="C1264" s="2">
        <v>45117</v>
      </c>
      <c r="D1264" t="str">
        <f t="shared" si="117"/>
        <v>Jul</v>
      </c>
      <c r="E1264" s="2">
        <v>45135</v>
      </c>
      <c r="F1264" t="s">
        <v>41</v>
      </c>
      <c r="G1264">
        <v>53853</v>
      </c>
      <c r="H1264">
        <v>1191</v>
      </c>
      <c r="I1264">
        <v>91</v>
      </c>
      <c r="J1264" t="b">
        <v>0</v>
      </c>
      <c r="K1264" s="10">
        <v>1724.6</v>
      </c>
      <c r="L1264" s="6">
        <f t="shared" si="118"/>
        <v>2.2115759567712105E-2</v>
      </c>
      <c r="M1264">
        <f t="shared" si="119"/>
        <v>1.4480268681780015</v>
      </c>
      <c r="N1264">
        <f t="shared" si="120"/>
        <v>18.951648351648352</v>
      </c>
      <c r="O1264">
        <f t="shared" si="121"/>
        <v>2825.4</v>
      </c>
      <c r="P1264">
        <f t="shared" si="122"/>
        <v>7.6406381192275399E-2</v>
      </c>
      <c r="Q1264" t="s">
        <v>4139</v>
      </c>
      <c r="R1264" t="s">
        <v>4142</v>
      </c>
      <c r="S1264">
        <f>YEAR(marketing_data[[#This Row],[Start_date]])</f>
        <v>2023</v>
      </c>
      <c r="T1264" t="str">
        <f>TEXT(marketing_data[[#This Row],[Start_date]],"ddd")</f>
        <v>Mon</v>
      </c>
      <c r="U1264">
        <f>marketing_data[[#This Row],[Cleaned End_date]]-marketing_data[[#This Row],[Start_date]]</f>
        <v>18</v>
      </c>
    </row>
    <row r="1265" spans="1:21" x14ac:dyDescent="0.2">
      <c r="A1265" t="s">
        <v>2618</v>
      </c>
      <c r="B1265" t="s">
        <v>2619</v>
      </c>
      <c r="C1265" s="2">
        <v>44987</v>
      </c>
      <c r="D1265" t="str">
        <f t="shared" si="117"/>
        <v>Mar</v>
      </c>
      <c r="E1265" s="2">
        <v>45005</v>
      </c>
      <c r="F1265" t="s">
        <v>23</v>
      </c>
      <c r="G1265">
        <v>25917</v>
      </c>
      <c r="H1265">
        <v>559</v>
      </c>
      <c r="I1265">
        <v>86</v>
      </c>
      <c r="J1265" t="b">
        <v>1</v>
      </c>
      <c r="K1265" s="10">
        <v>888.34</v>
      </c>
      <c r="L1265" s="6">
        <f t="shared" si="118"/>
        <v>2.1568854419878845E-2</v>
      </c>
      <c r="M1265">
        <f t="shared" si="119"/>
        <v>1.5891592128801433</v>
      </c>
      <c r="N1265">
        <f t="shared" si="120"/>
        <v>10.32953488372093</v>
      </c>
      <c r="O1265">
        <f t="shared" si="121"/>
        <v>3411.66</v>
      </c>
      <c r="P1265">
        <f t="shared" si="122"/>
        <v>0.15384615384615385</v>
      </c>
      <c r="Q1265" t="s">
        <v>4137</v>
      </c>
      <c r="R1265" t="s">
        <v>4138</v>
      </c>
      <c r="S1265">
        <f>YEAR(marketing_data[[#This Row],[Start_date]])</f>
        <v>2023</v>
      </c>
      <c r="T1265" t="str">
        <f>TEXT(marketing_data[[#This Row],[Start_date]],"ddd")</f>
        <v>Thu</v>
      </c>
      <c r="U1265">
        <f>marketing_data[[#This Row],[Cleaned End_date]]-marketing_data[[#This Row],[Start_date]]</f>
        <v>18</v>
      </c>
    </row>
    <row r="1266" spans="1:21" x14ac:dyDescent="0.2">
      <c r="A1266" t="s">
        <v>2620</v>
      </c>
      <c r="B1266" t="s">
        <v>2621</v>
      </c>
      <c r="C1266" s="2">
        <v>45225</v>
      </c>
      <c r="D1266" t="str">
        <f t="shared" si="117"/>
        <v>Oct</v>
      </c>
      <c r="E1266" s="2">
        <v>45236</v>
      </c>
      <c r="F1266" t="s">
        <v>14</v>
      </c>
      <c r="G1266">
        <v>97731</v>
      </c>
      <c r="H1266">
        <v>3179</v>
      </c>
      <c r="J1266" t="b">
        <v>1</v>
      </c>
      <c r="K1266" s="10">
        <v>3339.36</v>
      </c>
      <c r="L1266" s="6">
        <f t="shared" si="118"/>
        <v>3.2528061720436707E-2</v>
      </c>
      <c r="M1266">
        <f t="shared" si="119"/>
        <v>1.0504435357030513</v>
      </c>
      <c r="N1266">
        <f t="shared" si="120"/>
        <v>0</v>
      </c>
      <c r="O1266">
        <f t="shared" si="121"/>
        <v>-3339.36</v>
      </c>
      <c r="P1266">
        <f t="shared" si="122"/>
        <v>0</v>
      </c>
      <c r="Q1266" t="s">
        <v>4136</v>
      </c>
      <c r="R1266" t="s">
        <v>4138</v>
      </c>
      <c r="S1266">
        <f>YEAR(marketing_data[[#This Row],[Start_date]])</f>
        <v>2023</v>
      </c>
      <c r="T1266" t="str">
        <f>TEXT(marketing_data[[#This Row],[Start_date]],"ddd")</f>
        <v>Thu</v>
      </c>
      <c r="U1266">
        <f>marketing_data[[#This Row],[Cleaned End_date]]-marketing_data[[#This Row],[Start_date]]</f>
        <v>11</v>
      </c>
    </row>
    <row r="1267" spans="1:21" x14ac:dyDescent="0.2">
      <c r="A1267" t="s">
        <v>2622</v>
      </c>
      <c r="B1267" t="s">
        <v>2623</v>
      </c>
      <c r="C1267" s="2">
        <v>45168</v>
      </c>
      <c r="D1267" t="str">
        <f t="shared" si="117"/>
        <v>Aug</v>
      </c>
      <c r="E1267" s="2">
        <v>45175</v>
      </c>
      <c r="F1267" t="s">
        <v>23</v>
      </c>
      <c r="G1267">
        <v>22566</v>
      </c>
      <c r="H1267">
        <v>333</v>
      </c>
      <c r="I1267">
        <v>40</v>
      </c>
      <c r="J1267" t="b">
        <v>1</v>
      </c>
      <c r="K1267" s="10">
        <v>329.13249999999999</v>
      </c>
      <c r="L1267" s="6">
        <f t="shared" si="118"/>
        <v>1.4756713639989365E-2</v>
      </c>
      <c r="M1267">
        <f t="shared" si="119"/>
        <v>0.98838588588588583</v>
      </c>
      <c r="N1267">
        <f t="shared" si="120"/>
        <v>8.2283124999999995</v>
      </c>
      <c r="O1267">
        <f t="shared" si="121"/>
        <v>1670.8675000000001</v>
      </c>
      <c r="P1267">
        <f t="shared" si="122"/>
        <v>0.12012012012012012</v>
      </c>
      <c r="Q1267" t="s">
        <v>4139</v>
      </c>
      <c r="R1267" t="s">
        <v>4139</v>
      </c>
      <c r="S1267">
        <f>YEAR(marketing_data[[#This Row],[Start_date]])</f>
        <v>2023</v>
      </c>
      <c r="T1267" t="str">
        <f>TEXT(marketing_data[[#This Row],[Start_date]],"ddd")</f>
        <v>Wed</v>
      </c>
      <c r="U1267">
        <f>marketing_data[[#This Row],[Cleaned End_date]]-marketing_data[[#This Row],[Start_date]]</f>
        <v>7</v>
      </c>
    </row>
    <row r="1268" spans="1:21" x14ac:dyDescent="0.2">
      <c r="A1268" t="s">
        <v>2624</v>
      </c>
      <c r="B1268" t="s">
        <v>2625</v>
      </c>
      <c r="C1268" s="2">
        <v>45275</v>
      </c>
      <c r="D1268" t="str">
        <f t="shared" si="117"/>
        <v>Dec</v>
      </c>
      <c r="E1268" s="2">
        <v>45301</v>
      </c>
      <c r="F1268" t="s">
        <v>23</v>
      </c>
      <c r="G1268">
        <v>76452</v>
      </c>
      <c r="H1268">
        <v>3568</v>
      </c>
      <c r="I1268">
        <v>387</v>
      </c>
      <c r="J1268" t="b">
        <v>1</v>
      </c>
      <c r="K1268" s="10">
        <v>2889.62</v>
      </c>
      <c r="L1268" s="6">
        <f t="shared" si="118"/>
        <v>4.6669805891278185E-2</v>
      </c>
      <c r="M1268">
        <f t="shared" si="119"/>
        <v>0.80987107623318377</v>
      </c>
      <c r="N1268">
        <f t="shared" si="120"/>
        <v>7.4667183462532298</v>
      </c>
      <c r="O1268">
        <f t="shared" si="121"/>
        <v>16460.38</v>
      </c>
      <c r="P1268">
        <f t="shared" si="122"/>
        <v>0.10846412556053811</v>
      </c>
      <c r="Q1268" t="s">
        <v>4138</v>
      </c>
      <c r="R1268" t="s">
        <v>4139</v>
      </c>
      <c r="S1268">
        <f>YEAR(marketing_data[[#This Row],[Start_date]])</f>
        <v>2023</v>
      </c>
      <c r="T1268" t="str">
        <f>TEXT(marketing_data[[#This Row],[Start_date]],"ddd")</f>
        <v>Fri</v>
      </c>
      <c r="U1268">
        <f>marketing_data[[#This Row],[Cleaned End_date]]-marketing_data[[#This Row],[Start_date]]</f>
        <v>26</v>
      </c>
    </row>
    <row r="1269" spans="1:21" x14ac:dyDescent="0.2">
      <c r="A1269" t="s">
        <v>2626</v>
      </c>
      <c r="B1269" t="s">
        <v>2627</v>
      </c>
      <c r="C1269" s="2">
        <v>44954</v>
      </c>
      <c r="D1269" t="str">
        <f t="shared" si="117"/>
        <v>Jan</v>
      </c>
      <c r="E1269" s="2">
        <v>44969</v>
      </c>
      <c r="F1269" t="s">
        <v>33</v>
      </c>
      <c r="G1269">
        <v>63823</v>
      </c>
      <c r="H1269">
        <v>2478</v>
      </c>
      <c r="I1269">
        <v>461</v>
      </c>
      <c r="J1269" t="b">
        <v>0</v>
      </c>
      <c r="K1269" s="10">
        <v>2403.41</v>
      </c>
      <c r="L1269" s="6">
        <f t="shared" si="118"/>
        <v>3.8826128511665073E-2</v>
      </c>
      <c r="M1269">
        <f t="shared" si="119"/>
        <v>0.96989911218724767</v>
      </c>
      <c r="N1269">
        <f t="shared" si="120"/>
        <v>5.2134707158351405</v>
      </c>
      <c r="O1269">
        <f t="shared" si="121"/>
        <v>20646.59</v>
      </c>
      <c r="P1269">
        <f t="shared" si="122"/>
        <v>0.18603712671509282</v>
      </c>
      <c r="Q1269" t="s">
        <v>4138</v>
      </c>
      <c r="R1269" t="s">
        <v>4141</v>
      </c>
      <c r="S1269">
        <f>YEAR(marketing_data[[#This Row],[Start_date]])</f>
        <v>2023</v>
      </c>
      <c r="T1269" t="str">
        <f>TEXT(marketing_data[[#This Row],[Start_date]],"ddd")</f>
        <v>Sat</v>
      </c>
      <c r="U1269">
        <f>marketing_data[[#This Row],[Cleaned End_date]]-marketing_data[[#This Row],[Start_date]]</f>
        <v>15</v>
      </c>
    </row>
    <row r="1270" spans="1:21" x14ac:dyDescent="0.2">
      <c r="A1270" t="s">
        <v>2628</v>
      </c>
      <c r="B1270" t="s">
        <v>2629</v>
      </c>
      <c r="C1270" s="2">
        <v>45029</v>
      </c>
      <c r="D1270" t="str">
        <f t="shared" si="117"/>
        <v>Apr</v>
      </c>
      <c r="E1270" s="2">
        <v>45048</v>
      </c>
      <c r="F1270" t="s">
        <v>33</v>
      </c>
      <c r="G1270">
        <v>21806</v>
      </c>
      <c r="H1270">
        <v>568</v>
      </c>
      <c r="I1270">
        <v>30</v>
      </c>
      <c r="J1270" t="b">
        <v>1</v>
      </c>
      <c r="K1270" s="10">
        <v>825.93</v>
      </c>
      <c r="L1270" s="6">
        <f t="shared" si="118"/>
        <v>2.6047876731174906E-2</v>
      </c>
      <c r="M1270">
        <f t="shared" si="119"/>
        <v>1.4541021126760563</v>
      </c>
      <c r="N1270">
        <f t="shared" si="120"/>
        <v>27.530999999999999</v>
      </c>
      <c r="O1270">
        <f t="shared" si="121"/>
        <v>674.07</v>
      </c>
      <c r="P1270">
        <f t="shared" si="122"/>
        <v>5.2816901408450703E-2</v>
      </c>
      <c r="Q1270" t="s">
        <v>4137</v>
      </c>
      <c r="R1270" t="s">
        <v>4142</v>
      </c>
      <c r="S1270">
        <f>YEAR(marketing_data[[#This Row],[Start_date]])</f>
        <v>2023</v>
      </c>
      <c r="T1270" t="str">
        <f>TEXT(marketing_data[[#This Row],[Start_date]],"ddd")</f>
        <v>Thu</v>
      </c>
      <c r="U1270">
        <f>marketing_data[[#This Row],[Cleaned End_date]]-marketing_data[[#This Row],[Start_date]]</f>
        <v>19</v>
      </c>
    </row>
    <row r="1271" spans="1:21" x14ac:dyDescent="0.2">
      <c r="A1271" t="s">
        <v>2630</v>
      </c>
      <c r="B1271" t="s">
        <v>2631</v>
      </c>
      <c r="C1271" s="2">
        <v>45161</v>
      </c>
      <c r="D1271" t="str">
        <f t="shared" si="117"/>
        <v>Aug</v>
      </c>
      <c r="E1271" s="2">
        <v>45178</v>
      </c>
      <c r="F1271" t="s">
        <v>33</v>
      </c>
      <c r="G1271">
        <v>76520</v>
      </c>
      <c r="H1271">
        <v>1250</v>
      </c>
      <c r="I1271">
        <v>206</v>
      </c>
      <c r="J1271" t="b">
        <v>0</v>
      </c>
      <c r="K1271" s="10">
        <v>1371.78</v>
      </c>
      <c r="L1271" s="6">
        <f t="shared" si="118"/>
        <v>1.6335598536330372E-2</v>
      </c>
      <c r="M1271">
        <f t="shared" si="119"/>
        <v>1.097424</v>
      </c>
      <c r="N1271">
        <f t="shared" si="120"/>
        <v>6.6591262135922324</v>
      </c>
      <c r="O1271">
        <f t="shared" si="121"/>
        <v>8928.2199999999993</v>
      </c>
      <c r="P1271">
        <f t="shared" si="122"/>
        <v>0.1648</v>
      </c>
      <c r="Q1271" t="s">
        <v>4139</v>
      </c>
      <c r="R1271" t="s">
        <v>4142</v>
      </c>
      <c r="S1271">
        <f>YEAR(marketing_data[[#This Row],[Start_date]])</f>
        <v>2023</v>
      </c>
      <c r="T1271" t="str">
        <f>TEXT(marketing_data[[#This Row],[Start_date]],"ddd")</f>
        <v>Wed</v>
      </c>
      <c r="U1271">
        <f>marketing_data[[#This Row],[Cleaned End_date]]-marketing_data[[#This Row],[Start_date]]</f>
        <v>17</v>
      </c>
    </row>
    <row r="1272" spans="1:21" x14ac:dyDescent="0.2">
      <c r="A1272" t="s">
        <v>2632</v>
      </c>
      <c r="B1272" t="s">
        <v>2633</v>
      </c>
      <c r="C1272" s="2">
        <v>45019</v>
      </c>
      <c r="D1272" t="str">
        <f t="shared" si="117"/>
        <v>Apr</v>
      </c>
      <c r="E1272" s="2">
        <v>45025</v>
      </c>
      <c r="F1272" t="s">
        <v>41</v>
      </c>
      <c r="G1272">
        <v>2759</v>
      </c>
      <c r="H1272">
        <v>124</v>
      </c>
      <c r="I1272">
        <v>22</v>
      </c>
      <c r="J1272" t="b">
        <v>1</v>
      </c>
      <c r="K1272" s="10">
        <v>329.13249999999999</v>
      </c>
      <c r="L1272" s="6">
        <f t="shared" si="118"/>
        <v>4.49438202247191E-2</v>
      </c>
      <c r="M1272">
        <f t="shared" si="119"/>
        <v>2.6542943548387097</v>
      </c>
      <c r="N1272">
        <f t="shared" si="120"/>
        <v>14.960568181818182</v>
      </c>
      <c r="O1272">
        <f t="shared" si="121"/>
        <v>770.86750000000006</v>
      </c>
      <c r="P1272">
        <f t="shared" si="122"/>
        <v>0.17741935483870969</v>
      </c>
      <c r="Q1272" t="s">
        <v>4137</v>
      </c>
      <c r="R1272" t="s">
        <v>4142</v>
      </c>
      <c r="S1272">
        <f>YEAR(marketing_data[[#This Row],[Start_date]])</f>
        <v>2023</v>
      </c>
      <c r="T1272" t="str">
        <f>TEXT(marketing_data[[#This Row],[Start_date]],"ddd")</f>
        <v>Mon</v>
      </c>
      <c r="U1272">
        <f>marketing_data[[#This Row],[Cleaned End_date]]-marketing_data[[#This Row],[Start_date]]</f>
        <v>6</v>
      </c>
    </row>
    <row r="1273" spans="1:21" x14ac:dyDescent="0.2">
      <c r="A1273" t="s">
        <v>2634</v>
      </c>
      <c r="B1273" t="s">
        <v>2635</v>
      </c>
      <c r="C1273" s="2">
        <v>45250</v>
      </c>
      <c r="D1273" t="str">
        <f t="shared" si="117"/>
        <v>Nov</v>
      </c>
      <c r="E1273" s="2">
        <v>45254</v>
      </c>
      <c r="F1273" t="s">
        <v>14</v>
      </c>
      <c r="G1273">
        <v>42949</v>
      </c>
      <c r="H1273">
        <v>1844</v>
      </c>
      <c r="I1273">
        <v>215</v>
      </c>
      <c r="J1273" t="b">
        <v>1</v>
      </c>
      <c r="K1273" s="10">
        <v>2369.7399999999998</v>
      </c>
      <c r="L1273" s="6">
        <f t="shared" si="118"/>
        <v>4.2934643414282055E-2</v>
      </c>
      <c r="M1273">
        <f t="shared" si="119"/>
        <v>1.2851084598698481</v>
      </c>
      <c r="N1273">
        <f t="shared" si="120"/>
        <v>11.022046511627906</v>
      </c>
      <c r="O1273">
        <f t="shared" si="121"/>
        <v>8380.26</v>
      </c>
      <c r="P1273">
        <f t="shared" si="122"/>
        <v>0.11659436008676789</v>
      </c>
      <c r="Q1273" t="s">
        <v>4136</v>
      </c>
      <c r="R1273" t="s">
        <v>4142</v>
      </c>
      <c r="S1273">
        <f>YEAR(marketing_data[[#This Row],[Start_date]])</f>
        <v>2023</v>
      </c>
      <c r="T1273" t="str">
        <f>TEXT(marketing_data[[#This Row],[Start_date]],"ddd")</f>
        <v>Mon</v>
      </c>
      <c r="U1273">
        <f>marketing_data[[#This Row],[Cleaned End_date]]-marketing_data[[#This Row],[Start_date]]</f>
        <v>4</v>
      </c>
    </row>
    <row r="1274" spans="1:21" x14ac:dyDescent="0.2">
      <c r="A1274" t="s">
        <v>2636</v>
      </c>
      <c r="B1274" t="s">
        <v>2637</v>
      </c>
      <c r="C1274" s="2">
        <v>44956</v>
      </c>
      <c r="D1274" t="str">
        <f t="shared" si="117"/>
        <v>Jan</v>
      </c>
      <c r="E1274" s="2">
        <v>44980</v>
      </c>
      <c r="F1274" t="s">
        <v>41</v>
      </c>
      <c r="G1274">
        <v>93374</v>
      </c>
      <c r="H1274">
        <v>3629</v>
      </c>
      <c r="I1274">
        <v>481</v>
      </c>
      <c r="J1274" t="b">
        <v>1</v>
      </c>
      <c r="K1274" s="10">
        <v>3631.7599999999998</v>
      </c>
      <c r="L1274" s="6">
        <f t="shared" si="118"/>
        <v>3.8865208730481722E-2</v>
      </c>
      <c r="M1274">
        <f t="shared" si="119"/>
        <v>1.0007605400936896</v>
      </c>
      <c r="N1274">
        <f t="shared" si="120"/>
        <v>7.5504365904365898</v>
      </c>
      <c r="O1274">
        <f t="shared" si="121"/>
        <v>20418.240000000002</v>
      </c>
      <c r="P1274">
        <f t="shared" si="122"/>
        <v>0.13254340038578122</v>
      </c>
      <c r="Q1274" t="s">
        <v>4138</v>
      </c>
      <c r="R1274" t="s">
        <v>4139</v>
      </c>
      <c r="S1274">
        <f>YEAR(marketing_data[[#This Row],[Start_date]])</f>
        <v>2023</v>
      </c>
      <c r="T1274" t="str">
        <f>TEXT(marketing_data[[#This Row],[Start_date]],"ddd")</f>
        <v>Mon</v>
      </c>
      <c r="U1274">
        <f>marketing_data[[#This Row],[Cleaned End_date]]-marketing_data[[#This Row],[Start_date]]</f>
        <v>24</v>
      </c>
    </row>
    <row r="1275" spans="1:21" x14ac:dyDescent="0.2">
      <c r="A1275" t="s">
        <v>2639</v>
      </c>
      <c r="B1275" t="s">
        <v>2640</v>
      </c>
      <c r="C1275" s="2">
        <v>45067</v>
      </c>
      <c r="D1275" t="str">
        <f t="shared" si="117"/>
        <v>May</v>
      </c>
      <c r="E1275" s="2">
        <v>45091</v>
      </c>
      <c r="F1275" t="s">
        <v>19</v>
      </c>
      <c r="G1275">
        <v>3482</v>
      </c>
      <c r="H1275">
        <v>72</v>
      </c>
      <c r="I1275">
        <v>13</v>
      </c>
      <c r="J1275" t="b">
        <v>1</v>
      </c>
      <c r="K1275" s="10">
        <v>329.13249999999999</v>
      </c>
      <c r="L1275" s="6">
        <f t="shared" si="118"/>
        <v>2.067777139574957E-2</v>
      </c>
      <c r="M1275">
        <f t="shared" si="119"/>
        <v>4.5712847222222219</v>
      </c>
      <c r="N1275">
        <f t="shared" si="120"/>
        <v>25.317884615384614</v>
      </c>
      <c r="O1275">
        <f t="shared" si="121"/>
        <v>320.86750000000001</v>
      </c>
      <c r="P1275">
        <f t="shared" si="122"/>
        <v>0.18055555555555555</v>
      </c>
      <c r="Q1275" t="s">
        <v>4137</v>
      </c>
      <c r="R1275" t="s">
        <v>4138</v>
      </c>
      <c r="S1275">
        <f>YEAR(marketing_data[[#This Row],[Start_date]])</f>
        <v>2023</v>
      </c>
      <c r="T1275" t="str">
        <f>TEXT(marketing_data[[#This Row],[Start_date]],"ddd")</f>
        <v>Sun</v>
      </c>
      <c r="U1275">
        <f>marketing_data[[#This Row],[Cleaned End_date]]-marketing_data[[#This Row],[Start_date]]</f>
        <v>24</v>
      </c>
    </row>
    <row r="1276" spans="1:21" x14ac:dyDescent="0.2">
      <c r="A1276" t="s">
        <v>2641</v>
      </c>
      <c r="B1276" t="s">
        <v>2642</v>
      </c>
      <c r="C1276" s="2">
        <v>45222</v>
      </c>
      <c r="D1276" t="str">
        <f t="shared" si="117"/>
        <v>Oct</v>
      </c>
      <c r="E1276" s="2">
        <v>45251</v>
      </c>
      <c r="F1276" t="s">
        <v>19</v>
      </c>
      <c r="G1276">
        <v>25442</v>
      </c>
      <c r="H1276">
        <v>663</v>
      </c>
      <c r="I1276">
        <v>54</v>
      </c>
      <c r="J1276" t="b">
        <v>0</v>
      </c>
      <c r="K1276" s="10">
        <v>1152.17</v>
      </c>
      <c r="L1276" s="6">
        <f t="shared" si="118"/>
        <v>2.6059272069805833E-2</v>
      </c>
      <c r="M1276">
        <f t="shared" si="119"/>
        <v>1.7378129713423831</v>
      </c>
      <c r="N1276">
        <f t="shared" si="120"/>
        <v>21.336481481481481</v>
      </c>
      <c r="O1276">
        <f t="shared" si="121"/>
        <v>1547.83</v>
      </c>
      <c r="P1276">
        <f t="shared" si="122"/>
        <v>8.1447963800904979E-2</v>
      </c>
      <c r="Q1276" t="s">
        <v>4136</v>
      </c>
      <c r="R1276" t="s">
        <v>4139</v>
      </c>
      <c r="S1276">
        <f>YEAR(marketing_data[[#This Row],[Start_date]])</f>
        <v>2023</v>
      </c>
      <c r="T1276" t="str">
        <f>TEXT(marketing_data[[#This Row],[Start_date]],"ddd")</f>
        <v>Mon</v>
      </c>
      <c r="U1276">
        <f>marketing_data[[#This Row],[Cleaned End_date]]-marketing_data[[#This Row],[Start_date]]</f>
        <v>29</v>
      </c>
    </row>
    <row r="1277" spans="1:21" x14ac:dyDescent="0.2">
      <c r="A1277" t="s">
        <v>2643</v>
      </c>
      <c r="B1277" t="s">
        <v>2644</v>
      </c>
      <c r="C1277" s="2">
        <v>44972</v>
      </c>
      <c r="D1277" t="str">
        <f t="shared" si="117"/>
        <v>Feb</v>
      </c>
      <c r="E1277" s="2">
        <v>44982</v>
      </c>
      <c r="F1277" t="s">
        <v>23</v>
      </c>
      <c r="G1277">
        <v>34719</v>
      </c>
      <c r="H1277">
        <v>489</v>
      </c>
      <c r="I1277">
        <v>62</v>
      </c>
      <c r="J1277" t="b">
        <v>1</v>
      </c>
      <c r="K1277" s="10">
        <v>827.68</v>
      </c>
      <c r="L1277" s="6">
        <f t="shared" si="118"/>
        <v>1.4084507042253521E-2</v>
      </c>
      <c r="M1277">
        <f t="shared" si="119"/>
        <v>1.6925971370143149</v>
      </c>
      <c r="N1277">
        <f t="shared" si="120"/>
        <v>13.349677419354839</v>
      </c>
      <c r="O1277">
        <f t="shared" si="121"/>
        <v>2272.3200000000002</v>
      </c>
      <c r="P1277">
        <f t="shared" si="122"/>
        <v>0.12678936605316973</v>
      </c>
      <c r="Q1277" t="s">
        <v>4138</v>
      </c>
      <c r="R1277" t="s">
        <v>4142</v>
      </c>
      <c r="S1277">
        <f>YEAR(marketing_data[[#This Row],[Start_date]])</f>
        <v>2023</v>
      </c>
      <c r="T1277" t="str">
        <f>TEXT(marketing_data[[#This Row],[Start_date]],"ddd")</f>
        <v>Wed</v>
      </c>
      <c r="U1277">
        <f>marketing_data[[#This Row],[Cleaned End_date]]-marketing_data[[#This Row],[Start_date]]</f>
        <v>10</v>
      </c>
    </row>
    <row r="1278" spans="1:21" x14ac:dyDescent="0.2">
      <c r="A1278" t="s">
        <v>2645</v>
      </c>
      <c r="B1278" t="s">
        <v>2646</v>
      </c>
      <c r="C1278" s="2">
        <v>45146</v>
      </c>
      <c r="D1278" t="str">
        <f t="shared" si="117"/>
        <v>Aug</v>
      </c>
      <c r="E1278" s="2">
        <v>45167</v>
      </c>
      <c r="F1278" t="s">
        <v>23</v>
      </c>
      <c r="G1278">
        <v>59066</v>
      </c>
      <c r="H1278">
        <v>1037</v>
      </c>
      <c r="I1278">
        <v>125</v>
      </c>
      <c r="J1278" t="b">
        <v>1</v>
      </c>
      <c r="K1278" s="10">
        <v>1022.06</v>
      </c>
      <c r="L1278" s="6">
        <f t="shared" si="118"/>
        <v>1.7556631564690346E-2</v>
      </c>
      <c r="M1278">
        <f t="shared" si="119"/>
        <v>0.98559305689488907</v>
      </c>
      <c r="N1278">
        <f t="shared" si="120"/>
        <v>8.1764799999999997</v>
      </c>
      <c r="O1278">
        <f t="shared" si="121"/>
        <v>5227.9400000000005</v>
      </c>
      <c r="P1278">
        <f t="shared" si="122"/>
        <v>0.12054001928640308</v>
      </c>
      <c r="Q1278" t="s">
        <v>4139</v>
      </c>
      <c r="R1278" t="s">
        <v>4142</v>
      </c>
      <c r="S1278">
        <f>YEAR(marketing_data[[#This Row],[Start_date]])</f>
        <v>2023</v>
      </c>
      <c r="T1278" t="str">
        <f>TEXT(marketing_data[[#This Row],[Start_date]],"ddd")</f>
        <v>Tue</v>
      </c>
      <c r="U1278">
        <f>marketing_data[[#This Row],[Cleaned End_date]]-marketing_data[[#This Row],[Start_date]]</f>
        <v>21</v>
      </c>
    </row>
    <row r="1279" spans="1:21" x14ac:dyDescent="0.2">
      <c r="A1279" t="s">
        <v>2647</v>
      </c>
      <c r="B1279" t="s">
        <v>2648</v>
      </c>
      <c r="C1279" s="2">
        <v>45123</v>
      </c>
      <c r="D1279" t="str">
        <f t="shared" si="117"/>
        <v>Jul</v>
      </c>
      <c r="E1279" s="2">
        <v>45131</v>
      </c>
      <c r="F1279" t="s">
        <v>23</v>
      </c>
      <c r="G1279">
        <v>94501</v>
      </c>
      <c r="H1279">
        <v>3904</v>
      </c>
      <c r="I1279">
        <v>346</v>
      </c>
      <c r="J1279" t="b">
        <v>1</v>
      </c>
      <c r="K1279" s="10">
        <v>3631.7599999999998</v>
      </c>
      <c r="L1279" s="6">
        <f t="shared" si="118"/>
        <v>4.1311732150982529E-2</v>
      </c>
      <c r="M1279">
        <f t="shared" si="119"/>
        <v>0.93026639344262285</v>
      </c>
      <c r="N1279">
        <f t="shared" si="120"/>
        <v>10.496416184971098</v>
      </c>
      <c r="O1279">
        <f t="shared" si="121"/>
        <v>13668.24</v>
      </c>
      <c r="P1279">
        <f t="shared" si="122"/>
        <v>8.8627049180327863E-2</v>
      </c>
      <c r="Q1279" t="s">
        <v>4139</v>
      </c>
      <c r="R1279" t="s">
        <v>4138</v>
      </c>
      <c r="S1279">
        <f>YEAR(marketing_data[[#This Row],[Start_date]])</f>
        <v>2023</v>
      </c>
      <c r="T1279" t="str">
        <f>TEXT(marketing_data[[#This Row],[Start_date]],"ddd")</f>
        <v>Sun</v>
      </c>
      <c r="U1279">
        <f>marketing_data[[#This Row],[Cleaned End_date]]-marketing_data[[#This Row],[Start_date]]</f>
        <v>8</v>
      </c>
    </row>
    <row r="1280" spans="1:21" x14ac:dyDescent="0.2">
      <c r="A1280" t="s">
        <v>2650</v>
      </c>
      <c r="B1280" t="s">
        <v>2651</v>
      </c>
      <c r="C1280" s="2">
        <v>45200</v>
      </c>
      <c r="D1280" t="str">
        <f t="shared" si="117"/>
        <v>Oct</v>
      </c>
      <c r="E1280" s="2">
        <v>45207</v>
      </c>
      <c r="F1280" t="s">
        <v>14</v>
      </c>
      <c r="G1280">
        <v>3079</v>
      </c>
      <c r="H1280">
        <v>118</v>
      </c>
      <c r="I1280">
        <v>20</v>
      </c>
      <c r="J1280" t="b">
        <v>0</v>
      </c>
      <c r="K1280" s="10">
        <v>329.13249999999999</v>
      </c>
      <c r="L1280" s="6">
        <f t="shared" si="118"/>
        <v>3.8324131211432286E-2</v>
      </c>
      <c r="M1280">
        <f t="shared" si="119"/>
        <v>2.789258474576271</v>
      </c>
      <c r="N1280">
        <f t="shared" si="120"/>
        <v>16.456624999999999</v>
      </c>
      <c r="O1280">
        <f t="shared" si="121"/>
        <v>670.86750000000006</v>
      </c>
      <c r="P1280">
        <f t="shared" si="122"/>
        <v>0.16949152542372881</v>
      </c>
      <c r="Q1280" t="s">
        <v>4136</v>
      </c>
      <c r="R1280" t="s">
        <v>4141</v>
      </c>
      <c r="S1280">
        <f>YEAR(marketing_data[[#This Row],[Start_date]])</f>
        <v>2023</v>
      </c>
      <c r="T1280" t="str">
        <f>TEXT(marketing_data[[#This Row],[Start_date]],"ddd")</f>
        <v>Sun</v>
      </c>
      <c r="U1280">
        <f>marketing_data[[#This Row],[Cleaned End_date]]-marketing_data[[#This Row],[Start_date]]</f>
        <v>7</v>
      </c>
    </row>
    <row r="1281" spans="1:21" x14ac:dyDescent="0.2">
      <c r="A1281" t="s">
        <v>2652</v>
      </c>
      <c r="B1281" t="s">
        <v>2653</v>
      </c>
      <c r="C1281" s="2">
        <v>44934</v>
      </c>
      <c r="D1281" t="str">
        <f t="shared" si="117"/>
        <v>Jan</v>
      </c>
      <c r="E1281" s="2">
        <v>44954</v>
      </c>
      <c r="F1281" t="s">
        <v>14</v>
      </c>
      <c r="G1281">
        <v>3717</v>
      </c>
      <c r="H1281">
        <v>125</v>
      </c>
      <c r="I1281">
        <v>23</v>
      </c>
      <c r="J1281" t="b">
        <v>1</v>
      </c>
      <c r="K1281" s="10">
        <v>329.13249999999999</v>
      </c>
      <c r="L1281" s="6">
        <f t="shared" si="118"/>
        <v>3.3629270917406508E-2</v>
      </c>
      <c r="M1281">
        <f t="shared" si="119"/>
        <v>2.63306</v>
      </c>
      <c r="N1281">
        <f t="shared" si="120"/>
        <v>14.310108695652174</v>
      </c>
      <c r="O1281">
        <f t="shared" si="121"/>
        <v>820.86750000000006</v>
      </c>
      <c r="P1281">
        <f t="shared" si="122"/>
        <v>0.184</v>
      </c>
      <c r="Q1281" t="s">
        <v>4138</v>
      </c>
      <c r="R1281" t="s">
        <v>4142</v>
      </c>
      <c r="S1281">
        <f>YEAR(marketing_data[[#This Row],[Start_date]])</f>
        <v>2023</v>
      </c>
      <c r="T1281" t="str">
        <f>TEXT(marketing_data[[#This Row],[Start_date]],"ddd")</f>
        <v>Sun</v>
      </c>
      <c r="U1281">
        <f>marketing_data[[#This Row],[Cleaned End_date]]-marketing_data[[#This Row],[Start_date]]</f>
        <v>20</v>
      </c>
    </row>
    <row r="1282" spans="1:21" x14ac:dyDescent="0.2">
      <c r="A1282" t="s">
        <v>2654</v>
      </c>
      <c r="B1282" t="s">
        <v>2655</v>
      </c>
      <c r="C1282" s="2">
        <v>45198</v>
      </c>
      <c r="D1282" t="str">
        <f t="shared" si="117"/>
        <v>Sep</v>
      </c>
      <c r="E1282" s="2">
        <v>45224</v>
      </c>
      <c r="F1282" t="s">
        <v>14</v>
      </c>
      <c r="G1282">
        <v>60676</v>
      </c>
      <c r="H1282">
        <v>2780</v>
      </c>
      <c r="I1282">
        <v>465</v>
      </c>
      <c r="J1282" t="b">
        <v>0</v>
      </c>
      <c r="K1282" s="10">
        <v>3631.7599999999998</v>
      </c>
      <c r="L1282" s="6">
        <f t="shared" si="118"/>
        <v>4.5817127035401146E-2</v>
      </c>
      <c r="M1282">
        <f t="shared" si="119"/>
        <v>1.306388489208633</v>
      </c>
      <c r="N1282">
        <f t="shared" si="120"/>
        <v>7.8102365591397849</v>
      </c>
      <c r="O1282">
        <f t="shared" si="121"/>
        <v>19618.240000000002</v>
      </c>
      <c r="P1282">
        <f t="shared" si="122"/>
        <v>0.1672661870503597</v>
      </c>
      <c r="Q1282" t="s">
        <v>4136</v>
      </c>
      <c r="R1282" t="s">
        <v>4138</v>
      </c>
      <c r="S1282">
        <f>YEAR(marketing_data[[#This Row],[Start_date]])</f>
        <v>2023</v>
      </c>
      <c r="T1282" t="str">
        <f>TEXT(marketing_data[[#This Row],[Start_date]],"ddd")</f>
        <v>Fri</v>
      </c>
      <c r="U1282">
        <f>marketing_data[[#This Row],[Cleaned End_date]]-marketing_data[[#This Row],[Start_date]]</f>
        <v>26</v>
      </c>
    </row>
    <row r="1283" spans="1:21" x14ac:dyDescent="0.2">
      <c r="A1283" t="s">
        <v>2656</v>
      </c>
      <c r="B1283" t="s">
        <v>2657</v>
      </c>
      <c r="C1283" s="2">
        <v>45247</v>
      </c>
      <c r="D1283" t="str">
        <f t="shared" ref="D1283:D1346" si="123">TEXT(C1283,"mmm")</f>
        <v>Nov</v>
      </c>
      <c r="E1283" s="2">
        <v>45268</v>
      </c>
      <c r="F1283" t="s">
        <v>14</v>
      </c>
      <c r="G1283">
        <v>28952</v>
      </c>
      <c r="H1283">
        <v>964</v>
      </c>
      <c r="I1283">
        <v>76</v>
      </c>
      <c r="J1283" t="b">
        <v>0</v>
      </c>
      <c r="K1283" s="10">
        <v>518.97</v>
      </c>
      <c r="L1283" s="6">
        <f t="shared" ref="L1283:L1346" si="124">H1283/G1283</f>
        <v>3.3296490743299254E-2</v>
      </c>
      <c r="M1283">
        <f t="shared" ref="M1283:M1346" si="125">K1283/H1283</f>
        <v>0.538350622406639</v>
      </c>
      <c r="N1283">
        <f t="shared" ref="N1283:N1346" si="126">IFERROR(K1283/I1283,0)</f>
        <v>6.8285526315789475</v>
      </c>
      <c r="O1283">
        <f t="shared" ref="O1283:O1346" si="127">(50*I1283)-K1283</f>
        <v>3281.0299999999997</v>
      </c>
      <c r="P1283">
        <f t="shared" ref="P1283:P1346" si="128">I1283/H1283</f>
        <v>7.8838174273858919E-2</v>
      </c>
      <c r="Q1283" t="s">
        <v>4136</v>
      </c>
      <c r="R1283" t="s">
        <v>4142</v>
      </c>
      <c r="S1283">
        <f>YEAR(marketing_data[[#This Row],[Start_date]])</f>
        <v>2023</v>
      </c>
      <c r="T1283" t="str">
        <f>TEXT(marketing_data[[#This Row],[Start_date]],"ddd")</f>
        <v>Fri</v>
      </c>
      <c r="U1283">
        <f>marketing_data[[#This Row],[Cleaned End_date]]-marketing_data[[#This Row],[Start_date]]</f>
        <v>21</v>
      </c>
    </row>
    <row r="1284" spans="1:21" x14ac:dyDescent="0.2">
      <c r="A1284" t="s">
        <v>2658</v>
      </c>
      <c r="B1284" t="s">
        <v>2659</v>
      </c>
      <c r="C1284" s="2">
        <v>45103</v>
      </c>
      <c r="D1284" t="str">
        <f t="shared" si="123"/>
        <v>Jun</v>
      </c>
      <c r="E1284" s="2">
        <v>45130</v>
      </c>
      <c r="F1284" t="s">
        <v>14</v>
      </c>
      <c r="G1284">
        <v>87444</v>
      </c>
      <c r="H1284">
        <v>2507</v>
      </c>
      <c r="I1284">
        <v>157</v>
      </c>
      <c r="J1284" t="b">
        <v>1</v>
      </c>
      <c r="K1284" s="10">
        <v>3631.7599999999998</v>
      </c>
      <c r="L1284" s="6">
        <f t="shared" si="124"/>
        <v>2.866977722885504E-2</v>
      </c>
      <c r="M1284">
        <f t="shared" si="125"/>
        <v>1.4486477861986438</v>
      </c>
      <c r="N1284">
        <f t="shared" si="126"/>
        <v>23.132229299363054</v>
      </c>
      <c r="O1284">
        <f t="shared" si="127"/>
        <v>4218.24</v>
      </c>
      <c r="P1284">
        <f t="shared" si="128"/>
        <v>6.2624650977263663E-2</v>
      </c>
      <c r="Q1284" t="s">
        <v>4139</v>
      </c>
      <c r="R1284" t="s">
        <v>4142</v>
      </c>
      <c r="S1284">
        <f>YEAR(marketing_data[[#This Row],[Start_date]])</f>
        <v>2023</v>
      </c>
      <c r="T1284" t="str">
        <f>TEXT(marketing_data[[#This Row],[Start_date]],"ddd")</f>
        <v>Mon</v>
      </c>
      <c r="U1284">
        <f>marketing_data[[#This Row],[Cleaned End_date]]-marketing_data[[#This Row],[Start_date]]</f>
        <v>27</v>
      </c>
    </row>
    <row r="1285" spans="1:21" x14ac:dyDescent="0.2">
      <c r="A1285" t="s">
        <v>2660</v>
      </c>
      <c r="B1285" t="s">
        <v>2661</v>
      </c>
      <c r="C1285" s="2">
        <v>45184</v>
      </c>
      <c r="D1285" t="str">
        <f t="shared" si="123"/>
        <v>Sep</v>
      </c>
      <c r="E1285" s="2">
        <v>45195</v>
      </c>
      <c r="F1285" t="s">
        <v>19</v>
      </c>
      <c r="G1285">
        <v>43460</v>
      </c>
      <c r="H1285">
        <v>1026</v>
      </c>
      <c r="I1285">
        <v>144</v>
      </c>
      <c r="J1285" t="b">
        <v>1</v>
      </c>
      <c r="K1285" s="10">
        <v>1903.1</v>
      </c>
      <c r="L1285" s="6">
        <f t="shared" si="124"/>
        <v>2.3607915324436263E-2</v>
      </c>
      <c r="M1285">
        <f t="shared" si="125"/>
        <v>1.8548732943469786</v>
      </c>
      <c r="N1285">
        <f t="shared" si="126"/>
        <v>13.215972222222222</v>
      </c>
      <c r="O1285">
        <f t="shared" si="127"/>
        <v>5296.9</v>
      </c>
      <c r="P1285">
        <f t="shared" si="128"/>
        <v>0.14035087719298245</v>
      </c>
      <c r="Q1285" t="s">
        <v>4136</v>
      </c>
      <c r="R1285" t="s">
        <v>4139</v>
      </c>
      <c r="S1285">
        <f>YEAR(marketing_data[[#This Row],[Start_date]])</f>
        <v>2023</v>
      </c>
      <c r="T1285" t="str">
        <f>TEXT(marketing_data[[#This Row],[Start_date]],"ddd")</f>
        <v>Fri</v>
      </c>
      <c r="U1285">
        <f>marketing_data[[#This Row],[Cleaned End_date]]-marketing_data[[#This Row],[Start_date]]</f>
        <v>11</v>
      </c>
    </row>
    <row r="1286" spans="1:21" x14ac:dyDescent="0.2">
      <c r="A1286" t="s">
        <v>2662</v>
      </c>
      <c r="B1286" t="s">
        <v>2663</v>
      </c>
      <c r="C1286" s="2">
        <v>44950</v>
      </c>
      <c r="D1286" t="str">
        <f t="shared" si="123"/>
        <v>Jan</v>
      </c>
      <c r="E1286" s="2">
        <v>44956</v>
      </c>
      <c r="F1286" t="s">
        <v>19</v>
      </c>
      <c r="G1286">
        <v>91397</v>
      </c>
      <c r="H1286">
        <v>4352</v>
      </c>
      <c r="I1286">
        <v>254</v>
      </c>
      <c r="J1286" t="b">
        <v>1</v>
      </c>
      <c r="K1286" s="10">
        <v>3631.7599999999998</v>
      </c>
      <c r="L1286" s="6">
        <f t="shared" si="124"/>
        <v>4.7616442552819022E-2</v>
      </c>
      <c r="M1286">
        <f t="shared" si="125"/>
        <v>0.83450367647058821</v>
      </c>
      <c r="N1286">
        <f t="shared" si="126"/>
        <v>14.298267716535433</v>
      </c>
      <c r="O1286">
        <f t="shared" si="127"/>
        <v>9068.24</v>
      </c>
      <c r="P1286">
        <f t="shared" si="128"/>
        <v>5.8363970588235295E-2</v>
      </c>
      <c r="Q1286" t="s">
        <v>4138</v>
      </c>
      <c r="R1286" t="s">
        <v>4142</v>
      </c>
      <c r="S1286">
        <f>YEAR(marketing_data[[#This Row],[Start_date]])</f>
        <v>2023</v>
      </c>
      <c r="T1286" t="str">
        <f>TEXT(marketing_data[[#This Row],[Start_date]],"ddd")</f>
        <v>Tue</v>
      </c>
      <c r="U1286">
        <f>marketing_data[[#This Row],[Cleaned End_date]]-marketing_data[[#This Row],[Start_date]]</f>
        <v>6</v>
      </c>
    </row>
    <row r="1287" spans="1:21" x14ac:dyDescent="0.2">
      <c r="A1287" t="s">
        <v>2664</v>
      </c>
      <c r="B1287" t="s">
        <v>2665</v>
      </c>
      <c r="C1287" s="2">
        <v>45193</v>
      </c>
      <c r="D1287" t="str">
        <f t="shared" si="123"/>
        <v>Sep</v>
      </c>
      <c r="E1287" s="2">
        <v>45222</v>
      </c>
      <c r="F1287" t="s">
        <v>23</v>
      </c>
      <c r="G1287">
        <v>73847</v>
      </c>
      <c r="H1287">
        <v>982</v>
      </c>
      <c r="I1287">
        <v>148</v>
      </c>
      <c r="J1287" t="b">
        <v>0</v>
      </c>
      <c r="K1287" s="10">
        <v>1687.65</v>
      </c>
      <c r="L1287" s="6">
        <f t="shared" si="124"/>
        <v>1.329776429645077E-2</v>
      </c>
      <c r="M1287">
        <f t="shared" si="125"/>
        <v>1.7185845213849289</v>
      </c>
      <c r="N1287">
        <f t="shared" si="126"/>
        <v>11.403040540540541</v>
      </c>
      <c r="O1287">
        <f t="shared" si="127"/>
        <v>5712.35</v>
      </c>
      <c r="P1287">
        <f t="shared" si="128"/>
        <v>0.15071283095723015</v>
      </c>
      <c r="Q1287" t="s">
        <v>4136</v>
      </c>
      <c r="R1287" t="s">
        <v>4139</v>
      </c>
      <c r="S1287">
        <f>YEAR(marketing_data[[#This Row],[Start_date]])</f>
        <v>2023</v>
      </c>
      <c r="T1287" t="str">
        <f>TEXT(marketing_data[[#This Row],[Start_date]],"ddd")</f>
        <v>Sun</v>
      </c>
      <c r="U1287">
        <f>marketing_data[[#This Row],[Cleaned End_date]]-marketing_data[[#This Row],[Start_date]]</f>
        <v>29</v>
      </c>
    </row>
    <row r="1288" spans="1:21" x14ac:dyDescent="0.2">
      <c r="A1288" t="s">
        <v>2666</v>
      </c>
      <c r="B1288" t="s">
        <v>2667</v>
      </c>
      <c r="C1288" s="2">
        <v>45278</v>
      </c>
      <c r="D1288" t="str">
        <f t="shared" si="123"/>
        <v>Dec</v>
      </c>
      <c r="E1288" s="2">
        <v>45299</v>
      </c>
      <c r="F1288" t="s">
        <v>19</v>
      </c>
      <c r="G1288">
        <v>94607</v>
      </c>
      <c r="H1288">
        <v>4468</v>
      </c>
      <c r="I1288">
        <v>578</v>
      </c>
      <c r="J1288" t="b">
        <v>0</v>
      </c>
      <c r="K1288" s="10">
        <v>2786.28</v>
      </c>
      <c r="L1288" s="6">
        <f t="shared" si="124"/>
        <v>4.7226949380067017E-2</v>
      </c>
      <c r="M1288">
        <f t="shared" si="125"/>
        <v>0.62360787824529995</v>
      </c>
      <c r="N1288">
        <f t="shared" si="126"/>
        <v>4.820553633217993</v>
      </c>
      <c r="O1288">
        <f t="shared" si="127"/>
        <v>26113.72</v>
      </c>
      <c r="P1288">
        <f t="shared" si="128"/>
        <v>0.12936436884512087</v>
      </c>
      <c r="Q1288" t="s">
        <v>4138</v>
      </c>
      <c r="R1288" t="s">
        <v>4142</v>
      </c>
      <c r="S1288">
        <f>YEAR(marketing_data[[#This Row],[Start_date]])</f>
        <v>2023</v>
      </c>
      <c r="T1288" t="str">
        <f>TEXT(marketing_data[[#This Row],[Start_date]],"ddd")</f>
        <v>Mon</v>
      </c>
      <c r="U1288">
        <f>marketing_data[[#This Row],[Cleaned End_date]]-marketing_data[[#This Row],[Start_date]]</f>
        <v>21</v>
      </c>
    </row>
    <row r="1289" spans="1:21" x14ac:dyDescent="0.2">
      <c r="A1289" t="s">
        <v>2668</v>
      </c>
      <c r="B1289" t="s">
        <v>2669</v>
      </c>
      <c r="C1289" s="2">
        <v>45177</v>
      </c>
      <c r="D1289" t="str">
        <f t="shared" si="123"/>
        <v>Sep</v>
      </c>
      <c r="E1289" s="2">
        <v>45203</v>
      </c>
      <c r="F1289" t="s">
        <v>33</v>
      </c>
      <c r="G1289">
        <v>90106</v>
      </c>
      <c r="H1289">
        <v>3880</v>
      </c>
      <c r="I1289">
        <v>579</v>
      </c>
      <c r="J1289" t="b">
        <v>1</v>
      </c>
      <c r="K1289" s="10">
        <v>3631.7599999999998</v>
      </c>
      <c r="L1289" s="6">
        <f t="shared" si="124"/>
        <v>4.3060395534148671E-2</v>
      </c>
      <c r="M1289">
        <f t="shared" si="125"/>
        <v>0.93602061855670093</v>
      </c>
      <c r="N1289">
        <f t="shared" si="126"/>
        <v>6.2724697754749563</v>
      </c>
      <c r="O1289">
        <f t="shared" si="127"/>
        <v>25318.240000000002</v>
      </c>
      <c r="P1289">
        <f t="shared" si="128"/>
        <v>0.14922680412371134</v>
      </c>
      <c r="Q1289" t="s">
        <v>4136</v>
      </c>
      <c r="R1289" t="s">
        <v>4141</v>
      </c>
      <c r="S1289">
        <f>YEAR(marketing_data[[#This Row],[Start_date]])</f>
        <v>2023</v>
      </c>
      <c r="T1289" t="str">
        <f>TEXT(marketing_data[[#This Row],[Start_date]],"ddd")</f>
        <v>Fri</v>
      </c>
      <c r="U1289">
        <f>marketing_data[[#This Row],[Cleaned End_date]]-marketing_data[[#This Row],[Start_date]]</f>
        <v>26</v>
      </c>
    </row>
    <row r="1290" spans="1:21" x14ac:dyDescent="0.2">
      <c r="A1290" t="s">
        <v>2670</v>
      </c>
      <c r="B1290" t="s">
        <v>2671</v>
      </c>
      <c r="C1290" s="2">
        <v>45133</v>
      </c>
      <c r="D1290" t="str">
        <f t="shared" si="123"/>
        <v>Jul</v>
      </c>
      <c r="E1290" s="2">
        <v>45149</v>
      </c>
      <c r="F1290" t="s">
        <v>19</v>
      </c>
      <c r="G1290">
        <v>19449</v>
      </c>
      <c r="H1290">
        <v>295</v>
      </c>
      <c r="I1290">
        <v>40</v>
      </c>
      <c r="J1290" t="b">
        <v>1</v>
      </c>
      <c r="K1290" s="10">
        <v>362.4</v>
      </c>
      <c r="L1290" s="6">
        <f t="shared" si="124"/>
        <v>1.5167874955010541E-2</v>
      </c>
      <c r="M1290">
        <f t="shared" si="125"/>
        <v>1.2284745762711864</v>
      </c>
      <c r="N1290">
        <f t="shared" si="126"/>
        <v>9.0599999999999987</v>
      </c>
      <c r="O1290">
        <f t="shared" si="127"/>
        <v>1637.6</v>
      </c>
      <c r="P1290">
        <f t="shared" si="128"/>
        <v>0.13559322033898305</v>
      </c>
      <c r="Q1290" t="s">
        <v>4139</v>
      </c>
      <c r="R1290" t="s">
        <v>4142</v>
      </c>
      <c r="S1290">
        <f>YEAR(marketing_data[[#This Row],[Start_date]])</f>
        <v>2023</v>
      </c>
      <c r="T1290" t="str">
        <f>TEXT(marketing_data[[#This Row],[Start_date]],"ddd")</f>
        <v>Wed</v>
      </c>
      <c r="U1290">
        <f>marketing_data[[#This Row],[Cleaned End_date]]-marketing_data[[#This Row],[Start_date]]</f>
        <v>16</v>
      </c>
    </row>
    <row r="1291" spans="1:21" x14ac:dyDescent="0.2">
      <c r="A1291" t="s">
        <v>2673</v>
      </c>
      <c r="B1291" t="s">
        <v>2674</v>
      </c>
      <c r="C1291" s="2">
        <v>45041</v>
      </c>
      <c r="D1291" t="str">
        <f t="shared" si="123"/>
        <v>Apr</v>
      </c>
      <c r="E1291" s="2">
        <v>45053</v>
      </c>
      <c r="F1291" t="s">
        <v>23</v>
      </c>
      <c r="G1291">
        <v>34536</v>
      </c>
      <c r="H1291">
        <v>1125</v>
      </c>
      <c r="I1291">
        <v>127</v>
      </c>
      <c r="J1291" t="b">
        <v>1</v>
      </c>
      <c r="K1291" s="10">
        <v>1483.75</v>
      </c>
      <c r="L1291" s="6">
        <f t="shared" si="124"/>
        <v>3.2574704656011116E-2</v>
      </c>
      <c r="M1291">
        <f t="shared" si="125"/>
        <v>1.318888888888889</v>
      </c>
      <c r="N1291">
        <f t="shared" si="126"/>
        <v>11.683070866141732</v>
      </c>
      <c r="O1291">
        <f t="shared" si="127"/>
        <v>4866.25</v>
      </c>
      <c r="P1291">
        <f t="shared" si="128"/>
        <v>0.11288888888888889</v>
      </c>
      <c r="Q1291" t="s">
        <v>4137</v>
      </c>
      <c r="R1291" t="s">
        <v>4142</v>
      </c>
      <c r="S1291">
        <f>YEAR(marketing_data[[#This Row],[Start_date]])</f>
        <v>2023</v>
      </c>
      <c r="T1291" t="str">
        <f>TEXT(marketing_data[[#This Row],[Start_date]],"ddd")</f>
        <v>Tue</v>
      </c>
      <c r="U1291">
        <f>marketing_data[[#This Row],[Cleaned End_date]]-marketing_data[[#This Row],[Start_date]]</f>
        <v>12</v>
      </c>
    </row>
    <row r="1292" spans="1:21" x14ac:dyDescent="0.2">
      <c r="A1292" t="s">
        <v>2675</v>
      </c>
      <c r="B1292" t="s">
        <v>2676</v>
      </c>
      <c r="C1292" s="2">
        <v>44938</v>
      </c>
      <c r="D1292" t="str">
        <f t="shared" si="123"/>
        <v>Jan</v>
      </c>
      <c r="E1292" s="2">
        <v>44946</v>
      </c>
      <c r="F1292" t="s">
        <v>33</v>
      </c>
      <c r="G1292">
        <v>65077</v>
      </c>
      <c r="H1292">
        <v>2906</v>
      </c>
      <c r="I1292">
        <v>232</v>
      </c>
      <c r="J1292" t="b">
        <v>1</v>
      </c>
      <c r="K1292" s="10">
        <v>3631.7599999999998</v>
      </c>
      <c r="L1292" s="6">
        <f t="shared" si="124"/>
        <v>4.4654793552253484E-2</v>
      </c>
      <c r="M1292">
        <f t="shared" si="125"/>
        <v>1.2497453544390915</v>
      </c>
      <c r="N1292">
        <f t="shared" si="126"/>
        <v>15.654137931034482</v>
      </c>
      <c r="O1292">
        <f t="shared" si="127"/>
        <v>7968.24</v>
      </c>
      <c r="P1292">
        <f t="shared" si="128"/>
        <v>7.9834824501032353E-2</v>
      </c>
      <c r="Q1292" t="s">
        <v>4138</v>
      </c>
      <c r="R1292" t="s">
        <v>4141</v>
      </c>
      <c r="S1292">
        <f>YEAR(marketing_data[[#This Row],[Start_date]])</f>
        <v>2023</v>
      </c>
      <c r="T1292" t="str">
        <f>TEXT(marketing_data[[#This Row],[Start_date]],"ddd")</f>
        <v>Thu</v>
      </c>
      <c r="U1292">
        <f>marketing_data[[#This Row],[Cleaned End_date]]-marketing_data[[#This Row],[Start_date]]</f>
        <v>8</v>
      </c>
    </row>
    <row r="1293" spans="1:21" x14ac:dyDescent="0.2">
      <c r="A1293" t="s">
        <v>2677</v>
      </c>
      <c r="B1293" t="s">
        <v>2678</v>
      </c>
      <c r="C1293" s="2">
        <v>45114</v>
      </c>
      <c r="D1293" t="str">
        <f t="shared" si="123"/>
        <v>Jul</v>
      </c>
      <c r="E1293" s="2">
        <v>45127</v>
      </c>
      <c r="F1293" t="s">
        <v>41</v>
      </c>
      <c r="G1293">
        <v>39258</v>
      </c>
      <c r="H1293">
        <v>1290</v>
      </c>
      <c r="I1293">
        <v>123</v>
      </c>
      <c r="J1293" t="b">
        <v>0</v>
      </c>
      <c r="K1293" s="10">
        <v>2331</v>
      </c>
      <c r="L1293" s="6">
        <f t="shared" si="124"/>
        <v>3.2859544551429011E-2</v>
      </c>
      <c r="M1293">
        <f t="shared" si="125"/>
        <v>1.8069767441860465</v>
      </c>
      <c r="N1293">
        <f t="shared" si="126"/>
        <v>18.951219512195124</v>
      </c>
      <c r="O1293">
        <f t="shared" si="127"/>
        <v>3819</v>
      </c>
      <c r="P1293">
        <f t="shared" si="128"/>
        <v>9.5348837209302331E-2</v>
      </c>
      <c r="Q1293" t="s">
        <v>4139</v>
      </c>
      <c r="R1293" t="s">
        <v>4138</v>
      </c>
      <c r="S1293">
        <f>YEAR(marketing_data[[#This Row],[Start_date]])</f>
        <v>2023</v>
      </c>
      <c r="T1293" t="str">
        <f>TEXT(marketing_data[[#This Row],[Start_date]],"ddd")</f>
        <v>Fri</v>
      </c>
      <c r="U1293">
        <f>marketing_data[[#This Row],[Cleaned End_date]]-marketing_data[[#This Row],[Start_date]]</f>
        <v>13</v>
      </c>
    </row>
    <row r="1294" spans="1:21" x14ac:dyDescent="0.2">
      <c r="A1294" t="s">
        <v>2679</v>
      </c>
      <c r="B1294" t="s">
        <v>2680</v>
      </c>
      <c r="C1294" s="2">
        <v>45119</v>
      </c>
      <c r="D1294" t="str">
        <f t="shared" si="123"/>
        <v>Jul</v>
      </c>
      <c r="E1294" s="2">
        <v>45135</v>
      </c>
      <c r="F1294" t="s">
        <v>41</v>
      </c>
      <c r="G1294">
        <v>49302</v>
      </c>
      <c r="H1294">
        <v>2282</v>
      </c>
      <c r="I1294">
        <v>293</v>
      </c>
      <c r="J1294" t="b">
        <v>1</v>
      </c>
      <c r="K1294" s="10">
        <v>3631.7599999999998</v>
      </c>
      <c r="L1294" s="6">
        <f t="shared" si="124"/>
        <v>4.6286154719889658E-2</v>
      </c>
      <c r="M1294">
        <f t="shared" si="125"/>
        <v>1.5914811568799299</v>
      </c>
      <c r="N1294">
        <f t="shared" si="126"/>
        <v>12.395085324232081</v>
      </c>
      <c r="O1294">
        <f t="shared" si="127"/>
        <v>11018.24</v>
      </c>
      <c r="P1294">
        <f t="shared" si="128"/>
        <v>0.12839614373356706</v>
      </c>
      <c r="Q1294" t="s">
        <v>4139</v>
      </c>
      <c r="R1294" t="s">
        <v>4138</v>
      </c>
      <c r="S1294">
        <f>YEAR(marketing_data[[#This Row],[Start_date]])</f>
        <v>2023</v>
      </c>
      <c r="T1294" t="str">
        <f>TEXT(marketing_data[[#This Row],[Start_date]],"ddd")</f>
        <v>Wed</v>
      </c>
      <c r="U1294">
        <f>marketing_data[[#This Row],[Cleaned End_date]]-marketing_data[[#This Row],[Start_date]]</f>
        <v>16</v>
      </c>
    </row>
    <row r="1295" spans="1:21" x14ac:dyDescent="0.2">
      <c r="A1295" t="s">
        <v>2681</v>
      </c>
      <c r="B1295" t="s">
        <v>2682</v>
      </c>
      <c r="C1295" s="2">
        <v>45200</v>
      </c>
      <c r="D1295" t="str">
        <f t="shared" si="123"/>
        <v>Oct</v>
      </c>
      <c r="E1295" s="2">
        <v>45223</v>
      </c>
      <c r="F1295" t="s">
        <v>23</v>
      </c>
      <c r="G1295">
        <v>29865</v>
      </c>
      <c r="H1295">
        <v>1425</v>
      </c>
      <c r="I1295">
        <v>210</v>
      </c>
      <c r="J1295" t="b">
        <v>0</v>
      </c>
      <c r="K1295" s="10">
        <v>1297.53</v>
      </c>
      <c r="L1295" s="6">
        <f t="shared" si="124"/>
        <v>4.7714716223003516E-2</v>
      </c>
      <c r="M1295">
        <f t="shared" si="125"/>
        <v>0.91054736842105266</v>
      </c>
      <c r="N1295">
        <f t="shared" si="126"/>
        <v>6.1787142857142854</v>
      </c>
      <c r="O1295">
        <f t="shared" si="127"/>
        <v>9202.4699999999993</v>
      </c>
      <c r="P1295">
        <f t="shared" si="128"/>
        <v>0.14736842105263157</v>
      </c>
      <c r="Q1295" t="s">
        <v>4136</v>
      </c>
      <c r="R1295" t="s">
        <v>4141</v>
      </c>
      <c r="S1295">
        <f>YEAR(marketing_data[[#This Row],[Start_date]])</f>
        <v>2023</v>
      </c>
      <c r="T1295" t="str">
        <f>TEXT(marketing_data[[#This Row],[Start_date]],"ddd")</f>
        <v>Sun</v>
      </c>
      <c r="U1295">
        <f>marketing_data[[#This Row],[Cleaned End_date]]-marketing_data[[#This Row],[Start_date]]</f>
        <v>23</v>
      </c>
    </row>
    <row r="1296" spans="1:21" x14ac:dyDescent="0.2">
      <c r="A1296" t="s">
        <v>2683</v>
      </c>
      <c r="B1296" t="s">
        <v>2684</v>
      </c>
      <c r="C1296" s="2">
        <v>44951</v>
      </c>
      <c r="D1296" t="str">
        <f t="shared" si="123"/>
        <v>Jan</v>
      </c>
      <c r="E1296" s="2">
        <v>44960</v>
      </c>
      <c r="F1296" t="s">
        <v>23</v>
      </c>
      <c r="G1296">
        <v>7645</v>
      </c>
      <c r="H1296">
        <v>205</v>
      </c>
      <c r="I1296">
        <v>34</v>
      </c>
      <c r="J1296" t="b">
        <v>1</v>
      </c>
      <c r="K1296" s="10">
        <v>382.88</v>
      </c>
      <c r="L1296" s="6">
        <f t="shared" si="124"/>
        <v>2.6814911706998037E-2</v>
      </c>
      <c r="M1296">
        <f t="shared" si="125"/>
        <v>1.8677073170731706</v>
      </c>
      <c r="N1296">
        <f t="shared" si="126"/>
        <v>11.261176470588236</v>
      </c>
      <c r="O1296">
        <f t="shared" si="127"/>
        <v>1317.12</v>
      </c>
      <c r="P1296">
        <f t="shared" si="128"/>
        <v>0.16585365853658537</v>
      </c>
      <c r="Q1296" t="s">
        <v>4138</v>
      </c>
      <c r="R1296" t="s">
        <v>4139</v>
      </c>
      <c r="S1296">
        <f>YEAR(marketing_data[[#This Row],[Start_date]])</f>
        <v>2023</v>
      </c>
      <c r="T1296" t="str">
        <f>TEXT(marketing_data[[#This Row],[Start_date]],"ddd")</f>
        <v>Wed</v>
      </c>
      <c r="U1296">
        <f>marketing_data[[#This Row],[Cleaned End_date]]-marketing_data[[#This Row],[Start_date]]</f>
        <v>9</v>
      </c>
    </row>
    <row r="1297" spans="1:21" x14ac:dyDescent="0.2">
      <c r="A1297" t="s">
        <v>2685</v>
      </c>
      <c r="B1297" t="s">
        <v>2686</v>
      </c>
      <c r="C1297" s="2">
        <v>45231</v>
      </c>
      <c r="D1297" t="str">
        <f t="shared" si="123"/>
        <v>Nov</v>
      </c>
      <c r="E1297" s="2">
        <v>45261</v>
      </c>
      <c r="F1297" t="s">
        <v>19</v>
      </c>
      <c r="G1297">
        <v>39000</v>
      </c>
      <c r="H1297">
        <v>978</v>
      </c>
      <c r="J1297" t="b">
        <v>1</v>
      </c>
      <c r="K1297" s="10">
        <v>632.04</v>
      </c>
      <c r="L1297" s="6">
        <f t="shared" si="124"/>
        <v>2.5076923076923077E-2</v>
      </c>
      <c r="M1297">
        <f t="shared" si="125"/>
        <v>0.64625766871165635</v>
      </c>
      <c r="N1297">
        <f t="shared" si="126"/>
        <v>0</v>
      </c>
      <c r="O1297">
        <f t="shared" si="127"/>
        <v>-632.04</v>
      </c>
      <c r="P1297">
        <f t="shared" si="128"/>
        <v>0</v>
      </c>
      <c r="Q1297" t="s">
        <v>4136</v>
      </c>
      <c r="R1297" t="s">
        <v>4138</v>
      </c>
      <c r="S1297">
        <f>YEAR(marketing_data[[#This Row],[Start_date]])</f>
        <v>2023</v>
      </c>
      <c r="T1297" t="str">
        <f>TEXT(marketing_data[[#This Row],[Start_date]],"ddd")</f>
        <v>Wed</v>
      </c>
      <c r="U1297">
        <f>marketing_data[[#This Row],[Cleaned End_date]]-marketing_data[[#This Row],[Start_date]]</f>
        <v>30</v>
      </c>
    </row>
    <row r="1298" spans="1:21" x14ac:dyDescent="0.2">
      <c r="A1298" t="s">
        <v>2687</v>
      </c>
      <c r="B1298" t="s">
        <v>2688</v>
      </c>
      <c r="C1298" s="2">
        <v>44986</v>
      </c>
      <c r="D1298" t="str">
        <f t="shared" si="123"/>
        <v>Mar</v>
      </c>
      <c r="E1298" s="2">
        <v>45005</v>
      </c>
      <c r="F1298" t="s">
        <v>41</v>
      </c>
      <c r="G1298">
        <v>27737</v>
      </c>
      <c r="H1298">
        <v>1316</v>
      </c>
      <c r="I1298">
        <v>257</v>
      </c>
      <c r="J1298" t="b">
        <v>1</v>
      </c>
      <c r="K1298" s="10">
        <v>2342.4699999999998</v>
      </c>
      <c r="L1298" s="6">
        <f t="shared" si="124"/>
        <v>4.7445650214514905E-2</v>
      </c>
      <c r="M1298">
        <f t="shared" si="125"/>
        <v>1.7799924012158053</v>
      </c>
      <c r="N1298">
        <f t="shared" si="126"/>
        <v>9.1146692607003885</v>
      </c>
      <c r="O1298">
        <f t="shared" si="127"/>
        <v>10507.53</v>
      </c>
      <c r="P1298">
        <f t="shared" si="128"/>
        <v>0.19528875379939209</v>
      </c>
      <c r="Q1298" t="s">
        <v>4137</v>
      </c>
      <c r="R1298" t="s">
        <v>4138</v>
      </c>
      <c r="S1298">
        <f>YEAR(marketing_data[[#This Row],[Start_date]])</f>
        <v>2023</v>
      </c>
      <c r="T1298" t="str">
        <f>TEXT(marketing_data[[#This Row],[Start_date]],"ddd")</f>
        <v>Wed</v>
      </c>
      <c r="U1298">
        <f>marketing_data[[#This Row],[Cleaned End_date]]-marketing_data[[#This Row],[Start_date]]</f>
        <v>19</v>
      </c>
    </row>
    <row r="1299" spans="1:21" x14ac:dyDescent="0.2">
      <c r="A1299" t="s">
        <v>2689</v>
      </c>
      <c r="B1299" t="s">
        <v>2690</v>
      </c>
      <c r="C1299" s="2">
        <v>45207</v>
      </c>
      <c r="D1299" t="str">
        <f t="shared" si="123"/>
        <v>Oct</v>
      </c>
      <c r="E1299" s="2">
        <v>45222</v>
      </c>
      <c r="F1299" t="s">
        <v>14</v>
      </c>
      <c r="G1299">
        <v>12485</v>
      </c>
      <c r="H1299">
        <v>462</v>
      </c>
      <c r="I1299">
        <v>42</v>
      </c>
      <c r="J1299" t="b">
        <v>0</v>
      </c>
      <c r="K1299" s="10">
        <v>458.41</v>
      </c>
      <c r="L1299" s="6">
        <f t="shared" si="124"/>
        <v>3.7004405286343613E-2</v>
      </c>
      <c r="M1299">
        <f t="shared" si="125"/>
        <v>0.99222943722943724</v>
      </c>
      <c r="N1299">
        <f t="shared" si="126"/>
        <v>10.914523809523811</v>
      </c>
      <c r="O1299">
        <f t="shared" si="127"/>
        <v>1641.59</v>
      </c>
      <c r="P1299">
        <f t="shared" si="128"/>
        <v>9.0909090909090912E-2</v>
      </c>
      <c r="Q1299" t="s">
        <v>4136</v>
      </c>
      <c r="R1299" t="s">
        <v>4138</v>
      </c>
      <c r="S1299">
        <f>YEAR(marketing_data[[#This Row],[Start_date]])</f>
        <v>2023</v>
      </c>
      <c r="T1299" t="str">
        <f>TEXT(marketing_data[[#This Row],[Start_date]],"ddd")</f>
        <v>Sun</v>
      </c>
      <c r="U1299">
        <f>marketing_data[[#This Row],[Cleaned End_date]]-marketing_data[[#This Row],[Start_date]]</f>
        <v>15</v>
      </c>
    </row>
    <row r="1300" spans="1:21" x14ac:dyDescent="0.2">
      <c r="A1300" t="s">
        <v>2691</v>
      </c>
      <c r="B1300" t="s">
        <v>2692</v>
      </c>
      <c r="C1300" s="2">
        <v>45032</v>
      </c>
      <c r="D1300" t="str">
        <f t="shared" si="123"/>
        <v>Apr</v>
      </c>
      <c r="E1300" s="2">
        <v>45050</v>
      </c>
      <c r="F1300" t="s">
        <v>23</v>
      </c>
      <c r="G1300">
        <v>39565</v>
      </c>
      <c r="H1300">
        <v>579</v>
      </c>
      <c r="I1300">
        <v>35</v>
      </c>
      <c r="J1300" t="b">
        <v>0</v>
      </c>
      <c r="K1300" s="10">
        <v>336.2</v>
      </c>
      <c r="L1300" s="6">
        <f t="shared" si="124"/>
        <v>1.4634146341463415E-2</v>
      </c>
      <c r="M1300">
        <f t="shared" si="125"/>
        <v>0.58065630397236612</v>
      </c>
      <c r="N1300">
        <f t="shared" si="126"/>
        <v>9.605714285714285</v>
      </c>
      <c r="O1300">
        <f t="shared" si="127"/>
        <v>1413.8</v>
      </c>
      <c r="P1300">
        <f t="shared" si="128"/>
        <v>6.0449050086355788E-2</v>
      </c>
      <c r="Q1300" t="s">
        <v>4137</v>
      </c>
      <c r="R1300" t="s">
        <v>4139</v>
      </c>
      <c r="S1300">
        <f>YEAR(marketing_data[[#This Row],[Start_date]])</f>
        <v>2023</v>
      </c>
      <c r="T1300" t="str">
        <f>TEXT(marketing_data[[#This Row],[Start_date]],"ddd")</f>
        <v>Sun</v>
      </c>
      <c r="U1300">
        <f>marketing_data[[#This Row],[Cleaned End_date]]-marketing_data[[#This Row],[Start_date]]</f>
        <v>18</v>
      </c>
    </row>
    <row r="1301" spans="1:21" x14ac:dyDescent="0.2">
      <c r="A1301" t="s">
        <v>2693</v>
      </c>
      <c r="B1301" t="s">
        <v>2694</v>
      </c>
      <c r="C1301" s="2">
        <v>45081</v>
      </c>
      <c r="D1301" t="str">
        <f t="shared" si="123"/>
        <v>Jun</v>
      </c>
      <c r="E1301" s="2">
        <v>45092</v>
      </c>
      <c r="F1301" t="s">
        <v>19</v>
      </c>
      <c r="G1301">
        <v>26522</v>
      </c>
      <c r="H1301">
        <v>310</v>
      </c>
      <c r="I1301">
        <v>31</v>
      </c>
      <c r="J1301" t="b">
        <v>0</v>
      </c>
      <c r="K1301" s="10">
        <v>466.25</v>
      </c>
      <c r="L1301" s="6">
        <f t="shared" si="124"/>
        <v>1.1688409622200437E-2</v>
      </c>
      <c r="M1301">
        <f t="shared" si="125"/>
        <v>1.5040322580645162</v>
      </c>
      <c r="N1301">
        <f t="shared" si="126"/>
        <v>15.040322580645162</v>
      </c>
      <c r="O1301">
        <f t="shared" si="127"/>
        <v>1083.75</v>
      </c>
      <c r="P1301">
        <f t="shared" si="128"/>
        <v>0.1</v>
      </c>
      <c r="Q1301" t="s">
        <v>4139</v>
      </c>
      <c r="R1301" t="s">
        <v>4142</v>
      </c>
      <c r="S1301">
        <f>YEAR(marketing_data[[#This Row],[Start_date]])</f>
        <v>2023</v>
      </c>
      <c r="T1301" t="str">
        <f>TEXT(marketing_data[[#This Row],[Start_date]],"ddd")</f>
        <v>Sun</v>
      </c>
      <c r="U1301">
        <f>marketing_data[[#This Row],[Cleaned End_date]]-marketing_data[[#This Row],[Start_date]]</f>
        <v>11</v>
      </c>
    </row>
    <row r="1302" spans="1:21" x14ac:dyDescent="0.2">
      <c r="A1302" t="s">
        <v>2695</v>
      </c>
      <c r="B1302" t="s">
        <v>2696</v>
      </c>
      <c r="C1302" s="2">
        <v>45193</v>
      </c>
      <c r="D1302" t="str">
        <f t="shared" si="123"/>
        <v>Sep</v>
      </c>
      <c r="E1302" s="2">
        <v>45198</v>
      </c>
      <c r="F1302" t="s">
        <v>23</v>
      </c>
      <c r="G1302">
        <v>66155</v>
      </c>
      <c r="H1302">
        <v>2155</v>
      </c>
      <c r="I1302">
        <v>348</v>
      </c>
      <c r="J1302" t="b">
        <v>1</v>
      </c>
      <c r="K1302" s="10">
        <v>1825.11</v>
      </c>
      <c r="L1302" s="6">
        <f t="shared" si="124"/>
        <v>3.2575013226513488E-2</v>
      </c>
      <c r="M1302">
        <f t="shared" si="125"/>
        <v>0.84691879350348021</v>
      </c>
      <c r="N1302">
        <f t="shared" si="126"/>
        <v>5.2445689655172414</v>
      </c>
      <c r="O1302">
        <f t="shared" si="127"/>
        <v>15574.89</v>
      </c>
      <c r="P1302">
        <f t="shared" si="128"/>
        <v>0.16148491879350349</v>
      </c>
      <c r="Q1302" t="s">
        <v>4136</v>
      </c>
      <c r="R1302" t="s">
        <v>4141</v>
      </c>
      <c r="S1302">
        <f>YEAR(marketing_data[[#This Row],[Start_date]])</f>
        <v>2023</v>
      </c>
      <c r="T1302" t="str">
        <f>TEXT(marketing_data[[#This Row],[Start_date]],"ddd")</f>
        <v>Sun</v>
      </c>
      <c r="U1302">
        <f>marketing_data[[#This Row],[Cleaned End_date]]-marketing_data[[#This Row],[Start_date]]</f>
        <v>5</v>
      </c>
    </row>
    <row r="1303" spans="1:21" x14ac:dyDescent="0.2">
      <c r="A1303" t="s">
        <v>2697</v>
      </c>
      <c r="B1303" t="s">
        <v>2698</v>
      </c>
      <c r="C1303" s="2">
        <v>44997</v>
      </c>
      <c r="D1303" t="str">
        <f t="shared" si="123"/>
        <v>Mar</v>
      </c>
      <c r="E1303" s="2">
        <v>45006</v>
      </c>
      <c r="F1303" t="s">
        <v>33</v>
      </c>
      <c r="G1303">
        <v>56168</v>
      </c>
      <c r="H1303">
        <v>2651</v>
      </c>
      <c r="I1303">
        <v>306</v>
      </c>
      <c r="J1303" t="b">
        <v>0</v>
      </c>
      <c r="K1303" s="10">
        <v>2294.06</v>
      </c>
      <c r="L1303" s="6">
        <f t="shared" si="124"/>
        <v>4.7197692636376583E-2</v>
      </c>
      <c r="M1303">
        <f t="shared" si="125"/>
        <v>0.86535646925688414</v>
      </c>
      <c r="N1303">
        <f t="shared" si="126"/>
        <v>7.4969281045751632</v>
      </c>
      <c r="O1303">
        <f t="shared" si="127"/>
        <v>13005.94</v>
      </c>
      <c r="P1303">
        <f t="shared" si="128"/>
        <v>0.11542814032440589</v>
      </c>
      <c r="Q1303" t="s">
        <v>4137</v>
      </c>
      <c r="R1303" t="s">
        <v>4138</v>
      </c>
      <c r="S1303">
        <f>YEAR(marketing_data[[#This Row],[Start_date]])</f>
        <v>2023</v>
      </c>
      <c r="T1303" t="str">
        <f>TEXT(marketing_data[[#This Row],[Start_date]],"ddd")</f>
        <v>Sun</v>
      </c>
      <c r="U1303">
        <f>marketing_data[[#This Row],[Cleaned End_date]]-marketing_data[[#This Row],[Start_date]]</f>
        <v>9</v>
      </c>
    </row>
    <row r="1304" spans="1:21" x14ac:dyDescent="0.2">
      <c r="A1304" t="s">
        <v>2699</v>
      </c>
      <c r="B1304" t="s">
        <v>2700</v>
      </c>
      <c r="C1304" s="2">
        <v>45188</v>
      </c>
      <c r="D1304" t="str">
        <f t="shared" si="123"/>
        <v>Sep</v>
      </c>
      <c r="E1304" s="2">
        <v>45208</v>
      </c>
      <c r="F1304" t="s">
        <v>33</v>
      </c>
      <c r="G1304">
        <v>53487</v>
      </c>
      <c r="H1304">
        <v>2341</v>
      </c>
      <c r="I1304">
        <v>404</v>
      </c>
      <c r="J1304" t="b">
        <v>1</v>
      </c>
      <c r="K1304" s="10">
        <v>2245.1799999999998</v>
      </c>
      <c r="L1304" s="6">
        <f t="shared" si="124"/>
        <v>4.3767644474358255E-2</v>
      </c>
      <c r="M1304">
        <f t="shared" si="125"/>
        <v>0.95906877402819302</v>
      </c>
      <c r="N1304">
        <f t="shared" si="126"/>
        <v>5.5573762376237621</v>
      </c>
      <c r="O1304">
        <f t="shared" si="127"/>
        <v>17954.82</v>
      </c>
      <c r="P1304">
        <f t="shared" si="128"/>
        <v>0.17257582229816318</v>
      </c>
      <c r="Q1304" t="s">
        <v>4136</v>
      </c>
      <c r="R1304" t="s">
        <v>4142</v>
      </c>
      <c r="S1304">
        <f>YEAR(marketing_data[[#This Row],[Start_date]])</f>
        <v>2023</v>
      </c>
      <c r="T1304" t="str">
        <f>TEXT(marketing_data[[#This Row],[Start_date]],"ddd")</f>
        <v>Tue</v>
      </c>
      <c r="U1304">
        <f>marketing_data[[#This Row],[Cleaned End_date]]-marketing_data[[#This Row],[Start_date]]</f>
        <v>20</v>
      </c>
    </row>
    <row r="1305" spans="1:21" x14ac:dyDescent="0.2">
      <c r="A1305" t="s">
        <v>2701</v>
      </c>
      <c r="B1305" t="s">
        <v>2702</v>
      </c>
      <c r="C1305" s="2">
        <v>44985</v>
      </c>
      <c r="D1305" t="str">
        <f t="shared" si="123"/>
        <v>Feb</v>
      </c>
      <c r="E1305" s="2">
        <v>44988</v>
      </c>
      <c r="F1305" t="s">
        <v>33</v>
      </c>
      <c r="G1305">
        <v>13342</v>
      </c>
      <c r="H1305">
        <v>494</v>
      </c>
      <c r="I1305">
        <v>65</v>
      </c>
      <c r="J1305" t="b">
        <v>0</v>
      </c>
      <c r="K1305" s="10">
        <v>329.13249999999999</v>
      </c>
      <c r="L1305" s="6">
        <f t="shared" si="124"/>
        <v>3.702593314345675E-2</v>
      </c>
      <c r="M1305">
        <f t="shared" si="125"/>
        <v>0.66626012145748992</v>
      </c>
      <c r="N1305">
        <f t="shared" si="126"/>
        <v>5.0635769230769228</v>
      </c>
      <c r="O1305">
        <f t="shared" si="127"/>
        <v>2920.8674999999998</v>
      </c>
      <c r="P1305">
        <f t="shared" si="128"/>
        <v>0.13157894736842105</v>
      </c>
      <c r="Q1305" t="s">
        <v>4138</v>
      </c>
      <c r="R1305" t="s">
        <v>4141</v>
      </c>
      <c r="S1305">
        <f>YEAR(marketing_data[[#This Row],[Start_date]])</f>
        <v>2023</v>
      </c>
      <c r="T1305" t="str">
        <f>TEXT(marketing_data[[#This Row],[Start_date]],"ddd")</f>
        <v>Tue</v>
      </c>
      <c r="U1305">
        <f>marketing_data[[#This Row],[Cleaned End_date]]-marketing_data[[#This Row],[Start_date]]</f>
        <v>3</v>
      </c>
    </row>
    <row r="1306" spans="1:21" x14ac:dyDescent="0.2">
      <c r="A1306" t="s">
        <v>2703</v>
      </c>
      <c r="B1306" t="s">
        <v>2704</v>
      </c>
      <c r="C1306" s="2">
        <v>45238</v>
      </c>
      <c r="D1306" t="str">
        <f t="shared" si="123"/>
        <v>Nov</v>
      </c>
      <c r="E1306" s="2">
        <v>45247</v>
      </c>
      <c r="F1306" t="s">
        <v>23</v>
      </c>
      <c r="G1306">
        <v>41806</v>
      </c>
      <c r="H1306">
        <v>650</v>
      </c>
      <c r="I1306">
        <v>123</v>
      </c>
      <c r="J1306" t="b">
        <v>0</v>
      </c>
      <c r="K1306" s="10">
        <v>497.7</v>
      </c>
      <c r="L1306" s="6">
        <f t="shared" si="124"/>
        <v>1.5548007463043582E-2</v>
      </c>
      <c r="M1306">
        <f t="shared" si="125"/>
        <v>0.76569230769230767</v>
      </c>
      <c r="N1306">
        <f t="shared" si="126"/>
        <v>4.0463414634146337</v>
      </c>
      <c r="O1306">
        <f t="shared" si="127"/>
        <v>5652.3</v>
      </c>
      <c r="P1306">
        <f t="shared" si="128"/>
        <v>0.18923076923076923</v>
      </c>
      <c r="Q1306" t="s">
        <v>4136</v>
      </c>
      <c r="R1306" t="s">
        <v>4142</v>
      </c>
      <c r="S1306">
        <f>YEAR(marketing_data[[#This Row],[Start_date]])</f>
        <v>2023</v>
      </c>
      <c r="T1306" t="str">
        <f>TEXT(marketing_data[[#This Row],[Start_date]],"ddd")</f>
        <v>Wed</v>
      </c>
      <c r="U1306">
        <f>marketing_data[[#This Row],[Cleaned End_date]]-marketing_data[[#This Row],[Start_date]]</f>
        <v>9</v>
      </c>
    </row>
    <row r="1307" spans="1:21" x14ac:dyDescent="0.2">
      <c r="A1307" t="s">
        <v>2705</v>
      </c>
      <c r="B1307" t="s">
        <v>2706</v>
      </c>
      <c r="C1307" s="2">
        <v>45194</v>
      </c>
      <c r="D1307" t="str">
        <f t="shared" si="123"/>
        <v>Sep</v>
      </c>
      <c r="E1307" s="2">
        <v>45198</v>
      </c>
      <c r="F1307" t="s">
        <v>23</v>
      </c>
      <c r="G1307">
        <v>49770</v>
      </c>
      <c r="H1307">
        <v>1003</v>
      </c>
      <c r="I1307">
        <v>192</v>
      </c>
      <c r="J1307" t="b">
        <v>1</v>
      </c>
      <c r="K1307" s="10">
        <v>509.23</v>
      </c>
      <c r="L1307" s="6">
        <f t="shared" si="124"/>
        <v>2.0152702431183445E-2</v>
      </c>
      <c r="M1307">
        <f t="shared" si="125"/>
        <v>0.50770687936191428</v>
      </c>
      <c r="N1307">
        <f t="shared" si="126"/>
        <v>2.6522395833333334</v>
      </c>
      <c r="O1307">
        <f t="shared" si="127"/>
        <v>9090.77</v>
      </c>
      <c r="P1307">
        <f t="shared" si="128"/>
        <v>0.1914257228315055</v>
      </c>
      <c r="Q1307" t="s">
        <v>4136</v>
      </c>
      <c r="R1307" t="s">
        <v>4142</v>
      </c>
      <c r="S1307">
        <f>YEAR(marketing_data[[#This Row],[Start_date]])</f>
        <v>2023</v>
      </c>
      <c r="T1307" t="str">
        <f>TEXT(marketing_data[[#This Row],[Start_date]],"ddd")</f>
        <v>Mon</v>
      </c>
      <c r="U1307">
        <f>marketing_data[[#This Row],[Cleaned End_date]]-marketing_data[[#This Row],[Start_date]]</f>
        <v>4</v>
      </c>
    </row>
    <row r="1308" spans="1:21" x14ac:dyDescent="0.2">
      <c r="A1308" t="s">
        <v>2707</v>
      </c>
      <c r="B1308" t="s">
        <v>2708</v>
      </c>
      <c r="C1308" s="2">
        <v>45136</v>
      </c>
      <c r="D1308" t="str">
        <f t="shared" si="123"/>
        <v>Jul</v>
      </c>
      <c r="E1308" s="2">
        <v>45149</v>
      </c>
      <c r="F1308" t="s">
        <v>14</v>
      </c>
      <c r="G1308">
        <v>79623</v>
      </c>
      <c r="H1308">
        <v>3584</v>
      </c>
      <c r="I1308">
        <v>216</v>
      </c>
      <c r="J1308" t="b">
        <v>0</v>
      </c>
      <c r="K1308" s="10">
        <v>3631.7599999999998</v>
      </c>
      <c r="L1308" s="6">
        <f t="shared" si="124"/>
        <v>4.5012119613679465E-2</v>
      </c>
      <c r="M1308">
        <f t="shared" si="125"/>
        <v>1.0133258928571427</v>
      </c>
      <c r="N1308">
        <f t="shared" si="126"/>
        <v>16.813703703703702</v>
      </c>
      <c r="O1308">
        <f t="shared" si="127"/>
        <v>7168.24</v>
      </c>
      <c r="P1308">
        <f t="shared" si="128"/>
        <v>6.0267857142857144E-2</v>
      </c>
      <c r="Q1308" t="s">
        <v>4139</v>
      </c>
      <c r="R1308" t="s">
        <v>4139</v>
      </c>
      <c r="S1308">
        <f>YEAR(marketing_data[[#This Row],[Start_date]])</f>
        <v>2023</v>
      </c>
      <c r="T1308" t="str">
        <f>TEXT(marketing_data[[#This Row],[Start_date]],"ddd")</f>
        <v>Sat</v>
      </c>
      <c r="U1308">
        <f>marketing_data[[#This Row],[Cleaned End_date]]-marketing_data[[#This Row],[Start_date]]</f>
        <v>13</v>
      </c>
    </row>
    <row r="1309" spans="1:21" x14ac:dyDescent="0.2">
      <c r="A1309" t="s">
        <v>2709</v>
      </c>
      <c r="B1309" t="s">
        <v>2710</v>
      </c>
      <c r="C1309" s="2">
        <v>45181</v>
      </c>
      <c r="D1309" t="str">
        <f t="shared" si="123"/>
        <v>Sep</v>
      </c>
      <c r="E1309" s="2">
        <v>45208</v>
      </c>
      <c r="F1309" t="s">
        <v>19</v>
      </c>
      <c r="G1309">
        <v>76629</v>
      </c>
      <c r="H1309">
        <v>1326</v>
      </c>
      <c r="I1309">
        <v>157</v>
      </c>
      <c r="J1309" t="b">
        <v>0</v>
      </c>
      <c r="K1309" s="10">
        <v>830.58</v>
      </c>
      <c r="L1309" s="6">
        <f t="shared" si="124"/>
        <v>1.730415377990056E-2</v>
      </c>
      <c r="M1309">
        <f t="shared" si="125"/>
        <v>0.62638009049773757</v>
      </c>
      <c r="N1309">
        <f t="shared" si="126"/>
        <v>5.2903184713375797</v>
      </c>
      <c r="O1309">
        <f t="shared" si="127"/>
        <v>7019.42</v>
      </c>
      <c r="P1309">
        <f t="shared" si="128"/>
        <v>0.11840120663650075</v>
      </c>
      <c r="Q1309" t="s">
        <v>4136</v>
      </c>
      <c r="R1309" t="s">
        <v>4138</v>
      </c>
      <c r="S1309">
        <f>YEAR(marketing_data[[#This Row],[Start_date]])</f>
        <v>2023</v>
      </c>
      <c r="T1309" t="str">
        <f>TEXT(marketing_data[[#This Row],[Start_date]],"ddd")</f>
        <v>Tue</v>
      </c>
      <c r="U1309">
        <f>marketing_data[[#This Row],[Cleaned End_date]]-marketing_data[[#This Row],[Start_date]]</f>
        <v>27</v>
      </c>
    </row>
    <row r="1310" spans="1:21" x14ac:dyDescent="0.2">
      <c r="A1310" t="s">
        <v>2711</v>
      </c>
      <c r="B1310" t="s">
        <v>2712</v>
      </c>
      <c r="C1310" s="2">
        <v>45173</v>
      </c>
      <c r="D1310" t="str">
        <f t="shared" si="123"/>
        <v>Sep</v>
      </c>
      <c r="E1310" s="2">
        <v>45203</v>
      </c>
      <c r="F1310" t="s">
        <v>33</v>
      </c>
      <c r="G1310">
        <v>53603</v>
      </c>
      <c r="H1310">
        <v>1133</v>
      </c>
      <c r="I1310">
        <v>160</v>
      </c>
      <c r="J1310" t="b">
        <v>1</v>
      </c>
      <c r="K1310" s="10">
        <v>1726.67</v>
      </c>
      <c r="L1310" s="6">
        <f t="shared" si="124"/>
        <v>2.1136876667350708E-2</v>
      </c>
      <c r="M1310">
        <f t="shared" si="125"/>
        <v>1.5239805825242718</v>
      </c>
      <c r="N1310">
        <f t="shared" si="126"/>
        <v>10.7916875</v>
      </c>
      <c r="O1310">
        <f t="shared" si="127"/>
        <v>6273.33</v>
      </c>
      <c r="P1310">
        <f t="shared" si="128"/>
        <v>0.14121800529567519</v>
      </c>
      <c r="Q1310" t="s">
        <v>4136</v>
      </c>
      <c r="R1310" t="s">
        <v>4142</v>
      </c>
      <c r="S1310">
        <f>YEAR(marketing_data[[#This Row],[Start_date]])</f>
        <v>2023</v>
      </c>
      <c r="T1310" t="str">
        <f>TEXT(marketing_data[[#This Row],[Start_date]],"ddd")</f>
        <v>Mon</v>
      </c>
      <c r="U1310">
        <f>marketing_data[[#This Row],[Cleaned End_date]]-marketing_data[[#This Row],[Start_date]]</f>
        <v>30</v>
      </c>
    </row>
    <row r="1311" spans="1:21" x14ac:dyDescent="0.2">
      <c r="A1311" t="s">
        <v>2713</v>
      </c>
      <c r="B1311" t="s">
        <v>2714</v>
      </c>
      <c r="C1311" s="2">
        <v>45211</v>
      </c>
      <c r="D1311" t="str">
        <f t="shared" si="123"/>
        <v>Oct</v>
      </c>
      <c r="E1311" s="2">
        <v>45283</v>
      </c>
      <c r="F1311" t="s">
        <v>14</v>
      </c>
      <c r="G1311">
        <v>82974</v>
      </c>
      <c r="H1311">
        <v>1259</v>
      </c>
      <c r="I1311">
        <v>111</v>
      </c>
      <c r="J1311" t="b">
        <v>0</v>
      </c>
      <c r="K1311" s="10">
        <v>1074.47</v>
      </c>
      <c r="L1311" s="6">
        <f t="shared" si="124"/>
        <v>1.5173427820763131E-2</v>
      </c>
      <c r="M1311">
        <f t="shared" si="125"/>
        <v>0.85343129467831613</v>
      </c>
      <c r="N1311">
        <f t="shared" si="126"/>
        <v>9.6799099099099095</v>
      </c>
      <c r="O1311">
        <f t="shared" si="127"/>
        <v>4475.53</v>
      </c>
      <c r="P1311">
        <f t="shared" si="128"/>
        <v>8.8165210484511522E-2</v>
      </c>
      <c r="Q1311" t="s">
        <v>4136</v>
      </c>
      <c r="R1311" t="s">
        <v>4138</v>
      </c>
      <c r="S1311">
        <f>YEAR(marketing_data[[#This Row],[Start_date]])</f>
        <v>2023</v>
      </c>
      <c r="T1311" t="str">
        <f>TEXT(marketing_data[[#This Row],[Start_date]],"ddd")</f>
        <v>Thu</v>
      </c>
      <c r="U1311">
        <f>marketing_data[[#This Row],[Cleaned End_date]]-marketing_data[[#This Row],[Start_date]]</f>
        <v>72</v>
      </c>
    </row>
    <row r="1312" spans="1:21" x14ac:dyDescent="0.2">
      <c r="A1312" t="s">
        <v>2715</v>
      </c>
      <c r="B1312" t="s">
        <v>2716</v>
      </c>
      <c r="C1312" s="2">
        <v>44983</v>
      </c>
      <c r="D1312" t="str">
        <f t="shared" si="123"/>
        <v>Feb</v>
      </c>
      <c r="E1312" s="2">
        <v>44984</v>
      </c>
      <c r="F1312" t="s">
        <v>14</v>
      </c>
      <c r="G1312">
        <v>27399</v>
      </c>
      <c r="H1312">
        <v>1014</v>
      </c>
      <c r="I1312">
        <v>112</v>
      </c>
      <c r="J1312" t="b">
        <v>0</v>
      </c>
      <c r="K1312" s="10">
        <v>1942.18</v>
      </c>
      <c r="L1312" s="6">
        <f t="shared" si="124"/>
        <v>3.7008649950728126E-2</v>
      </c>
      <c r="M1312">
        <f t="shared" si="125"/>
        <v>1.9153648915187378</v>
      </c>
      <c r="N1312">
        <f t="shared" si="126"/>
        <v>17.340892857142858</v>
      </c>
      <c r="O1312">
        <f t="shared" si="127"/>
        <v>3657.8199999999997</v>
      </c>
      <c r="P1312">
        <f t="shared" si="128"/>
        <v>0.11045364891518737</v>
      </c>
      <c r="Q1312" t="s">
        <v>4138</v>
      </c>
      <c r="R1312" t="s">
        <v>4141</v>
      </c>
      <c r="S1312">
        <f>YEAR(marketing_data[[#This Row],[Start_date]])</f>
        <v>2023</v>
      </c>
      <c r="T1312" t="str">
        <f>TEXT(marketing_data[[#This Row],[Start_date]],"ddd")</f>
        <v>Sun</v>
      </c>
      <c r="U1312">
        <f>marketing_data[[#This Row],[Cleaned End_date]]-marketing_data[[#This Row],[Start_date]]</f>
        <v>1</v>
      </c>
    </row>
    <row r="1313" spans="1:21" x14ac:dyDescent="0.2">
      <c r="A1313" t="s">
        <v>2717</v>
      </c>
      <c r="B1313" t="s">
        <v>2718</v>
      </c>
      <c r="C1313" s="2">
        <v>45003</v>
      </c>
      <c r="D1313" t="str">
        <f t="shared" si="123"/>
        <v>Mar</v>
      </c>
      <c r="E1313" s="2">
        <v>45006</v>
      </c>
      <c r="F1313" t="s">
        <v>19</v>
      </c>
      <c r="G1313">
        <v>86382</v>
      </c>
      <c r="H1313">
        <v>4125</v>
      </c>
      <c r="I1313">
        <v>625</v>
      </c>
      <c r="J1313" t="b">
        <v>0</v>
      </c>
      <c r="K1313" s="10">
        <v>3631.7599999999998</v>
      </c>
      <c r="L1313" s="6">
        <f t="shared" si="124"/>
        <v>4.7753004098075987E-2</v>
      </c>
      <c r="M1313">
        <f t="shared" si="125"/>
        <v>0.88042666666666658</v>
      </c>
      <c r="N1313">
        <f t="shared" si="126"/>
        <v>5.810816</v>
      </c>
      <c r="O1313">
        <f t="shared" si="127"/>
        <v>27618.240000000002</v>
      </c>
      <c r="P1313">
        <f t="shared" si="128"/>
        <v>0.15151515151515152</v>
      </c>
      <c r="Q1313" t="s">
        <v>4137</v>
      </c>
      <c r="R1313" t="s">
        <v>4139</v>
      </c>
      <c r="S1313">
        <f>YEAR(marketing_data[[#This Row],[Start_date]])</f>
        <v>2023</v>
      </c>
      <c r="T1313" t="str">
        <f>TEXT(marketing_data[[#This Row],[Start_date]],"ddd")</f>
        <v>Sat</v>
      </c>
      <c r="U1313">
        <f>marketing_data[[#This Row],[Cleaned End_date]]-marketing_data[[#This Row],[Start_date]]</f>
        <v>3</v>
      </c>
    </row>
    <row r="1314" spans="1:21" x14ac:dyDescent="0.2">
      <c r="A1314" t="s">
        <v>2719</v>
      </c>
      <c r="B1314" t="s">
        <v>2720</v>
      </c>
      <c r="C1314" s="2">
        <v>44965</v>
      </c>
      <c r="D1314" t="str">
        <f t="shared" si="123"/>
        <v>Feb</v>
      </c>
      <c r="E1314" s="2">
        <v>44972</v>
      </c>
      <c r="F1314" t="s">
        <v>23</v>
      </c>
      <c r="G1314">
        <v>82244</v>
      </c>
      <c r="H1314">
        <v>1707</v>
      </c>
      <c r="I1314">
        <v>143</v>
      </c>
      <c r="J1314" t="b">
        <v>1</v>
      </c>
      <c r="K1314" s="10">
        <v>1594.61</v>
      </c>
      <c r="L1314" s="6">
        <f t="shared" si="124"/>
        <v>2.0755313457516657E-2</v>
      </c>
      <c r="M1314">
        <f t="shared" si="125"/>
        <v>0.9341593438781487</v>
      </c>
      <c r="N1314">
        <f t="shared" si="126"/>
        <v>11.151118881118881</v>
      </c>
      <c r="O1314">
        <f t="shared" si="127"/>
        <v>5555.39</v>
      </c>
      <c r="P1314">
        <f t="shared" si="128"/>
        <v>8.3772700644405396E-2</v>
      </c>
      <c r="Q1314" t="s">
        <v>4138</v>
      </c>
      <c r="R1314" t="s">
        <v>4142</v>
      </c>
      <c r="S1314">
        <f>YEAR(marketing_data[[#This Row],[Start_date]])</f>
        <v>2023</v>
      </c>
      <c r="T1314" t="str">
        <f>TEXT(marketing_data[[#This Row],[Start_date]],"ddd")</f>
        <v>Wed</v>
      </c>
      <c r="U1314">
        <f>marketing_data[[#This Row],[Cleaned End_date]]-marketing_data[[#This Row],[Start_date]]</f>
        <v>7</v>
      </c>
    </row>
    <row r="1315" spans="1:21" x14ac:dyDescent="0.2">
      <c r="A1315" t="s">
        <v>2721</v>
      </c>
      <c r="B1315" t="s">
        <v>2722</v>
      </c>
      <c r="C1315" s="2">
        <v>45058</v>
      </c>
      <c r="D1315" t="str">
        <f t="shared" si="123"/>
        <v>May</v>
      </c>
      <c r="E1315" s="2">
        <v>45084</v>
      </c>
      <c r="F1315" t="s">
        <v>41</v>
      </c>
      <c r="G1315">
        <v>77534</v>
      </c>
      <c r="H1315">
        <v>2249</v>
      </c>
      <c r="I1315">
        <v>315</v>
      </c>
      <c r="J1315" t="b">
        <v>0</v>
      </c>
      <c r="K1315" s="10">
        <v>3631.7599999999998</v>
      </c>
      <c r="L1315" s="6">
        <f t="shared" si="124"/>
        <v>2.9006629349704646E-2</v>
      </c>
      <c r="M1315">
        <f t="shared" si="125"/>
        <v>1.6148332592263228</v>
      </c>
      <c r="N1315">
        <f t="shared" si="126"/>
        <v>11.529396825396825</v>
      </c>
      <c r="O1315">
        <f t="shared" si="127"/>
        <v>12118.24</v>
      </c>
      <c r="P1315">
        <f t="shared" si="128"/>
        <v>0.14006224988883947</v>
      </c>
      <c r="Q1315" t="s">
        <v>4137</v>
      </c>
      <c r="R1315" t="s">
        <v>4138</v>
      </c>
      <c r="S1315">
        <f>YEAR(marketing_data[[#This Row],[Start_date]])</f>
        <v>2023</v>
      </c>
      <c r="T1315" t="str">
        <f>TEXT(marketing_data[[#This Row],[Start_date]],"ddd")</f>
        <v>Fri</v>
      </c>
      <c r="U1315">
        <f>marketing_data[[#This Row],[Cleaned End_date]]-marketing_data[[#This Row],[Start_date]]</f>
        <v>26</v>
      </c>
    </row>
    <row r="1316" spans="1:21" x14ac:dyDescent="0.2">
      <c r="A1316" t="s">
        <v>2723</v>
      </c>
      <c r="B1316" t="s">
        <v>2724</v>
      </c>
      <c r="C1316" s="2">
        <v>45078</v>
      </c>
      <c r="D1316" t="str">
        <f t="shared" si="123"/>
        <v>Jun</v>
      </c>
      <c r="E1316" s="2">
        <v>45108</v>
      </c>
      <c r="F1316" t="s">
        <v>19</v>
      </c>
      <c r="G1316">
        <v>56106</v>
      </c>
      <c r="H1316">
        <v>1984</v>
      </c>
      <c r="I1316">
        <v>306</v>
      </c>
      <c r="J1316" t="b">
        <v>0</v>
      </c>
      <c r="K1316" s="10">
        <v>3382.46</v>
      </c>
      <c r="L1316" s="6">
        <f t="shared" si="124"/>
        <v>3.5361636901579153E-2</v>
      </c>
      <c r="M1316">
        <f t="shared" si="125"/>
        <v>1.7048689516129032</v>
      </c>
      <c r="N1316">
        <f t="shared" si="126"/>
        <v>11.053790849673202</v>
      </c>
      <c r="O1316">
        <f t="shared" si="127"/>
        <v>11917.54</v>
      </c>
      <c r="P1316">
        <f t="shared" si="128"/>
        <v>0.15423387096774194</v>
      </c>
      <c r="Q1316" t="s">
        <v>4139</v>
      </c>
      <c r="R1316" t="s">
        <v>4138</v>
      </c>
      <c r="S1316">
        <f>YEAR(marketing_data[[#This Row],[Start_date]])</f>
        <v>2023</v>
      </c>
      <c r="T1316" t="str">
        <f>TEXT(marketing_data[[#This Row],[Start_date]],"ddd")</f>
        <v>Thu</v>
      </c>
      <c r="U1316">
        <f>marketing_data[[#This Row],[Cleaned End_date]]-marketing_data[[#This Row],[Start_date]]</f>
        <v>30</v>
      </c>
    </row>
    <row r="1317" spans="1:21" x14ac:dyDescent="0.2">
      <c r="A1317" t="s">
        <v>2725</v>
      </c>
      <c r="B1317" t="s">
        <v>2726</v>
      </c>
      <c r="C1317" s="2">
        <v>45016</v>
      </c>
      <c r="D1317" t="str">
        <f t="shared" si="123"/>
        <v>Mar</v>
      </c>
      <c r="E1317" s="2">
        <v>45025</v>
      </c>
      <c r="F1317" t="s">
        <v>41</v>
      </c>
      <c r="G1317">
        <v>31678</v>
      </c>
      <c r="H1317">
        <v>1583</v>
      </c>
      <c r="I1317">
        <v>100</v>
      </c>
      <c r="J1317" t="b">
        <v>0</v>
      </c>
      <c r="K1317" s="10">
        <v>3134.09</v>
      </c>
      <c r="L1317" s="6">
        <f t="shared" si="124"/>
        <v>4.997158911547446E-2</v>
      </c>
      <c r="M1317">
        <f t="shared" si="125"/>
        <v>1.9798420720151613</v>
      </c>
      <c r="N1317">
        <f t="shared" si="126"/>
        <v>31.340900000000001</v>
      </c>
      <c r="O1317">
        <f t="shared" si="127"/>
        <v>1865.9099999999999</v>
      </c>
      <c r="P1317">
        <f t="shared" si="128"/>
        <v>6.3171193935565376E-2</v>
      </c>
      <c r="Q1317" t="s">
        <v>4137</v>
      </c>
      <c r="R1317" t="s">
        <v>4139</v>
      </c>
      <c r="S1317">
        <f>YEAR(marketing_data[[#This Row],[Start_date]])</f>
        <v>2023</v>
      </c>
      <c r="T1317" t="str">
        <f>TEXT(marketing_data[[#This Row],[Start_date]],"ddd")</f>
        <v>Fri</v>
      </c>
      <c r="U1317">
        <f>marketing_data[[#This Row],[Cleaned End_date]]-marketing_data[[#This Row],[Start_date]]</f>
        <v>9</v>
      </c>
    </row>
    <row r="1318" spans="1:21" x14ac:dyDescent="0.2">
      <c r="A1318" t="s">
        <v>2727</v>
      </c>
      <c r="B1318" t="s">
        <v>2728</v>
      </c>
      <c r="C1318" s="2">
        <v>45111</v>
      </c>
      <c r="D1318" t="str">
        <f t="shared" si="123"/>
        <v>Jul</v>
      </c>
      <c r="E1318" s="2">
        <v>45141</v>
      </c>
      <c r="F1318" t="str">
        <f>F1317</f>
        <v>Google Ads</v>
      </c>
      <c r="G1318">
        <v>77218</v>
      </c>
      <c r="H1318">
        <v>1095</v>
      </c>
      <c r="I1318">
        <v>136</v>
      </c>
      <c r="J1318" t="b">
        <v>0</v>
      </c>
      <c r="K1318" s="10">
        <v>1529.45</v>
      </c>
      <c r="L1318" s="6">
        <f t="shared" si="124"/>
        <v>1.4180631458986247E-2</v>
      </c>
      <c r="M1318">
        <f t="shared" si="125"/>
        <v>1.39675799086758</v>
      </c>
      <c r="N1318">
        <f t="shared" si="126"/>
        <v>11.245955882352941</v>
      </c>
      <c r="O1318">
        <f t="shared" si="127"/>
        <v>5270.55</v>
      </c>
      <c r="P1318">
        <f t="shared" si="128"/>
        <v>0.12420091324200913</v>
      </c>
      <c r="Q1318" t="s">
        <v>4139</v>
      </c>
      <c r="R1318" t="s">
        <v>4138</v>
      </c>
      <c r="S1318">
        <f>YEAR(marketing_data[[#This Row],[Start_date]])</f>
        <v>2023</v>
      </c>
      <c r="T1318" t="str">
        <f>TEXT(marketing_data[[#This Row],[Start_date]],"ddd")</f>
        <v>Tue</v>
      </c>
      <c r="U1318">
        <f>marketing_data[[#This Row],[Cleaned End_date]]-marketing_data[[#This Row],[Start_date]]</f>
        <v>30</v>
      </c>
    </row>
    <row r="1319" spans="1:21" x14ac:dyDescent="0.2">
      <c r="A1319" t="s">
        <v>2729</v>
      </c>
      <c r="B1319" t="s">
        <v>2730</v>
      </c>
      <c r="C1319" s="2">
        <v>44929</v>
      </c>
      <c r="D1319" t="str">
        <f t="shared" si="123"/>
        <v>Jan</v>
      </c>
      <c r="E1319" s="2">
        <v>45002</v>
      </c>
      <c r="F1319" t="s">
        <v>14</v>
      </c>
      <c r="G1319">
        <v>64230</v>
      </c>
      <c r="H1319">
        <v>1923</v>
      </c>
      <c r="I1319">
        <v>172</v>
      </c>
      <c r="J1319" t="b">
        <v>1</v>
      </c>
      <c r="K1319" s="10">
        <v>1197.93</v>
      </c>
      <c r="L1319" s="6">
        <f t="shared" si="124"/>
        <v>2.9939280709948623E-2</v>
      </c>
      <c r="M1319">
        <f t="shared" si="125"/>
        <v>0.62294851794071771</v>
      </c>
      <c r="N1319">
        <f t="shared" si="126"/>
        <v>6.9647093023255815</v>
      </c>
      <c r="O1319">
        <f t="shared" si="127"/>
        <v>7402.07</v>
      </c>
      <c r="P1319">
        <f t="shared" si="128"/>
        <v>8.9443577743109723E-2</v>
      </c>
      <c r="Q1319" t="s">
        <v>4138</v>
      </c>
      <c r="R1319" t="s">
        <v>4141</v>
      </c>
      <c r="S1319">
        <f>YEAR(marketing_data[[#This Row],[Start_date]])</f>
        <v>2023</v>
      </c>
      <c r="T1319" t="str">
        <f>TEXT(marketing_data[[#This Row],[Start_date]],"ddd")</f>
        <v>Tue</v>
      </c>
      <c r="U1319">
        <f>marketing_data[[#This Row],[Cleaned End_date]]-marketing_data[[#This Row],[Start_date]]</f>
        <v>73</v>
      </c>
    </row>
    <row r="1320" spans="1:21" x14ac:dyDescent="0.2">
      <c r="A1320" t="s">
        <v>2731</v>
      </c>
      <c r="B1320" t="s">
        <v>2732</v>
      </c>
      <c r="C1320" s="2">
        <v>44950</v>
      </c>
      <c r="D1320" t="str">
        <f t="shared" si="123"/>
        <v>Jan</v>
      </c>
      <c r="E1320" s="2">
        <v>44965</v>
      </c>
      <c r="F1320" t="s">
        <v>23</v>
      </c>
      <c r="G1320">
        <v>75055</v>
      </c>
      <c r="H1320">
        <v>1906</v>
      </c>
      <c r="I1320">
        <v>302</v>
      </c>
      <c r="J1320" t="b">
        <v>1</v>
      </c>
      <c r="K1320" s="10">
        <v>2802.31</v>
      </c>
      <c r="L1320" s="6">
        <f t="shared" si="124"/>
        <v>2.5394710545599893E-2</v>
      </c>
      <c r="M1320">
        <f t="shared" si="125"/>
        <v>1.4702570828961175</v>
      </c>
      <c r="N1320">
        <f t="shared" si="126"/>
        <v>9.279172185430463</v>
      </c>
      <c r="O1320">
        <f t="shared" si="127"/>
        <v>12297.69</v>
      </c>
      <c r="P1320">
        <f t="shared" si="128"/>
        <v>0.1584470094438615</v>
      </c>
      <c r="Q1320" t="s">
        <v>4138</v>
      </c>
      <c r="R1320" t="s">
        <v>4139</v>
      </c>
      <c r="S1320">
        <f>YEAR(marketing_data[[#This Row],[Start_date]])</f>
        <v>2023</v>
      </c>
      <c r="T1320" t="str">
        <f>TEXT(marketing_data[[#This Row],[Start_date]],"ddd")</f>
        <v>Tue</v>
      </c>
      <c r="U1320">
        <f>marketing_data[[#This Row],[Cleaned End_date]]-marketing_data[[#This Row],[Start_date]]</f>
        <v>15</v>
      </c>
    </row>
    <row r="1321" spans="1:21" x14ac:dyDescent="0.2">
      <c r="A1321" t="s">
        <v>2734</v>
      </c>
      <c r="B1321" t="s">
        <v>2735</v>
      </c>
      <c r="C1321" s="2">
        <v>44997</v>
      </c>
      <c r="D1321" t="str">
        <f t="shared" si="123"/>
        <v>Mar</v>
      </c>
      <c r="E1321" s="2">
        <v>45027</v>
      </c>
      <c r="F1321" t="s">
        <v>23</v>
      </c>
      <c r="G1321">
        <v>57373</v>
      </c>
      <c r="H1321">
        <v>2560</v>
      </c>
      <c r="I1321">
        <v>200</v>
      </c>
      <c r="J1321" t="b">
        <v>0</v>
      </c>
      <c r="K1321" s="10">
        <v>3631.7599999999998</v>
      </c>
      <c r="L1321" s="6">
        <f t="shared" si="124"/>
        <v>4.4620291774876683E-2</v>
      </c>
      <c r="M1321">
        <f t="shared" si="125"/>
        <v>1.41865625</v>
      </c>
      <c r="N1321">
        <f t="shared" si="126"/>
        <v>18.158799999999999</v>
      </c>
      <c r="O1321">
        <f t="shared" si="127"/>
        <v>6368.24</v>
      </c>
      <c r="P1321">
        <f t="shared" si="128"/>
        <v>7.8125E-2</v>
      </c>
      <c r="Q1321" t="s">
        <v>4137</v>
      </c>
      <c r="R1321" t="s">
        <v>4142</v>
      </c>
      <c r="S1321">
        <f>YEAR(marketing_data[[#This Row],[Start_date]])</f>
        <v>2023</v>
      </c>
      <c r="T1321" t="str">
        <f>TEXT(marketing_data[[#This Row],[Start_date]],"ddd")</f>
        <v>Sun</v>
      </c>
      <c r="U1321">
        <f>marketing_data[[#This Row],[Cleaned End_date]]-marketing_data[[#This Row],[Start_date]]</f>
        <v>30</v>
      </c>
    </row>
    <row r="1322" spans="1:21" x14ac:dyDescent="0.2">
      <c r="A1322" t="s">
        <v>2736</v>
      </c>
      <c r="B1322" t="s">
        <v>2737</v>
      </c>
      <c r="C1322" s="2">
        <v>45110</v>
      </c>
      <c r="D1322" t="str">
        <f t="shared" si="123"/>
        <v>Jul</v>
      </c>
      <c r="E1322" s="2">
        <v>45128</v>
      </c>
      <c r="F1322" t="s">
        <v>19</v>
      </c>
      <c r="G1322">
        <v>32480</v>
      </c>
      <c r="H1322">
        <v>943</v>
      </c>
      <c r="I1322">
        <v>173</v>
      </c>
      <c r="J1322" t="b">
        <v>1</v>
      </c>
      <c r="K1322" s="10">
        <v>1374.45</v>
      </c>
      <c r="L1322" s="6">
        <f t="shared" si="124"/>
        <v>2.9033251231527092E-2</v>
      </c>
      <c r="M1322">
        <f t="shared" si="125"/>
        <v>1.4575291622481443</v>
      </c>
      <c r="N1322">
        <f t="shared" si="126"/>
        <v>7.9447976878612723</v>
      </c>
      <c r="O1322">
        <f t="shared" si="127"/>
        <v>7275.55</v>
      </c>
      <c r="P1322">
        <f t="shared" si="128"/>
        <v>0.18345705196182396</v>
      </c>
      <c r="Q1322" t="s">
        <v>4139</v>
      </c>
      <c r="R1322" t="s">
        <v>4138</v>
      </c>
      <c r="S1322">
        <f>YEAR(marketing_data[[#This Row],[Start_date]])</f>
        <v>2023</v>
      </c>
      <c r="T1322" t="str">
        <f>TEXT(marketing_data[[#This Row],[Start_date]],"ddd")</f>
        <v>Mon</v>
      </c>
      <c r="U1322">
        <f>marketing_data[[#This Row],[Cleaned End_date]]-marketing_data[[#This Row],[Start_date]]</f>
        <v>18</v>
      </c>
    </row>
    <row r="1323" spans="1:21" x14ac:dyDescent="0.2">
      <c r="A1323" t="s">
        <v>2738</v>
      </c>
      <c r="B1323" t="s">
        <v>2739</v>
      </c>
      <c r="C1323" s="2">
        <v>45064</v>
      </c>
      <c r="D1323" t="str">
        <f t="shared" si="123"/>
        <v>May</v>
      </c>
      <c r="E1323" s="2">
        <v>45083</v>
      </c>
      <c r="F1323" t="s">
        <v>33</v>
      </c>
      <c r="G1323">
        <v>86230</v>
      </c>
      <c r="H1323">
        <v>1245</v>
      </c>
      <c r="I1323">
        <v>142</v>
      </c>
      <c r="J1323" t="b">
        <v>1</v>
      </c>
      <c r="K1323" s="10">
        <v>1196.0899999999999</v>
      </c>
      <c r="L1323" s="6">
        <f t="shared" si="124"/>
        <v>1.443813058100429E-2</v>
      </c>
      <c r="M1323">
        <f t="shared" si="125"/>
        <v>0.96071485943775092</v>
      </c>
      <c r="N1323">
        <f t="shared" si="126"/>
        <v>8.4231690140845057</v>
      </c>
      <c r="O1323">
        <f t="shared" si="127"/>
        <v>5903.91</v>
      </c>
      <c r="P1323">
        <f t="shared" si="128"/>
        <v>0.11405622489959839</v>
      </c>
      <c r="Q1323" t="s">
        <v>4137</v>
      </c>
      <c r="R1323" t="s">
        <v>4139</v>
      </c>
      <c r="S1323">
        <f>YEAR(marketing_data[[#This Row],[Start_date]])</f>
        <v>2023</v>
      </c>
      <c r="T1323" t="str">
        <f>TEXT(marketing_data[[#This Row],[Start_date]],"ddd")</f>
        <v>Thu</v>
      </c>
      <c r="U1323">
        <f>marketing_data[[#This Row],[Cleaned End_date]]-marketing_data[[#This Row],[Start_date]]</f>
        <v>19</v>
      </c>
    </row>
    <row r="1324" spans="1:21" x14ac:dyDescent="0.2">
      <c r="A1324" t="s">
        <v>2740</v>
      </c>
      <c r="B1324" t="s">
        <v>2741</v>
      </c>
      <c r="C1324" s="2">
        <v>45102</v>
      </c>
      <c r="D1324" t="str">
        <f t="shared" si="123"/>
        <v>Jun</v>
      </c>
      <c r="E1324" s="2">
        <v>45129</v>
      </c>
      <c r="F1324" t="s">
        <v>41</v>
      </c>
      <c r="G1324">
        <v>69836</v>
      </c>
      <c r="H1324">
        <v>2470</v>
      </c>
      <c r="I1324">
        <v>196</v>
      </c>
      <c r="J1324" t="b">
        <v>1</v>
      </c>
      <c r="K1324" s="10">
        <v>3631.7599999999998</v>
      </c>
      <c r="L1324" s="6">
        <f t="shared" si="124"/>
        <v>3.5368577810871181E-2</v>
      </c>
      <c r="M1324">
        <f t="shared" si="125"/>
        <v>1.4703481781376517</v>
      </c>
      <c r="N1324">
        <f t="shared" si="126"/>
        <v>18.529387755102039</v>
      </c>
      <c r="O1324">
        <f t="shared" si="127"/>
        <v>6168.24</v>
      </c>
      <c r="P1324">
        <f t="shared" si="128"/>
        <v>7.9352226720647775E-2</v>
      </c>
      <c r="Q1324" t="s">
        <v>4139</v>
      </c>
      <c r="R1324" t="s">
        <v>4139</v>
      </c>
      <c r="S1324">
        <f>YEAR(marketing_data[[#This Row],[Start_date]])</f>
        <v>2023</v>
      </c>
      <c r="T1324" t="str">
        <f>TEXT(marketing_data[[#This Row],[Start_date]],"ddd")</f>
        <v>Sun</v>
      </c>
      <c r="U1324">
        <f>marketing_data[[#This Row],[Cleaned End_date]]-marketing_data[[#This Row],[Start_date]]</f>
        <v>27</v>
      </c>
    </row>
    <row r="1325" spans="1:21" x14ac:dyDescent="0.2">
      <c r="A1325" t="s">
        <v>2742</v>
      </c>
      <c r="B1325" t="s">
        <v>2743</v>
      </c>
      <c r="C1325" s="2">
        <v>45160</v>
      </c>
      <c r="D1325" t="str">
        <f t="shared" si="123"/>
        <v>Aug</v>
      </c>
      <c r="E1325" s="2">
        <v>45169</v>
      </c>
      <c r="F1325" t="s">
        <v>23</v>
      </c>
      <c r="G1325">
        <v>73258</v>
      </c>
      <c r="H1325">
        <v>2991</v>
      </c>
      <c r="I1325">
        <v>346</v>
      </c>
      <c r="J1325" t="b">
        <v>1</v>
      </c>
      <c r="K1325" s="10">
        <v>3631.7599999999998</v>
      </c>
      <c r="L1325" s="6">
        <f t="shared" si="124"/>
        <v>4.0828305441043981E-2</v>
      </c>
      <c r="M1325">
        <f t="shared" si="125"/>
        <v>1.2142293547308591</v>
      </c>
      <c r="N1325">
        <f t="shared" si="126"/>
        <v>10.496416184971098</v>
      </c>
      <c r="O1325">
        <f t="shared" si="127"/>
        <v>13668.24</v>
      </c>
      <c r="P1325">
        <f t="shared" si="128"/>
        <v>0.11568037445670344</v>
      </c>
      <c r="Q1325" t="s">
        <v>4139</v>
      </c>
      <c r="R1325" t="s">
        <v>4138</v>
      </c>
      <c r="S1325">
        <f>YEAR(marketing_data[[#This Row],[Start_date]])</f>
        <v>2023</v>
      </c>
      <c r="T1325" t="str">
        <f>TEXT(marketing_data[[#This Row],[Start_date]],"ddd")</f>
        <v>Tue</v>
      </c>
      <c r="U1325">
        <f>marketing_data[[#This Row],[Cleaned End_date]]-marketing_data[[#This Row],[Start_date]]</f>
        <v>9</v>
      </c>
    </row>
    <row r="1326" spans="1:21" x14ac:dyDescent="0.2">
      <c r="A1326" t="s">
        <v>2744</v>
      </c>
      <c r="B1326" t="s">
        <v>2745</v>
      </c>
      <c r="C1326" s="2">
        <v>45171</v>
      </c>
      <c r="D1326" t="str">
        <f t="shared" si="123"/>
        <v>Sep</v>
      </c>
      <c r="E1326" s="2">
        <v>45188</v>
      </c>
      <c r="F1326" t="s">
        <v>23</v>
      </c>
      <c r="G1326">
        <v>40986</v>
      </c>
      <c r="H1326">
        <v>414</v>
      </c>
      <c r="I1326">
        <v>46</v>
      </c>
      <c r="J1326" t="b">
        <v>0</v>
      </c>
      <c r="K1326" s="10">
        <v>342.2</v>
      </c>
      <c r="L1326" s="6">
        <f t="shared" si="124"/>
        <v>1.0101010101010102E-2</v>
      </c>
      <c r="M1326">
        <f t="shared" si="125"/>
        <v>0.82657004830917868</v>
      </c>
      <c r="N1326">
        <f t="shared" si="126"/>
        <v>7.4391304347826086</v>
      </c>
      <c r="O1326">
        <f t="shared" si="127"/>
        <v>1957.8</v>
      </c>
      <c r="P1326">
        <f t="shared" si="128"/>
        <v>0.1111111111111111</v>
      </c>
      <c r="Q1326" t="s">
        <v>4136</v>
      </c>
      <c r="R1326" t="s">
        <v>4138</v>
      </c>
      <c r="S1326">
        <f>YEAR(marketing_data[[#This Row],[Start_date]])</f>
        <v>2023</v>
      </c>
      <c r="T1326" t="str">
        <f>TEXT(marketing_data[[#This Row],[Start_date]],"ddd")</f>
        <v>Sat</v>
      </c>
      <c r="U1326">
        <f>marketing_data[[#This Row],[Cleaned End_date]]-marketing_data[[#This Row],[Start_date]]</f>
        <v>17</v>
      </c>
    </row>
    <row r="1327" spans="1:21" x14ac:dyDescent="0.2">
      <c r="A1327" t="s">
        <v>2746</v>
      </c>
      <c r="B1327" t="s">
        <v>2747</v>
      </c>
      <c r="C1327" s="2">
        <v>45012</v>
      </c>
      <c r="D1327" t="str">
        <f t="shared" si="123"/>
        <v>Mar</v>
      </c>
      <c r="E1327" s="2">
        <v>45031</v>
      </c>
      <c r="F1327" t="s">
        <v>14</v>
      </c>
      <c r="G1327">
        <v>25160</v>
      </c>
      <c r="H1327">
        <v>1116</v>
      </c>
      <c r="I1327">
        <v>127</v>
      </c>
      <c r="J1327" t="b">
        <v>1</v>
      </c>
      <c r="K1327" s="10">
        <v>705.57</v>
      </c>
      <c r="L1327" s="6">
        <f t="shared" si="124"/>
        <v>4.4356120826709061E-2</v>
      </c>
      <c r="M1327">
        <f t="shared" si="125"/>
        <v>0.63223118279569901</v>
      </c>
      <c r="N1327">
        <f t="shared" si="126"/>
        <v>5.5556692913385834</v>
      </c>
      <c r="O1327">
        <f t="shared" si="127"/>
        <v>5644.43</v>
      </c>
      <c r="P1327">
        <f t="shared" si="128"/>
        <v>0.11379928315412187</v>
      </c>
      <c r="Q1327" t="s">
        <v>4137</v>
      </c>
      <c r="R1327" t="s">
        <v>4142</v>
      </c>
      <c r="S1327">
        <f>YEAR(marketing_data[[#This Row],[Start_date]])</f>
        <v>2023</v>
      </c>
      <c r="T1327" t="str">
        <f>TEXT(marketing_data[[#This Row],[Start_date]],"ddd")</f>
        <v>Mon</v>
      </c>
      <c r="U1327">
        <f>marketing_data[[#This Row],[Cleaned End_date]]-marketing_data[[#This Row],[Start_date]]</f>
        <v>19</v>
      </c>
    </row>
    <row r="1328" spans="1:21" x14ac:dyDescent="0.2">
      <c r="A1328" t="s">
        <v>2748</v>
      </c>
      <c r="B1328" t="s">
        <v>2749</v>
      </c>
      <c r="C1328" s="2">
        <v>44957</v>
      </c>
      <c r="D1328" t="str">
        <f t="shared" si="123"/>
        <v>Jan</v>
      </c>
      <c r="E1328" s="2">
        <v>44971</v>
      </c>
      <c r="F1328" t="s">
        <v>14</v>
      </c>
      <c r="G1328">
        <v>86595</v>
      </c>
      <c r="H1328">
        <v>1510</v>
      </c>
      <c r="I1328">
        <v>208</v>
      </c>
      <c r="J1328" t="b">
        <v>1</v>
      </c>
      <c r="K1328" s="10">
        <v>1195.6199999999999</v>
      </c>
      <c r="L1328" s="6">
        <f t="shared" si="124"/>
        <v>1.7437496391246608E-2</v>
      </c>
      <c r="M1328">
        <f t="shared" si="125"/>
        <v>0.7918013245033112</v>
      </c>
      <c r="N1328">
        <f t="shared" si="126"/>
        <v>5.7481730769230763</v>
      </c>
      <c r="O1328">
        <f t="shared" si="127"/>
        <v>9204.380000000001</v>
      </c>
      <c r="P1328">
        <f t="shared" si="128"/>
        <v>0.13774834437086092</v>
      </c>
      <c r="Q1328" t="s">
        <v>4138</v>
      </c>
      <c r="R1328" t="s">
        <v>4141</v>
      </c>
      <c r="S1328">
        <f>YEAR(marketing_data[[#This Row],[Start_date]])</f>
        <v>2023</v>
      </c>
      <c r="T1328" t="str">
        <f>TEXT(marketing_data[[#This Row],[Start_date]],"ddd")</f>
        <v>Tue</v>
      </c>
      <c r="U1328">
        <f>marketing_data[[#This Row],[Cleaned End_date]]-marketing_data[[#This Row],[Start_date]]</f>
        <v>14</v>
      </c>
    </row>
    <row r="1329" spans="1:21" x14ac:dyDescent="0.2">
      <c r="A1329" t="s">
        <v>2750</v>
      </c>
      <c r="B1329" t="s">
        <v>2751</v>
      </c>
      <c r="C1329" s="2">
        <v>44980</v>
      </c>
      <c r="D1329" t="str">
        <f t="shared" si="123"/>
        <v>Feb</v>
      </c>
      <c r="E1329" s="2">
        <v>44987</v>
      </c>
      <c r="F1329" t="s">
        <v>14</v>
      </c>
      <c r="G1329">
        <v>80111</v>
      </c>
      <c r="H1329">
        <v>2570</v>
      </c>
      <c r="I1329">
        <v>329</v>
      </c>
      <c r="J1329" t="b">
        <v>1</v>
      </c>
      <c r="K1329" s="10">
        <v>3631.7599999999998</v>
      </c>
      <c r="L1329" s="6">
        <f t="shared" si="124"/>
        <v>3.2080488322452597E-2</v>
      </c>
      <c r="M1329">
        <f t="shared" si="125"/>
        <v>1.413136186770428</v>
      </c>
      <c r="N1329">
        <f t="shared" si="126"/>
        <v>11.038784194528874</v>
      </c>
      <c r="O1329">
        <f t="shared" si="127"/>
        <v>12818.24</v>
      </c>
      <c r="P1329">
        <f t="shared" si="128"/>
        <v>0.12801556420233462</v>
      </c>
      <c r="Q1329" t="s">
        <v>4138</v>
      </c>
      <c r="R1329" t="s">
        <v>4141</v>
      </c>
      <c r="S1329">
        <f>YEAR(marketing_data[[#This Row],[Start_date]])</f>
        <v>2023</v>
      </c>
      <c r="T1329" t="str">
        <f>TEXT(marketing_data[[#This Row],[Start_date]],"ddd")</f>
        <v>Thu</v>
      </c>
      <c r="U1329">
        <f>marketing_data[[#This Row],[Cleaned End_date]]-marketing_data[[#This Row],[Start_date]]</f>
        <v>7</v>
      </c>
    </row>
    <row r="1330" spans="1:21" x14ac:dyDescent="0.2">
      <c r="A1330" t="s">
        <v>2752</v>
      </c>
      <c r="B1330" t="s">
        <v>2753</v>
      </c>
      <c r="C1330" s="2">
        <v>45218</v>
      </c>
      <c r="D1330" t="str">
        <f t="shared" si="123"/>
        <v>Oct</v>
      </c>
      <c r="E1330" s="2">
        <v>45227</v>
      </c>
      <c r="F1330" t="s">
        <v>19</v>
      </c>
      <c r="G1330">
        <v>65929</v>
      </c>
      <c r="H1330">
        <v>1755</v>
      </c>
      <c r="J1330" t="b">
        <v>1</v>
      </c>
      <c r="K1330" s="10">
        <v>2658.77</v>
      </c>
      <c r="L1330" s="6">
        <f t="shared" si="124"/>
        <v>2.6619545268394787E-2</v>
      </c>
      <c r="M1330">
        <f t="shared" si="125"/>
        <v>1.514968660968661</v>
      </c>
      <c r="N1330">
        <f t="shared" si="126"/>
        <v>0</v>
      </c>
      <c r="O1330">
        <f t="shared" si="127"/>
        <v>-2658.77</v>
      </c>
      <c r="P1330">
        <f t="shared" si="128"/>
        <v>0</v>
      </c>
      <c r="Q1330" t="s">
        <v>4136</v>
      </c>
      <c r="R1330" t="s">
        <v>4141</v>
      </c>
      <c r="S1330">
        <f>YEAR(marketing_data[[#This Row],[Start_date]])</f>
        <v>2023</v>
      </c>
      <c r="T1330" t="str">
        <f>TEXT(marketing_data[[#This Row],[Start_date]],"ddd")</f>
        <v>Thu</v>
      </c>
      <c r="U1330">
        <f>marketing_data[[#This Row],[Cleaned End_date]]-marketing_data[[#This Row],[Start_date]]</f>
        <v>9</v>
      </c>
    </row>
    <row r="1331" spans="1:21" x14ac:dyDescent="0.2">
      <c r="A1331" t="s">
        <v>2754</v>
      </c>
      <c r="B1331" t="s">
        <v>2755</v>
      </c>
      <c r="C1331" s="2">
        <v>45121</v>
      </c>
      <c r="D1331" t="str">
        <f t="shared" si="123"/>
        <v>Jul</v>
      </c>
      <c r="E1331" s="2">
        <v>45123</v>
      </c>
      <c r="F1331" t="s">
        <v>14</v>
      </c>
      <c r="G1331">
        <v>74506</v>
      </c>
      <c r="H1331">
        <v>2889</v>
      </c>
      <c r="J1331" t="b">
        <v>1</v>
      </c>
      <c r="K1331" s="10">
        <v>3631.7599999999998</v>
      </c>
      <c r="L1331" s="6">
        <f t="shared" si="124"/>
        <v>3.8775400638874719E-2</v>
      </c>
      <c r="M1331">
        <f t="shared" si="125"/>
        <v>1.257099342332987</v>
      </c>
      <c r="N1331">
        <f t="shared" si="126"/>
        <v>0</v>
      </c>
      <c r="O1331">
        <f t="shared" si="127"/>
        <v>-3631.7599999999998</v>
      </c>
      <c r="P1331">
        <f t="shared" si="128"/>
        <v>0</v>
      </c>
      <c r="Q1331" t="s">
        <v>4139</v>
      </c>
      <c r="R1331" t="s">
        <v>4142</v>
      </c>
      <c r="S1331">
        <f>YEAR(marketing_data[[#This Row],[Start_date]])</f>
        <v>2023</v>
      </c>
      <c r="T1331" t="str">
        <f>TEXT(marketing_data[[#This Row],[Start_date]],"ddd")</f>
        <v>Fri</v>
      </c>
      <c r="U1331">
        <f>marketing_data[[#This Row],[Cleaned End_date]]-marketing_data[[#This Row],[Start_date]]</f>
        <v>2</v>
      </c>
    </row>
    <row r="1332" spans="1:21" x14ac:dyDescent="0.2">
      <c r="A1332" t="s">
        <v>2756</v>
      </c>
      <c r="B1332" t="s">
        <v>2757</v>
      </c>
      <c r="C1332" s="2">
        <v>45277</v>
      </c>
      <c r="D1332" t="str">
        <f t="shared" si="123"/>
        <v>Dec</v>
      </c>
      <c r="E1332" s="2">
        <v>45291</v>
      </c>
      <c r="F1332" t="s">
        <v>41</v>
      </c>
      <c r="G1332">
        <v>35911</v>
      </c>
      <c r="H1332">
        <v>892</v>
      </c>
      <c r="I1332">
        <v>142</v>
      </c>
      <c r="J1332" t="b">
        <v>0</v>
      </c>
      <c r="K1332" s="10">
        <v>983.6</v>
      </c>
      <c r="L1332" s="6">
        <f t="shared" si="124"/>
        <v>2.4839185764807439E-2</v>
      </c>
      <c r="M1332">
        <f t="shared" si="125"/>
        <v>1.1026905829596412</v>
      </c>
      <c r="N1332">
        <f t="shared" si="126"/>
        <v>6.9267605633802818</v>
      </c>
      <c r="O1332">
        <f t="shared" si="127"/>
        <v>6116.4</v>
      </c>
      <c r="P1332">
        <f t="shared" si="128"/>
        <v>0.15919282511210761</v>
      </c>
      <c r="Q1332" t="s">
        <v>4138</v>
      </c>
      <c r="R1332" t="s">
        <v>4142</v>
      </c>
      <c r="S1332">
        <f>YEAR(marketing_data[[#This Row],[Start_date]])</f>
        <v>2023</v>
      </c>
      <c r="T1332" t="str">
        <f>TEXT(marketing_data[[#This Row],[Start_date]],"ddd")</f>
        <v>Sun</v>
      </c>
      <c r="U1332">
        <f>marketing_data[[#This Row],[Cleaned End_date]]-marketing_data[[#This Row],[Start_date]]</f>
        <v>14</v>
      </c>
    </row>
    <row r="1333" spans="1:21" x14ac:dyDescent="0.2">
      <c r="A1333" t="s">
        <v>2758</v>
      </c>
      <c r="B1333" t="s">
        <v>2759</v>
      </c>
      <c r="C1333" s="2">
        <v>44993</v>
      </c>
      <c r="D1333" t="str">
        <f t="shared" si="123"/>
        <v>Mar</v>
      </c>
      <c r="E1333" s="2">
        <v>45014</v>
      </c>
      <c r="F1333" t="s">
        <v>19</v>
      </c>
      <c r="G1333">
        <v>88127</v>
      </c>
      <c r="H1333">
        <v>3947</v>
      </c>
      <c r="I1333">
        <v>528</v>
      </c>
      <c r="J1333" t="b">
        <v>0</v>
      </c>
      <c r="K1333" s="10">
        <v>3631.7599999999998</v>
      </c>
      <c r="L1333" s="6">
        <f t="shared" si="124"/>
        <v>4.4787636025281699E-2</v>
      </c>
      <c r="M1333">
        <f t="shared" si="125"/>
        <v>0.92013174562959199</v>
      </c>
      <c r="N1333">
        <f t="shared" si="126"/>
        <v>6.878333333333333</v>
      </c>
      <c r="O1333">
        <f t="shared" si="127"/>
        <v>22768.240000000002</v>
      </c>
      <c r="P1333">
        <f t="shared" si="128"/>
        <v>0.13377248543197365</v>
      </c>
      <c r="Q1333" t="s">
        <v>4137</v>
      </c>
      <c r="R1333" t="s">
        <v>4138</v>
      </c>
      <c r="S1333">
        <f>YEAR(marketing_data[[#This Row],[Start_date]])</f>
        <v>2023</v>
      </c>
      <c r="T1333" t="str">
        <f>TEXT(marketing_data[[#This Row],[Start_date]],"ddd")</f>
        <v>Wed</v>
      </c>
      <c r="U1333">
        <f>marketing_data[[#This Row],[Cleaned End_date]]-marketing_data[[#This Row],[Start_date]]</f>
        <v>21</v>
      </c>
    </row>
    <row r="1334" spans="1:21" x14ac:dyDescent="0.2">
      <c r="A1334" t="s">
        <v>2760</v>
      </c>
      <c r="B1334" t="s">
        <v>2761</v>
      </c>
      <c r="C1334" s="2">
        <v>45137</v>
      </c>
      <c r="D1334" t="str">
        <f t="shared" si="123"/>
        <v>Jul</v>
      </c>
      <c r="E1334" s="2">
        <v>45153</v>
      </c>
      <c r="F1334" t="s">
        <v>33</v>
      </c>
      <c r="G1334">
        <v>32821</v>
      </c>
      <c r="H1334">
        <v>1287</v>
      </c>
      <c r="I1334">
        <v>133</v>
      </c>
      <c r="J1334" t="b">
        <v>0</v>
      </c>
      <c r="K1334" s="10">
        <v>1237.8499999999999</v>
      </c>
      <c r="L1334" s="6">
        <f t="shared" si="124"/>
        <v>3.9212699186496454E-2</v>
      </c>
      <c r="M1334">
        <f t="shared" si="125"/>
        <v>0.96181041181041171</v>
      </c>
      <c r="N1334">
        <f t="shared" si="126"/>
        <v>9.3071428571428569</v>
      </c>
      <c r="O1334">
        <f t="shared" si="127"/>
        <v>5412.15</v>
      </c>
      <c r="P1334">
        <f t="shared" si="128"/>
        <v>0.10334110334110334</v>
      </c>
      <c r="Q1334" t="s">
        <v>4139</v>
      </c>
      <c r="R1334" t="s">
        <v>4141</v>
      </c>
      <c r="S1334">
        <f>YEAR(marketing_data[[#This Row],[Start_date]])</f>
        <v>2023</v>
      </c>
      <c r="T1334" t="str">
        <f>TEXT(marketing_data[[#This Row],[Start_date]],"ddd")</f>
        <v>Sun</v>
      </c>
      <c r="U1334">
        <f>marketing_data[[#This Row],[Cleaned End_date]]-marketing_data[[#This Row],[Start_date]]</f>
        <v>16</v>
      </c>
    </row>
    <row r="1335" spans="1:21" x14ac:dyDescent="0.2">
      <c r="A1335" t="s">
        <v>2762</v>
      </c>
      <c r="B1335" t="s">
        <v>2763</v>
      </c>
      <c r="C1335" s="2">
        <v>45262</v>
      </c>
      <c r="D1335" t="str">
        <f t="shared" si="123"/>
        <v>Dec</v>
      </c>
      <c r="E1335" s="2">
        <v>45282</v>
      </c>
      <c r="F1335" t="s">
        <v>23</v>
      </c>
      <c r="G1335">
        <v>76039</v>
      </c>
      <c r="H1335">
        <v>2730</v>
      </c>
      <c r="I1335">
        <v>467</v>
      </c>
      <c r="J1335" t="b">
        <v>0</v>
      </c>
      <c r="K1335" s="10">
        <v>3319.13</v>
      </c>
      <c r="L1335" s="6">
        <f t="shared" si="124"/>
        <v>3.5902628914109863E-2</v>
      </c>
      <c r="M1335">
        <f t="shared" si="125"/>
        <v>1.2157985347985349</v>
      </c>
      <c r="N1335">
        <f t="shared" si="126"/>
        <v>7.1073447537473236</v>
      </c>
      <c r="O1335">
        <f t="shared" si="127"/>
        <v>20030.87</v>
      </c>
      <c r="P1335">
        <f t="shared" si="128"/>
        <v>0.17106227106227107</v>
      </c>
      <c r="Q1335" t="s">
        <v>4138</v>
      </c>
      <c r="R1335" t="s">
        <v>4142</v>
      </c>
      <c r="S1335">
        <f>YEAR(marketing_data[[#This Row],[Start_date]])</f>
        <v>2023</v>
      </c>
      <c r="T1335" t="str">
        <f>TEXT(marketing_data[[#This Row],[Start_date]],"ddd")</f>
        <v>Sat</v>
      </c>
      <c r="U1335">
        <f>marketing_data[[#This Row],[Cleaned End_date]]-marketing_data[[#This Row],[Start_date]]</f>
        <v>20</v>
      </c>
    </row>
    <row r="1336" spans="1:21" x14ac:dyDescent="0.2">
      <c r="A1336" t="s">
        <v>2764</v>
      </c>
      <c r="B1336" t="s">
        <v>2765</v>
      </c>
      <c r="C1336" s="2">
        <v>45274</v>
      </c>
      <c r="D1336" t="str">
        <f t="shared" si="123"/>
        <v>Dec</v>
      </c>
      <c r="E1336" s="2">
        <v>45278</v>
      </c>
      <c r="F1336" t="s">
        <v>33</v>
      </c>
      <c r="G1336">
        <v>61535</v>
      </c>
      <c r="H1336">
        <v>2575</v>
      </c>
      <c r="I1336">
        <v>278</v>
      </c>
      <c r="J1336" t="b">
        <v>1</v>
      </c>
      <c r="K1336" s="10">
        <v>3631.7599999999998</v>
      </c>
      <c r="L1336" s="6">
        <f t="shared" si="124"/>
        <v>4.1846103843341191E-2</v>
      </c>
      <c r="M1336">
        <f t="shared" si="125"/>
        <v>1.4103922330097087</v>
      </c>
      <c r="N1336">
        <f t="shared" si="126"/>
        <v>13.06388489208633</v>
      </c>
      <c r="O1336">
        <f t="shared" si="127"/>
        <v>10268.24</v>
      </c>
      <c r="P1336">
        <f t="shared" si="128"/>
        <v>0.10796116504854369</v>
      </c>
      <c r="Q1336" t="s">
        <v>4138</v>
      </c>
      <c r="R1336" t="s">
        <v>4138</v>
      </c>
      <c r="S1336">
        <f>YEAR(marketing_data[[#This Row],[Start_date]])</f>
        <v>2023</v>
      </c>
      <c r="T1336" t="str">
        <f>TEXT(marketing_data[[#This Row],[Start_date]],"ddd")</f>
        <v>Thu</v>
      </c>
      <c r="U1336">
        <f>marketing_data[[#This Row],[Cleaned End_date]]-marketing_data[[#This Row],[Start_date]]</f>
        <v>4</v>
      </c>
    </row>
    <row r="1337" spans="1:21" x14ac:dyDescent="0.2">
      <c r="A1337" t="s">
        <v>2766</v>
      </c>
      <c r="B1337" t="s">
        <v>2767</v>
      </c>
      <c r="C1337" s="2">
        <v>45216</v>
      </c>
      <c r="D1337" t="str">
        <f t="shared" si="123"/>
        <v>Oct</v>
      </c>
      <c r="E1337" s="2">
        <v>45232</v>
      </c>
      <c r="F1337" t="s">
        <v>14</v>
      </c>
      <c r="G1337">
        <v>85458</v>
      </c>
      <c r="H1337">
        <v>3432</v>
      </c>
      <c r="I1337">
        <v>581</v>
      </c>
      <c r="J1337" t="b">
        <v>0</v>
      </c>
      <c r="K1337" s="10">
        <v>3631.7599999999998</v>
      </c>
      <c r="L1337" s="6">
        <f t="shared" si="124"/>
        <v>4.0160078635119008E-2</v>
      </c>
      <c r="M1337">
        <f t="shared" si="125"/>
        <v>1.0582051282051281</v>
      </c>
      <c r="N1337">
        <f t="shared" si="126"/>
        <v>6.2508777969018929</v>
      </c>
      <c r="O1337">
        <f t="shared" si="127"/>
        <v>25418.240000000002</v>
      </c>
      <c r="P1337">
        <f t="shared" si="128"/>
        <v>0.16928904428904429</v>
      </c>
      <c r="Q1337" t="s">
        <v>4136</v>
      </c>
      <c r="R1337" t="s">
        <v>4142</v>
      </c>
      <c r="S1337">
        <f>YEAR(marketing_data[[#This Row],[Start_date]])</f>
        <v>2023</v>
      </c>
      <c r="T1337" t="str">
        <f>TEXT(marketing_data[[#This Row],[Start_date]],"ddd")</f>
        <v>Tue</v>
      </c>
      <c r="U1337">
        <f>marketing_data[[#This Row],[Cleaned End_date]]-marketing_data[[#This Row],[Start_date]]</f>
        <v>16</v>
      </c>
    </row>
    <row r="1338" spans="1:21" x14ac:dyDescent="0.2">
      <c r="A1338" t="s">
        <v>2768</v>
      </c>
      <c r="B1338" t="s">
        <v>2769</v>
      </c>
      <c r="C1338" s="2">
        <v>45100</v>
      </c>
      <c r="D1338" t="str">
        <f t="shared" si="123"/>
        <v>Jun</v>
      </c>
      <c r="E1338" s="2">
        <v>45114</v>
      </c>
      <c r="F1338" t="s">
        <v>33</v>
      </c>
      <c r="G1338">
        <v>13175</v>
      </c>
      <c r="H1338">
        <v>150</v>
      </c>
      <c r="J1338" t="b">
        <v>0</v>
      </c>
      <c r="K1338" s="10">
        <v>329.13249999999999</v>
      </c>
      <c r="L1338" s="6">
        <f t="shared" si="124"/>
        <v>1.1385199240986717E-2</v>
      </c>
      <c r="M1338">
        <f t="shared" si="125"/>
        <v>2.1942166666666667</v>
      </c>
      <c r="N1338">
        <f t="shared" si="126"/>
        <v>0</v>
      </c>
      <c r="O1338">
        <f t="shared" si="127"/>
        <v>-329.13249999999999</v>
      </c>
      <c r="P1338">
        <f t="shared" si="128"/>
        <v>0</v>
      </c>
      <c r="Q1338" t="s">
        <v>4139</v>
      </c>
      <c r="R1338" t="s">
        <v>4141</v>
      </c>
      <c r="S1338">
        <f>YEAR(marketing_data[[#This Row],[Start_date]])</f>
        <v>2023</v>
      </c>
      <c r="T1338" t="str">
        <f>TEXT(marketing_data[[#This Row],[Start_date]],"ddd")</f>
        <v>Fri</v>
      </c>
      <c r="U1338">
        <f>marketing_data[[#This Row],[Cleaned End_date]]-marketing_data[[#This Row],[Start_date]]</f>
        <v>14</v>
      </c>
    </row>
    <row r="1339" spans="1:21" x14ac:dyDescent="0.2">
      <c r="A1339" t="s">
        <v>2770</v>
      </c>
      <c r="B1339" t="s">
        <v>2771</v>
      </c>
      <c r="C1339" s="2">
        <v>45243</v>
      </c>
      <c r="D1339" t="str">
        <f t="shared" si="123"/>
        <v>Nov</v>
      </c>
      <c r="E1339" s="2">
        <v>45256</v>
      </c>
      <c r="F1339" t="s">
        <v>23</v>
      </c>
      <c r="G1339">
        <v>55771</v>
      </c>
      <c r="H1339">
        <v>1438</v>
      </c>
      <c r="I1339">
        <v>87</v>
      </c>
      <c r="J1339" t="b">
        <v>1</v>
      </c>
      <c r="K1339" s="10">
        <v>2733.35</v>
      </c>
      <c r="L1339" s="6">
        <f t="shared" si="124"/>
        <v>2.5784009610729592E-2</v>
      </c>
      <c r="M1339">
        <f t="shared" si="125"/>
        <v>1.9007997218358832</v>
      </c>
      <c r="N1339">
        <f t="shared" si="126"/>
        <v>31.417816091954023</v>
      </c>
      <c r="O1339">
        <f t="shared" si="127"/>
        <v>1616.65</v>
      </c>
      <c r="P1339">
        <f t="shared" si="128"/>
        <v>6.0500695410292071E-2</v>
      </c>
      <c r="Q1339" t="s">
        <v>4136</v>
      </c>
      <c r="R1339" t="s">
        <v>4138</v>
      </c>
      <c r="S1339">
        <f>YEAR(marketing_data[[#This Row],[Start_date]])</f>
        <v>2023</v>
      </c>
      <c r="T1339" t="str">
        <f>TEXT(marketing_data[[#This Row],[Start_date]],"ddd")</f>
        <v>Mon</v>
      </c>
      <c r="U1339">
        <f>marketing_data[[#This Row],[Cleaned End_date]]-marketing_data[[#This Row],[Start_date]]</f>
        <v>13</v>
      </c>
    </row>
    <row r="1340" spans="1:21" x14ac:dyDescent="0.2">
      <c r="A1340" t="s">
        <v>2773</v>
      </c>
      <c r="B1340" t="s">
        <v>2774</v>
      </c>
      <c r="C1340" s="2">
        <v>45265</v>
      </c>
      <c r="D1340" t="str">
        <f t="shared" si="123"/>
        <v>Dec</v>
      </c>
      <c r="E1340" s="2">
        <v>45276</v>
      </c>
      <c r="F1340" t="s">
        <v>19</v>
      </c>
      <c r="G1340">
        <v>87925</v>
      </c>
      <c r="H1340">
        <v>4152</v>
      </c>
      <c r="I1340">
        <v>788</v>
      </c>
      <c r="J1340" t="b">
        <v>1</v>
      </c>
      <c r="K1340" s="10">
        <v>3631.7599999999998</v>
      </c>
      <c r="L1340" s="6">
        <f t="shared" si="124"/>
        <v>4.7222064259311913E-2</v>
      </c>
      <c r="M1340">
        <f t="shared" si="125"/>
        <v>0.87470134874759142</v>
      </c>
      <c r="N1340">
        <f t="shared" si="126"/>
        <v>4.6088324873096447</v>
      </c>
      <c r="O1340">
        <f t="shared" si="127"/>
        <v>35768.239999999998</v>
      </c>
      <c r="P1340">
        <f t="shared" si="128"/>
        <v>0.18978805394990367</v>
      </c>
      <c r="Q1340" t="s">
        <v>4138</v>
      </c>
      <c r="R1340" t="s">
        <v>4139</v>
      </c>
      <c r="S1340">
        <f>YEAR(marketing_data[[#This Row],[Start_date]])</f>
        <v>2023</v>
      </c>
      <c r="T1340" t="str">
        <f>TEXT(marketing_data[[#This Row],[Start_date]],"ddd")</f>
        <v>Tue</v>
      </c>
      <c r="U1340">
        <f>marketing_data[[#This Row],[Cleaned End_date]]-marketing_data[[#This Row],[Start_date]]</f>
        <v>11</v>
      </c>
    </row>
    <row r="1341" spans="1:21" x14ac:dyDescent="0.2">
      <c r="A1341" t="s">
        <v>2775</v>
      </c>
      <c r="B1341" t="s">
        <v>2776</v>
      </c>
      <c r="C1341" s="2">
        <v>45266</v>
      </c>
      <c r="D1341" t="str">
        <f t="shared" si="123"/>
        <v>Dec</v>
      </c>
      <c r="E1341" s="2">
        <v>45296</v>
      </c>
      <c r="F1341" t="s">
        <v>19</v>
      </c>
      <c r="G1341">
        <v>67358</v>
      </c>
      <c r="H1341">
        <v>1012</v>
      </c>
      <c r="I1341">
        <v>110</v>
      </c>
      <c r="J1341" t="b">
        <v>0</v>
      </c>
      <c r="K1341" s="10">
        <v>1217.6199999999999</v>
      </c>
      <c r="L1341" s="6">
        <f t="shared" si="124"/>
        <v>1.5024199055791443E-2</v>
      </c>
      <c r="M1341">
        <f t="shared" si="125"/>
        <v>1.2031818181818181</v>
      </c>
      <c r="N1341">
        <f t="shared" si="126"/>
        <v>11.069272727272727</v>
      </c>
      <c r="O1341">
        <f t="shared" si="127"/>
        <v>4282.38</v>
      </c>
      <c r="P1341">
        <f t="shared" si="128"/>
        <v>0.10869565217391304</v>
      </c>
      <c r="Q1341" t="s">
        <v>4138</v>
      </c>
      <c r="R1341" t="s">
        <v>4141</v>
      </c>
      <c r="S1341">
        <f>YEAR(marketing_data[[#This Row],[Start_date]])</f>
        <v>2023</v>
      </c>
      <c r="T1341" t="str">
        <f>TEXT(marketing_data[[#This Row],[Start_date]],"ddd")</f>
        <v>Wed</v>
      </c>
      <c r="U1341">
        <f>marketing_data[[#This Row],[Cleaned End_date]]-marketing_data[[#This Row],[Start_date]]</f>
        <v>30</v>
      </c>
    </row>
    <row r="1342" spans="1:21" x14ac:dyDescent="0.2">
      <c r="A1342" t="s">
        <v>2777</v>
      </c>
      <c r="B1342" t="s">
        <v>2778</v>
      </c>
      <c r="C1342" s="2">
        <v>45212</v>
      </c>
      <c r="D1342" t="str">
        <f t="shared" si="123"/>
        <v>Oct</v>
      </c>
      <c r="E1342" s="2">
        <v>45217</v>
      </c>
      <c r="F1342" t="s">
        <v>14</v>
      </c>
      <c r="G1342">
        <v>18327</v>
      </c>
      <c r="H1342">
        <v>723</v>
      </c>
      <c r="I1342">
        <v>122</v>
      </c>
      <c r="J1342" t="b">
        <v>1</v>
      </c>
      <c r="K1342" s="10">
        <v>1126.76</v>
      </c>
      <c r="L1342" s="6">
        <f t="shared" si="124"/>
        <v>3.9449991815354392E-2</v>
      </c>
      <c r="M1342">
        <f t="shared" si="125"/>
        <v>1.5584508990318118</v>
      </c>
      <c r="N1342">
        <f t="shared" si="126"/>
        <v>9.2357377049180336</v>
      </c>
      <c r="O1342">
        <f t="shared" si="127"/>
        <v>4973.24</v>
      </c>
      <c r="P1342">
        <f t="shared" si="128"/>
        <v>0.16874135546334718</v>
      </c>
      <c r="Q1342" t="s">
        <v>4136</v>
      </c>
      <c r="R1342" t="s">
        <v>4138</v>
      </c>
      <c r="S1342">
        <f>YEAR(marketing_data[[#This Row],[Start_date]])</f>
        <v>2023</v>
      </c>
      <c r="T1342" t="str">
        <f>TEXT(marketing_data[[#This Row],[Start_date]],"ddd")</f>
        <v>Fri</v>
      </c>
      <c r="U1342">
        <f>marketing_data[[#This Row],[Cleaned End_date]]-marketing_data[[#This Row],[Start_date]]</f>
        <v>5</v>
      </c>
    </row>
    <row r="1343" spans="1:21" x14ac:dyDescent="0.2">
      <c r="A1343" t="s">
        <v>2779</v>
      </c>
      <c r="B1343" t="s">
        <v>2780</v>
      </c>
      <c r="C1343" s="2">
        <v>44932</v>
      </c>
      <c r="D1343" t="str">
        <f t="shared" si="123"/>
        <v>Jan</v>
      </c>
      <c r="E1343" s="2">
        <v>44938</v>
      </c>
      <c r="F1343" t="s">
        <v>19</v>
      </c>
      <c r="G1343">
        <v>48057</v>
      </c>
      <c r="H1343">
        <v>2354</v>
      </c>
      <c r="I1343">
        <v>216</v>
      </c>
      <c r="J1343" t="b">
        <v>0</v>
      </c>
      <c r="K1343" s="10">
        <v>3631.7599999999998</v>
      </c>
      <c r="L1343" s="6">
        <f t="shared" si="124"/>
        <v>4.8983498761886929E-2</v>
      </c>
      <c r="M1343">
        <f t="shared" si="125"/>
        <v>1.5428037383177569</v>
      </c>
      <c r="N1343">
        <f t="shared" si="126"/>
        <v>16.813703703703702</v>
      </c>
      <c r="O1343">
        <f t="shared" si="127"/>
        <v>7168.24</v>
      </c>
      <c r="P1343">
        <f t="shared" si="128"/>
        <v>9.1758708581138493E-2</v>
      </c>
      <c r="Q1343" t="s">
        <v>4138</v>
      </c>
      <c r="R1343" t="s">
        <v>4139</v>
      </c>
      <c r="S1343">
        <f>YEAR(marketing_data[[#This Row],[Start_date]])</f>
        <v>2023</v>
      </c>
      <c r="T1343" t="str">
        <f>TEXT(marketing_data[[#This Row],[Start_date]],"ddd")</f>
        <v>Fri</v>
      </c>
      <c r="U1343">
        <f>marketing_data[[#This Row],[Cleaned End_date]]-marketing_data[[#This Row],[Start_date]]</f>
        <v>6</v>
      </c>
    </row>
    <row r="1344" spans="1:21" x14ac:dyDescent="0.2">
      <c r="A1344" t="s">
        <v>2781</v>
      </c>
      <c r="B1344" t="s">
        <v>2782</v>
      </c>
      <c r="C1344" s="2">
        <v>45167</v>
      </c>
      <c r="D1344" t="str">
        <f t="shared" si="123"/>
        <v>Aug</v>
      </c>
      <c r="E1344" s="2">
        <v>45171</v>
      </c>
      <c r="F1344" t="s">
        <v>14</v>
      </c>
      <c r="G1344">
        <v>7150</v>
      </c>
      <c r="H1344">
        <v>86</v>
      </c>
      <c r="I1344">
        <v>12</v>
      </c>
      <c r="J1344" t="b">
        <v>0</v>
      </c>
      <c r="K1344" s="10">
        <v>329.13249999999999</v>
      </c>
      <c r="L1344" s="6">
        <f t="shared" si="124"/>
        <v>1.2027972027972029E-2</v>
      </c>
      <c r="M1344">
        <f t="shared" si="125"/>
        <v>3.8271220930232559</v>
      </c>
      <c r="N1344">
        <f t="shared" si="126"/>
        <v>27.427708333333332</v>
      </c>
      <c r="O1344">
        <f t="shared" si="127"/>
        <v>270.86750000000001</v>
      </c>
      <c r="P1344">
        <f t="shared" si="128"/>
        <v>0.13953488372093023</v>
      </c>
      <c r="Q1344" t="s">
        <v>4139</v>
      </c>
      <c r="R1344" t="s">
        <v>4142</v>
      </c>
      <c r="S1344">
        <f>YEAR(marketing_data[[#This Row],[Start_date]])</f>
        <v>2023</v>
      </c>
      <c r="T1344" t="str">
        <f>TEXT(marketing_data[[#This Row],[Start_date]],"ddd")</f>
        <v>Tue</v>
      </c>
      <c r="U1344">
        <f>marketing_data[[#This Row],[Cleaned End_date]]-marketing_data[[#This Row],[Start_date]]</f>
        <v>4</v>
      </c>
    </row>
    <row r="1345" spans="1:21" x14ac:dyDescent="0.2">
      <c r="A1345" t="s">
        <v>2783</v>
      </c>
      <c r="B1345" t="s">
        <v>2784</v>
      </c>
      <c r="C1345" s="2">
        <v>44965</v>
      </c>
      <c r="D1345" t="str">
        <f t="shared" si="123"/>
        <v>Feb</v>
      </c>
      <c r="E1345" s="2">
        <v>44977</v>
      </c>
      <c r="F1345" t="s">
        <v>19</v>
      </c>
      <c r="G1345">
        <v>5425</v>
      </c>
      <c r="H1345">
        <v>202</v>
      </c>
      <c r="I1345">
        <v>36</v>
      </c>
      <c r="J1345" t="b">
        <v>1</v>
      </c>
      <c r="K1345" s="10">
        <v>329.13249999999999</v>
      </c>
      <c r="L1345" s="6">
        <f t="shared" si="124"/>
        <v>3.7235023041474656E-2</v>
      </c>
      <c r="M1345">
        <f t="shared" si="125"/>
        <v>1.629368811881188</v>
      </c>
      <c r="N1345">
        <f t="shared" si="126"/>
        <v>9.1425694444444439</v>
      </c>
      <c r="O1345">
        <f t="shared" si="127"/>
        <v>1470.8675000000001</v>
      </c>
      <c r="P1345">
        <f t="shared" si="128"/>
        <v>0.17821782178217821</v>
      </c>
      <c r="Q1345" t="s">
        <v>4138</v>
      </c>
      <c r="R1345" t="s">
        <v>4141</v>
      </c>
      <c r="S1345">
        <f>YEAR(marketing_data[[#This Row],[Start_date]])</f>
        <v>2023</v>
      </c>
      <c r="T1345" t="str">
        <f>TEXT(marketing_data[[#This Row],[Start_date]],"ddd")</f>
        <v>Wed</v>
      </c>
      <c r="U1345">
        <f>marketing_data[[#This Row],[Cleaned End_date]]-marketing_data[[#This Row],[Start_date]]</f>
        <v>12</v>
      </c>
    </row>
    <row r="1346" spans="1:21" x14ac:dyDescent="0.2">
      <c r="A1346" t="s">
        <v>2785</v>
      </c>
      <c r="B1346" t="s">
        <v>2786</v>
      </c>
      <c r="C1346" s="2">
        <v>45096</v>
      </c>
      <c r="D1346" t="str">
        <f t="shared" si="123"/>
        <v>Jun</v>
      </c>
      <c r="E1346" s="2">
        <v>45121</v>
      </c>
      <c r="F1346" t="s">
        <v>33</v>
      </c>
      <c r="G1346">
        <v>17032</v>
      </c>
      <c r="H1346">
        <v>489</v>
      </c>
      <c r="I1346">
        <v>27</v>
      </c>
      <c r="J1346" t="b">
        <v>1</v>
      </c>
      <c r="K1346" s="10">
        <v>346.64</v>
      </c>
      <c r="L1346" s="6">
        <f t="shared" si="124"/>
        <v>2.871066228276186E-2</v>
      </c>
      <c r="M1346">
        <f t="shared" si="125"/>
        <v>0.70887525562372189</v>
      </c>
      <c r="N1346">
        <f t="shared" si="126"/>
        <v>12.838518518518518</v>
      </c>
      <c r="O1346">
        <f t="shared" si="127"/>
        <v>1003.36</v>
      </c>
      <c r="P1346">
        <f t="shared" si="128"/>
        <v>5.5214723926380369E-2</v>
      </c>
      <c r="Q1346" t="s">
        <v>4139</v>
      </c>
      <c r="R1346" t="s">
        <v>4138</v>
      </c>
      <c r="S1346">
        <f>YEAR(marketing_data[[#This Row],[Start_date]])</f>
        <v>2023</v>
      </c>
      <c r="T1346" t="str">
        <f>TEXT(marketing_data[[#This Row],[Start_date]],"ddd")</f>
        <v>Mon</v>
      </c>
      <c r="U1346">
        <f>marketing_data[[#This Row],[Cleaned End_date]]-marketing_data[[#This Row],[Start_date]]</f>
        <v>25</v>
      </c>
    </row>
    <row r="1347" spans="1:21" x14ac:dyDescent="0.2">
      <c r="A1347" t="s">
        <v>2787</v>
      </c>
      <c r="B1347" t="s">
        <v>2788</v>
      </c>
      <c r="C1347" s="2">
        <v>45041</v>
      </c>
      <c r="D1347" t="str">
        <f t="shared" ref="D1347:D1410" si="129">TEXT(C1347,"mmm")</f>
        <v>Apr</v>
      </c>
      <c r="E1347" s="2">
        <v>45067</v>
      </c>
      <c r="F1347" t="s">
        <v>33</v>
      </c>
      <c r="G1347">
        <v>3198</v>
      </c>
      <c r="H1347">
        <v>106</v>
      </c>
      <c r="I1347">
        <v>18</v>
      </c>
      <c r="J1347" t="b">
        <v>1</v>
      </c>
      <c r="K1347" s="10">
        <v>329.13249999999999</v>
      </c>
      <c r="L1347" s="6">
        <f t="shared" ref="L1347:L1410" si="130">H1347/G1347</f>
        <v>3.3145716072545343E-2</v>
      </c>
      <c r="M1347">
        <f t="shared" ref="M1347:M1410" si="131">K1347/H1347</f>
        <v>3.1050235849056604</v>
      </c>
      <c r="N1347">
        <f t="shared" ref="N1347:N1410" si="132">IFERROR(K1347/I1347,0)</f>
        <v>18.285138888888888</v>
      </c>
      <c r="O1347">
        <f t="shared" ref="O1347:O1410" si="133">(50*I1347)-K1347</f>
        <v>570.86750000000006</v>
      </c>
      <c r="P1347">
        <f t="shared" ref="P1347:P1410" si="134">I1347/H1347</f>
        <v>0.16981132075471697</v>
      </c>
      <c r="Q1347" t="s">
        <v>4137</v>
      </c>
      <c r="R1347" t="s">
        <v>4139</v>
      </c>
      <c r="S1347">
        <f>YEAR(marketing_data[[#This Row],[Start_date]])</f>
        <v>2023</v>
      </c>
      <c r="T1347" t="str">
        <f>TEXT(marketing_data[[#This Row],[Start_date]],"ddd")</f>
        <v>Tue</v>
      </c>
      <c r="U1347">
        <f>marketing_data[[#This Row],[Cleaned End_date]]-marketing_data[[#This Row],[Start_date]]</f>
        <v>26</v>
      </c>
    </row>
    <row r="1348" spans="1:21" x14ac:dyDescent="0.2">
      <c r="A1348" t="s">
        <v>2789</v>
      </c>
      <c r="B1348" t="s">
        <v>2790</v>
      </c>
      <c r="C1348" s="2">
        <v>44931</v>
      </c>
      <c r="D1348" t="str">
        <f t="shared" si="129"/>
        <v>Jan</v>
      </c>
      <c r="E1348" s="2">
        <v>44961</v>
      </c>
      <c r="F1348" t="s">
        <v>14</v>
      </c>
      <c r="G1348">
        <v>61500</v>
      </c>
      <c r="H1348">
        <v>824</v>
      </c>
      <c r="I1348">
        <v>111</v>
      </c>
      <c r="J1348" t="b">
        <v>1</v>
      </c>
      <c r="K1348" s="10">
        <v>790.59</v>
      </c>
      <c r="L1348" s="6">
        <f t="shared" si="130"/>
        <v>1.3398373983739838E-2</v>
      </c>
      <c r="M1348">
        <f t="shared" si="131"/>
        <v>0.95945388349514571</v>
      </c>
      <c r="N1348">
        <f t="shared" si="132"/>
        <v>7.1224324324324328</v>
      </c>
      <c r="O1348">
        <f t="shared" si="133"/>
        <v>4759.41</v>
      </c>
      <c r="P1348">
        <f t="shared" si="134"/>
        <v>0.13470873786407767</v>
      </c>
      <c r="Q1348" t="s">
        <v>4138</v>
      </c>
      <c r="R1348" t="s">
        <v>4138</v>
      </c>
      <c r="S1348">
        <f>YEAR(marketing_data[[#This Row],[Start_date]])</f>
        <v>2023</v>
      </c>
      <c r="T1348" t="str">
        <f>TEXT(marketing_data[[#This Row],[Start_date]],"ddd")</f>
        <v>Thu</v>
      </c>
      <c r="U1348">
        <f>marketing_data[[#This Row],[Cleaned End_date]]-marketing_data[[#This Row],[Start_date]]</f>
        <v>30</v>
      </c>
    </row>
    <row r="1349" spans="1:21" x14ac:dyDescent="0.2">
      <c r="A1349" t="s">
        <v>2791</v>
      </c>
      <c r="B1349" t="s">
        <v>2792</v>
      </c>
      <c r="C1349" s="2">
        <v>45154</v>
      </c>
      <c r="D1349" t="str">
        <f t="shared" si="129"/>
        <v>Aug</v>
      </c>
      <c r="E1349" s="2">
        <v>45156</v>
      </c>
      <c r="F1349" t="s">
        <v>23</v>
      </c>
      <c r="G1349">
        <v>54394</v>
      </c>
      <c r="H1349">
        <v>637</v>
      </c>
      <c r="I1349">
        <v>89</v>
      </c>
      <c r="J1349" t="b">
        <v>0</v>
      </c>
      <c r="K1349" s="10">
        <v>630.1</v>
      </c>
      <c r="L1349" s="6">
        <f t="shared" si="130"/>
        <v>1.1710850461447955E-2</v>
      </c>
      <c r="M1349">
        <f t="shared" si="131"/>
        <v>0.9891679748822606</v>
      </c>
      <c r="N1349">
        <f t="shared" si="132"/>
        <v>7.0797752808988763</v>
      </c>
      <c r="O1349">
        <f t="shared" si="133"/>
        <v>3819.9</v>
      </c>
      <c r="P1349">
        <f t="shared" si="134"/>
        <v>0.13971742543171115</v>
      </c>
      <c r="Q1349" t="s">
        <v>4139</v>
      </c>
      <c r="R1349" t="s">
        <v>4142</v>
      </c>
      <c r="S1349">
        <f>YEAR(marketing_data[[#This Row],[Start_date]])</f>
        <v>2023</v>
      </c>
      <c r="T1349" t="str">
        <f>TEXT(marketing_data[[#This Row],[Start_date]],"ddd")</f>
        <v>Wed</v>
      </c>
      <c r="U1349">
        <f>marketing_data[[#This Row],[Cleaned End_date]]-marketing_data[[#This Row],[Start_date]]</f>
        <v>2</v>
      </c>
    </row>
    <row r="1350" spans="1:21" x14ac:dyDescent="0.2">
      <c r="A1350" t="s">
        <v>2793</v>
      </c>
      <c r="B1350" t="s">
        <v>2794</v>
      </c>
      <c r="C1350" s="2">
        <v>45182</v>
      </c>
      <c r="D1350" t="str">
        <f t="shared" si="129"/>
        <v>Sep</v>
      </c>
      <c r="E1350" s="2">
        <v>45210</v>
      </c>
      <c r="F1350" t="s">
        <v>23</v>
      </c>
      <c r="G1350">
        <v>21079</v>
      </c>
      <c r="H1350">
        <v>773</v>
      </c>
      <c r="I1350">
        <v>99</v>
      </c>
      <c r="J1350" t="b">
        <v>1</v>
      </c>
      <c r="K1350" s="10">
        <v>468.73</v>
      </c>
      <c r="L1350" s="6">
        <f t="shared" si="130"/>
        <v>3.6671568860002848E-2</v>
      </c>
      <c r="M1350">
        <f t="shared" si="131"/>
        <v>0.60637774902975428</v>
      </c>
      <c r="N1350">
        <f t="shared" si="132"/>
        <v>4.734646464646465</v>
      </c>
      <c r="O1350">
        <f t="shared" si="133"/>
        <v>4481.2700000000004</v>
      </c>
      <c r="P1350">
        <f t="shared" si="134"/>
        <v>0.12807244501940493</v>
      </c>
      <c r="Q1350" t="s">
        <v>4136</v>
      </c>
      <c r="R1350" t="s">
        <v>4141</v>
      </c>
      <c r="S1350">
        <f>YEAR(marketing_data[[#This Row],[Start_date]])</f>
        <v>2023</v>
      </c>
      <c r="T1350" t="str">
        <f>TEXT(marketing_data[[#This Row],[Start_date]],"ddd")</f>
        <v>Wed</v>
      </c>
      <c r="U1350">
        <f>marketing_data[[#This Row],[Cleaned End_date]]-marketing_data[[#This Row],[Start_date]]</f>
        <v>28</v>
      </c>
    </row>
    <row r="1351" spans="1:21" x14ac:dyDescent="0.2">
      <c r="A1351" t="s">
        <v>2795</v>
      </c>
      <c r="B1351" t="s">
        <v>2796</v>
      </c>
      <c r="C1351" s="2">
        <v>45181</v>
      </c>
      <c r="D1351" t="str">
        <f t="shared" si="129"/>
        <v>Sep</v>
      </c>
      <c r="E1351" s="2">
        <v>45272</v>
      </c>
      <c r="F1351" t="s">
        <v>14</v>
      </c>
      <c r="G1351">
        <v>37220</v>
      </c>
      <c r="H1351">
        <v>1597</v>
      </c>
      <c r="I1351">
        <v>289</v>
      </c>
      <c r="J1351" t="b">
        <v>1</v>
      </c>
      <c r="K1351" s="10">
        <v>1636.44</v>
      </c>
      <c r="L1351" s="6">
        <f t="shared" si="130"/>
        <v>4.2907039226222458E-2</v>
      </c>
      <c r="M1351">
        <f t="shared" si="131"/>
        <v>1.0246963055729492</v>
      </c>
      <c r="N1351">
        <f t="shared" si="132"/>
        <v>5.66242214532872</v>
      </c>
      <c r="O1351">
        <f t="shared" si="133"/>
        <v>12813.56</v>
      </c>
      <c r="P1351">
        <f t="shared" si="134"/>
        <v>0.18096430807764557</v>
      </c>
      <c r="Q1351" t="s">
        <v>4136</v>
      </c>
      <c r="R1351" t="s">
        <v>4142</v>
      </c>
      <c r="S1351">
        <f>YEAR(marketing_data[[#This Row],[Start_date]])</f>
        <v>2023</v>
      </c>
      <c r="T1351" t="str">
        <f>TEXT(marketing_data[[#This Row],[Start_date]],"ddd")</f>
        <v>Tue</v>
      </c>
      <c r="U1351">
        <f>marketing_data[[#This Row],[Cleaned End_date]]-marketing_data[[#This Row],[Start_date]]</f>
        <v>91</v>
      </c>
    </row>
    <row r="1352" spans="1:21" x14ac:dyDescent="0.2">
      <c r="A1352" t="s">
        <v>2797</v>
      </c>
      <c r="B1352" t="s">
        <v>2798</v>
      </c>
      <c r="C1352" s="2">
        <v>45133</v>
      </c>
      <c r="D1352" t="str">
        <f t="shared" si="129"/>
        <v>Jul</v>
      </c>
      <c r="E1352" s="2">
        <v>45142</v>
      </c>
      <c r="F1352" t="s">
        <v>19</v>
      </c>
      <c r="G1352">
        <v>42874</v>
      </c>
      <c r="H1352">
        <v>1769</v>
      </c>
      <c r="J1352" t="b">
        <v>0</v>
      </c>
      <c r="K1352" s="10">
        <v>3173.13</v>
      </c>
      <c r="L1352" s="6">
        <f t="shared" si="130"/>
        <v>4.1260437561225917E-2</v>
      </c>
      <c r="M1352">
        <f t="shared" si="131"/>
        <v>1.7937422272470323</v>
      </c>
      <c r="N1352">
        <f t="shared" si="132"/>
        <v>0</v>
      </c>
      <c r="O1352">
        <f t="shared" si="133"/>
        <v>-3173.13</v>
      </c>
      <c r="P1352">
        <f t="shared" si="134"/>
        <v>0</v>
      </c>
      <c r="Q1352" t="s">
        <v>4139</v>
      </c>
      <c r="R1352" t="s">
        <v>4138</v>
      </c>
      <c r="S1352">
        <f>YEAR(marketing_data[[#This Row],[Start_date]])</f>
        <v>2023</v>
      </c>
      <c r="T1352" t="str">
        <f>TEXT(marketing_data[[#This Row],[Start_date]],"ddd")</f>
        <v>Wed</v>
      </c>
      <c r="U1352">
        <f>marketing_data[[#This Row],[Cleaned End_date]]-marketing_data[[#This Row],[Start_date]]</f>
        <v>9</v>
      </c>
    </row>
    <row r="1353" spans="1:21" x14ac:dyDescent="0.2">
      <c r="A1353" t="s">
        <v>2799</v>
      </c>
      <c r="B1353" t="s">
        <v>2800</v>
      </c>
      <c r="C1353" s="2">
        <v>44927</v>
      </c>
      <c r="D1353" t="str">
        <f t="shared" si="129"/>
        <v>Jan</v>
      </c>
      <c r="E1353" s="2">
        <v>44931</v>
      </c>
      <c r="F1353" t="s">
        <v>14</v>
      </c>
      <c r="G1353">
        <v>14859</v>
      </c>
      <c r="H1353">
        <v>471</v>
      </c>
      <c r="I1353">
        <v>41</v>
      </c>
      <c r="J1353" t="b">
        <v>0</v>
      </c>
      <c r="K1353" s="10">
        <v>400.17</v>
      </c>
      <c r="L1353" s="6">
        <f t="shared" si="130"/>
        <v>3.1697960831819097E-2</v>
      </c>
      <c r="M1353">
        <f t="shared" si="131"/>
        <v>0.84961783439490446</v>
      </c>
      <c r="N1353">
        <f t="shared" si="132"/>
        <v>9.760243902439024</v>
      </c>
      <c r="O1353">
        <f t="shared" si="133"/>
        <v>1649.83</v>
      </c>
      <c r="P1353">
        <f t="shared" si="134"/>
        <v>8.7048832271762203E-2</v>
      </c>
      <c r="Q1353" t="s">
        <v>4138</v>
      </c>
      <c r="R1353" t="s">
        <v>4138</v>
      </c>
      <c r="S1353">
        <f>YEAR(marketing_data[[#This Row],[Start_date]])</f>
        <v>2023</v>
      </c>
      <c r="T1353" t="str">
        <f>TEXT(marketing_data[[#This Row],[Start_date]],"ddd")</f>
        <v>Sun</v>
      </c>
      <c r="U1353">
        <f>marketing_data[[#This Row],[Cleaned End_date]]-marketing_data[[#This Row],[Start_date]]</f>
        <v>4</v>
      </c>
    </row>
    <row r="1354" spans="1:21" x14ac:dyDescent="0.2">
      <c r="A1354" t="s">
        <v>2801</v>
      </c>
      <c r="B1354" t="s">
        <v>2802</v>
      </c>
      <c r="C1354" s="2">
        <v>45243</v>
      </c>
      <c r="D1354" t="str">
        <f t="shared" si="129"/>
        <v>Nov</v>
      </c>
      <c r="E1354" s="2">
        <v>45261</v>
      </c>
      <c r="F1354" t="s">
        <v>14</v>
      </c>
      <c r="G1354">
        <v>51460</v>
      </c>
      <c r="H1354">
        <v>720</v>
      </c>
      <c r="I1354">
        <v>130</v>
      </c>
      <c r="J1354" t="b">
        <v>1</v>
      </c>
      <c r="K1354" s="10">
        <v>1110.8</v>
      </c>
      <c r="L1354" s="6">
        <f t="shared" si="130"/>
        <v>1.3991449669646328E-2</v>
      </c>
      <c r="M1354">
        <f t="shared" si="131"/>
        <v>1.5427777777777778</v>
      </c>
      <c r="N1354">
        <f t="shared" si="132"/>
        <v>8.5446153846153834</v>
      </c>
      <c r="O1354">
        <f t="shared" si="133"/>
        <v>5389.2</v>
      </c>
      <c r="P1354">
        <f t="shared" si="134"/>
        <v>0.18055555555555555</v>
      </c>
      <c r="Q1354" t="s">
        <v>4136</v>
      </c>
      <c r="R1354" t="s">
        <v>4141</v>
      </c>
      <c r="S1354">
        <f>YEAR(marketing_data[[#This Row],[Start_date]])</f>
        <v>2023</v>
      </c>
      <c r="T1354" t="str">
        <f>TEXT(marketing_data[[#This Row],[Start_date]],"ddd")</f>
        <v>Mon</v>
      </c>
      <c r="U1354">
        <f>marketing_data[[#This Row],[Cleaned End_date]]-marketing_data[[#This Row],[Start_date]]</f>
        <v>18</v>
      </c>
    </row>
    <row r="1355" spans="1:21" x14ac:dyDescent="0.2">
      <c r="A1355" t="s">
        <v>2803</v>
      </c>
      <c r="B1355" t="s">
        <v>2804</v>
      </c>
      <c r="C1355" s="2">
        <v>45214</v>
      </c>
      <c r="D1355" t="str">
        <f t="shared" si="129"/>
        <v>Oct</v>
      </c>
      <c r="E1355" s="2">
        <v>45232</v>
      </c>
      <c r="F1355" t="s">
        <v>33</v>
      </c>
      <c r="G1355">
        <v>32419</v>
      </c>
      <c r="H1355">
        <v>1216</v>
      </c>
      <c r="I1355">
        <v>198</v>
      </c>
      <c r="J1355" t="b">
        <v>1</v>
      </c>
      <c r="K1355" s="10">
        <v>1756.44</v>
      </c>
      <c r="L1355" s="6">
        <f t="shared" si="130"/>
        <v>3.7508868256269472E-2</v>
      </c>
      <c r="M1355">
        <f t="shared" si="131"/>
        <v>1.4444407894736842</v>
      </c>
      <c r="N1355">
        <f t="shared" si="132"/>
        <v>8.8709090909090911</v>
      </c>
      <c r="O1355">
        <f t="shared" si="133"/>
        <v>8143.5599999999995</v>
      </c>
      <c r="P1355">
        <f t="shared" si="134"/>
        <v>0.16282894736842105</v>
      </c>
      <c r="Q1355" t="s">
        <v>4136</v>
      </c>
      <c r="R1355" t="s">
        <v>4138</v>
      </c>
      <c r="S1355">
        <f>YEAR(marketing_data[[#This Row],[Start_date]])</f>
        <v>2023</v>
      </c>
      <c r="T1355" t="str">
        <f>TEXT(marketing_data[[#This Row],[Start_date]],"ddd")</f>
        <v>Sun</v>
      </c>
      <c r="U1355">
        <f>marketing_data[[#This Row],[Cleaned End_date]]-marketing_data[[#This Row],[Start_date]]</f>
        <v>18</v>
      </c>
    </row>
    <row r="1356" spans="1:21" x14ac:dyDescent="0.2">
      <c r="A1356" t="s">
        <v>2805</v>
      </c>
      <c r="B1356" t="s">
        <v>2806</v>
      </c>
      <c r="C1356" s="2">
        <v>45101</v>
      </c>
      <c r="D1356" t="str">
        <f t="shared" si="129"/>
        <v>Jun</v>
      </c>
      <c r="E1356" s="2">
        <v>45110</v>
      </c>
      <c r="F1356" t="s">
        <v>23</v>
      </c>
      <c r="G1356">
        <v>9705</v>
      </c>
      <c r="H1356">
        <v>190</v>
      </c>
      <c r="I1356">
        <v>10</v>
      </c>
      <c r="J1356" t="b">
        <v>1</v>
      </c>
      <c r="K1356" s="10">
        <v>341.09</v>
      </c>
      <c r="L1356" s="6">
        <f t="shared" si="130"/>
        <v>1.9577537351880475E-2</v>
      </c>
      <c r="M1356">
        <f t="shared" si="131"/>
        <v>1.7952105263157894</v>
      </c>
      <c r="N1356">
        <f t="shared" si="132"/>
        <v>34.108999999999995</v>
      </c>
      <c r="O1356">
        <f t="shared" si="133"/>
        <v>158.91000000000003</v>
      </c>
      <c r="P1356">
        <f t="shared" si="134"/>
        <v>5.2631578947368418E-2</v>
      </c>
      <c r="Q1356" t="s">
        <v>4139</v>
      </c>
      <c r="R1356" t="s">
        <v>4142</v>
      </c>
      <c r="S1356">
        <f>YEAR(marketing_data[[#This Row],[Start_date]])</f>
        <v>2023</v>
      </c>
      <c r="T1356" t="str">
        <f>TEXT(marketing_data[[#This Row],[Start_date]],"ddd")</f>
        <v>Sat</v>
      </c>
      <c r="U1356">
        <f>marketing_data[[#This Row],[Cleaned End_date]]-marketing_data[[#This Row],[Start_date]]</f>
        <v>9</v>
      </c>
    </row>
    <row r="1357" spans="1:21" x14ac:dyDescent="0.2">
      <c r="A1357" t="s">
        <v>2807</v>
      </c>
      <c r="B1357" t="s">
        <v>2808</v>
      </c>
      <c r="C1357" s="2">
        <v>45041</v>
      </c>
      <c r="D1357" t="str">
        <f t="shared" si="129"/>
        <v>Apr</v>
      </c>
      <c r="E1357" s="2">
        <v>45046</v>
      </c>
      <c r="F1357" t="s">
        <v>14</v>
      </c>
      <c r="G1357">
        <v>43880</v>
      </c>
      <c r="H1357">
        <v>2037</v>
      </c>
      <c r="J1357" t="b">
        <v>0</v>
      </c>
      <c r="K1357" s="10">
        <v>1422.71</v>
      </c>
      <c r="L1357" s="6">
        <f t="shared" si="130"/>
        <v>4.6422060164083866E-2</v>
      </c>
      <c r="M1357">
        <f t="shared" si="131"/>
        <v>0.69843397152675502</v>
      </c>
      <c r="N1357">
        <f t="shared" si="132"/>
        <v>0</v>
      </c>
      <c r="O1357">
        <f t="shared" si="133"/>
        <v>-1422.71</v>
      </c>
      <c r="P1357">
        <f t="shared" si="134"/>
        <v>0</v>
      </c>
      <c r="Q1357" t="s">
        <v>4137</v>
      </c>
      <c r="R1357" t="s">
        <v>4141</v>
      </c>
      <c r="S1357">
        <f>YEAR(marketing_data[[#This Row],[Start_date]])</f>
        <v>2023</v>
      </c>
      <c r="T1357" t="str">
        <f>TEXT(marketing_data[[#This Row],[Start_date]],"ddd")</f>
        <v>Tue</v>
      </c>
      <c r="U1357">
        <f>marketing_data[[#This Row],[Cleaned End_date]]-marketing_data[[#This Row],[Start_date]]</f>
        <v>5</v>
      </c>
    </row>
    <row r="1358" spans="1:21" x14ac:dyDescent="0.2">
      <c r="A1358" t="s">
        <v>2809</v>
      </c>
      <c r="B1358" t="s">
        <v>2810</v>
      </c>
      <c r="C1358" s="2">
        <v>45244</v>
      </c>
      <c r="D1358" t="str">
        <f t="shared" si="129"/>
        <v>Nov</v>
      </c>
      <c r="E1358" s="2">
        <v>45270</v>
      </c>
      <c r="F1358" t="s">
        <v>19</v>
      </c>
      <c r="G1358">
        <v>24236</v>
      </c>
      <c r="H1358">
        <v>1055</v>
      </c>
      <c r="J1358" t="b">
        <v>0</v>
      </c>
      <c r="K1358" s="10">
        <v>2074.54</v>
      </c>
      <c r="L1358" s="6">
        <f t="shared" si="130"/>
        <v>4.3530285525664299E-2</v>
      </c>
      <c r="M1358">
        <f t="shared" si="131"/>
        <v>1.966388625592417</v>
      </c>
      <c r="N1358">
        <f t="shared" si="132"/>
        <v>0</v>
      </c>
      <c r="O1358">
        <f t="shared" si="133"/>
        <v>-2074.54</v>
      </c>
      <c r="P1358">
        <f t="shared" si="134"/>
        <v>0</v>
      </c>
      <c r="Q1358" t="s">
        <v>4136</v>
      </c>
      <c r="R1358" t="s">
        <v>4138</v>
      </c>
      <c r="S1358">
        <f>YEAR(marketing_data[[#This Row],[Start_date]])</f>
        <v>2023</v>
      </c>
      <c r="T1358" t="str">
        <f>TEXT(marketing_data[[#This Row],[Start_date]],"ddd")</f>
        <v>Tue</v>
      </c>
      <c r="U1358">
        <f>marketing_data[[#This Row],[Cleaned End_date]]-marketing_data[[#This Row],[Start_date]]</f>
        <v>26</v>
      </c>
    </row>
    <row r="1359" spans="1:21" x14ac:dyDescent="0.2">
      <c r="A1359" t="s">
        <v>2811</v>
      </c>
      <c r="B1359" t="s">
        <v>2812</v>
      </c>
      <c r="C1359" s="2">
        <v>45113</v>
      </c>
      <c r="D1359" t="str">
        <f t="shared" si="129"/>
        <v>Jul</v>
      </c>
      <c r="E1359" s="2">
        <v>45117</v>
      </c>
      <c r="F1359" t="s">
        <v>41</v>
      </c>
      <c r="G1359">
        <v>88955</v>
      </c>
      <c r="H1359">
        <v>3413</v>
      </c>
      <c r="I1359">
        <v>375</v>
      </c>
      <c r="J1359" t="b">
        <v>1</v>
      </c>
      <c r="K1359" s="10">
        <v>3631.7599999999998</v>
      </c>
      <c r="L1359" s="6">
        <f t="shared" si="130"/>
        <v>3.8367714012703051E-2</v>
      </c>
      <c r="M1359">
        <f t="shared" si="131"/>
        <v>1.0640961031350717</v>
      </c>
      <c r="N1359">
        <f t="shared" si="132"/>
        <v>9.6846933333333318</v>
      </c>
      <c r="O1359">
        <f t="shared" si="133"/>
        <v>15118.24</v>
      </c>
      <c r="P1359">
        <f t="shared" si="134"/>
        <v>0.1098740111338998</v>
      </c>
      <c r="Q1359" t="s">
        <v>4139</v>
      </c>
      <c r="R1359" t="s">
        <v>4141</v>
      </c>
      <c r="S1359">
        <f>YEAR(marketing_data[[#This Row],[Start_date]])</f>
        <v>2023</v>
      </c>
      <c r="T1359" t="str">
        <f>TEXT(marketing_data[[#This Row],[Start_date]],"ddd")</f>
        <v>Thu</v>
      </c>
      <c r="U1359">
        <f>marketing_data[[#This Row],[Cleaned End_date]]-marketing_data[[#This Row],[Start_date]]</f>
        <v>4</v>
      </c>
    </row>
    <row r="1360" spans="1:21" x14ac:dyDescent="0.2">
      <c r="A1360" t="s">
        <v>2813</v>
      </c>
      <c r="B1360" t="s">
        <v>2814</v>
      </c>
      <c r="C1360" s="2">
        <v>45264</v>
      </c>
      <c r="D1360" t="str">
        <f t="shared" si="129"/>
        <v>Dec</v>
      </c>
      <c r="E1360" s="2">
        <v>45294</v>
      </c>
      <c r="F1360" t="s">
        <v>14</v>
      </c>
      <c r="G1360">
        <v>86514</v>
      </c>
      <c r="H1360">
        <v>4148</v>
      </c>
      <c r="J1360" t="b">
        <v>0</v>
      </c>
      <c r="K1360" s="10">
        <v>3631.7599999999998</v>
      </c>
      <c r="L1360" s="6">
        <f t="shared" si="130"/>
        <v>4.7945997179647225E-2</v>
      </c>
      <c r="M1360">
        <f t="shared" si="131"/>
        <v>0.87554484088717444</v>
      </c>
      <c r="N1360">
        <f t="shared" si="132"/>
        <v>0</v>
      </c>
      <c r="O1360">
        <f t="shared" si="133"/>
        <v>-3631.7599999999998</v>
      </c>
      <c r="P1360">
        <f t="shared" si="134"/>
        <v>0</v>
      </c>
      <c r="Q1360" t="s">
        <v>4138</v>
      </c>
      <c r="R1360" t="s">
        <v>4142</v>
      </c>
      <c r="S1360">
        <f>YEAR(marketing_data[[#This Row],[Start_date]])</f>
        <v>2023</v>
      </c>
      <c r="T1360" t="str">
        <f>TEXT(marketing_data[[#This Row],[Start_date]],"ddd")</f>
        <v>Mon</v>
      </c>
      <c r="U1360">
        <f>marketing_data[[#This Row],[Cleaned End_date]]-marketing_data[[#This Row],[Start_date]]</f>
        <v>30</v>
      </c>
    </row>
    <row r="1361" spans="1:21" x14ac:dyDescent="0.2">
      <c r="A1361" t="s">
        <v>2815</v>
      </c>
      <c r="B1361" t="s">
        <v>2816</v>
      </c>
      <c r="C1361" s="2">
        <v>45251</v>
      </c>
      <c r="D1361" t="str">
        <f t="shared" si="129"/>
        <v>Nov</v>
      </c>
      <c r="E1361" s="2">
        <v>45275</v>
      </c>
      <c r="F1361" t="s">
        <v>41</v>
      </c>
      <c r="G1361">
        <v>16358</v>
      </c>
      <c r="H1361">
        <v>184</v>
      </c>
      <c r="I1361">
        <v>28</v>
      </c>
      <c r="J1361" t="b">
        <v>1</v>
      </c>
      <c r="K1361" s="10">
        <v>343.58</v>
      </c>
      <c r="L1361" s="6">
        <f t="shared" si="130"/>
        <v>1.1248318865386967E-2</v>
      </c>
      <c r="M1361">
        <f t="shared" si="131"/>
        <v>1.867282608695652</v>
      </c>
      <c r="N1361">
        <f t="shared" si="132"/>
        <v>12.270714285714286</v>
      </c>
      <c r="O1361">
        <f t="shared" si="133"/>
        <v>1056.42</v>
      </c>
      <c r="P1361">
        <f t="shared" si="134"/>
        <v>0.15217391304347827</v>
      </c>
      <c r="Q1361" t="s">
        <v>4136</v>
      </c>
      <c r="R1361" t="s">
        <v>4142</v>
      </c>
      <c r="S1361">
        <f>YEAR(marketing_data[[#This Row],[Start_date]])</f>
        <v>2023</v>
      </c>
      <c r="T1361" t="str">
        <f>TEXT(marketing_data[[#This Row],[Start_date]],"ddd")</f>
        <v>Tue</v>
      </c>
      <c r="U1361">
        <f>marketing_data[[#This Row],[Cleaned End_date]]-marketing_data[[#This Row],[Start_date]]</f>
        <v>24</v>
      </c>
    </row>
    <row r="1362" spans="1:21" x14ac:dyDescent="0.2">
      <c r="A1362" t="s">
        <v>2817</v>
      </c>
      <c r="B1362" t="s">
        <v>2818</v>
      </c>
      <c r="C1362" s="2">
        <v>45194</v>
      </c>
      <c r="D1362" t="str">
        <f t="shared" si="129"/>
        <v>Sep</v>
      </c>
      <c r="E1362" s="2">
        <v>45224</v>
      </c>
      <c r="F1362" t="s">
        <v>33</v>
      </c>
      <c r="G1362">
        <v>95914</v>
      </c>
      <c r="H1362">
        <v>3783</v>
      </c>
      <c r="I1362">
        <v>307</v>
      </c>
      <c r="J1362" t="b">
        <v>1</v>
      </c>
      <c r="K1362" s="10">
        <v>3148.5</v>
      </c>
      <c r="L1362" s="6">
        <f t="shared" si="130"/>
        <v>3.944158308484684E-2</v>
      </c>
      <c r="M1362">
        <f t="shared" si="131"/>
        <v>0.83227597145122922</v>
      </c>
      <c r="N1362">
        <f t="shared" si="132"/>
        <v>10.255700325732899</v>
      </c>
      <c r="O1362">
        <f t="shared" si="133"/>
        <v>12201.5</v>
      </c>
      <c r="P1362">
        <f t="shared" si="134"/>
        <v>8.1152524451493527E-2</v>
      </c>
      <c r="Q1362" t="s">
        <v>4136</v>
      </c>
      <c r="R1362" t="s">
        <v>4142</v>
      </c>
      <c r="S1362">
        <f>YEAR(marketing_data[[#This Row],[Start_date]])</f>
        <v>2023</v>
      </c>
      <c r="T1362" t="str">
        <f>TEXT(marketing_data[[#This Row],[Start_date]],"ddd")</f>
        <v>Mon</v>
      </c>
      <c r="U1362">
        <f>marketing_data[[#This Row],[Cleaned End_date]]-marketing_data[[#This Row],[Start_date]]</f>
        <v>30</v>
      </c>
    </row>
    <row r="1363" spans="1:21" x14ac:dyDescent="0.2">
      <c r="A1363" t="s">
        <v>2819</v>
      </c>
      <c r="B1363" t="s">
        <v>2820</v>
      </c>
      <c r="C1363" s="2">
        <v>45011</v>
      </c>
      <c r="D1363" t="str">
        <f t="shared" si="129"/>
        <v>Mar</v>
      </c>
      <c r="E1363" s="2">
        <v>45025</v>
      </c>
      <c r="F1363" t="str">
        <f>F1362</f>
        <v>Instagram</v>
      </c>
      <c r="G1363">
        <v>77918</v>
      </c>
      <c r="H1363">
        <v>1808</v>
      </c>
      <c r="I1363">
        <v>307</v>
      </c>
      <c r="J1363" t="b">
        <v>1</v>
      </c>
      <c r="K1363" s="10">
        <v>1056.31</v>
      </c>
      <c r="L1363" s="6">
        <f t="shared" si="130"/>
        <v>2.3203881003105831E-2</v>
      </c>
      <c r="M1363">
        <f t="shared" si="131"/>
        <v>0.58424225663716811</v>
      </c>
      <c r="N1363">
        <f t="shared" si="132"/>
        <v>3.4407491856677521</v>
      </c>
      <c r="O1363">
        <f t="shared" si="133"/>
        <v>14293.69</v>
      </c>
      <c r="P1363">
        <f t="shared" si="134"/>
        <v>0.16980088495575221</v>
      </c>
      <c r="Q1363" t="s">
        <v>4137</v>
      </c>
      <c r="R1363" t="s">
        <v>4141</v>
      </c>
      <c r="S1363">
        <f>YEAR(marketing_data[[#This Row],[Start_date]])</f>
        <v>2023</v>
      </c>
      <c r="T1363" t="str">
        <f>TEXT(marketing_data[[#This Row],[Start_date]],"ddd")</f>
        <v>Sun</v>
      </c>
      <c r="U1363">
        <f>marketing_data[[#This Row],[Cleaned End_date]]-marketing_data[[#This Row],[Start_date]]</f>
        <v>14</v>
      </c>
    </row>
    <row r="1364" spans="1:21" x14ac:dyDescent="0.2">
      <c r="A1364" t="s">
        <v>2821</v>
      </c>
      <c r="B1364" t="s">
        <v>2822</v>
      </c>
      <c r="C1364" s="2">
        <v>45136</v>
      </c>
      <c r="D1364" t="str">
        <f t="shared" si="129"/>
        <v>Jul</v>
      </c>
      <c r="E1364" s="2">
        <v>45143</v>
      </c>
      <c r="F1364" t="s">
        <v>14</v>
      </c>
      <c r="G1364">
        <v>15596</v>
      </c>
      <c r="H1364">
        <v>721</v>
      </c>
      <c r="I1364">
        <v>122</v>
      </c>
      <c r="J1364" t="b">
        <v>1</v>
      </c>
      <c r="K1364" s="10">
        <v>636.97</v>
      </c>
      <c r="L1364" s="6">
        <f t="shared" si="130"/>
        <v>4.6229802513464993E-2</v>
      </c>
      <c r="M1364">
        <f t="shared" si="131"/>
        <v>0.88345353675450766</v>
      </c>
      <c r="N1364">
        <f t="shared" si="132"/>
        <v>5.2210655737704919</v>
      </c>
      <c r="O1364">
        <f t="shared" si="133"/>
        <v>5463.03</v>
      </c>
      <c r="P1364">
        <f t="shared" si="134"/>
        <v>0.16920943134535368</v>
      </c>
      <c r="Q1364" t="s">
        <v>4139</v>
      </c>
      <c r="R1364" t="s">
        <v>4141</v>
      </c>
      <c r="S1364">
        <f>YEAR(marketing_data[[#This Row],[Start_date]])</f>
        <v>2023</v>
      </c>
      <c r="T1364" t="str">
        <f>TEXT(marketing_data[[#This Row],[Start_date]],"ddd")</f>
        <v>Sat</v>
      </c>
      <c r="U1364">
        <f>marketing_data[[#This Row],[Cleaned End_date]]-marketing_data[[#This Row],[Start_date]]</f>
        <v>7</v>
      </c>
    </row>
    <row r="1365" spans="1:21" x14ac:dyDescent="0.2">
      <c r="A1365" t="s">
        <v>2823</v>
      </c>
      <c r="B1365" t="s">
        <v>2824</v>
      </c>
      <c r="C1365" s="2">
        <v>45023</v>
      </c>
      <c r="D1365" t="str">
        <f t="shared" si="129"/>
        <v>Apr</v>
      </c>
      <c r="E1365" s="2">
        <v>45025</v>
      </c>
      <c r="F1365" t="s">
        <v>33</v>
      </c>
      <c r="G1365">
        <v>34572</v>
      </c>
      <c r="H1365">
        <v>714</v>
      </c>
      <c r="I1365">
        <v>80</v>
      </c>
      <c r="J1365" t="b">
        <v>0</v>
      </c>
      <c r="K1365" s="10">
        <v>922.02</v>
      </c>
      <c r="L1365" s="6">
        <f t="shared" si="130"/>
        <v>2.0652551197500868E-2</v>
      </c>
      <c r="M1365">
        <f t="shared" si="131"/>
        <v>1.291344537815126</v>
      </c>
      <c r="N1365">
        <f t="shared" si="132"/>
        <v>11.52525</v>
      </c>
      <c r="O1365">
        <f t="shared" si="133"/>
        <v>3077.98</v>
      </c>
      <c r="P1365">
        <f t="shared" si="134"/>
        <v>0.11204481792717087</v>
      </c>
      <c r="Q1365" t="s">
        <v>4137</v>
      </c>
      <c r="R1365" t="s">
        <v>4141</v>
      </c>
      <c r="S1365">
        <f>YEAR(marketing_data[[#This Row],[Start_date]])</f>
        <v>2023</v>
      </c>
      <c r="T1365" t="str">
        <f>TEXT(marketing_data[[#This Row],[Start_date]],"ddd")</f>
        <v>Fri</v>
      </c>
      <c r="U1365">
        <f>marketing_data[[#This Row],[Cleaned End_date]]-marketing_data[[#This Row],[Start_date]]</f>
        <v>2</v>
      </c>
    </row>
    <row r="1366" spans="1:21" x14ac:dyDescent="0.2">
      <c r="A1366" t="s">
        <v>2825</v>
      </c>
      <c r="B1366" t="s">
        <v>2826</v>
      </c>
      <c r="C1366" s="2">
        <v>45037</v>
      </c>
      <c r="D1366" t="str">
        <f t="shared" si="129"/>
        <v>Apr</v>
      </c>
      <c r="E1366" s="2">
        <v>45066</v>
      </c>
      <c r="F1366" t="s">
        <v>19</v>
      </c>
      <c r="G1366">
        <v>79757</v>
      </c>
      <c r="H1366">
        <v>3110</v>
      </c>
      <c r="I1366">
        <v>287</v>
      </c>
      <c r="J1366" t="b">
        <v>0</v>
      </c>
      <c r="K1366" s="10">
        <v>2355.5</v>
      </c>
      <c r="L1366" s="6">
        <f t="shared" si="130"/>
        <v>3.8993442581842348E-2</v>
      </c>
      <c r="M1366">
        <f t="shared" si="131"/>
        <v>0.75739549839228293</v>
      </c>
      <c r="N1366">
        <f t="shared" si="132"/>
        <v>8.2073170731707314</v>
      </c>
      <c r="O1366">
        <f t="shared" si="133"/>
        <v>11994.5</v>
      </c>
      <c r="P1366">
        <f t="shared" si="134"/>
        <v>9.2282958199356918E-2</v>
      </c>
      <c r="Q1366" t="s">
        <v>4137</v>
      </c>
      <c r="R1366" t="s">
        <v>4141</v>
      </c>
      <c r="S1366">
        <f>YEAR(marketing_data[[#This Row],[Start_date]])</f>
        <v>2023</v>
      </c>
      <c r="T1366" t="str">
        <f>TEXT(marketing_data[[#This Row],[Start_date]],"ddd")</f>
        <v>Fri</v>
      </c>
      <c r="U1366">
        <f>marketing_data[[#This Row],[Cleaned End_date]]-marketing_data[[#This Row],[Start_date]]</f>
        <v>29</v>
      </c>
    </row>
    <row r="1367" spans="1:21" x14ac:dyDescent="0.2">
      <c r="A1367" t="s">
        <v>2827</v>
      </c>
      <c r="B1367" t="s">
        <v>2828</v>
      </c>
      <c r="C1367" s="2">
        <v>45100</v>
      </c>
      <c r="D1367" t="str">
        <f t="shared" si="129"/>
        <v>Jun</v>
      </c>
      <c r="E1367" s="2">
        <v>45122</v>
      </c>
      <c r="F1367" t="s">
        <v>19</v>
      </c>
      <c r="G1367">
        <v>2279</v>
      </c>
      <c r="H1367">
        <v>102</v>
      </c>
      <c r="I1367">
        <v>9</v>
      </c>
      <c r="J1367" t="b">
        <v>1</v>
      </c>
      <c r="K1367" s="10">
        <v>329.13249999999999</v>
      </c>
      <c r="L1367" s="6">
        <f t="shared" si="130"/>
        <v>4.4756472136902148E-2</v>
      </c>
      <c r="M1367">
        <f t="shared" si="131"/>
        <v>3.2267892156862743</v>
      </c>
      <c r="N1367">
        <f t="shared" si="132"/>
        <v>36.570277777777775</v>
      </c>
      <c r="O1367">
        <f t="shared" si="133"/>
        <v>120.86750000000001</v>
      </c>
      <c r="P1367">
        <f t="shared" si="134"/>
        <v>8.8235294117647065E-2</v>
      </c>
      <c r="Q1367" t="s">
        <v>4139</v>
      </c>
      <c r="R1367" t="s">
        <v>4141</v>
      </c>
      <c r="S1367">
        <f>YEAR(marketing_data[[#This Row],[Start_date]])</f>
        <v>2023</v>
      </c>
      <c r="T1367" t="str">
        <f>TEXT(marketing_data[[#This Row],[Start_date]],"ddd")</f>
        <v>Fri</v>
      </c>
      <c r="U1367">
        <f>marketing_data[[#This Row],[Cleaned End_date]]-marketing_data[[#This Row],[Start_date]]</f>
        <v>22</v>
      </c>
    </row>
    <row r="1368" spans="1:21" x14ac:dyDescent="0.2">
      <c r="A1368" t="s">
        <v>2829</v>
      </c>
      <c r="B1368" t="s">
        <v>2830</v>
      </c>
      <c r="C1368" s="2">
        <v>45251</v>
      </c>
      <c r="D1368" t="str">
        <f t="shared" si="129"/>
        <v>Nov</v>
      </c>
      <c r="E1368" s="2">
        <v>45270</v>
      </c>
      <c r="F1368" t="str">
        <f>F1367</f>
        <v>Facebook</v>
      </c>
      <c r="G1368">
        <v>64197</v>
      </c>
      <c r="H1368">
        <v>748</v>
      </c>
      <c r="I1368">
        <v>91</v>
      </c>
      <c r="J1368" t="b">
        <v>1</v>
      </c>
      <c r="K1368" s="10">
        <v>893.03</v>
      </c>
      <c r="L1368" s="6">
        <f t="shared" si="130"/>
        <v>1.1651634811595557E-2</v>
      </c>
      <c r="M1368">
        <f t="shared" si="131"/>
        <v>1.1938903743315508</v>
      </c>
      <c r="N1368">
        <f t="shared" si="132"/>
        <v>9.8135164835164836</v>
      </c>
      <c r="O1368">
        <f t="shared" si="133"/>
        <v>3656.9700000000003</v>
      </c>
      <c r="P1368">
        <f t="shared" si="134"/>
        <v>0.12165775401069519</v>
      </c>
      <c r="Q1368" t="s">
        <v>4136</v>
      </c>
      <c r="R1368" t="s">
        <v>4138</v>
      </c>
      <c r="S1368">
        <f>YEAR(marketing_data[[#This Row],[Start_date]])</f>
        <v>2023</v>
      </c>
      <c r="T1368" t="str">
        <f>TEXT(marketing_data[[#This Row],[Start_date]],"ddd")</f>
        <v>Tue</v>
      </c>
      <c r="U1368">
        <f>marketing_data[[#This Row],[Cleaned End_date]]-marketing_data[[#This Row],[Start_date]]</f>
        <v>19</v>
      </c>
    </row>
    <row r="1369" spans="1:21" x14ac:dyDescent="0.2">
      <c r="A1369" t="s">
        <v>2831</v>
      </c>
      <c r="B1369" t="s">
        <v>2832</v>
      </c>
      <c r="C1369" s="2">
        <v>45157</v>
      </c>
      <c r="D1369" t="str">
        <f t="shared" si="129"/>
        <v>Aug</v>
      </c>
      <c r="E1369" s="2">
        <v>45159</v>
      </c>
      <c r="F1369" t="s">
        <v>23</v>
      </c>
      <c r="G1369">
        <v>63516</v>
      </c>
      <c r="H1369">
        <v>1645</v>
      </c>
      <c r="I1369">
        <v>259</v>
      </c>
      <c r="J1369" t="b">
        <v>0</v>
      </c>
      <c r="K1369" s="10">
        <v>904.59</v>
      </c>
      <c r="L1369" s="6">
        <f t="shared" si="130"/>
        <v>2.5898986082246993E-2</v>
      </c>
      <c r="M1369">
        <f t="shared" si="131"/>
        <v>0.54990273556231006</v>
      </c>
      <c r="N1369">
        <f t="shared" si="132"/>
        <v>3.4926254826254826</v>
      </c>
      <c r="O1369">
        <f t="shared" si="133"/>
        <v>12045.41</v>
      </c>
      <c r="P1369">
        <f t="shared" si="134"/>
        <v>0.1574468085106383</v>
      </c>
      <c r="Q1369" t="s">
        <v>4139</v>
      </c>
      <c r="R1369" t="s">
        <v>4142</v>
      </c>
      <c r="S1369">
        <f>YEAR(marketing_data[[#This Row],[Start_date]])</f>
        <v>2023</v>
      </c>
      <c r="T1369" t="str">
        <f>TEXT(marketing_data[[#This Row],[Start_date]],"ddd")</f>
        <v>Sat</v>
      </c>
      <c r="U1369">
        <f>marketing_data[[#This Row],[Cleaned End_date]]-marketing_data[[#This Row],[Start_date]]</f>
        <v>2</v>
      </c>
    </row>
    <row r="1370" spans="1:21" x14ac:dyDescent="0.2">
      <c r="A1370" t="s">
        <v>2833</v>
      </c>
      <c r="B1370" t="s">
        <v>2834</v>
      </c>
      <c r="C1370" s="2">
        <v>45185</v>
      </c>
      <c r="D1370" t="str">
        <f t="shared" si="129"/>
        <v>Sep</v>
      </c>
      <c r="E1370" s="2">
        <v>45186</v>
      </c>
      <c r="F1370" t="s">
        <v>19</v>
      </c>
      <c r="G1370">
        <v>8083</v>
      </c>
      <c r="H1370">
        <v>327</v>
      </c>
      <c r="I1370">
        <v>33</v>
      </c>
      <c r="J1370" t="b">
        <v>1</v>
      </c>
      <c r="K1370" s="10">
        <v>329.13249999999999</v>
      </c>
      <c r="L1370" s="6">
        <f t="shared" si="130"/>
        <v>4.0455276506247681E-2</v>
      </c>
      <c r="M1370">
        <f t="shared" si="131"/>
        <v>1.0065214067278287</v>
      </c>
      <c r="N1370">
        <f t="shared" si="132"/>
        <v>9.9737121212121203</v>
      </c>
      <c r="O1370">
        <f t="shared" si="133"/>
        <v>1320.8675000000001</v>
      </c>
      <c r="P1370">
        <f t="shared" si="134"/>
        <v>0.10091743119266056</v>
      </c>
      <c r="Q1370" t="s">
        <v>4136</v>
      </c>
      <c r="R1370" t="s">
        <v>4138</v>
      </c>
      <c r="S1370">
        <f>YEAR(marketing_data[[#This Row],[Start_date]])</f>
        <v>2023</v>
      </c>
      <c r="T1370" t="str">
        <f>TEXT(marketing_data[[#This Row],[Start_date]],"ddd")</f>
        <v>Sat</v>
      </c>
      <c r="U1370">
        <f>marketing_data[[#This Row],[Cleaned End_date]]-marketing_data[[#This Row],[Start_date]]</f>
        <v>1</v>
      </c>
    </row>
    <row r="1371" spans="1:21" x14ac:dyDescent="0.2">
      <c r="A1371" t="s">
        <v>2835</v>
      </c>
      <c r="B1371" t="s">
        <v>2836</v>
      </c>
      <c r="C1371" s="2">
        <v>45198</v>
      </c>
      <c r="D1371" t="str">
        <f t="shared" si="129"/>
        <v>Sep</v>
      </c>
      <c r="E1371" s="2">
        <v>45202</v>
      </c>
      <c r="F1371" t="s">
        <v>33</v>
      </c>
      <c r="G1371">
        <v>18771</v>
      </c>
      <c r="H1371">
        <v>529</v>
      </c>
      <c r="I1371">
        <v>74</v>
      </c>
      <c r="J1371" t="b">
        <v>0</v>
      </c>
      <c r="K1371" s="10">
        <v>594.49</v>
      </c>
      <c r="L1371" s="6">
        <f t="shared" si="130"/>
        <v>2.8181769751211977E-2</v>
      </c>
      <c r="M1371">
        <f t="shared" si="131"/>
        <v>1.1237996219281663</v>
      </c>
      <c r="N1371">
        <f t="shared" si="132"/>
        <v>8.0336486486486489</v>
      </c>
      <c r="O1371">
        <f t="shared" si="133"/>
        <v>3105.51</v>
      </c>
      <c r="P1371">
        <f t="shared" si="134"/>
        <v>0.13988657844990549</v>
      </c>
      <c r="Q1371" t="s">
        <v>4136</v>
      </c>
      <c r="R1371" t="s">
        <v>4142</v>
      </c>
      <c r="S1371">
        <f>YEAR(marketing_data[[#This Row],[Start_date]])</f>
        <v>2023</v>
      </c>
      <c r="T1371" t="str">
        <f>TEXT(marketing_data[[#This Row],[Start_date]],"ddd")</f>
        <v>Fri</v>
      </c>
      <c r="U1371">
        <f>marketing_data[[#This Row],[Cleaned End_date]]-marketing_data[[#This Row],[Start_date]]</f>
        <v>4</v>
      </c>
    </row>
    <row r="1372" spans="1:21" x14ac:dyDescent="0.2">
      <c r="A1372" t="s">
        <v>2837</v>
      </c>
      <c r="B1372" t="s">
        <v>2838</v>
      </c>
      <c r="C1372" s="2">
        <v>45148</v>
      </c>
      <c r="D1372" t="str">
        <f t="shared" si="129"/>
        <v>Aug</v>
      </c>
      <c r="E1372" s="2">
        <v>45159</v>
      </c>
      <c r="F1372" t="s">
        <v>14</v>
      </c>
      <c r="G1372">
        <v>30975</v>
      </c>
      <c r="H1372">
        <v>640</v>
      </c>
      <c r="I1372">
        <v>68</v>
      </c>
      <c r="J1372" t="b">
        <v>0</v>
      </c>
      <c r="K1372" s="10">
        <v>380.6</v>
      </c>
      <c r="L1372" s="6">
        <f t="shared" si="130"/>
        <v>2.0661824051654561E-2</v>
      </c>
      <c r="M1372">
        <f t="shared" si="131"/>
        <v>0.59468750000000004</v>
      </c>
      <c r="N1372">
        <f t="shared" si="132"/>
        <v>5.5970588235294123</v>
      </c>
      <c r="O1372">
        <f t="shared" si="133"/>
        <v>3019.4</v>
      </c>
      <c r="P1372">
        <f t="shared" si="134"/>
        <v>0.10625</v>
      </c>
      <c r="Q1372" t="s">
        <v>4139</v>
      </c>
      <c r="R1372" t="s">
        <v>4142</v>
      </c>
      <c r="S1372">
        <f>YEAR(marketing_data[[#This Row],[Start_date]])</f>
        <v>2023</v>
      </c>
      <c r="T1372" t="str">
        <f>TEXT(marketing_data[[#This Row],[Start_date]],"ddd")</f>
        <v>Thu</v>
      </c>
      <c r="U1372">
        <f>marketing_data[[#This Row],[Cleaned End_date]]-marketing_data[[#This Row],[Start_date]]</f>
        <v>11</v>
      </c>
    </row>
    <row r="1373" spans="1:21" x14ac:dyDescent="0.2">
      <c r="A1373" t="s">
        <v>2839</v>
      </c>
      <c r="B1373" t="s">
        <v>2840</v>
      </c>
      <c r="C1373" s="2">
        <v>45187</v>
      </c>
      <c r="D1373" t="str">
        <f t="shared" si="129"/>
        <v>Sep</v>
      </c>
      <c r="E1373" s="2">
        <v>45207</v>
      </c>
      <c r="F1373" t="s">
        <v>23</v>
      </c>
      <c r="G1373">
        <v>46648</v>
      </c>
      <c r="H1373">
        <v>876</v>
      </c>
      <c r="I1373">
        <v>83</v>
      </c>
      <c r="J1373" t="b">
        <v>1</v>
      </c>
      <c r="K1373" s="10">
        <v>959.34</v>
      </c>
      <c r="L1373" s="6">
        <f t="shared" si="130"/>
        <v>1.8778940147487565E-2</v>
      </c>
      <c r="M1373">
        <f t="shared" si="131"/>
        <v>1.0951369863013698</v>
      </c>
      <c r="N1373">
        <f t="shared" si="132"/>
        <v>11.558313253012049</v>
      </c>
      <c r="O1373">
        <f t="shared" si="133"/>
        <v>3190.66</v>
      </c>
      <c r="P1373">
        <f t="shared" si="134"/>
        <v>9.4748858447488579E-2</v>
      </c>
      <c r="Q1373" t="s">
        <v>4136</v>
      </c>
      <c r="R1373" t="s">
        <v>4142</v>
      </c>
      <c r="S1373">
        <f>YEAR(marketing_data[[#This Row],[Start_date]])</f>
        <v>2023</v>
      </c>
      <c r="T1373" t="str">
        <f>TEXT(marketing_data[[#This Row],[Start_date]],"ddd")</f>
        <v>Mon</v>
      </c>
      <c r="U1373">
        <f>marketing_data[[#This Row],[Cleaned End_date]]-marketing_data[[#This Row],[Start_date]]</f>
        <v>20</v>
      </c>
    </row>
    <row r="1374" spans="1:21" x14ac:dyDescent="0.2">
      <c r="A1374" t="s">
        <v>2841</v>
      </c>
      <c r="B1374" t="s">
        <v>2842</v>
      </c>
      <c r="C1374" s="2">
        <v>45281</v>
      </c>
      <c r="D1374" t="str">
        <f t="shared" si="129"/>
        <v>Dec</v>
      </c>
      <c r="E1374" s="2">
        <v>45305</v>
      </c>
      <c r="F1374" t="s">
        <v>41</v>
      </c>
      <c r="G1374">
        <v>49285</v>
      </c>
      <c r="H1374">
        <v>752</v>
      </c>
      <c r="I1374">
        <v>40</v>
      </c>
      <c r="J1374" t="b">
        <v>0</v>
      </c>
      <c r="K1374" s="10">
        <v>910.68</v>
      </c>
      <c r="L1374" s="6">
        <f t="shared" si="130"/>
        <v>1.5258192147712285E-2</v>
      </c>
      <c r="M1374">
        <f t="shared" si="131"/>
        <v>1.2110106382978723</v>
      </c>
      <c r="N1374">
        <f t="shared" si="132"/>
        <v>22.766999999999999</v>
      </c>
      <c r="O1374">
        <f t="shared" si="133"/>
        <v>1089.3200000000002</v>
      </c>
      <c r="P1374">
        <f t="shared" si="134"/>
        <v>5.3191489361702128E-2</v>
      </c>
      <c r="Q1374" t="s">
        <v>4138</v>
      </c>
      <c r="R1374" t="s">
        <v>4141</v>
      </c>
      <c r="S1374">
        <f>YEAR(marketing_data[[#This Row],[Start_date]])</f>
        <v>2023</v>
      </c>
      <c r="T1374" t="str">
        <f>TEXT(marketing_data[[#This Row],[Start_date]],"ddd")</f>
        <v>Thu</v>
      </c>
      <c r="U1374">
        <f>marketing_data[[#This Row],[Cleaned End_date]]-marketing_data[[#This Row],[Start_date]]</f>
        <v>24</v>
      </c>
    </row>
    <row r="1375" spans="1:21" x14ac:dyDescent="0.2">
      <c r="A1375" t="s">
        <v>2843</v>
      </c>
      <c r="B1375" t="s">
        <v>2844</v>
      </c>
      <c r="C1375" s="2">
        <v>44992</v>
      </c>
      <c r="D1375" t="str">
        <f t="shared" si="129"/>
        <v>Mar</v>
      </c>
      <c r="E1375" s="2">
        <v>45001</v>
      </c>
      <c r="F1375" t="s">
        <v>19</v>
      </c>
      <c r="G1375">
        <v>20063</v>
      </c>
      <c r="H1375">
        <v>888</v>
      </c>
      <c r="I1375">
        <v>44</v>
      </c>
      <c r="J1375" t="b">
        <v>0</v>
      </c>
      <c r="K1375" s="10">
        <v>1045.0899999999999</v>
      </c>
      <c r="L1375" s="6">
        <f t="shared" si="130"/>
        <v>4.4260579175596872E-2</v>
      </c>
      <c r="M1375">
        <f t="shared" si="131"/>
        <v>1.1769031531531531</v>
      </c>
      <c r="N1375">
        <f t="shared" si="132"/>
        <v>23.752045454545453</v>
      </c>
      <c r="O1375">
        <f t="shared" si="133"/>
        <v>1154.9100000000001</v>
      </c>
      <c r="P1375">
        <f t="shared" si="134"/>
        <v>4.954954954954955E-2</v>
      </c>
      <c r="Q1375" t="s">
        <v>4137</v>
      </c>
      <c r="R1375" t="s">
        <v>4138</v>
      </c>
      <c r="S1375">
        <f>YEAR(marketing_data[[#This Row],[Start_date]])</f>
        <v>2023</v>
      </c>
      <c r="T1375" t="str">
        <f>TEXT(marketing_data[[#This Row],[Start_date]],"ddd")</f>
        <v>Tue</v>
      </c>
      <c r="U1375">
        <f>marketing_data[[#This Row],[Cleaned End_date]]-marketing_data[[#This Row],[Start_date]]</f>
        <v>9</v>
      </c>
    </row>
    <row r="1376" spans="1:21" x14ac:dyDescent="0.2">
      <c r="A1376" t="s">
        <v>2845</v>
      </c>
      <c r="B1376" t="s">
        <v>2846</v>
      </c>
      <c r="C1376" s="2">
        <v>45237</v>
      </c>
      <c r="D1376" t="str">
        <f t="shared" si="129"/>
        <v>Nov</v>
      </c>
      <c r="E1376" s="2">
        <v>45247</v>
      </c>
      <c r="F1376" t="s">
        <v>41</v>
      </c>
      <c r="G1376">
        <v>68642</v>
      </c>
      <c r="H1376">
        <v>2266</v>
      </c>
      <c r="I1376">
        <v>190</v>
      </c>
      <c r="J1376" t="b">
        <v>0</v>
      </c>
      <c r="K1376" s="10">
        <v>3631.7599999999998</v>
      </c>
      <c r="L1376" s="6">
        <f t="shared" si="130"/>
        <v>3.3011858628827828E-2</v>
      </c>
      <c r="M1376">
        <f t="shared" si="131"/>
        <v>1.6027184466019417</v>
      </c>
      <c r="N1376">
        <f t="shared" si="132"/>
        <v>19.114526315789472</v>
      </c>
      <c r="O1376">
        <f t="shared" si="133"/>
        <v>5868.24</v>
      </c>
      <c r="P1376">
        <f t="shared" si="134"/>
        <v>8.3848190644307152E-2</v>
      </c>
      <c r="Q1376" t="s">
        <v>4136</v>
      </c>
      <c r="R1376" t="s">
        <v>4141</v>
      </c>
      <c r="S1376">
        <f>YEAR(marketing_data[[#This Row],[Start_date]])</f>
        <v>2023</v>
      </c>
      <c r="T1376" t="str">
        <f>TEXT(marketing_data[[#This Row],[Start_date]],"ddd")</f>
        <v>Tue</v>
      </c>
      <c r="U1376">
        <f>marketing_data[[#This Row],[Cleaned End_date]]-marketing_data[[#This Row],[Start_date]]</f>
        <v>10</v>
      </c>
    </row>
    <row r="1377" spans="1:21" x14ac:dyDescent="0.2">
      <c r="A1377" t="s">
        <v>2847</v>
      </c>
      <c r="B1377" t="s">
        <v>2848</v>
      </c>
      <c r="C1377" s="2">
        <v>45123</v>
      </c>
      <c r="D1377" t="str">
        <f t="shared" si="129"/>
        <v>Jul</v>
      </c>
      <c r="E1377" s="2">
        <v>45137</v>
      </c>
      <c r="F1377" t="s">
        <v>33</v>
      </c>
      <c r="G1377">
        <v>91093</v>
      </c>
      <c r="H1377">
        <v>1189</v>
      </c>
      <c r="I1377">
        <v>131</v>
      </c>
      <c r="J1377" t="b">
        <v>0</v>
      </c>
      <c r="K1377" s="10">
        <v>1539.87</v>
      </c>
      <c r="L1377" s="6">
        <f t="shared" si="130"/>
        <v>1.3052594601121931E-2</v>
      </c>
      <c r="M1377">
        <f t="shared" si="131"/>
        <v>1.2950967199327166</v>
      </c>
      <c r="N1377">
        <f t="shared" si="132"/>
        <v>11.75473282442748</v>
      </c>
      <c r="O1377">
        <f t="shared" si="133"/>
        <v>5010.13</v>
      </c>
      <c r="P1377">
        <f t="shared" si="134"/>
        <v>0.11017661900756939</v>
      </c>
      <c r="Q1377" t="s">
        <v>4139</v>
      </c>
      <c r="R1377" t="s">
        <v>4139</v>
      </c>
      <c r="S1377">
        <f>YEAR(marketing_data[[#This Row],[Start_date]])</f>
        <v>2023</v>
      </c>
      <c r="T1377" t="str">
        <f>TEXT(marketing_data[[#This Row],[Start_date]],"ddd")</f>
        <v>Sun</v>
      </c>
      <c r="U1377">
        <f>marketing_data[[#This Row],[Cleaned End_date]]-marketing_data[[#This Row],[Start_date]]</f>
        <v>14</v>
      </c>
    </row>
    <row r="1378" spans="1:21" x14ac:dyDescent="0.2">
      <c r="A1378" t="s">
        <v>2849</v>
      </c>
      <c r="B1378" t="s">
        <v>2850</v>
      </c>
      <c r="C1378" s="2">
        <v>45281</v>
      </c>
      <c r="D1378" t="str">
        <f t="shared" si="129"/>
        <v>Dec</v>
      </c>
      <c r="E1378" s="2">
        <v>45289</v>
      </c>
      <c r="F1378" t="s">
        <v>23</v>
      </c>
      <c r="G1378">
        <v>87143</v>
      </c>
      <c r="H1378">
        <v>2204</v>
      </c>
      <c r="I1378">
        <v>391</v>
      </c>
      <c r="J1378" t="b">
        <v>1</v>
      </c>
      <c r="K1378" s="10">
        <v>2649.14</v>
      </c>
      <c r="L1378" s="6">
        <f t="shared" si="130"/>
        <v>2.5291761816783907E-2</v>
      </c>
      <c r="M1378">
        <f t="shared" si="131"/>
        <v>1.2019691470054445</v>
      </c>
      <c r="N1378">
        <f t="shared" si="132"/>
        <v>6.7752941176470589</v>
      </c>
      <c r="O1378">
        <f t="shared" si="133"/>
        <v>16900.86</v>
      </c>
      <c r="P1378">
        <f t="shared" si="134"/>
        <v>0.17740471869328495</v>
      </c>
      <c r="Q1378" t="s">
        <v>4138</v>
      </c>
      <c r="R1378" t="s">
        <v>4138</v>
      </c>
      <c r="S1378">
        <f>YEAR(marketing_data[[#This Row],[Start_date]])</f>
        <v>2023</v>
      </c>
      <c r="T1378" t="str">
        <f>TEXT(marketing_data[[#This Row],[Start_date]],"ddd")</f>
        <v>Thu</v>
      </c>
      <c r="U1378">
        <f>marketing_data[[#This Row],[Cleaned End_date]]-marketing_data[[#This Row],[Start_date]]</f>
        <v>8</v>
      </c>
    </row>
    <row r="1379" spans="1:21" x14ac:dyDescent="0.2">
      <c r="A1379" t="s">
        <v>2851</v>
      </c>
      <c r="B1379" t="s">
        <v>2852</v>
      </c>
      <c r="C1379" s="2">
        <v>45102</v>
      </c>
      <c r="D1379" t="str">
        <f t="shared" si="129"/>
        <v>Jun</v>
      </c>
      <c r="E1379" s="2">
        <v>45110</v>
      </c>
      <c r="F1379" t="s">
        <v>19</v>
      </c>
      <c r="G1379">
        <v>38599</v>
      </c>
      <c r="H1379">
        <v>953</v>
      </c>
      <c r="J1379" t="b">
        <v>0</v>
      </c>
      <c r="K1379" s="10">
        <v>1063.6099999999999</v>
      </c>
      <c r="L1379" s="6">
        <f t="shared" si="130"/>
        <v>2.4689758802041505E-2</v>
      </c>
      <c r="M1379">
        <f t="shared" si="131"/>
        <v>1.1160650577124869</v>
      </c>
      <c r="N1379">
        <f t="shared" si="132"/>
        <v>0</v>
      </c>
      <c r="O1379">
        <f t="shared" si="133"/>
        <v>-1063.6099999999999</v>
      </c>
      <c r="P1379">
        <f t="shared" si="134"/>
        <v>0</v>
      </c>
      <c r="Q1379" t="s">
        <v>4139</v>
      </c>
      <c r="R1379" t="s">
        <v>4142</v>
      </c>
      <c r="S1379">
        <f>YEAR(marketing_data[[#This Row],[Start_date]])</f>
        <v>2023</v>
      </c>
      <c r="T1379" t="str">
        <f>TEXT(marketing_data[[#This Row],[Start_date]],"ddd")</f>
        <v>Sun</v>
      </c>
      <c r="U1379">
        <f>marketing_data[[#This Row],[Cleaned End_date]]-marketing_data[[#This Row],[Start_date]]</f>
        <v>8</v>
      </c>
    </row>
    <row r="1380" spans="1:21" x14ac:dyDescent="0.2">
      <c r="A1380" t="s">
        <v>2853</v>
      </c>
      <c r="B1380" t="s">
        <v>2854</v>
      </c>
      <c r="C1380" s="2">
        <v>44995</v>
      </c>
      <c r="D1380" t="str">
        <f t="shared" si="129"/>
        <v>Mar</v>
      </c>
      <c r="E1380" s="2">
        <v>45003</v>
      </c>
      <c r="F1380" t="s">
        <v>14</v>
      </c>
      <c r="G1380">
        <v>52920</v>
      </c>
      <c r="H1380">
        <v>913</v>
      </c>
      <c r="I1380">
        <v>82</v>
      </c>
      <c r="J1380" t="b">
        <v>1</v>
      </c>
      <c r="K1380" s="10">
        <v>1576.24</v>
      </c>
      <c r="L1380" s="6">
        <f t="shared" si="130"/>
        <v>1.7252456538170823E-2</v>
      </c>
      <c r="M1380">
        <f t="shared" si="131"/>
        <v>1.7264403066812706</v>
      </c>
      <c r="N1380">
        <f t="shared" si="132"/>
        <v>19.222439024390244</v>
      </c>
      <c r="O1380">
        <f t="shared" si="133"/>
        <v>2523.7600000000002</v>
      </c>
      <c r="P1380">
        <f t="shared" si="134"/>
        <v>8.9813800657174148E-2</v>
      </c>
      <c r="Q1380" t="s">
        <v>4137</v>
      </c>
      <c r="R1380" t="s">
        <v>4141</v>
      </c>
      <c r="S1380">
        <f>YEAR(marketing_data[[#This Row],[Start_date]])</f>
        <v>2023</v>
      </c>
      <c r="T1380" t="str">
        <f>TEXT(marketing_data[[#This Row],[Start_date]],"ddd")</f>
        <v>Fri</v>
      </c>
      <c r="U1380">
        <f>marketing_data[[#This Row],[Cleaned End_date]]-marketing_data[[#This Row],[Start_date]]</f>
        <v>8</v>
      </c>
    </row>
    <row r="1381" spans="1:21" x14ac:dyDescent="0.2">
      <c r="A1381" t="s">
        <v>2855</v>
      </c>
      <c r="B1381" t="s">
        <v>2856</v>
      </c>
      <c r="C1381" s="2">
        <v>45189</v>
      </c>
      <c r="D1381" t="str">
        <f t="shared" si="129"/>
        <v>Sep</v>
      </c>
      <c r="E1381" s="2">
        <v>45209</v>
      </c>
      <c r="F1381" t="s">
        <v>14</v>
      </c>
      <c r="G1381">
        <v>29529</v>
      </c>
      <c r="H1381">
        <v>809</v>
      </c>
      <c r="I1381">
        <v>70</v>
      </c>
      <c r="J1381" t="b">
        <v>0</v>
      </c>
      <c r="K1381" s="10">
        <v>1490.65</v>
      </c>
      <c r="L1381" s="6">
        <f t="shared" si="130"/>
        <v>2.7396796369670493E-2</v>
      </c>
      <c r="M1381">
        <f t="shared" si="131"/>
        <v>1.842583436341162</v>
      </c>
      <c r="N1381">
        <f t="shared" si="132"/>
        <v>21.295000000000002</v>
      </c>
      <c r="O1381">
        <f t="shared" si="133"/>
        <v>2009.35</v>
      </c>
      <c r="P1381">
        <f t="shared" si="134"/>
        <v>8.6526576019777507E-2</v>
      </c>
      <c r="Q1381" t="s">
        <v>4136</v>
      </c>
      <c r="R1381" t="s">
        <v>4141</v>
      </c>
      <c r="S1381">
        <f>YEAR(marketing_data[[#This Row],[Start_date]])</f>
        <v>2023</v>
      </c>
      <c r="T1381" t="str">
        <f>TEXT(marketing_data[[#This Row],[Start_date]],"ddd")</f>
        <v>Wed</v>
      </c>
      <c r="U1381">
        <f>marketing_data[[#This Row],[Cleaned End_date]]-marketing_data[[#This Row],[Start_date]]</f>
        <v>20</v>
      </c>
    </row>
    <row r="1382" spans="1:21" x14ac:dyDescent="0.2">
      <c r="A1382" t="s">
        <v>2857</v>
      </c>
      <c r="B1382" t="s">
        <v>2858</v>
      </c>
      <c r="C1382" s="2">
        <v>45087</v>
      </c>
      <c r="D1382" t="str">
        <f t="shared" si="129"/>
        <v>Jun</v>
      </c>
      <c r="E1382" s="2">
        <v>45107</v>
      </c>
      <c r="F1382" t="s">
        <v>14</v>
      </c>
      <c r="G1382">
        <v>36954</v>
      </c>
      <c r="H1382">
        <v>860</v>
      </c>
      <c r="I1382">
        <v>72</v>
      </c>
      <c r="J1382" t="b">
        <v>0</v>
      </c>
      <c r="K1382" s="10">
        <v>1530.68</v>
      </c>
      <c r="L1382" s="6">
        <f t="shared" si="130"/>
        <v>2.3272176219083184E-2</v>
      </c>
      <c r="M1382">
        <f t="shared" si="131"/>
        <v>1.779860465116279</v>
      </c>
      <c r="N1382">
        <f t="shared" si="132"/>
        <v>21.259444444444444</v>
      </c>
      <c r="O1382">
        <f t="shared" si="133"/>
        <v>2069.3199999999997</v>
      </c>
      <c r="P1382">
        <f t="shared" si="134"/>
        <v>8.3720930232558138E-2</v>
      </c>
      <c r="Q1382" t="s">
        <v>4139</v>
      </c>
      <c r="R1382" t="s">
        <v>4138</v>
      </c>
      <c r="S1382">
        <f>YEAR(marketing_data[[#This Row],[Start_date]])</f>
        <v>2023</v>
      </c>
      <c r="T1382" t="str">
        <f>TEXT(marketing_data[[#This Row],[Start_date]],"ddd")</f>
        <v>Sat</v>
      </c>
      <c r="U1382">
        <f>marketing_data[[#This Row],[Cleaned End_date]]-marketing_data[[#This Row],[Start_date]]</f>
        <v>20</v>
      </c>
    </row>
    <row r="1383" spans="1:21" x14ac:dyDescent="0.2">
      <c r="A1383" t="s">
        <v>2859</v>
      </c>
      <c r="B1383" t="s">
        <v>2860</v>
      </c>
      <c r="C1383" s="2">
        <v>45250</v>
      </c>
      <c r="D1383" t="str">
        <f t="shared" si="129"/>
        <v>Nov</v>
      </c>
      <c r="E1383" s="2">
        <v>45269</v>
      </c>
      <c r="F1383" t="s">
        <v>41</v>
      </c>
      <c r="G1383">
        <v>28856</v>
      </c>
      <c r="H1383">
        <v>683</v>
      </c>
      <c r="I1383">
        <v>68</v>
      </c>
      <c r="J1383" t="b">
        <v>1</v>
      </c>
      <c r="K1383" s="10">
        <v>1031.55</v>
      </c>
      <c r="L1383" s="6">
        <f t="shared" si="130"/>
        <v>2.3669254227890214E-2</v>
      </c>
      <c r="M1383">
        <f t="shared" si="131"/>
        <v>1.5103221083455343</v>
      </c>
      <c r="N1383">
        <f t="shared" si="132"/>
        <v>15.169852941176471</v>
      </c>
      <c r="O1383">
        <f t="shared" si="133"/>
        <v>2368.4499999999998</v>
      </c>
      <c r="P1383">
        <f t="shared" si="134"/>
        <v>9.9560761346998539E-2</v>
      </c>
      <c r="Q1383" t="s">
        <v>4136</v>
      </c>
      <c r="R1383" t="s">
        <v>4141</v>
      </c>
      <c r="S1383">
        <f>YEAR(marketing_data[[#This Row],[Start_date]])</f>
        <v>2023</v>
      </c>
      <c r="T1383" t="str">
        <f>TEXT(marketing_data[[#This Row],[Start_date]],"ddd")</f>
        <v>Mon</v>
      </c>
      <c r="U1383">
        <f>marketing_data[[#This Row],[Cleaned End_date]]-marketing_data[[#This Row],[Start_date]]</f>
        <v>19</v>
      </c>
    </row>
    <row r="1384" spans="1:21" x14ac:dyDescent="0.2">
      <c r="A1384" t="s">
        <v>2861</v>
      </c>
      <c r="B1384" t="s">
        <v>2862</v>
      </c>
      <c r="C1384" s="2">
        <v>45292</v>
      </c>
      <c r="D1384" t="str">
        <f t="shared" si="129"/>
        <v>Jan</v>
      </c>
      <c r="E1384" s="2">
        <v>45317</v>
      </c>
      <c r="F1384" t="s">
        <v>33</v>
      </c>
      <c r="G1384">
        <v>3573</v>
      </c>
      <c r="H1384">
        <v>141</v>
      </c>
      <c r="I1384">
        <v>17</v>
      </c>
      <c r="J1384" t="b">
        <v>1</v>
      </c>
      <c r="K1384" s="10">
        <v>329.13249999999999</v>
      </c>
      <c r="L1384" s="6">
        <f t="shared" si="130"/>
        <v>3.9462636439966413E-2</v>
      </c>
      <c r="M1384">
        <f t="shared" si="131"/>
        <v>2.3342730496453901</v>
      </c>
      <c r="N1384">
        <f t="shared" si="132"/>
        <v>19.360735294117646</v>
      </c>
      <c r="O1384">
        <f t="shared" si="133"/>
        <v>520.86750000000006</v>
      </c>
      <c r="P1384">
        <f t="shared" si="134"/>
        <v>0.12056737588652482</v>
      </c>
      <c r="Q1384" t="s">
        <v>4138</v>
      </c>
      <c r="R1384" t="s">
        <v>4139</v>
      </c>
      <c r="S1384">
        <f>YEAR(marketing_data[[#This Row],[Start_date]])</f>
        <v>2024</v>
      </c>
      <c r="T1384" t="str">
        <f>TEXT(marketing_data[[#This Row],[Start_date]],"ddd")</f>
        <v>Mon</v>
      </c>
      <c r="U1384">
        <f>marketing_data[[#This Row],[Cleaned End_date]]-marketing_data[[#This Row],[Start_date]]</f>
        <v>25</v>
      </c>
    </row>
    <row r="1385" spans="1:21" x14ac:dyDescent="0.2">
      <c r="A1385" t="s">
        <v>2863</v>
      </c>
      <c r="B1385" t="s">
        <v>2864</v>
      </c>
      <c r="C1385" s="2">
        <v>45271</v>
      </c>
      <c r="D1385" t="str">
        <f t="shared" si="129"/>
        <v>Dec</v>
      </c>
      <c r="E1385" s="2">
        <v>45280</v>
      </c>
      <c r="F1385" t="s">
        <v>14</v>
      </c>
      <c r="G1385">
        <v>79344</v>
      </c>
      <c r="H1385">
        <v>1502</v>
      </c>
      <c r="I1385">
        <v>173</v>
      </c>
      <c r="J1385" t="b">
        <v>0</v>
      </c>
      <c r="K1385" s="10">
        <v>1374.79</v>
      </c>
      <c r="L1385" s="6">
        <f t="shared" si="130"/>
        <v>1.893022786852188E-2</v>
      </c>
      <c r="M1385">
        <f t="shared" si="131"/>
        <v>0.915306258322237</v>
      </c>
      <c r="N1385">
        <f t="shared" si="132"/>
        <v>7.9467630057803467</v>
      </c>
      <c r="O1385">
        <f t="shared" si="133"/>
        <v>7275.21</v>
      </c>
      <c r="P1385">
        <f t="shared" si="134"/>
        <v>0.1151797603195739</v>
      </c>
      <c r="Q1385" t="s">
        <v>4138</v>
      </c>
      <c r="R1385" t="s">
        <v>4142</v>
      </c>
      <c r="S1385">
        <f>YEAR(marketing_data[[#This Row],[Start_date]])</f>
        <v>2023</v>
      </c>
      <c r="T1385" t="str">
        <f>TEXT(marketing_data[[#This Row],[Start_date]],"ddd")</f>
        <v>Mon</v>
      </c>
      <c r="U1385">
        <f>marketing_data[[#This Row],[Cleaned End_date]]-marketing_data[[#This Row],[Start_date]]</f>
        <v>9</v>
      </c>
    </row>
    <row r="1386" spans="1:21" x14ac:dyDescent="0.2">
      <c r="A1386" t="s">
        <v>2865</v>
      </c>
      <c r="B1386" t="s">
        <v>2866</v>
      </c>
      <c r="C1386" s="2">
        <v>45018</v>
      </c>
      <c r="D1386" t="str">
        <f t="shared" si="129"/>
        <v>Apr</v>
      </c>
      <c r="E1386" s="2">
        <v>45048</v>
      </c>
      <c r="F1386" t="s">
        <v>19</v>
      </c>
      <c r="G1386">
        <v>36367</v>
      </c>
      <c r="H1386">
        <v>1297</v>
      </c>
      <c r="I1386">
        <v>107</v>
      </c>
      <c r="J1386" t="b">
        <v>0</v>
      </c>
      <c r="K1386" s="10">
        <v>738.12</v>
      </c>
      <c r="L1386" s="6">
        <f t="shared" si="130"/>
        <v>3.5664201061401821E-2</v>
      </c>
      <c r="M1386">
        <f t="shared" si="131"/>
        <v>0.56909791827293754</v>
      </c>
      <c r="N1386">
        <f t="shared" si="132"/>
        <v>6.8983177570093455</v>
      </c>
      <c r="O1386">
        <f t="shared" si="133"/>
        <v>4611.88</v>
      </c>
      <c r="P1386">
        <f t="shared" si="134"/>
        <v>8.2498072474942175E-2</v>
      </c>
      <c r="Q1386" t="s">
        <v>4137</v>
      </c>
      <c r="R1386" t="s">
        <v>4142</v>
      </c>
      <c r="S1386">
        <f>YEAR(marketing_data[[#This Row],[Start_date]])</f>
        <v>2023</v>
      </c>
      <c r="T1386" t="str">
        <f>TEXT(marketing_data[[#This Row],[Start_date]],"ddd")</f>
        <v>Sun</v>
      </c>
      <c r="U1386">
        <f>marketing_data[[#This Row],[Cleaned End_date]]-marketing_data[[#This Row],[Start_date]]</f>
        <v>30</v>
      </c>
    </row>
    <row r="1387" spans="1:21" x14ac:dyDescent="0.2">
      <c r="A1387" t="s">
        <v>2867</v>
      </c>
      <c r="B1387" t="s">
        <v>2868</v>
      </c>
      <c r="C1387" s="2">
        <v>45092</v>
      </c>
      <c r="D1387" t="str">
        <f t="shared" si="129"/>
        <v>Jun</v>
      </c>
      <c r="E1387" s="2">
        <v>45110</v>
      </c>
      <c r="F1387" t="s">
        <v>33</v>
      </c>
      <c r="G1387">
        <v>61774</v>
      </c>
      <c r="H1387">
        <v>2027</v>
      </c>
      <c r="I1387">
        <v>141</v>
      </c>
      <c r="J1387" t="b">
        <v>1</v>
      </c>
      <c r="K1387" s="10">
        <v>3631.7599999999998</v>
      </c>
      <c r="L1387" s="6">
        <f t="shared" si="130"/>
        <v>3.2813157639136205E-2</v>
      </c>
      <c r="M1387">
        <f t="shared" si="131"/>
        <v>1.7916921558954118</v>
      </c>
      <c r="N1387">
        <f t="shared" si="132"/>
        <v>25.757163120567373</v>
      </c>
      <c r="O1387">
        <f t="shared" si="133"/>
        <v>3418.2400000000002</v>
      </c>
      <c r="P1387">
        <f t="shared" si="134"/>
        <v>6.9560927479033058E-2</v>
      </c>
      <c r="Q1387" t="s">
        <v>4139</v>
      </c>
      <c r="R1387" t="s">
        <v>4142</v>
      </c>
      <c r="S1387">
        <f>YEAR(marketing_data[[#This Row],[Start_date]])</f>
        <v>2023</v>
      </c>
      <c r="T1387" t="str">
        <f>TEXT(marketing_data[[#This Row],[Start_date]],"ddd")</f>
        <v>Thu</v>
      </c>
      <c r="U1387">
        <f>marketing_data[[#This Row],[Cleaned End_date]]-marketing_data[[#This Row],[Start_date]]</f>
        <v>18</v>
      </c>
    </row>
    <row r="1388" spans="1:21" x14ac:dyDescent="0.2">
      <c r="A1388" t="s">
        <v>2869</v>
      </c>
      <c r="B1388" t="s">
        <v>2870</v>
      </c>
      <c r="C1388" s="2">
        <v>45214</v>
      </c>
      <c r="D1388" t="str">
        <f t="shared" si="129"/>
        <v>Oct</v>
      </c>
      <c r="E1388" s="2">
        <v>45226</v>
      </c>
      <c r="F1388" t="s">
        <v>14</v>
      </c>
      <c r="G1388">
        <v>24752</v>
      </c>
      <c r="H1388">
        <v>809</v>
      </c>
      <c r="I1388">
        <v>41</v>
      </c>
      <c r="J1388" t="b">
        <v>1</v>
      </c>
      <c r="K1388" s="10">
        <v>1206.3800000000001</v>
      </c>
      <c r="L1388" s="6">
        <f t="shared" si="130"/>
        <v>3.2684227537168715E-2</v>
      </c>
      <c r="M1388">
        <f t="shared" si="131"/>
        <v>1.4911990111248457</v>
      </c>
      <c r="N1388">
        <f t="shared" si="132"/>
        <v>29.423902439024392</v>
      </c>
      <c r="O1388">
        <f t="shared" si="133"/>
        <v>843.61999999999989</v>
      </c>
      <c r="P1388">
        <f t="shared" si="134"/>
        <v>5.0679851668726822E-2</v>
      </c>
      <c r="Q1388" t="s">
        <v>4136</v>
      </c>
      <c r="R1388" t="s">
        <v>4141</v>
      </c>
      <c r="S1388">
        <f>YEAR(marketing_data[[#This Row],[Start_date]])</f>
        <v>2023</v>
      </c>
      <c r="T1388" t="str">
        <f>TEXT(marketing_data[[#This Row],[Start_date]],"ddd")</f>
        <v>Sun</v>
      </c>
      <c r="U1388">
        <f>marketing_data[[#This Row],[Cleaned End_date]]-marketing_data[[#This Row],[Start_date]]</f>
        <v>12</v>
      </c>
    </row>
    <row r="1389" spans="1:21" x14ac:dyDescent="0.2">
      <c r="A1389" t="s">
        <v>2871</v>
      </c>
      <c r="B1389" t="s">
        <v>2872</v>
      </c>
      <c r="C1389" s="2">
        <v>45268</v>
      </c>
      <c r="D1389" t="str">
        <f t="shared" si="129"/>
        <v>Dec</v>
      </c>
      <c r="E1389" s="2">
        <v>45295</v>
      </c>
      <c r="F1389" t="str">
        <f>F1388</f>
        <v>TikTok</v>
      </c>
      <c r="G1389">
        <v>56029</v>
      </c>
      <c r="H1389">
        <v>2046</v>
      </c>
      <c r="I1389">
        <v>149</v>
      </c>
      <c r="J1389" t="b">
        <v>1</v>
      </c>
      <c r="K1389" s="10">
        <v>3313.59</v>
      </c>
      <c r="L1389" s="6">
        <f t="shared" si="130"/>
        <v>3.6516803798033161E-2</v>
      </c>
      <c r="M1389">
        <f t="shared" si="131"/>
        <v>1.6195454545454546</v>
      </c>
      <c r="N1389">
        <f t="shared" si="132"/>
        <v>22.238859060402685</v>
      </c>
      <c r="O1389">
        <f t="shared" si="133"/>
        <v>4136.41</v>
      </c>
      <c r="P1389">
        <f t="shared" si="134"/>
        <v>7.2825024437927668E-2</v>
      </c>
      <c r="Q1389" t="s">
        <v>4138</v>
      </c>
      <c r="R1389" t="s">
        <v>4139</v>
      </c>
      <c r="S1389">
        <f>YEAR(marketing_data[[#This Row],[Start_date]])</f>
        <v>2023</v>
      </c>
      <c r="T1389" t="str">
        <f>TEXT(marketing_data[[#This Row],[Start_date]],"ddd")</f>
        <v>Fri</v>
      </c>
      <c r="U1389">
        <f>marketing_data[[#This Row],[Cleaned End_date]]-marketing_data[[#This Row],[Start_date]]</f>
        <v>27</v>
      </c>
    </row>
    <row r="1390" spans="1:21" x14ac:dyDescent="0.2">
      <c r="A1390" t="s">
        <v>2873</v>
      </c>
      <c r="B1390" t="s">
        <v>2874</v>
      </c>
      <c r="C1390" s="2">
        <v>45200</v>
      </c>
      <c r="D1390" t="str">
        <f t="shared" si="129"/>
        <v>Oct</v>
      </c>
      <c r="E1390" s="2">
        <v>45208</v>
      </c>
      <c r="F1390" t="s">
        <v>33</v>
      </c>
      <c r="G1390">
        <v>18685</v>
      </c>
      <c r="H1390">
        <v>596</v>
      </c>
      <c r="I1390">
        <v>92</v>
      </c>
      <c r="J1390" t="b">
        <v>0</v>
      </c>
      <c r="K1390" s="10">
        <v>576.54999999999995</v>
      </c>
      <c r="L1390" s="6">
        <f t="shared" si="130"/>
        <v>3.1897243778431894E-2</v>
      </c>
      <c r="M1390">
        <f t="shared" si="131"/>
        <v>0.9673657718120805</v>
      </c>
      <c r="N1390">
        <f t="shared" si="132"/>
        <v>6.2668478260869565</v>
      </c>
      <c r="O1390">
        <f t="shared" si="133"/>
        <v>4023.45</v>
      </c>
      <c r="P1390">
        <f t="shared" si="134"/>
        <v>0.15436241610738255</v>
      </c>
      <c r="Q1390" t="s">
        <v>4136</v>
      </c>
      <c r="R1390" t="s">
        <v>4141</v>
      </c>
      <c r="S1390">
        <f>YEAR(marketing_data[[#This Row],[Start_date]])</f>
        <v>2023</v>
      </c>
      <c r="T1390" t="str">
        <f>TEXT(marketing_data[[#This Row],[Start_date]],"ddd")</f>
        <v>Sun</v>
      </c>
      <c r="U1390">
        <f>marketing_data[[#This Row],[Cleaned End_date]]-marketing_data[[#This Row],[Start_date]]</f>
        <v>8</v>
      </c>
    </row>
    <row r="1391" spans="1:21" x14ac:dyDescent="0.2">
      <c r="A1391" t="s">
        <v>2875</v>
      </c>
      <c r="B1391" t="s">
        <v>2876</v>
      </c>
      <c r="C1391" s="2">
        <v>44933</v>
      </c>
      <c r="D1391" t="str">
        <f t="shared" si="129"/>
        <v>Jan</v>
      </c>
      <c r="E1391" s="2">
        <v>45113</v>
      </c>
      <c r="F1391" t="s">
        <v>23</v>
      </c>
      <c r="G1391">
        <v>52693</v>
      </c>
      <c r="H1391">
        <v>2380</v>
      </c>
      <c r="I1391">
        <v>205</v>
      </c>
      <c r="J1391" t="b">
        <v>1</v>
      </c>
      <c r="K1391" s="10">
        <v>3631.7599999999998</v>
      </c>
      <c r="L1391" s="6">
        <f t="shared" si="130"/>
        <v>4.5167289772835101E-2</v>
      </c>
      <c r="M1391">
        <f t="shared" si="131"/>
        <v>1.5259495798319327</v>
      </c>
      <c r="N1391">
        <f t="shared" si="132"/>
        <v>17.71590243902439</v>
      </c>
      <c r="O1391">
        <f t="shared" si="133"/>
        <v>6618.24</v>
      </c>
      <c r="P1391">
        <f t="shared" si="134"/>
        <v>8.6134453781512604E-2</v>
      </c>
      <c r="Q1391" t="s">
        <v>4138</v>
      </c>
      <c r="R1391" t="s">
        <v>4138</v>
      </c>
      <c r="S1391">
        <f>YEAR(marketing_data[[#This Row],[Start_date]])</f>
        <v>2023</v>
      </c>
      <c r="T1391" t="str">
        <f>TEXT(marketing_data[[#This Row],[Start_date]],"ddd")</f>
        <v>Sat</v>
      </c>
      <c r="U1391">
        <f>marketing_data[[#This Row],[Cleaned End_date]]-marketing_data[[#This Row],[Start_date]]</f>
        <v>180</v>
      </c>
    </row>
    <row r="1392" spans="1:21" x14ac:dyDescent="0.2">
      <c r="A1392" t="s">
        <v>2877</v>
      </c>
      <c r="B1392" t="s">
        <v>2878</v>
      </c>
      <c r="C1392" s="2">
        <v>45001</v>
      </c>
      <c r="D1392" t="str">
        <f t="shared" si="129"/>
        <v>Mar</v>
      </c>
      <c r="E1392" s="2">
        <v>45002</v>
      </c>
      <c r="F1392" t="s">
        <v>41</v>
      </c>
      <c r="G1392">
        <v>56961</v>
      </c>
      <c r="H1392">
        <v>2108</v>
      </c>
      <c r="I1392">
        <v>253</v>
      </c>
      <c r="J1392" t="b">
        <v>0</v>
      </c>
      <c r="K1392" s="10">
        <v>1874.87</v>
      </c>
      <c r="L1392" s="6">
        <f t="shared" si="130"/>
        <v>3.7007777251101631E-2</v>
      </c>
      <c r="M1392">
        <f t="shared" si="131"/>
        <v>0.88940702087286527</v>
      </c>
      <c r="N1392">
        <f t="shared" si="132"/>
        <v>7.410553359683794</v>
      </c>
      <c r="O1392">
        <f t="shared" si="133"/>
        <v>10775.130000000001</v>
      </c>
      <c r="P1392">
        <f t="shared" si="134"/>
        <v>0.12001897533206832</v>
      </c>
      <c r="Q1392" t="s">
        <v>4137</v>
      </c>
      <c r="R1392" t="s">
        <v>4138</v>
      </c>
      <c r="S1392">
        <f>YEAR(marketing_data[[#This Row],[Start_date]])</f>
        <v>2023</v>
      </c>
      <c r="T1392" t="str">
        <f>TEXT(marketing_data[[#This Row],[Start_date]],"ddd")</f>
        <v>Thu</v>
      </c>
      <c r="U1392">
        <f>marketing_data[[#This Row],[Cleaned End_date]]-marketing_data[[#This Row],[Start_date]]</f>
        <v>1</v>
      </c>
    </row>
    <row r="1393" spans="1:21" x14ac:dyDescent="0.2">
      <c r="A1393" t="s">
        <v>2880</v>
      </c>
      <c r="B1393" t="s">
        <v>2881</v>
      </c>
      <c r="C1393" s="2">
        <v>44955</v>
      </c>
      <c r="D1393" t="str">
        <f t="shared" si="129"/>
        <v>Jan</v>
      </c>
      <c r="E1393" s="2">
        <v>44973</v>
      </c>
      <c r="F1393" t="s">
        <v>14</v>
      </c>
      <c r="G1393">
        <v>77908</v>
      </c>
      <c r="H1393">
        <v>2483</v>
      </c>
      <c r="J1393" t="b">
        <v>0</v>
      </c>
      <c r="K1393" s="10">
        <v>1247.6199999999999</v>
      </c>
      <c r="L1393" s="6">
        <f t="shared" si="130"/>
        <v>3.1870924680392258E-2</v>
      </c>
      <c r="M1393">
        <f t="shared" si="131"/>
        <v>0.50246476037051946</v>
      </c>
      <c r="N1393">
        <f t="shared" si="132"/>
        <v>0</v>
      </c>
      <c r="O1393">
        <f t="shared" si="133"/>
        <v>-1247.6199999999999</v>
      </c>
      <c r="P1393">
        <f t="shared" si="134"/>
        <v>0</v>
      </c>
      <c r="Q1393" t="s">
        <v>4138</v>
      </c>
      <c r="R1393" t="s">
        <v>4141</v>
      </c>
      <c r="S1393">
        <f>YEAR(marketing_data[[#This Row],[Start_date]])</f>
        <v>2023</v>
      </c>
      <c r="T1393" t="str">
        <f>TEXT(marketing_data[[#This Row],[Start_date]],"ddd")</f>
        <v>Sun</v>
      </c>
      <c r="U1393">
        <f>marketing_data[[#This Row],[Cleaned End_date]]-marketing_data[[#This Row],[Start_date]]</f>
        <v>18</v>
      </c>
    </row>
    <row r="1394" spans="1:21" x14ac:dyDescent="0.2">
      <c r="A1394" t="s">
        <v>2882</v>
      </c>
      <c r="B1394" t="s">
        <v>2883</v>
      </c>
      <c r="C1394" s="2">
        <v>45009</v>
      </c>
      <c r="D1394" t="str">
        <f t="shared" si="129"/>
        <v>Mar</v>
      </c>
      <c r="E1394" s="2">
        <v>45028</v>
      </c>
      <c r="F1394" t="s">
        <v>19</v>
      </c>
      <c r="G1394">
        <v>75532</v>
      </c>
      <c r="H1394">
        <v>3262</v>
      </c>
      <c r="I1394">
        <v>597</v>
      </c>
      <c r="J1394" t="b">
        <v>1</v>
      </c>
      <c r="K1394" s="10">
        <v>3472.8</v>
      </c>
      <c r="L1394" s="6">
        <f t="shared" si="130"/>
        <v>4.3186993592119895E-2</v>
      </c>
      <c r="M1394">
        <f t="shared" si="131"/>
        <v>1.0646229307173514</v>
      </c>
      <c r="N1394">
        <f t="shared" si="132"/>
        <v>5.8170854271356784</v>
      </c>
      <c r="O1394">
        <f t="shared" si="133"/>
        <v>26377.200000000001</v>
      </c>
      <c r="P1394">
        <f t="shared" si="134"/>
        <v>0.18301655426118946</v>
      </c>
      <c r="Q1394" t="s">
        <v>4137</v>
      </c>
      <c r="R1394" t="s">
        <v>4142</v>
      </c>
      <c r="S1394">
        <f>YEAR(marketing_data[[#This Row],[Start_date]])</f>
        <v>2023</v>
      </c>
      <c r="T1394" t="str">
        <f>TEXT(marketing_data[[#This Row],[Start_date]],"ddd")</f>
        <v>Fri</v>
      </c>
      <c r="U1394">
        <f>marketing_data[[#This Row],[Cleaned End_date]]-marketing_data[[#This Row],[Start_date]]</f>
        <v>19</v>
      </c>
    </row>
    <row r="1395" spans="1:21" x14ac:dyDescent="0.2">
      <c r="A1395" t="s">
        <v>2884</v>
      </c>
      <c r="B1395" t="s">
        <v>2885</v>
      </c>
      <c r="C1395" s="2">
        <v>45001</v>
      </c>
      <c r="D1395" t="str">
        <f t="shared" si="129"/>
        <v>Mar</v>
      </c>
      <c r="E1395" s="2">
        <v>45012</v>
      </c>
      <c r="F1395" t="s">
        <v>33</v>
      </c>
      <c r="G1395">
        <v>82994</v>
      </c>
      <c r="H1395">
        <v>2842</v>
      </c>
      <c r="I1395">
        <v>521</v>
      </c>
      <c r="J1395" t="b">
        <v>1</v>
      </c>
      <c r="K1395" s="10">
        <v>3631.7599999999998</v>
      </c>
      <c r="L1395" s="6">
        <f t="shared" si="130"/>
        <v>3.4243439284767571E-2</v>
      </c>
      <c r="M1395">
        <f t="shared" si="131"/>
        <v>1.2778888106966924</v>
      </c>
      <c r="N1395">
        <f t="shared" si="132"/>
        <v>6.9707485604606525</v>
      </c>
      <c r="O1395">
        <f t="shared" si="133"/>
        <v>22418.240000000002</v>
      </c>
      <c r="P1395">
        <f t="shared" si="134"/>
        <v>0.1833216045038705</v>
      </c>
      <c r="Q1395" t="s">
        <v>4137</v>
      </c>
      <c r="R1395" t="s">
        <v>4142</v>
      </c>
      <c r="S1395">
        <f>YEAR(marketing_data[[#This Row],[Start_date]])</f>
        <v>2023</v>
      </c>
      <c r="T1395" t="str">
        <f>TEXT(marketing_data[[#This Row],[Start_date]],"ddd")</f>
        <v>Thu</v>
      </c>
      <c r="U1395">
        <f>marketing_data[[#This Row],[Cleaned End_date]]-marketing_data[[#This Row],[Start_date]]</f>
        <v>11</v>
      </c>
    </row>
    <row r="1396" spans="1:21" x14ac:dyDescent="0.2">
      <c r="A1396" t="s">
        <v>2886</v>
      </c>
      <c r="B1396" t="s">
        <v>2887</v>
      </c>
      <c r="C1396" s="2">
        <v>45078</v>
      </c>
      <c r="D1396" t="str">
        <f t="shared" si="129"/>
        <v>Jun</v>
      </c>
      <c r="E1396" s="2">
        <v>45103</v>
      </c>
      <c r="F1396" t="s">
        <v>33</v>
      </c>
      <c r="G1396">
        <v>57133</v>
      </c>
      <c r="H1396">
        <v>1236</v>
      </c>
      <c r="I1396">
        <v>200</v>
      </c>
      <c r="J1396" t="b">
        <v>1</v>
      </c>
      <c r="K1396" s="10">
        <v>1505.52</v>
      </c>
      <c r="L1396" s="6">
        <f t="shared" si="130"/>
        <v>2.1633731818738733E-2</v>
      </c>
      <c r="M1396">
        <f t="shared" si="131"/>
        <v>1.2180582524271844</v>
      </c>
      <c r="N1396">
        <f t="shared" si="132"/>
        <v>7.5275999999999996</v>
      </c>
      <c r="O1396">
        <f t="shared" si="133"/>
        <v>8494.48</v>
      </c>
      <c r="P1396">
        <f t="shared" si="134"/>
        <v>0.16181229773462782</v>
      </c>
      <c r="Q1396" t="s">
        <v>4139</v>
      </c>
      <c r="R1396" t="s">
        <v>4138</v>
      </c>
      <c r="S1396">
        <f>YEAR(marketing_data[[#This Row],[Start_date]])</f>
        <v>2023</v>
      </c>
      <c r="T1396" t="str">
        <f>TEXT(marketing_data[[#This Row],[Start_date]],"ddd")</f>
        <v>Thu</v>
      </c>
      <c r="U1396">
        <f>marketing_data[[#This Row],[Cleaned End_date]]-marketing_data[[#This Row],[Start_date]]</f>
        <v>25</v>
      </c>
    </row>
    <row r="1397" spans="1:21" x14ac:dyDescent="0.2">
      <c r="A1397" t="s">
        <v>2888</v>
      </c>
      <c r="B1397" t="s">
        <v>2889</v>
      </c>
      <c r="C1397" s="2">
        <v>45110</v>
      </c>
      <c r="D1397" t="str">
        <f t="shared" si="129"/>
        <v>Jul</v>
      </c>
      <c r="E1397" s="2">
        <v>45118</v>
      </c>
      <c r="F1397" t="s">
        <v>19</v>
      </c>
      <c r="G1397">
        <v>98425</v>
      </c>
      <c r="H1397">
        <v>1799</v>
      </c>
      <c r="J1397" t="b">
        <v>0</v>
      </c>
      <c r="K1397" s="10">
        <v>3225.81</v>
      </c>
      <c r="L1397" s="6">
        <f t="shared" si="130"/>
        <v>1.8277876555753112E-2</v>
      </c>
      <c r="M1397">
        <f t="shared" si="131"/>
        <v>1.7931128404669261</v>
      </c>
      <c r="N1397">
        <f t="shared" si="132"/>
        <v>0</v>
      </c>
      <c r="O1397">
        <f t="shared" si="133"/>
        <v>-3225.81</v>
      </c>
      <c r="P1397">
        <f t="shared" si="134"/>
        <v>0</v>
      </c>
      <c r="Q1397" t="s">
        <v>4139</v>
      </c>
      <c r="R1397" t="s">
        <v>4142</v>
      </c>
      <c r="S1397">
        <f>YEAR(marketing_data[[#This Row],[Start_date]])</f>
        <v>2023</v>
      </c>
      <c r="T1397" t="str">
        <f>TEXT(marketing_data[[#This Row],[Start_date]],"ddd")</f>
        <v>Mon</v>
      </c>
      <c r="U1397">
        <f>marketing_data[[#This Row],[Cleaned End_date]]-marketing_data[[#This Row],[Start_date]]</f>
        <v>8</v>
      </c>
    </row>
    <row r="1398" spans="1:21" x14ac:dyDescent="0.2">
      <c r="A1398" t="s">
        <v>2890</v>
      </c>
      <c r="B1398" t="s">
        <v>2891</v>
      </c>
      <c r="C1398" s="2">
        <v>45272</v>
      </c>
      <c r="D1398" t="str">
        <f t="shared" si="129"/>
        <v>Dec</v>
      </c>
      <c r="E1398" s="2">
        <v>45278</v>
      </c>
      <c r="F1398" t="s">
        <v>23</v>
      </c>
      <c r="G1398">
        <v>62268</v>
      </c>
      <c r="H1398">
        <v>1002</v>
      </c>
      <c r="I1398">
        <v>136</v>
      </c>
      <c r="J1398" t="b">
        <v>1</v>
      </c>
      <c r="K1398" s="10">
        <v>659.42</v>
      </c>
      <c r="L1398" s="6">
        <f t="shared" si="130"/>
        <v>1.6091732511081133E-2</v>
      </c>
      <c r="M1398">
        <f t="shared" si="131"/>
        <v>0.65810379241516959</v>
      </c>
      <c r="N1398">
        <f t="shared" si="132"/>
        <v>4.8486764705882353</v>
      </c>
      <c r="O1398">
        <f t="shared" si="133"/>
        <v>6140.58</v>
      </c>
      <c r="P1398">
        <f t="shared" si="134"/>
        <v>0.13572854291417166</v>
      </c>
      <c r="Q1398" t="s">
        <v>4138</v>
      </c>
      <c r="R1398" t="s">
        <v>4141</v>
      </c>
      <c r="S1398">
        <f>YEAR(marketing_data[[#This Row],[Start_date]])</f>
        <v>2023</v>
      </c>
      <c r="T1398" t="str">
        <f>TEXT(marketing_data[[#This Row],[Start_date]],"ddd")</f>
        <v>Tue</v>
      </c>
      <c r="U1398">
        <f>marketing_data[[#This Row],[Cleaned End_date]]-marketing_data[[#This Row],[Start_date]]</f>
        <v>6</v>
      </c>
    </row>
    <row r="1399" spans="1:21" x14ac:dyDescent="0.2">
      <c r="A1399" t="s">
        <v>2892</v>
      </c>
      <c r="B1399" t="s">
        <v>2893</v>
      </c>
      <c r="C1399" s="2">
        <v>45258</v>
      </c>
      <c r="D1399" t="str">
        <f t="shared" si="129"/>
        <v>Nov</v>
      </c>
      <c r="E1399" s="2">
        <v>45284</v>
      </c>
      <c r="F1399" t="s">
        <v>19</v>
      </c>
      <c r="G1399">
        <v>93201</v>
      </c>
      <c r="H1399">
        <v>4285</v>
      </c>
      <c r="J1399" t="b">
        <v>1</v>
      </c>
      <c r="K1399" s="10">
        <v>3631.7599999999998</v>
      </c>
      <c r="L1399" s="6">
        <f t="shared" si="130"/>
        <v>4.5975901546120752E-2</v>
      </c>
      <c r="M1399">
        <f t="shared" si="131"/>
        <v>0.84755192532088675</v>
      </c>
      <c r="N1399">
        <f t="shared" si="132"/>
        <v>0</v>
      </c>
      <c r="O1399">
        <f t="shared" si="133"/>
        <v>-3631.7599999999998</v>
      </c>
      <c r="P1399">
        <f t="shared" si="134"/>
        <v>0</v>
      </c>
      <c r="Q1399" t="s">
        <v>4136</v>
      </c>
      <c r="R1399" t="s">
        <v>4138</v>
      </c>
      <c r="S1399">
        <f>YEAR(marketing_data[[#This Row],[Start_date]])</f>
        <v>2023</v>
      </c>
      <c r="T1399" t="str">
        <f>TEXT(marketing_data[[#This Row],[Start_date]],"ddd")</f>
        <v>Tue</v>
      </c>
      <c r="U1399">
        <f>marketing_data[[#This Row],[Cleaned End_date]]-marketing_data[[#This Row],[Start_date]]</f>
        <v>26</v>
      </c>
    </row>
    <row r="1400" spans="1:21" x14ac:dyDescent="0.2">
      <c r="A1400" t="s">
        <v>2894</v>
      </c>
      <c r="B1400" t="s">
        <v>2895</v>
      </c>
      <c r="C1400" s="2">
        <v>45283</v>
      </c>
      <c r="D1400" t="str">
        <f t="shared" si="129"/>
        <v>Dec</v>
      </c>
      <c r="E1400" s="2">
        <v>45310</v>
      </c>
      <c r="F1400" t="s">
        <v>23</v>
      </c>
      <c r="G1400">
        <v>39243</v>
      </c>
      <c r="H1400">
        <v>1507</v>
      </c>
      <c r="I1400">
        <v>79</v>
      </c>
      <c r="J1400" t="b">
        <v>1</v>
      </c>
      <c r="K1400" s="10">
        <v>1913.09</v>
      </c>
      <c r="L1400" s="6">
        <f t="shared" si="130"/>
        <v>3.840175317891089E-2</v>
      </c>
      <c r="M1400">
        <f t="shared" si="131"/>
        <v>1.2694691439946915</v>
      </c>
      <c r="N1400">
        <f t="shared" si="132"/>
        <v>24.216329113924051</v>
      </c>
      <c r="O1400">
        <f t="shared" si="133"/>
        <v>2036.91</v>
      </c>
      <c r="P1400">
        <f t="shared" si="134"/>
        <v>5.2422030524220307E-2</v>
      </c>
      <c r="Q1400" t="s">
        <v>4138</v>
      </c>
      <c r="R1400" t="s">
        <v>4141</v>
      </c>
      <c r="S1400">
        <f>YEAR(marketing_data[[#This Row],[Start_date]])</f>
        <v>2023</v>
      </c>
      <c r="T1400" t="str">
        <f>TEXT(marketing_data[[#This Row],[Start_date]],"ddd")</f>
        <v>Sat</v>
      </c>
      <c r="U1400">
        <f>marketing_data[[#This Row],[Cleaned End_date]]-marketing_data[[#This Row],[Start_date]]</f>
        <v>27</v>
      </c>
    </row>
    <row r="1401" spans="1:21" x14ac:dyDescent="0.2">
      <c r="A1401" t="s">
        <v>2896</v>
      </c>
      <c r="B1401" t="s">
        <v>2897</v>
      </c>
      <c r="C1401" s="2">
        <v>45122</v>
      </c>
      <c r="D1401" t="str">
        <f t="shared" si="129"/>
        <v>Jul</v>
      </c>
      <c r="E1401" s="2">
        <v>45135</v>
      </c>
      <c r="F1401" t="s">
        <v>19</v>
      </c>
      <c r="G1401">
        <v>58384</v>
      </c>
      <c r="H1401">
        <v>2772</v>
      </c>
      <c r="I1401">
        <v>367</v>
      </c>
      <c r="J1401" t="b">
        <v>0</v>
      </c>
      <c r="K1401" s="10">
        <v>2556.0300000000002</v>
      </c>
      <c r="L1401" s="6">
        <f t="shared" si="130"/>
        <v>4.7478761304466981E-2</v>
      </c>
      <c r="M1401">
        <f t="shared" si="131"/>
        <v>0.92208874458874468</v>
      </c>
      <c r="N1401">
        <f t="shared" si="132"/>
        <v>6.96465940054496</v>
      </c>
      <c r="O1401">
        <f t="shared" si="133"/>
        <v>15793.97</v>
      </c>
      <c r="P1401">
        <f t="shared" si="134"/>
        <v>0.1323953823953824</v>
      </c>
      <c r="Q1401" t="s">
        <v>4139</v>
      </c>
      <c r="R1401" t="s">
        <v>4141</v>
      </c>
      <c r="S1401">
        <f>YEAR(marketing_data[[#This Row],[Start_date]])</f>
        <v>2023</v>
      </c>
      <c r="T1401" t="str">
        <f>TEXT(marketing_data[[#This Row],[Start_date]],"ddd")</f>
        <v>Sat</v>
      </c>
      <c r="U1401">
        <f>marketing_data[[#This Row],[Cleaned End_date]]-marketing_data[[#This Row],[Start_date]]</f>
        <v>13</v>
      </c>
    </row>
    <row r="1402" spans="1:21" x14ac:dyDescent="0.2">
      <c r="A1402" t="s">
        <v>2898</v>
      </c>
      <c r="B1402" t="s">
        <v>2899</v>
      </c>
      <c r="C1402" s="2">
        <v>45277</v>
      </c>
      <c r="D1402" t="str">
        <f t="shared" si="129"/>
        <v>Dec</v>
      </c>
      <c r="E1402" s="2">
        <v>45284</v>
      </c>
      <c r="F1402" t="s">
        <v>41</v>
      </c>
      <c r="G1402">
        <v>32653</v>
      </c>
      <c r="H1402">
        <v>1114</v>
      </c>
      <c r="I1402">
        <v>199</v>
      </c>
      <c r="J1402" t="b">
        <v>0</v>
      </c>
      <c r="K1402" s="10">
        <v>1930.94</v>
      </c>
      <c r="L1402" s="6">
        <f t="shared" si="130"/>
        <v>3.4116313968088688E-2</v>
      </c>
      <c r="M1402">
        <f t="shared" si="131"/>
        <v>1.7333393177737881</v>
      </c>
      <c r="N1402">
        <f t="shared" si="132"/>
        <v>9.7032160804020098</v>
      </c>
      <c r="O1402">
        <f t="shared" si="133"/>
        <v>8019.0599999999995</v>
      </c>
      <c r="P1402">
        <f t="shared" si="134"/>
        <v>0.17863554757630162</v>
      </c>
      <c r="Q1402" t="s">
        <v>4138</v>
      </c>
      <c r="R1402" t="s">
        <v>4142</v>
      </c>
      <c r="S1402">
        <f>YEAR(marketing_data[[#This Row],[Start_date]])</f>
        <v>2023</v>
      </c>
      <c r="T1402" t="str">
        <f>TEXT(marketing_data[[#This Row],[Start_date]],"ddd")</f>
        <v>Sun</v>
      </c>
      <c r="U1402">
        <f>marketing_data[[#This Row],[Cleaned End_date]]-marketing_data[[#This Row],[Start_date]]</f>
        <v>7</v>
      </c>
    </row>
    <row r="1403" spans="1:21" x14ac:dyDescent="0.2">
      <c r="A1403" t="s">
        <v>2900</v>
      </c>
      <c r="B1403" t="s">
        <v>2901</v>
      </c>
      <c r="C1403" s="2">
        <v>44933</v>
      </c>
      <c r="D1403" t="str">
        <f t="shared" si="129"/>
        <v>Jan</v>
      </c>
      <c r="E1403" s="2">
        <v>44951</v>
      </c>
      <c r="F1403" t="s">
        <v>23</v>
      </c>
      <c r="G1403">
        <v>27657</v>
      </c>
      <c r="H1403">
        <v>800</v>
      </c>
      <c r="I1403">
        <v>96</v>
      </c>
      <c r="J1403" t="b">
        <v>1</v>
      </c>
      <c r="K1403" s="10">
        <v>1303.42</v>
      </c>
      <c r="L1403" s="6">
        <f t="shared" si="130"/>
        <v>2.892576924467585E-2</v>
      </c>
      <c r="M1403">
        <f t="shared" si="131"/>
        <v>1.629275</v>
      </c>
      <c r="N1403">
        <f t="shared" si="132"/>
        <v>13.577291666666667</v>
      </c>
      <c r="O1403">
        <f t="shared" si="133"/>
        <v>3496.58</v>
      </c>
      <c r="P1403">
        <f t="shared" si="134"/>
        <v>0.12</v>
      </c>
      <c r="Q1403" t="s">
        <v>4138</v>
      </c>
      <c r="R1403" t="s">
        <v>4142</v>
      </c>
      <c r="S1403">
        <f>YEAR(marketing_data[[#This Row],[Start_date]])</f>
        <v>2023</v>
      </c>
      <c r="T1403" t="str">
        <f>TEXT(marketing_data[[#This Row],[Start_date]],"ddd")</f>
        <v>Sat</v>
      </c>
      <c r="U1403">
        <f>marketing_data[[#This Row],[Cleaned End_date]]-marketing_data[[#This Row],[Start_date]]</f>
        <v>18</v>
      </c>
    </row>
    <row r="1404" spans="1:21" x14ac:dyDescent="0.2">
      <c r="A1404" t="s">
        <v>2902</v>
      </c>
      <c r="B1404" t="s">
        <v>2903</v>
      </c>
      <c r="C1404" s="2">
        <v>45153</v>
      </c>
      <c r="D1404" t="str">
        <f t="shared" si="129"/>
        <v>Aug</v>
      </c>
      <c r="E1404" s="2">
        <v>45173</v>
      </c>
      <c r="F1404" t="s">
        <v>14</v>
      </c>
      <c r="G1404">
        <v>40952</v>
      </c>
      <c r="H1404">
        <v>507</v>
      </c>
      <c r="I1404">
        <v>25</v>
      </c>
      <c r="J1404" t="b">
        <v>1</v>
      </c>
      <c r="K1404" s="10">
        <v>810.84</v>
      </c>
      <c r="L1404" s="6">
        <f t="shared" si="130"/>
        <v>1.2380347724164876E-2</v>
      </c>
      <c r="M1404">
        <f t="shared" si="131"/>
        <v>1.5992899408284025</v>
      </c>
      <c r="N1404">
        <f t="shared" si="132"/>
        <v>32.433599999999998</v>
      </c>
      <c r="O1404">
        <f t="shared" si="133"/>
        <v>439.15999999999997</v>
      </c>
      <c r="P1404">
        <f t="shared" si="134"/>
        <v>4.9309664694280081E-2</v>
      </c>
      <c r="Q1404" t="s">
        <v>4139</v>
      </c>
      <c r="R1404" t="s">
        <v>4139</v>
      </c>
      <c r="S1404">
        <f>YEAR(marketing_data[[#This Row],[Start_date]])</f>
        <v>2023</v>
      </c>
      <c r="T1404" t="str">
        <f>TEXT(marketing_data[[#This Row],[Start_date]],"ddd")</f>
        <v>Tue</v>
      </c>
      <c r="U1404">
        <f>marketing_data[[#This Row],[Cleaned End_date]]-marketing_data[[#This Row],[Start_date]]</f>
        <v>20</v>
      </c>
    </row>
    <row r="1405" spans="1:21" x14ac:dyDescent="0.2">
      <c r="A1405" t="s">
        <v>2904</v>
      </c>
      <c r="B1405" t="s">
        <v>2905</v>
      </c>
      <c r="C1405" s="2">
        <v>45287</v>
      </c>
      <c r="D1405" t="str">
        <f t="shared" si="129"/>
        <v>Dec</v>
      </c>
      <c r="E1405" s="2">
        <v>45288</v>
      </c>
      <c r="F1405" t="s">
        <v>33</v>
      </c>
      <c r="G1405">
        <v>23180</v>
      </c>
      <c r="H1405">
        <v>854</v>
      </c>
      <c r="I1405">
        <v>44</v>
      </c>
      <c r="J1405" t="b">
        <v>0</v>
      </c>
      <c r="K1405" s="10">
        <v>1549.4</v>
      </c>
      <c r="L1405" s="6">
        <f t="shared" si="130"/>
        <v>3.6842105263157891E-2</v>
      </c>
      <c r="M1405">
        <f t="shared" si="131"/>
        <v>1.8142857142857145</v>
      </c>
      <c r="N1405">
        <f t="shared" si="132"/>
        <v>35.213636363636368</v>
      </c>
      <c r="O1405">
        <f t="shared" si="133"/>
        <v>650.59999999999991</v>
      </c>
      <c r="P1405">
        <f t="shared" si="134"/>
        <v>5.1522248243559721E-2</v>
      </c>
      <c r="Q1405" t="s">
        <v>4138</v>
      </c>
      <c r="R1405" t="s">
        <v>4139</v>
      </c>
      <c r="S1405">
        <f>YEAR(marketing_data[[#This Row],[Start_date]])</f>
        <v>2023</v>
      </c>
      <c r="T1405" t="str">
        <f>TEXT(marketing_data[[#This Row],[Start_date]],"ddd")</f>
        <v>Wed</v>
      </c>
      <c r="U1405">
        <f>marketing_data[[#This Row],[Cleaned End_date]]-marketing_data[[#This Row],[Start_date]]</f>
        <v>1</v>
      </c>
    </row>
    <row r="1406" spans="1:21" x14ac:dyDescent="0.2">
      <c r="A1406" t="s">
        <v>2906</v>
      </c>
      <c r="B1406" t="s">
        <v>2907</v>
      </c>
      <c r="C1406" s="2">
        <v>45228</v>
      </c>
      <c r="D1406" t="str">
        <f t="shared" si="129"/>
        <v>Oct</v>
      </c>
      <c r="E1406" s="2">
        <v>45234</v>
      </c>
      <c r="F1406" t="s">
        <v>33</v>
      </c>
      <c r="G1406">
        <v>98432</v>
      </c>
      <c r="H1406">
        <v>3276</v>
      </c>
      <c r="J1406" t="b">
        <v>1</v>
      </c>
      <c r="K1406" s="10">
        <v>3631.7599999999998</v>
      </c>
      <c r="L1406" s="6">
        <f t="shared" si="130"/>
        <v>3.328185955786736E-2</v>
      </c>
      <c r="M1406">
        <f t="shared" si="131"/>
        <v>1.1085958485958485</v>
      </c>
      <c r="N1406">
        <f t="shared" si="132"/>
        <v>0</v>
      </c>
      <c r="O1406">
        <f t="shared" si="133"/>
        <v>-3631.7599999999998</v>
      </c>
      <c r="P1406">
        <f t="shared" si="134"/>
        <v>0</v>
      </c>
      <c r="Q1406" t="s">
        <v>4136</v>
      </c>
      <c r="R1406" t="s">
        <v>4141</v>
      </c>
      <c r="S1406">
        <f>YEAR(marketing_data[[#This Row],[Start_date]])</f>
        <v>2023</v>
      </c>
      <c r="T1406" t="str">
        <f>TEXT(marketing_data[[#This Row],[Start_date]],"ddd")</f>
        <v>Sun</v>
      </c>
      <c r="U1406">
        <f>marketing_data[[#This Row],[Cleaned End_date]]-marketing_data[[#This Row],[Start_date]]</f>
        <v>6</v>
      </c>
    </row>
    <row r="1407" spans="1:21" x14ac:dyDescent="0.2">
      <c r="A1407" t="s">
        <v>2908</v>
      </c>
      <c r="B1407" t="s">
        <v>2909</v>
      </c>
      <c r="C1407" s="2">
        <v>45026</v>
      </c>
      <c r="D1407" t="str">
        <f t="shared" si="129"/>
        <v>Apr</v>
      </c>
      <c r="E1407" s="2">
        <v>45029</v>
      </c>
      <c r="F1407" t="s">
        <v>19</v>
      </c>
      <c r="G1407">
        <v>79411</v>
      </c>
      <c r="H1407">
        <v>3939</v>
      </c>
      <c r="I1407">
        <v>288</v>
      </c>
      <c r="J1407" t="b">
        <v>1</v>
      </c>
      <c r="K1407" s="10">
        <v>3339.33</v>
      </c>
      <c r="L1407" s="6">
        <f t="shared" si="130"/>
        <v>4.9602699877850674E-2</v>
      </c>
      <c r="M1407">
        <f t="shared" si="131"/>
        <v>0.84776085300837778</v>
      </c>
      <c r="N1407">
        <f t="shared" si="132"/>
        <v>11.594895833333332</v>
      </c>
      <c r="O1407">
        <f t="shared" si="133"/>
        <v>11060.67</v>
      </c>
      <c r="P1407">
        <f t="shared" si="134"/>
        <v>7.311500380807312E-2</v>
      </c>
      <c r="Q1407" t="s">
        <v>4137</v>
      </c>
      <c r="R1407" t="s">
        <v>4141</v>
      </c>
      <c r="S1407">
        <f>YEAR(marketing_data[[#This Row],[Start_date]])</f>
        <v>2023</v>
      </c>
      <c r="T1407" t="str">
        <f>TEXT(marketing_data[[#This Row],[Start_date]],"ddd")</f>
        <v>Mon</v>
      </c>
      <c r="U1407">
        <f>marketing_data[[#This Row],[Cleaned End_date]]-marketing_data[[#This Row],[Start_date]]</f>
        <v>3</v>
      </c>
    </row>
    <row r="1408" spans="1:21" x14ac:dyDescent="0.2">
      <c r="A1408" t="s">
        <v>2910</v>
      </c>
      <c r="B1408" t="s">
        <v>2911</v>
      </c>
      <c r="C1408" s="2">
        <v>45276</v>
      </c>
      <c r="D1408" t="str">
        <f t="shared" si="129"/>
        <v>Dec</v>
      </c>
      <c r="E1408" s="2">
        <v>45295</v>
      </c>
      <c r="F1408" t="s">
        <v>19</v>
      </c>
      <c r="G1408">
        <v>2622</v>
      </c>
      <c r="H1408">
        <v>51</v>
      </c>
      <c r="I1408">
        <v>7</v>
      </c>
      <c r="J1408" t="b">
        <v>1</v>
      </c>
      <c r="K1408" s="10">
        <v>329.13249999999999</v>
      </c>
      <c r="L1408" s="6">
        <f t="shared" si="130"/>
        <v>1.9450800915331808E-2</v>
      </c>
      <c r="M1408">
        <f t="shared" si="131"/>
        <v>6.4535784313725486</v>
      </c>
      <c r="N1408">
        <f t="shared" si="132"/>
        <v>47.018928571428567</v>
      </c>
      <c r="O1408">
        <f t="shared" si="133"/>
        <v>20.867500000000007</v>
      </c>
      <c r="P1408">
        <f t="shared" si="134"/>
        <v>0.13725490196078433</v>
      </c>
      <c r="Q1408" t="s">
        <v>4138</v>
      </c>
      <c r="R1408" t="s">
        <v>4139</v>
      </c>
      <c r="S1408">
        <f>YEAR(marketing_data[[#This Row],[Start_date]])</f>
        <v>2023</v>
      </c>
      <c r="T1408" t="str">
        <f>TEXT(marketing_data[[#This Row],[Start_date]],"ddd")</f>
        <v>Sat</v>
      </c>
      <c r="U1408">
        <f>marketing_data[[#This Row],[Cleaned End_date]]-marketing_data[[#This Row],[Start_date]]</f>
        <v>19</v>
      </c>
    </row>
    <row r="1409" spans="1:21" x14ac:dyDescent="0.2">
      <c r="A1409" t="s">
        <v>2912</v>
      </c>
      <c r="B1409" t="s">
        <v>2913</v>
      </c>
      <c r="C1409" s="2">
        <v>45015</v>
      </c>
      <c r="D1409" t="str">
        <f t="shared" si="129"/>
        <v>Mar</v>
      </c>
      <c r="E1409" s="2">
        <v>45039</v>
      </c>
      <c r="F1409" t="s">
        <v>33</v>
      </c>
      <c r="G1409">
        <v>49756</v>
      </c>
      <c r="H1409">
        <v>1553</v>
      </c>
      <c r="I1409">
        <v>242</v>
      </c>
      <c r="J1409" t="b">
        <v>1</v>
      </c>
      <c r="K1409" s="10">
        <v>1493.29</v>
      </c>
      <c r="L1409" s="6">
        <f t="shared" si="130"/>
        <v>3.1212316102580594E-2</v>
      </c>
      <c r="M1409">
        <f t="shared" si="131"/>
        <v>0.9615518351577591</v>
      </c>
      <c r="N1409">
        <f t="shared" si="132"/>
        <v>6.1706198347107435</v>
      </c>
      <c r="O1409">
        <f t="shared" si="133"/>
        <v>10606.71</v>
      </c>
      <c r="P1409">
        <f t="shared" si="134"/>
        <v>0.15582743077913716</v>
      </c>
      <c r="Q1409" t="s">
        <v>4137</v>
      </c>
      <c r="R1409" t="s">
        <v>4139</v>
      </c>
      <c r="S1409">
        <f>YEAR(marketing_data[[#This Row],[Start_date]])</f>
        <v>2023</v>
      </c>
      <c r="T1409" t="str">
        <f>TEXT(marketing_data[[#This Row],[Start_date]],"ddd")</f>
        <v>Thu</v>
      </c>
      <c r="U1409">
        <f>marketing_data[[#This Row],[Cleaned End_date]]-marketing_data[[#This Row],[Start_date]]</f>
        <v>24</v>
      </c>
    </row>
    <row r="1410" spans="1:21" x14ac:dyDescent="0.2">
      <c r="A1410" t="s">
        <v>2914</v>
      </c>
      <c r="B1410" t="s">
        <v>2915</v>
      </c>
      <c r="C1410" s="2">
        <v>44947</v>
      </c>
      <c r="D1410" t="str">
        <f t="shared" si="129"/>
        <v>Jan</v>
      </c>
      <c r="E1410" s="2">
        <v>44967</v>
      </c>
      <c r="F1410" t="s">
        <v>19</v>
      </c>
      <c r="G1410">
        <v>41809</v>
      </c>
      <c r="H1410">
        <v>1506</v>
      </c>
      <c r="I1410">
        <v>115</v>
      </c>
      <c r="J1410" t="b">
        <v>0</v>
      </c>
      <c r="K1410" s="10">
        <v>1300.07</v>
      </c>
      <c r="L1410" s="6">
        <f t="shared" si="130"/>
        <v>3.6020952426511037E-2</v>
      </c>
      <c r="M1410">
        <f t="shared" si="131"/>
        <v>0.86326029216467459</v>
      </c>
      <c r="N1410">
        <f t="shared" si="132"/>
        <v>11.304956521739129</v>
      </c>
      <c r="O1410">
        <f t="shared" si="133"/>
        <v>4449.93</v>
      </c>
      <c r="P1410">
        <f t="shared" si="134"/>
        <v>7.6361221779548474E-2</v>
      </c>
      <c r="Q1410" t="s">
        <v>4138</v>
      </c>
      <c r="R1410" t="s">
        <v>4139</v>
      </c>
      <c r="S1410">
        <f>YEAR(marketing_data[[#This Row],[Start_date]])</f>
        <v>2023</v>
      </c>
      <c r="T1410" t="str">
        <f>TEXT(marketing_data[[#This Row],[Start_date]],"ddd")</f>
        <v>Sat</v>
      </c>
      <c r="U1410">
        <f>marketing_data[[#This Row],[Cleaned End_date]]-marketing_data[[#This Row],[Start_date]]</f>
        <v>20</v>
      </c>
    </row>
    <row r="1411" spans="1:21" x14ac:dyDescent="0.2">
      <c r="A1411" t="s">
        <v>2916</v>
      </c>
      <c r="B1411" t="s">
        <v>2917</v>
      </c>
      <c r="C1411" s="2">
        <v>44993</v>
      </c>
      <c r="D1411" t="str">
        <f t="shared" ref="D1411:D1474" si="135">TEXT(C1411,"mmm")</f>
        <v>Mar</v>
      </c>
      <c r="E1411" s="2">
        <v>45002</v>
      </c>
      <c r="F1411" t="s">
        <v>19</v>
      </c>
      <c r="G1411">
        <v>17725</v>
      </c>
      <c r="H1411">
        <v>634</v>
      </c>
      <c r="I1411">
        <v>116</v>
      </c>
      <c r="J1411" t="b">
        <v>1</v>
      </c>
      <c r="K1411" s="10">
        <v>386.43</v>
      </c>
      <c r="L1411" s="6">
        <f t="shared" ref="L1411:L1474" si="136">H1411/G1411</f>
        <v>3.5768688293370945E-2</v>
      </c>
      <c r="M1411">
        <f t="shared" ref="M1411:M1474" si="137">K1411/H1411</f>
        <v>0.60951104100946374</v>
      </c>
      <c r="N1411">
        <f t="shared" ref="N1411:N1474" si="138">IFERROR(K1411/I1411,0)</f>
        <v>3.3312931034482758</v>
      </c>
      <c r="O1411">
        <f t="shared" ref="O1411:O1474" si="139">(50*I1411)-K1411</f>
        <v>5413.57</v>
      </c>
      <c r="P1411">
        <f t="shared" ref="P1411:P1474" si="140">I1411/H1411</f>
        <v>0.18296529968454259</v>
      </c>
      <c r="Q1411" t="s">
        <v>4137</v>
      </c>
      <c r="R1411" t="s">
        <v>4141</v>
      </c>
      <c r="S1411">
        <f>YEAR(marketing_data[[#This Row],[Start_date]])</f>
        <v>2023</v>
      </c>
      <c r="T1411" t="str">
        <f>TEXT(marketing_data[[#This Row],[Start_date]],"ddd")</f>
        <v>Wed</v>
      </c>
      <c r="U1411">
        <f>marketing_data[[#This Row],[Cleaned End_date]]-marketing_data[[#This Row],[Start_date]]</f>
        <v>9</v>
      </c>
    </row>
    <row r="1412" spans="1:21" x14ac:dyDescent="0.2">
      <c r="A1412" t="s">
        <v>2918</v>
      </c>
      <c r="B1412" t="s">
        <v>2919</v>
      </c>
      <c r="C1412" s="2">
        <v>44929</v>
      </c>
      <c r="D1412" t="str">
        <f t="shared" si="135"/>
        <v>Jan</v>
      </c>
      <c r="E1412" s="2">
        <v>44955</v>
      </c>
      <c r="F1412" t="s">
        <v>33</v>
      </c>
      <c r="G1412">
        <v>62396</v>
      </c>
      <c r="H1412">
        <v>2024</v>
      </c>
      <c r="I1412">
        <v>235</v>
      </c>
      <c r="J1412" t="b">
        <v>1</v>
      </c>
      <c r="K1412" s="10">
        <v>3270.87</v>
      </c>
      <c r="L1412" s="6">
        <f t="shared" si="136"/>
        <v>3.2437976793384192E-2</v>
      </c>
      <c r="M1412">
        <f t="shared" si="137"/>
        <v>1.616042490118577</v>
      </c>
      <c r="N1412">
        <f t="shared" si="138"/>
        <v>13.91859574468085</v>
      </c>
      <c r="O1412">
        <f t="shared" si="139"/>
        <v>8479.130000000001</v>
      </c>
      <c r="P1412">
        <f t="shared" si="140"/>
        <v>0.11610671936758893</v>
      </c>
      <c r="Q1412" t="s">
        <v>4138</v>
      </c>
      <c r="R1412" t="s">
        <v>4142</v>
      </c>
      <c r="S1412">
        <f>YEAR(marketing_data[[#This Row],[Start_date]])</f>
        <v>2023</v>
      </c>
      <c r="T1412" t="str">
        <f>TEXT(marketing_data[[#This Row],[Start_date]],"ddd")</f>
        <v>Tue</v>
      </c>
      <c r="U1412">
        <f>marketing_data[[#This Row],[Cleaned End_date]]-marketing_data[[#This Row],[Start_date]]</f>
        <v>26</v>
      </c>
    </row>
    <row r="1413" spans="1:21" x14ac:dyDescent="0.2">
      <c r="A1413" t="s">
        <v>2920</v>
      </c>
      <c r="B1413" t="s">
        <v>2921</v>
      </c>
      <c r="C1413" s="2">
        <v>45006</v>
      </c>
      <c r="D1413" t="str">
        <f t="shared" si="135"/>
        <v>Mar</v>
      </c>
      <c r="E1413" s="2">
        <v>45022</v>
      </c>
      <c r="F1413" t="s">
        <v>19</v>
      </c>
      <c r="G1413">
        <v>52226</v>
      </c>
      <c r="H1413">
        <v>2145</v>
      </c>
      <c r="I1413">
        <v>153</v>
      </c>
      <c r="J1413" t="b">
        <v>0</v>
      </c>
      <c r="K1413" s="10">
        <v>3360.15</v>
      </c>
      <c r="L1413" s="6">
        <f t="shared" si="136"/>
        <v>4.107149695553939E-2</v>
      </c>
      <c r="M1413">
        <f t="shared" si="137"/>
        <v>1.5665034965034965</v>
      </c>
      <c r="N1413">
        <f t="shared" si="138"/>
        <v>21.961764705882352</v>
      </c>
      <c r="O1413">
        <f t="shared" si="139"/>
        <v>4289.8500000000004</v>
      </c>
      <c r="P1413">
        <f t="shared" si="140"/>
        <v>7.1328671328671323E-2</v>
      </c>
      <c r="Q1413" t="s">
        <v>4137</v>
      </c>
      <c r="R1413" t="s">
        <v>4139</v>
      </c>
      <c r="S1413">
        <f>YEAR(marketing_data[[#This Row],[Start_date]])</f>
        <v>2023</v>
      </c>
      <c r="T1413" t="str">
        <f>TEXT(marketing_data[[#This Row],[Start_date]],"ddd")</f>
        <v>Tue</v>
      </c>
      <c r="U1413">
        <f>marketing_data[[#This Row],[Cleaned End_date]]-marketing_data[[#This Row],[Start_date]]</f>
        <v>16</v>
      </c>
    </row>
    <row r="1414" spans="1:21" x14ac:dyDescent="0.2">
      <c r="A1414" t="s">
        <v>2922</v>
      </c>
      <c r="B1414" t="s">
        <v>2923</v>
      </c>
      <c r="C1414" s="2">
        <v>45092</v>
      </c>
      <c r="D1414" t="str">
        <f t="shared" si="135"/>
        <v>Jun</v>
      </c>
      <c r="E1414" s="2">
        <v>45096</v>
      </c>
      <c r="F1414" t="s">
        <v>19</v>
      </c>
      <c r="G1414">
        <v>82182</v>
      </c>
      <c r="H1414">
        <v>1495</v>
      </c>
      <c r="I1414">
        <v>246</v>
      </c>
      <c r="J1414" t="b">
        <v>0</v>
      </c>
      <c r="K1414" s="10">
        <v>1273.3699999999999</v>
      </c>
      <c r="L1414" s="6">
        <f t="shared" si="136"/>
        <v>1.8191331435107445E-2</v>
      </c>
      <c r="M1414">
        <f t="shared" si="137"/>
        <v>0.85175250836120397</v>
      </c>
      <c r="N1414">
        <f t="shared" si="138"/>
        <v>5.1763008130081296</v>
      </c>
      <c r="O1414">
        <f t="shared" si="139"/>
        <v>11026.630000000001</v>
      </c>
      <c r="P1414">
        <f t="shared" si="140"/>
        <v>0.16454849498327759</v>
      </c>
      <c r="Q1414" t="s">
        <v>4139</v>
      </c>
      <c r="R1414" t="s">
        <v>4139</v>
      </c>
      <c r="S1414">
        <f>YEAR(marketing_data[[#This Row],[Start_date]])</f>
        <v>2023</v>
      </c>
      <c r="T1414" t="str">
        <f>TEXT(marketing_data[[#This Row],[Start_date]],"ddd")</f>
        <v>Thu</v>
      </c>
      <c r="U1414">
        <f>marketing_data[[#This Row],[Cleaned End_date]]-marketing_data[[#This Row],[Start_date]]</f>
        <v>4</v>
      </c>
    </row>
    <row r="1415" spans="1:21" x14ac:dyDescent="0.2">
      <c r="A1415" t="s">
        <v>2924</v>
      </c>
      <c r="B1415" t="s">
        <v>2925</v>
      </c>
      <c r="C1415" s="2">
        <v>45247</v>
      </c>
      <c r="D1415" t="str">
        <f t="shared" si="135"/>
        <v>Nov</v>
      </c>
      <c r="E1415" s="2">
        <v>45251</v>
      </c>
      <c r="F1415" t="s">
        <v>41</v>
      </c>
      <c r="G1415">
        <v>83565</v>
      </c>
      <c r="H1415">
        <v>3261</v>
      </c>
      <c r="I1415">
        <v>549</v>
      </c>
      <c r="J1415" t="b">
        <v>1</v>
      </c>
      <c r="K1415" s="10">
        <v>3631.7599999999998</v>
      </c>
      <c r="L1415" s="6">
        <f t="shared" si="136"/>
        <v>3.9023514629330458E-2</v>
      </c>
      <c r="M1415">
        <f t="shared" si="137"/>
        <v>1.1136951855259123</v>
      </c>
      <c r="N1415">
        <f t="shared" si="138"/>
        <v>6.6152276867030961</v>
      </c>
      <c r="O1415">
        <f t="shared" si="139"/>
        <v>23818.240000000002</v>
      </c>
      <c r="P1415">
        <f t="shared" si="140"/>
        <v>0.16835326586936522</v>
      </c>
      <c r="Q1415" t="s">
        <v>4136</v>
      </c>
      <c r="R1415" t="s">
        <v>4139</v>
      </c>
      <c r="S1415">
        <f>YEAR(marketing_data[[#This Row],[Start_date]])</f>
        <v>2023</v>
      </c>
      <c r="T1415" t="str">
        <f>TEXT(marketing_data[[#This Row],[Start_date]],"ddd")</f>
        <v>Fri</v>
      </c>
      <c r="U1415">
        <f>marketing_data[[#This Row],[Cleaned End_date]]-marketing_data[[#This Row],[Start_date]]</f>
        <v>4</v>
      </c>
    </row>
    <row r="1416" spans="1:21" x14ac:dyDescent="0.2">
      <c r="A1416" t="s">
        <v>2926</v>
      </c>
      <c r="B1416" t="s">
        <v>2927</v>
      </c>
      <c r="C1416" s="2">
        <v>45178</v>
      </c>
      <c r="D1416" t="str">
        <f t="shared" si="135"/>
        <v>Sep</v>
      </c>
      <c r="E1416" s="2">
        <v>45186</v>
      </c>
      <c r="F1416" t="s">
        <v>33</v>
      </c>
      <c r="G1416">
        <v>30402</v>
      </c>
      <c r="H1416">
        <v>1057</v>
      </c>
      <c r="I1416">
        <v>154</v>
      </c>
      <c r="J1416" t="b">
        <v>0</v>
      </c>
      <c r="K1416" s="10">
        <v>1983.74</v>
      </c>
      <c r="L1416" s="6">
        <f t="shared" si="136"/>
        <v>3.4767449509900662E-2</v>
      </c>
      <c r="M1416">
        <f t="shared" si="137"/>
        <v>1.8767644276253548</v>
      </c>
      <c r="N1416">
        <f t="shared" si="138"/>
        <v>12.881428571428572</v>
      </c>
      <c r="O1416">
        <f t="shared" si="139"/>
        <v>5716.26</v>
      </c>
      <c r="P1416">
        <f t="shared" si="140"/>
        <v>0.14569536423841059</v>
      </c>
      <c r="Q1416" t="s">
        <v>4136</v>
      </c>
      <c r="R1416" t="s">
        <v>4138</v>
      </c>
      <c r="S1416">
        <f>YEAR(marketing_data[[#This Row],[Start_date]])</f>
        <v>2023</v>
      </c>
      <c r="T1416" t="str">
        <f>TEXT(marketing_data[[#This Row],[Start_date]],"ddd")</f>
        <v>Sat</v>
      </c>
      <c r="U1416">
        <f>marketing_data[[#This Row],[Cleaned End_date]]-marketing_data[[#This Row],[Start_date]]</f>
        <v>8</v>
      </c>
    </row>
    <row r="1417" spans="1:21" x14ac:dyDescent="0.2">
      <c r="A1417" t="s">
        <v>2928</v>
      </c>
      <c r="B1417" t="s">
        <v>2929</v>
      </c>
      <c r="C1417" s="2">
        <v>44964</v>
      </c>
      <c r="D1417" t="str">
        <f t="shared" si="135"/>
        <v>Feb</v>
      </c>
      <c r="E1417" s="2">
        <v>44992</v>
      </c>
      <c r="F1417" t="s">
        <v>23</v>
      </c>
      <c r="G1417">
        <v>5263</v>
      </c>
      <c r="H1417">
        <v>241</v>
      </c>
      <c r="I1417">
        <v>42</v>
      </c>
      <c r="J1417" t="b">
        <v>1</v>
      </c>
      <c r="K1417" s="10">
        <v>329.13249999999999</v>
      </c>
      <c r="L1417" s="6">
        <f t="shared" si="136"/>
        <v>4.5791373741212234E-2</v>
      </c>
      <c r="M1417">
        <f t="shared" si="137"/>
        <v>1.3656950207468879</v>
      </c>
      <c r="N1417">
        <f t="shared" si="138"/>
        <v>7.8364880952380949</v>
      </c>
      <c r="O1417">
        <f t="shared" si="139"/>
        <v>1770.8675000000001</v>
      </c>
      <c r="P1417">
        <f t="shared" si="140"/>
        <v>0.17427385892116182</v>
      </c>
      <c r="Q1417" t="s">
        <v>4138</v>
      </c>
      <c r="R1417" t="s">
        <v>4141</v>
      </c>
      <c r="S1417">
        <f>YEAR(marketing_data[[#This Row],[Start_date]])</f>
        <v>2023</v>
      </c>
      <c r="T1417" t="str">
        <f>TEXT(marketing_data[[#This Row],[Start_date]],"ddd")</f>
        <v>Tue</v>
      </c>
      <c r="U1417">
        <f>marketing_data[[#This Row],[Cleaned End_date]]-marketing_data[[#This Row],[Start_date]]</f>
        <v>28</v>
      </c>
    </row>
    <row r="1418" spans="1:21" x14ac:dyDescent="0.2">
      <c r="A1418" t="s">
        <v>2930</v>
      </c>
      <c r="B1418" t="s">
        <v>2931</v>
      </c>
      <c r="C1418" s="2">
        <v>45039</v>
      </c>
      <c r="D1418" t="str">
        <f t="shared" si="135"/>
        <v>Apr</v>
      </c>
      <c r="E1418" s="2">
        <v>45053</v>
      </c>
      <c r="F1418" t="s">
        <v>14</v>
      </c>
      <c r="G1418">
        <v>97523</v>
      </c>
      <c r="H1418">
        <v>4280</v>
      </c>
      <c r="I1418">
        <v>687</v>
      </c>
      <c r="J1418" t="b">
        <v>1</v>
      </c>
      <c r="K1418" s="10">
        <v>3631.7599999999998</v>
      </c>
      <c r="L1418" s="6">
        <f t="shared" si="136"/>
        <v>4.3887083047076073E-2</v>
      </c>
      <c r="M1418">
        <f t="shared" si="137"/>
        <v>0.84854205607476629</v>
      </c>
      <c r="N1418">
        <f t="shared" si="138"/>
        <v>5.2864046579330415</v>
      </c>
      <c r="O1418">
        <f t="shared" si="139"/>
        <v>30718.240000000002</v>
      </c>
      <c r="P1418">
        <f t="shared" si="140"/>
        <v>0.16051401869158879</v>
      </c>
      <c r="Q1418" t="s">
        <v>4137</v>
      </c>
      <c r="R1418" t="s">
        <v>4141</v>
      </c>
      <c r="S1418">
        <f>YEAR(marketing_data[[#This Row],[Start_date]])</f>
        <v>2023</v>
      </c>
      <c r="T1418" t="str">
        <f>TEXT(marketing_data[[#This Row],[Start_date]],"ddd")</f>
        <v>Sun</v>
      </c>
      <c r="U1418">
        <f>marketing_data[[#This Row],[Cleaned End_date]]-marketing_data[[#This Row],[Start_date]]</f>
        <v>14</v>
      </c>
    </row>
    <row r="1419" spans="1:21" x14ac:dyDescent="0.2">
      <c r="A1419" t="s">
        <v>2932</v>
      </c>
      <c r="B1419" t="s">
        <v>2933</v>
      </c>
      <c r="C1419" s="2">
        <v>45185</v>
      </c>
      <c r="D1419" t="str">
        <f t="shared" si="135"/>
        <v>Sep</v>
      </c>
      <c r="E1419" s="2">
        <v>45193</v>
      </c>
      <c r="F1419" t="s">
        <v>33</v>
      </c>
      <c r="G1419">
        <v>47828</v>
      </c>
      <c r="H1419">
        <v>1081</v>
      </c>
      <c r="I1419">
        <v>197</v>
      </c>
      <c r="J1419" t="b">
        <v>0</v>
      </c>
      <c r="K1419" s="10">
        <v>1757.05</v>
      </c>
      <c r="L1419" s="6">
        <f t="shared" si="136"/>
        <v>2.2601823199799281E-2</v>
      </c>
      <c r="M1419">
        <f t="shared" si="137"/>
        <v>1.6253931544865865</v>
      </c>
      <c r="N1419">
        <f t="shared" si="138"/>
        <v>8.9190355329949238</v>
      </c>
      <c r="O1419">
        <f t="shared" si="139"/>
        <v>8092.95</v>
      </c>
      <c r="P1419">
        <f t="shared" si="140"/>
        <v>0.18223866790009249</v>
      </c>
      <c r="Q1419" t="s">
        <v>4136</v>
      </c>
      <c r="R1419" t="s">
        <v>4138</v>
      </c>
      <c r="S1419">
        <f>YEAR(marketing_data[[#This Row],[Start_date]])</f>
        <v>2023</v>
      </c>
      <c r="T1419" t="str">
        <f>TEXT(marketing_data[[#This Row],[Start_date]],"ddd")</f>
        <v>Sat</v>
      </c>
      <c r="U1419">
        <f>marketing_data[[#This Row],[Cleaned End_date]]-marketing_data[[#This Row],[Start_date]]</f>
        <v>8</v>
      </c>
    </row>
    <row r="1420" spans="1:21" x14ac:dyDescent="0.2">
      <c r="A1420" t="s">
        <v>2934</v>
      </c>
      <c r="B1420" t="s">
        <v>2935</v>
      </c>
      <c r="C1420" s="2">
        <v>45133</v>
      </c>
      <c r="D1420" t="str">
        <f t="shared" si="135"/>
        <v>Jul</v>
      </c>
      <c r="E1420" s="2">
        <v>45141</v>
      </c>
      <c r="F1420" t="s">
        <v>41</v>
      </c>
      <c r="G1420">
        <v>48924</v>
      </c>
      <c r="H1420">
        <v>1029</v>
      </c>
      <c r="I1420">
        <v>118</v>
      </c>
      <c r="J1420" t="b">
        <v>1</v>
      </c>
      <c r="K1420" s="10">
        <v>938.2</v>
      </c>
      <c r="L1420" s="6">
        <f t="shared" si="136"/>
        <v>2.1032622025999509E-2</v>
      </c>
      <c r="M1420">
        <f t="shared" si="137"/>
        <v>0.91175898931000976</v>
      </c>
      <c r="N1420">
        <f t="shared" si="138"/>
        <v>7.9508474576271189</v>
      </c>
      <c r="O1420">
        <f t="shared" si="139"/>
        <v>4961.8</v>
      </c>
      <c r="P1420">
        <f t="shared" si="140"/>
        <v>0.11467444120505345</v>
      </c>
      <c r="Q1420" t="s">
        <v>4139</v>
      </c>
      <c r="R1420" t="s">
        <v>4139</v>
      </c>
      <c r="S1420">
        <f>YEAR(marketing_data[[#This Row],[Start_date]])</f>
        <v>2023</v>
      </c>
      <c r="T1420" t="str">
        <f>TEXT(marketing_data[[#This Row],[Start_date]],"ddd")</f>
        <v>Wed</v>
      </c>
      <c r="U1420">
        <f>marketing_data[[#This Row],[Cleaned End_date]]-marketing_data[[#This Row],[Start_date]]</f>
        <v>8</v>
      </c>
    </row>
    <row r="1421" spans="1:21" x14ac:dyDescent="0.2">
      <c r="A1421" t="s">
        <v>2936</v>
      </c>
      <c r="B1421" t="s">
        <v>2937</v>
      </c>
      <c r="C1421" s="2">
        <v>45040</v>
      </c>
      <c r="D1421" t="str">
        <f t="shared" si="135"/>
        <v>Apr</v>
      </c>
      <c r="E1421" s="2">
        <v>45055</v>
      </c>
      <c r="F1421" t="s">
        <v>14</v>
      </c>
      <c r="G1421">
        <v>75182</v>
      </c>
      <c r="H1421">
        <v>3703</v>
      </c>
      <c r="I1421">
        <v>600</v>
      </c>
      <c r="J1421" t="b">
        <v>1</v>
      </c>
      <c r="K1421" s="10">
        <v>3631.7599999999998</v>
      </c>
      <c r="L1421" s="6">
        <f t="shared" si="136"/>
        <v>4.9253810752573755E-2</v>
      </c>
      <c r="M1421">
        <f t="shared" si="137"/>
        <v>0.98076154469349175</v>
      </c>
      <c r="N1421">
        <f t="shared" si="138"/>
        <v>6.0529333333333328</v>
      </c>
      <c r="O1421">
        <f t="shared" si="139"/>
        <v>26368.240000000002</v>
      </c>
      <c r="P1421">
        <f t="shared" si="140"/>
        <v>0.16203078584931138</v>
      </c>
      <c r="Q1421" t="s">
        <v>4137</v>
      </c>
      <c r="R1421" t="s">
        <v>4142</v>
      </c>
      <c r="S1421">
        <f>YEAR(marketing_data[[#This Row],[Start_date]])</f>
        <v>2023</v>
      </c>
      <c r="T1421" t="str">
        <f>TEXT(marketing_data[[#This Row],[Start_date]],"ddd")</f>
        <v>Mon</v>
      </c>
      <c r="U1421">
        <f>marketing_data[[#This Row],[Cleaned End_date]]-marketing_data[[#This Row],[Start_date]]</f>
        <v>15</v>
      </c>
    </row>
    <row r="1422" spans="1:21" x14ac:dyDescent="0.2">
      <c r="A1422" t="s">
        <v>2938</v>
      </c>
      <c r="B1422" t="s">
        <v>2939</v>
      </c>
      <c r="C1422" s="2">
        <v>45096</v>
      </c>
      <c r="D1422" t="str">
        <f t="shared" si="135"/>
        <v>Jun</v>
      </c>
      <c r="E1422" s="2">
        <v>45116</v>
      </c>
      <c r="F1422" t="s">
        <v>19</v>
      </c>
      <c r="G1422">
        <v>94065</v>
      </c>
      <c r="H1422">
        <v>2924</v>
      </c>
      <c r="I1422">
        <v>584</v>
      </c>
      <c r="J1422" t="b">
        <v>1</v>
      </c>
      <c r="K1422" s="10">
        <v>1817.99</v>
      </c>
      <c r="L1422" s="6">
        <f t="shared" si="136"/>
        <v>3.108488810928613E-2</v>
      </c>
      <c r="M1422">
        <f t="shared" si="137"/>
        <v>0.6217476060191518</v>
      </c>
      <c r="N1422">
        <f t="shared" si="138"/>
        <v>3.112996575342466</v>
      </c>
      <c r="O1422">
        <f t="shared" si="139"/>
        <v>27382.01</v>
      </c>
      <c r="P1422">
        <f t="shared" si="140"/>
        <v>0.19972640218878249</v>
      </c>
      <c r="Q1422" t="s">
        <v>4139</v>
      </c>
      <c r="R1422" t="s">
        <v>4141</v>
      </c>
      <c r="S1422">
        <f>YEAR(marketing_data[[#This Row],[Start_date]])</f>
        <v>2023</v>
      </c>
      <c r="T1422" t="str">
        <f>TEXT(marketing_data[[#This Row],[Start_date]],"ddd")</f>
        <v>Mon</v>
      </c>
      <c r="U1422">
        <f>marketing_data[[#This Row],[Cleaned End_date]]-marketing_data[[#This Row],[Start_date]]</f>
        <v>20</v>
      </c>
    </row>
    <row r="1423" spans="1:21" x14ac:dyDescent="0.2">
      <c r="A1423" t="s">
        <v>2940</v>
      </c>
      <c r="B1423" t="s">
        <v>2941</v>
      </c>
      <c r="C1423" s="2">
        <v>45243</v>
      </c>
      <c r="D1423" t="str">
        <f t="shared" si="135"/>
        <v>Nov</v>
      </c>
      <c r="E1423" s="2">
        <v>45249</v>
      </c>
      <c r="F1423" t="s">
        <v>14</v>
      </c>
      <c r="G1423">
        <v>60052</v>
      </c>
      <c r="H1423">
        <v>2777</v>
      </c>
      <c r="I1423">
        <v>440</v>
      </c>
      <c r="J1423" t="b">
        <v>1</v>
      </c>
      <c r="K1423" s="10">
        <v>3272.15</v>
      </c>
      <c r="L1423" s="6">
        <f t="shared" si="136"/>
        <v>4.624325584493439E-2</v>
      </c>
      <c r="M1423">
        <f t="shared" si="137"/>
        <v>1.1783039250990277</v>
      </c>
      <c r="N1423">
        <f t="shared" si="138"/>
        <v>7.4367045454545453</v>
      </c>
      <c r="O1423">
        <f t="shared" si="139"/>
        <v>18727.849999999999</v>
      </c>
      <c r="P1423">
        <f t="shared" si="140"/>
        <v>0.15844436442203816</v>
      </c>
      <c r="Q1423" t="s">
        <v>4136</v>
      </c>
      <c r="R1423" t="s">
        <v>4141</v>
      </c>
      <c r="S1423">
        <f>YEAR(marketing_data[[#This Row],[Start_date]])</f>
        <v>2023</v>
      </c>
      <c r="T1423" t="str">
        <f>TEXT(marketing_data[[#This Row],[Start_date]],"ddd")</f>
        <v>Mon</v>
      </c>
      <c r="U1423">
        <f>marketing_data[[#This Row],[Cleaned End_date]]-marketing_data[[#This Row],[Start_date]]</f>
        <v>6</v>
      </c>
    </row>
    <row r="1424" spans="1:21" x14ac:dyDescent="0.2">
      <c r="A1424" t="s">
        <v>2942</v>
      </c>
      <c r="B1424" t="s">
        <v>2943</v>
      </c>
      <c r="C1424" s="2">
        <v>45259</v>
      </c>
      <c r="D1424" t="str">
        <f t="shared" si="135"/>
        <v>Nov</v>
      </c>
      <c r="E1424" s="2">
        <v>45288</v>
      </c>
      <c r="F1424" t="s">
        <v>41</v>
      </c>
      <c r="G1424">
        <v>12664</v>
      </c>
      <c r="H1424">
        <v>209</v>
      </c>
      <c r="I1424">
        <v>14</v>
      </c>
      <c r="J1424" t="b">
        <v>1</v>
      </c>
      <c r="K1424" s="10">
        <v>336.21</v>
      </c>
      <c r="L1424" s="6">
        <f t="shared" si="136"/>
        <v>1.6503474415666457E-2</v>
      </c>
      <c r="M1424">
        <f t="shared" si="137"/>
        <v>1.6086602870813396</v>
      </c>
      <c r="N1424">
        <f t="shared" si="138"/>
        <v>24.014999999999997</v>
      </c>
      <c r="O1424">
        <f t="shared" si="139"/>
        <v>363.79</v>
      </c>
      <c r="P1424">
        <f t="shared" si="140"/>
        <v>6.6985645933014357E-2</v>
      </c>
      <c r="Q1424" t="s">
        <v>4136</v>
      </c>
      <c r="R1424" t="s">
        <v>4139</v>
      </c>
      <c r="S1424">
        <f>YEAR(marketing_data[[#This Row],[Start_date]])</f>
        <v>2023</v>
      </c>
      <c r="T1424" t="str">
        <f>TEXT(marketing_data[[#This Row],[Start_date]],"ddd")</f>
        <v>Wed</v>
      </c>
      <c r="U1424">
        <f>marketing_data[[#This Row],[Cleaned End_date]]-marketing_data[[#This Row],[Start_date]]</f>
        <v>29</v>
      </c>
    </row>
    <row r="1425" spans="1:21" x14ac:dyDescent="0.2">
      <c r="A1425" t="s">
        <v>2944</v>
      </c>
      <c r="B1425" t="s">
        <v>2945</v>
      </c>
      <c r="C1425" s="2">
        <v>45269</v>
      </c>
      <c r="D1425" t="str">
        <f t="shared" si="135"/>
        <v>Dec</v>
      </c>
      <c r="E1425" s="2">
        <v>45275</v>
      </c>
      <c r="F1425" t="s">
        <v>41</v>
      </c>
      <c r="G1425">
        <v>36737</v>
      </c>
      <c r="H1425">
        <v>1311</v>
      </c>
      <c r="I1425">
        <v>167</v>
      </c>
      <c r="J1425" t="b">
        <v>1</v>
      </c>
      <c r="K1425" s="10">
        <v>2005.53</v>
      </c>
      <c r="L1425" s="6">
        <f t="shared" si="136"/>
        <v>3.5686093039714727E-2</v>
      </c>
      <c r="M1425">
        <f t="shared" si="137"/>
        <v>1.5297711670480549</v>
      </c>
      <c r="N1425">
        <f t="shared" si="138"/>
        <v>12.009161676646707</v>
      </c>
      <c r="O1425">
        <f t="shared" si="139"/>
        <v>6344.47</v>
      </c>
      <c r="P1425">
        <f t="shared" si="140"/>
        <v>0.12738367658276126</v>
      </c>
      <c r="Q1425" t="s">
        <v>4138</v>
      </c>
      <c r="R1425" t="s">
        <v>4139</v>
      </c>
      <c r="S1425">
        <f>YEAR(marketing_data[[#This Row],[Start_date]])</f>
        <v>2023</v>
      </c>
      <c r="T1425" t="str">
        <f>TEXT(marketing_data[[#This Row],[Start_date]],"ddd")</f>
        <v>Sat</v>
      </c>
      <c r="U1425">
        <f>marketing_data[[#This Row],[Cleaned End_date]]-marketing_data[[#This Row],[Start_date]]</f>
        <v>6</v>
      </c>
    </row>
    <row r="1426" spans="1:21" x14ac:dyDescent="0.2">
      <c r="A1426" t="s">
        <v>2946</v>
      </c>
      <c r="B1426" t="s">
        <v>2947</v>
      </c>
      <c r="C1426" s="2">
        <v>45255</v>
      </c>
      <c r="D1426" t="str">
        <f t="shared" si="135"/>
        <v>Nov</v>
      </c>
      <c r="E1426" s="2">
        <v>45285</v>
      </c>
      <c r="F1426" t="s">
        <v>33</v>
      </c>
      <c r="G1426">
        <v>90563</v>
      </c>
      <c r="H1426">
        <v>3839</v>
      </c>
      <c r="J1426" t="b">
        <v>0</v>
      </c>
      <c r="K1426" s="10">
        <v>3631.7599999999998</v>
      </c>
      <c r="L1426" s="6">
        <f t="shared" si="136"/>
        <v>4.2390380177335117E-2</v>
      </c>
      <c r="M1426">
        <f t="shared" si="137"/>
        <v>0.94601719197707734</v>
      </c>
      <c r="N1426">
        <f t="shared" si="138"/>
        <v>0</v>
      </c>
      <c r="O1426">
        <f t="shared" si="139"/>
        <v>-3631.7599999999998</v>
      </c>
      <c r="P1426">
        <f t="shared" si="140"/>
        <v>0</v>
      </c>
      <c r="Q1426" t="s">
        <v>4136</v>
      </c>
      <c r="R1426" t="s">
        <v>4138</v>
      </c>
      <c r="S1426">
        <f>YEAR(marketing_data[[#This Row],[Start_date]])</f>
        <v>2023</v>
      </c>
      <c r="T1426" t="str">
        <f>TEXT(marketing_data[[#This Row],[Start_date]],"ddd")</f>
        <v>Sat</v>
      </c>
      <c r="U1426">
        <f>marketing_data[[#This Row],[Cleaned End_date]]-marketing_data[[#This Row],[Start_date]]</f>
        <v>30</v>
      </c>
    </row>
    <row r="1427" spans="1:21" x14ac:dyDescent="0.2">
      <c r="A1427" t="s">
        <v>2948</v>
      </c>
      <c r="B1427" t="s">
        <v>2949</v>
      </c>
      <c r="C1427" s="2">
        <v>44947</v>
      </c>
      <c r="D1427" t="str">
        <f t="shared" si="135"/>
        <v>Jan</v>
      </c>
      <c r="E1427" s="2">
        <v>44955</v>
      </c>
      <c r="F1427" t="s">
        <v>23</v>
      </c>
      <c r="G1427">
        <v>30373</v>
      </c>
      <c r="H1427">
        <v>1454</v>
      </c>
      <c r="I1427">
        <v>110</v>
      </c>
      <c r="J1427" t="b">
        <v>1</v>
      </c>
      <c r="K1427" s="10">
        <v>2640.72</v>
      </c>
      <c r="L1427" s="6">
        <f t="shared" si="136"/>
        <v>4.7871464787804956E-2</v>
      </c>
      <c r="M1427">
        <f t="shared" si="137"/>
        <v>1.8161760660247592</v>
      </c>
      <c r="N1427">
        <f t="shared" si="138"/>
        <v>24.006545454545453</v>
      </c>
      <c r="O1427">
        <f t="shared" si="139"/>
        <v>2859.28</v>
      </c>
      <c r="P1427">
        <f t="shared" si="140"/>
        <v>7.5653370013755161E-2</v>
      </c>
      <c r="Q1427" t="s">
        <v>4138</v>
      </c>
      <c r="R1427" t="s">
        <v>4141</v>
      </c>
      <c r="S1427">
        <f>YEAR(marketing_data[[#This Row],[Start_date]])</f>
        <v>2023</v>
      </c>
      <c r="T1427" t="str">
        <f>TEXT(marketing_data[[#This Row],[Start_date]],"ddd")</f>
        <v>Sat</v>
      </c>
      <c r="U1427">
        <f>marketing_data[[#This Row],[Cleaned End_date]]-marketing_data[[#This Row],[Start_date]]</f>
        <v>8</v>
      </c>
    </row>
    <row r="1428" spans="1:21" x14ac:dyDescent="0.2">
      <c r="A1428" t="s">
        <v>2950</v>
      </c>
      <c r="B1428" t="s">
        <v>2951</v>
      </c>
      <c r="C1428" s="2">
        <v>44985</v>
      </c>
      <c r="D1428" t="str">
        <f t="shared" si="135"/>
        <v>Feb</v>
      </c>
      <c r="E1428" s="2">
        <v>44994</v>
      </c>
      <c r="F1428" t="s">
        <v>19</v>
      </c>
      <c r="G1428">
        <v>37397</v>
      </c>
      <c r="H1428">
        <v>878</v>
      </c>
      <c r="I1428">
        <v>170</v>
      </c>
      <c r="J1428" t="b">
        <v>0</v>
      </c>
      <c r="K1428" s="10">
        <v>1457.28</v>
      </c>
      <c r="L1428" s="6">
        <f t="shared" si="136"/>
        <v>2.3477819076396501E-2</v>
      </c>
      <c r="M1428">
        <f t="shared" si="137"/>
        <v>1.6597722095671981</v>
      </c>
      <c r="N1428">
        <f t="shared" si="138"/>
        <v>8.5722352941176467</v>
      </c>
      <c r="O1428">
        <f t="shared" si="139"/>
        <v>7042.72</v>
      </c>
      <c r="P1428">
        <f t="shared" si="140"/>
        <v>0.19362186788154898</v>
      </c>
      <c r="Q1428" t="s">
        <v>4138</v>
      </c>
      <c r="R1428" t="s">
        <v>4142</v>
      </c>
      <c r="S1428">
        <f>YEAR(marketing_data[[#This Row],[Start_date]])</f>
        <v>2023</v>
      </c>
      <c r="T1428" t="str">
        <f>TEXT(marketing_data[[#This Row],[Start_date]],"ddd")</f>
        <v>Tue</v>
      </c>
      <c r="U1428">
        <f>marketing_data[[#This Row],[Cleaned End_date]]-marketing_data[[#This Row],[Start_date]]</f>
        <v>9</v>
      </c>
    </row>
    <row r="1429" spans="1:21" x14ac:dyDescent="0.2">
      <c r="A1429" t="s">
        <v>2952</v>
      </c>
      <c r="B1429" t="s">
        <v>2953</v>
      </c>
      <c r="C1429" s="2">
        <v>45071</v>
      </c>
      <c r="D1429" t="str">
        <f t="shared" si="135"/>
        <v>May</v>
      </c>
      <c r="E1429" s="2">
        <v>45075</v>
      </c>
      <c r="F1429" t="s">
        <v>23</v>
      </c>
      <c r="G1429">
        <v>87145</v>
      </c>
      <c r="H1429">
        <v>3398</v>
      </c>
      <c r="I1429">
        <v>259</v>
      </c>
      <c r="J1429" t="b">
        <v>0</v>
      </c>
      <c r="K1429" s="10">
        <v>3631.7599999999998</v>
      </c>
      <c r="L1429" s="6">
        <f t="shared" si="136"/>
        <v>3.8992483791382176E-2</v>
      </c>
      <c r="M1429">
        <f t="shared" si="137"/>
        <v>1.0687934078869923</v>
      </c>
      <c r="N1429">
        <f t="shared" si="138"/>
        <v>14.02223938223938</v>
      </c>
      <c r="O1429">
        <f t="shared" si="139"/>
        <v>9318.24</v>
      </c>
      <c r="P1429">
        <f t="shared" si="140"/>
        <v>7.6221306650971155E-2</v>
      </c>
      <c r="Q1429" t="s">
        <v>4137</v>
      </c>
      <c r="R1429" t="s">
        <v>4142</v>
      </c>
      <c r="S1429">
        <f>YEAR(marketing_data[[#This Row],[Start_date]])</f>
        <v>2023</v>
      </c>
      <c r="T1429" t="str">
        <f>TEXT(marketing_data[[#This Row],[Start_date]],"ddd")</f>
        <v>Thu</v>
      </c>
      <c r="U1429">
        <f>marketing_data[[#This Row],[Cleaned End_date]]-marketing_data[[#This Row],[Start_date]]</f>
        <v>4</v>
      </c>
    </row>
    <row r="1430" spans="1:21" x14ac:dyDescent="0.2">
      <c r="A1430" t="s">
        <v>2955</v>
      </c>
      <c r="B1430" t="s">
        <v>2956</v>
      </c>
      <c r="C1430" s="2">
        <v>45191</v>
      </c>
      <c r="D1430" t="str">
        <f t="shared" si="135"/>
        <v>Sep</v>
      </c>
      <c r="E1430" s="2">
        <v>45192</v>
      </c>
      <c r="F1430" t="s">
        <v>19</v>
      </c>
      <c r="G1430">
        <v>39709</v>
      </c>
      <c r="H1430">
        <v>1252</v>
      </c>
      <c r="J1430" t="b">
        <v>1</v>
      </c>
      <c r="K1430" s="10">
        <v>685.57</v>
      </c>
      <c r="L1430" s="6">
        <f t="shared" si="136"/>
        <v>3.1529376211941879E-2</v>
      </c>
      <c r="M1430">
        <f t="shared" si="137"/>
        <v>0.54757987220447291</v>
      </c>
      <c r="N1430">
        <f t="shared" si="138"/>
        <v>0</v>
      </c>
      <c r="O1430">
        <f t="shared" si="139"/>
        <v>-685.57</v>
      </c>
      <c r="P1430">
        <f t="shared" si="140"/>
        <v>0</v>
      </c>
      <c r="Q1430" t="s">
        <v>4136</v>
      </c>
      <c r="R1430" t="s">
        <v>4138</v>
      </c>
      <c r="S1430">
        <f>YEAR(marketing_data[[#This Row],[Start_date]])</f>
        <v>2023</v>
      </c>
      <c r="T1430" t="str">
        <f>TEXT(marketing_data[[#This Row],[Start_date]],"ddd")</f>
        <v>Fri</v>
      </c>
      <c r="U1430">
        <f>marketing_data[[#This Row],[Cleaned End_date]]-marketing_data[[#This Row],[Start_date]]</f>
        <v>1</v>
      </c>
    </row>
    <row r="1431" spans="1:21" x14ac:dyDescent="0.2">
      <c r="A1431" t="s">
        <v>2957</v>
      </c>
      <c r="B1431" t="s">
        <v>2958</v>
      </c>
      <c r="C1431" s="2">
        <v>45187</v>
      </c>
      <c r="D1431" t="str">
        <f t="shared" si="135"/>
        <v>Sep</v>
      </c>
      <c r="E1431" s="2">
        <v>45195</v>
      </c>
      <c r="F1431" t="s">
        <v>14</v>
      </c>
      <c r="G1431">
        <v>62120</v>
      </c>
      <c r="H1431">
        <v>771</v>
      </c>
      <c r="I1431">
        <v>144</v>
      </c>
      <c r="J1431" t="b">
        <v>0</v>
      </c>
      <c r="K1431" s="10">
        <v>1004.19</v>
      </c>
      <c r="L1431" s="6">
        <f t="shared" si="136"/>
        <v>1.2411461687057309E-2</v>
      </c>
      <c r="M1431">
        <f t="shared" si="137"/>
        <v>1.3024513618677043</v>
      </c>
      <c r="N1431">
        <f t="shared" si="138"/>
        <v>6.9735416666666667</v>
      </c>
      <c r="O1431">
        <f t="shared" si="139"/>
        <v>6195.8099999999995</v>
      </c>
      <c r="P1431">
        <f t="shared" si="140"/>
        <v>0.1867704280155642</v>
      </c>
      <c r="Q1431" t="s">
        <v>4136</v>
      </c>
      <c r="R1431" t="s">
        <v>4138</v>
      </c>
      <c r="S1431">
        <f>YEAR(marketing_data[[#This Row],[Start_date]])</f>
        <v>2023</v>
      </c>
      <c r="T1431" t="str">
        <f>TEXT(marketing_data[[#This Row],[Start_date]],"ddd")</f>
        <v>Mon</v>
      </c>
      <c r="U1431">
        <f>marketing_data[[#This Row],[Cleaned End_date]]-marketing_data[[#This Row],[Start_date]]</f>
        <v>8</v>
      </c>
    </row>
    <row r="1432" spans="1:21" x14ac:dyDescent="0.2">
      <c r="A1432" t="s">
        <v>2959</v>
      </c>
      <c r="B1432" t="s">
        <v>2960</v>
      </c>
      <c r="C1432" s="2">
        <v>45260</v>
      </c>
      <c r="D1432" t="str">
        <f t="shared" si="135"/>
        <v>Nov</v>
      </c>
      <c r="E1432" s="2">
        <v>45282</v>
      </c>
      <c r="F1432" t="s">
        <v>33</v>
      </c>
      <c r="G1432">
        <v>20250</v>
      </c>
      <c r="H1432">
        <v>761</v>
      </c>
      <c r="I1432">
        <v>91</v>
      </c>
      <c r="J1432" t="b">
        <v>1</v>
      </c>
      <c r="K1432" s="10">
        <v>423.53</v>
      </c>
      <c r="L1432" s="6">
        <f t="shared" si="136"/>
        <v>3.7580246913580244E-2</v>
      </c>
      <c r="M1432">
        <f t="shared" si="137"/>
        <v>0.55654402102496714</v>
      </c>
      <c r="N1432">
        <f t="shared" si="138"/>
        <v>4.654175824175824</v>
      </c>
      <c r="O1432">
        <f t="shared" si="139"/>
        <v>4126.47</v>
      </c>
      <c r="P1432">
        <f t="shared" si="140"/>
        <v>0.11957950065703023</v>
      </c>
      <c r="Q1432" t="s">
        <v>4136</v>
      </c>
      <c r="R1432" t="s">
        <v>4138</v>
      </c>
      <c r="S1432">
        <f>YEAR(marketing_data[[#This Row],[Start_date]])</f>
        <v>2023</v>
      </c>
      <c r="T1432" t="str">
        <f>TEXT(marketing_data[[#This Row],[Start_date]],"ddd")</f>
        <v>Thu</v>
      </c>
      <c r="U1432">
        <f>marketing_data[[#This Row],[Cleaned End_date]]-marketing_data[[#This Row],[Start_date]]</f>
        <v>22</v>
      </c>
    </row>
    <row r="1433" spans="1:21" x14ac:dyDescent="0.2">
      <c r="A1433" t="s">
        <v>2961</v>
      </c>
      <c r="B1433" t="s">
        <v>2962</v>
      </c>
      <c r="C1433" s="2">
        <v>44976</v>
      </c>
      <c r="D1433" t="str">
        <f t="shared" si="135"/>
        <v>Feb</v>
      </c>
      <c r="E1433" s="2">
        <v>44986</v>
      </c>
      <c r="F1433" t="s">
        <v>41</v>
      </c>
      <c r="G1433">
        <v>22172</v>
      </c>
      <c r="H1433">
        <v>833</v>
      </c>
      <c r="J1433" t="b">
        <v>1</v>
      </c>
      <c r="K1433" s="10">
        <v>1426.18</v>
      </c>
      <c r="L1433" s="6">
        <f t="shared" si="136"/>
        <v>3.7569907992062057E-2</v>
      </c>
      <c r="M1433">
        <f t="shared" si="137"/>
        <v>1.7121008403361346</v>
      </c>
      <c r="N1433">
        <f t="shared" si="138"/>
        <v>0</v>
      </c>
      <c r="O1433">
        <f t="shared" si="139"/>
        <v>-1426.18</v>
      </c>
      <c r="P1433">
        <f t="shared" si="140"/>
        <v>0</v>
      </c>
      <c r="Q1433" t="s">
        <v>4138</v>
      </c>
      <c r="R1433" t="s">
        <v>4142</v>
      </c>
      <c r="S1433">
        <f>YEAR(marketing_data[[#This Row],[Start_date]])</f>
        <v>2023</v>
      </c>
      <c r="T1433" t="str">
        <f>TEXT(marketing_data[[#This Row],[Start_date]],"ddd")</f>
        <v>Sun</v>
      </c>
      <c r="U1433">
        <f>marketing_data[[#This Row],[Cleaned End_date]]-marketing_data[[#This Row],[Start_date]]</f>
        <v>10</v>
      </c>
    </row>
    <row r="1434" spans="1:21" x14ac:dyDescent="0.2">
      <c r="A1434" t="s">
        <v>2963</v>
      </c>
      <c r="B1434" t="s">
        <v>2964</v>
      </c>
      <c r="C1434" s="2">
        <v>45202</v>
      </c>
      <c r="D1434" t="str">
        <f t="shared" si="135"/>
        <v>Oct</v>
      </c>
      <c r="E1434" s="2">
        <v>45216</v>
      </c>
      <c r="F1434" t="str">
        <f>F1433</f>
        <v>Google Ads</v>
      </c>
      <c r="G1434">
        <v>12555</v>
      </c>
      <c r="H1434">
        <v>592</v>
      </c>
      <c r="I1434">
        <v>82</v>
      </c>
      <c r="J1434" t="b">
        <v>0</v>
      </c>
      <c r="K1434" s="10">
        <v>580.79999999999995</v>
      </c>
      <c r="L1434" s="6">
        <f t="shared" si="136"/>
        <v>4.7152528872958982E-2</v>
      </c>
      <c r="M1434">
        <f t="shared" si="137"/>
        <v>0.98108108108108105</v>
      </c>
      <c r="N1434">
        <f t="shared" si="138"/>
        <v>7.0829268292682919</v>
      </c>
      <c r="O1434">
        <f t="shared" si="139"/>
        <v>3519.2</v>
      </c>
      <c r="P1434">
        <f t="shared" si="140"/>
        <v>0.13851351351351351</v>
      </c>
      <c r="Q1434" t="s">
        <v>4136</v>
      </c>
      <c r="R1434" t="s">
        <v>4139</v>
      </c>
      <c r="S1434">
        <f>YEAR(marketing_data[[#This Row],[Start_date]])</f>
        <v>2023</v>
      </c>
      <c r="T1434" t="str">
        <f>TEXT(marketing_data[[#This Row],[Start_date]],"ddd")</f>
        <v>Tue</v>
      </c>
      <c r="U1434">
        <f>marketing_data[[#This Row],[Cleaned End_date]]-marketing_data[[#This Row],[Start_date]]</f>
        <v>14</v>
      </c>
    </row>
    <row r="1435" spans="1:21" x14ac:dyDescent="0.2">
      <c r="A1435" t="s">
        <v>2965</v>
      </c>
      <c r="B1435" t="s">
        <v>2966</v>
      </c>
      <c r="C1435" s="2">
        <v>45034</v>
      </c>
      <c r="D1435" t="str">
        <f t="shared" si="135"/>
        <v>Apr</v>
      </c>
      <c r="E1435" s="2">
        <v>45053</v>
      </c>
      <c r="F1435" t="s">
        <v>19</v>
      </c>
      <c r="G1435">
        <v>88410</v>
      </c>
      <c r="H1435">
        <v>2642</v>
      </c>
      <c r="I1435">
        <v>370</v>
      </c>
      <c r="J1435" t="b">
        <v>0</v>
      </c>
      <c r="K1435" s="10">
        <v>3549.91</v>
      </c>
      <c r="L1435" s="6">
        <f t="shared" si="136"/>
        <v>2.9883497341929646E-2</v>
      </c>
      <c r="M1435">
        <f t="shared" si="137"/>
        <v>1.3436449659348977</v>
      </c>
      <c r="N1435">
        <f t="shared" si="138"/>
        <v>9.5943513513513512</v>
      </c>
      <c r="O1435">
        <f t="shared" si="139"/>
        <v>14950.09</v>
      </c>
      <c r="P1435">
        <f t="shared" si="140"/>
        <v>0.1400454201362604</v>
      </c>
      <c r="Q1435" t="s">
        <v>4137</v>
      </c>
      <c r="R1435" t="s">
        <v>4139</v>
      </c>
      <c r="S1435">
        <f>YEAR(marketing_data[[#This Row],[Start_date]])</f>
        <v>2023</v>
      </c>
      <c r="T1435" t="str">
        <f>TEXT(marketing_data[[#This Row],[Start_date]],"ddd")</f>
        <v>Tue</v>
      </c>
      <c r="U1435">
        <f>marketing_data[[#This Row],[Cleaned End_date]]-marketing_data[[#This Row],[Start_date]]</f>
        <v>19</v>
      </c>
    </row>
    <row r="1436" spans="1:21" x14ac:dyDescent="0.2">
      <c r="A1436" t="s">
        <v>2967</v>
      </c>
      <c r="B1436" t="s">
        <v>2968</v>
      </c>
      <c r="C1436" s="2">
        <v>45277</v>
      </c>
      <c r="D1436" t="str">
        <f t="shared" si="135"/>
        <v>Dec</v>
      </c>
      <c r="E1436" s="2">
        <v>45305</v>
      </c>
      <c r="F1436" t="s">
        <v>23</v>
      </c>
      <c r="G1436">
        <v>79617</v>
      </c>
      <c r="H1436">
        <v>1529</v>
      </c>
      <c r="I1436">
        <v>91</v>
      </c>
      <c r="J1436" t="b">
        <v>0</v>
      </c>
      <c r="K1436" s="10">
        <v>1405.41</v>
      </c>
      <c r="L1436" s="6">
        <f t="shared" si="136"/>
        <v>1.920444126254443E-2</v>
      </c>
      <c r="M1436">
        <f t="shared" si="137"/>
        <v>0.91916939175931989</v>
      </c>
      <c r="N1436">
        <f t="shared" si="138"/>
        <v>15.444065934065934</v>
      </c>
      <c r="O1436">
        <f t="shared" si="139"/>
        <v>3144.59</v>
      </c>
      <c r="P1436">
        <f t="shared" si="140"/>
        <v>5.9516023544800525E-2</v>
      </c>
      <c r="Q1436" t="s">
        <v>4138</v>
      </c>
      <c r="R1436" t="s">
        <v>4142</v>
      </c>
      <c r="S1436">
        <f>YEAR(marketing_data[[#This Row],[Start_date]])</f>
        <v>2023</v>
      </c>
      <c r="T1436" t="str">
        <f>TEXT(marketing_data[[#This Row],[Start_date]],"ddd")</f>
        <v>Sun</v>
      </c>
      <c r="U1436">
        <f>marketing_data[[#This Row],[Cleaned End_date]]-marketing_data[[#This Row],[Start_date]]</f>
        <v>28</v>
      </c>
    </row>
    <row r="1437" spans="1:21" x14ac:dyDescent="0.2">
      <c r="A1437" t="s">
        <v>2969</v>
      </c>
      <c r="B1437" t="s">
        <v>2970</v>
      </c>
      <c r="C1437" s="2">
        <v>45202</v>
      </c>
      <c r="D1437" t="str">
        <f t="shared" si="135"/>
        <v>Oct</v>
      </c>
      <c r="E1437" s="2">
        <v>45222</v>
      </c>
      <c r="F1437" t="s">
        <v>23</v>
      </c>
      <c r="G1437">
        <v>54276</v>
      </c>
      <c r="H1437">
        <v>639</v>
      </c>
      <c r="I1437">
        <v>125</v>
      </c>
      <c r="J1437" t="b">
        <v>1</v>
      </c>
      <c r="K1437" s="10">
        <v>1069.53</v>
      </c>
      <c r="L1437" s="6">
        <f t="shared" si="136"/>
        <v>1.1773159407472917E-2</v>
      </c>
      <c r="M1437">
        <f t="shared" si="137"/>
        <v>1.6737558685446008</v>
      </c>
      <c r="N1437">
        <f t="shared" si="138"/>
        <v>8.556239999999999</v>
      </c>
      <c r="O1437">
        <f t="shared" si="139"/>
        <v>5180.47</v>
      </c>
      <c r="P1437">
        <f t="shared" si="140"/>
        <v>0.19561815336463223</v>
      </c>
      <c r="Q1437" t="s">
        <v>4136</v>
      </c>
      <c r="R1437" t="s">
        <v>4142</v>
      </c>
      <c r="S1437">
        <f>YEAR(marketing_data[[#This Row],[Start_date]])</f>
        <v>2023</v>
      </c>
      <c r="T1437" t="str">
        <f>TEXT(marketing_data[[#This Row],[Start_date]],"ddd")</f>
        <v>Tue</v>
      </c>
      <c r="U1437">
        <f>marketing_data[[#This Row],[Cleaned End_date]]-marketing_data[[#This Row],[Start_date]]</f>
        <v>20</v>
      </c>
    </row>
    <row r="1438" spans="1:21" x14ac:dyDescent="0.2">
      <c r="A1438" t="s">
        <v>2971</v>
      </c>
      <c r="B1438" t="s">
        <v>2972</v>
      </c>
      <c r="C1438" s="2">
        <v>45149</v>
      </c>
      <c r="D1438" t="str">
        <f t="shared" si="135"/>
        <v>Aug</v>
      </c>
      <c r="E1438" s="2">
        <v>45177</v>
      </c>
      <c r="F1438" t="s">
        <v>33</v>
      </c>
      <c r="G1438">
        <v>58492</v>
      </c>
      <c r="H1438">
        <v>1557</v>
      </c>
      <c r="I1438">
        <v>204</v>
      </c>
      <c r="J1438" t="b">
        <v>1</v>
      </c>
      <c r="K1438" s="10">
        <v>2848.93</v>
      </c>
      <c r="L1438" s="6">
        <f t="shared" si="136"/>
        <v>2.6619024823907544E-2</v>
      </c>
      <c r="M1438">
        <f t="shared" si="137"/>
        <v>1.8297559409120101</v>
      </c>
      <c r="N1438">
        <f t="shared" si="138"/>
        <v>13.965343137254902</v>
      </c>
      <c r="O1438">
        <f t="shared" si="139"/>
        <v>7351.07</v>
      </c>
      <c r="P1438">
        <f t="shared" si="140"/>
        <v>0.13102119460500963</v>
      </c>
      <c r="Q1438" t="s">
        <v>4139</v>
      </c>
      <c r="R1438" t="s">
        <v>4138</v>
      </c>
      <c r="S1438">
        <f>YEAR(marketing_data[[#This Row],[Start_date]])</f>
        <v>2023</v>
      </c>
      <c r="T1438" t="str">
        <f>TEXT(marketing_data[[#This Row],[Start_date]],"ddd")</f>
        <v>Fri</v>
      </c>
      <c r="U1438">
        <f>marketing_data[[#This Row],[Cleaned End_date]]-marketing_data[[#This Row],[Start_date]]</f>
        <v>28</v>
      </c>
    </row>
    <row r="1439" spans="1:21" x14ac:dyDescent="0.2">
      <c r="A1439" t="s">
        <v>2973</v>
      </c>
      <c r="B1439" t="s">
        <v>2974</v>
      </c>
      <c r="C1439" s="2">
        <v>45278</v>
      </c>
      <c r="D1439" t="str">
        <f t="shared" si="135"/>
        <v>Dec</v>
      </c>
      <c r="E1439" s="2">
        <v>45291</v>
      </c>
      <c r="F1439" t="s">
        <v>19</v>
      </c>
      <c r="G1439">
        <v>54002</v>
      </c>
      <c r="H1439">
        <v>1192</v>
      </c>
      <c r="I1439">
        <v>159</v>
      </c>
      <c r="J1439" t="b">
        <v>0</v>
      </c>
      <c r="K1439" s="10">
        <v>1308.77</v>
      </c>
      <c r="L1439" s="6">
        <f t="shared" si="136"/>
        <v>2.2073256546053851E-2</v>
      </c>
      <c r="M1439">
        <f t="shared" si="137"/>
        <v>1.0979614093959731</v>
      </c>
      <c r="N1439">
        <f t="shared" si="138"/>
        <v>8.2312578616352194</v>
      </c>
      <c r="O1439">
        <f t="shared" si="139"/>
        <v>6641.23</v>
      </c>
      <c r="P1439">
        <f t="shared" si="140"/>
        <v>0.13338926174496643</v>
      </c>
      <c r="Q1439" t="s">
        <v>4138</v>
      </c>
      <c r="R1439" t="s">
        <v>4138</v>
      </c>
      <c r="S1439">
        <f>YEAR(marketing_data[[#This Row],[Start_date]])</f>
        <v>2023</v>
      </c>
      <c r="T1439" t="str">
        <f>TEXT(marketing_data[[#This Row],[Start_date]],"ddd")</f>
        <v>Mon</v>
      </c>
      <c r="U1439">
        <f>marketing_data[[#This Row],[Cleaned End_date]]-marketing_data[[#This Row],[Start_date]]</f>
        <v>13</v>
      </c>
    </row>
    <row r="1440" spans="1:21" x14ac:dyDescent="0.2">
      <c r="A1440" t="s">
        <v>2975</v>
      </c>
      <c r="B1440" t="s">
        <v>2976</v>
      </c>
      <c r="C1440" s="2">
        <v>45096</v>
      </c>
      <c r="D1440" t="str">
        <f t="shared" si="135"/>
        <v>Jun</v>
      </c>
      <c r="E1440" s="2">
        <v>45111</v>
      </c>
      <c r="F1440" t="s">
        <v>23</v>
      </c>
      <c r="G1440">
        <v>90599</v>
      </c>
      <c r="H1440">
        <v>3664</v>
      </c>
      <c r="I1440">
        <v>469</v>
      </c>
      <c r="J1440" t="b">
        <v>0</v>
      </c>
      <c r="K1440" s="10">
        <v>3631.7599999999998</v>
      </c>
      <c r="L1440" s="6">
        <f t="shared" si="136"/>
        <v>4.0441947482864046E-2</v>
      </c>
      <c r="M1440">
        <f t="shared" si="137"/>
        <v>0.99120087336244533</v>
      </c>
      <c r="N1440">
        <f t="shared" si="138"/>
        <v>7.7436247334754791</v>
      </c>
      <c r="O1440">
        <f t="shared" si="139"/>
        <v>19818.240000000002</v>
      </c>
      <c r="P1440">
        <f t="shared" si="140"/>
        <v>0.12800218340611352</v>
      </c>
      <c r="Q1440" t="s">
        <v>4139</v>
      </c>
      <c r="R1440" t="s">
        <v>4138</v>
      </c>
      <c r="S1440">
        <f>YEAR(marketing_data[[#This Row],[Start_date]])</f>
        <v>2023</v>
      </c>
      <c r="T1440" t="str">
        <f>TEXT(marketing_data[[#This Row],[Start_date]],"ddd")</f>
        <v>Mon</v>
      </c>
      <c r="U1440">
        <f>marketing_data[[#This Row],[Cleaned End_date]]-marketing_data[[#This Row],[Start_date]]</f>
        <v>15</v>
      </c>
    </row>
    <row r="1441" spans="1:21" x14ac:dyDescent="0.2">
      <c r="A1441" t="s">
        <v>2978</v>
      </c>
      <c r="B1441" t="s">
        <v>2979</v>
      </c>
      <c r="C1441" s="2">
        <v>45109</v>
      </c>
      <c r="D1441" t="str">
        <f t="shared" si="135"/>
        <v>Jul</v>
      </c>
      <c r="E1441" s="2">
        <v>45139</v>
      </c>
      <c r="F1441" t="s">
        <v>19</v>
      </c>
      <c r="G1441">
        <v>73355</v>
      </c>
      <c r="H1441">
        <v>1773</v>
      </c>
      <c r="I1441">
        <v>251</v>
      </c>
      <c r="J1441" t="b">
        <v>0</v>
      </c>
      <c r="K1441" s="10">
        <v>1596.79</v>
      </c>
      <c r="L1441" s="6">
        <f t="shared" si="136"/>
        <v>2.4170131552041441E-2</v>
      </c>
      <c r="M1441">
        <f t="shared" si="137"/>
        <v>0.90061477721376193</v>
      </c>
      <c r="N1441">
        <f t="shared" si="138"/>
        <v>6.3617131474103585</v>
      </c>
      <c r="O1441">
        <f t="shared" si="139"/>
        <v>10953.21</v>
      </c>
      <c r="P1441">
        <f t="shared" si="140"/>
        <v>0.14156796390298929</v>
      </c>
      <c r="Q1441" t="s">
        <v>4139</v>
      </c>
      <c r="R1441" t="s">
        <v>4142</v>
      </c>
      <c r="S1441">
        <f>YEAR(marketing_data[[#This Row],[Start_date]])</f>
        <v>2023</v>
      </c>
      <c r="T1441" t="str">
        <f>TEXT(marketing_data[[#This Row],[Start_date]],"ddd")</f>
        <v>Sun</v>
      </c>
      <c r="U1441">
        <f>marketing_data[[#This Row],[Cleaned End_date]]-marketing_data[[#This Row],[Start_date]]</f>
        <v>30</v>
      </c>
    </row>
    <row r="1442" spans="1:21" x14ac:dyDescent="0.2">
      <c r="A1442" t="s">
        <v>2980</v>
      </c>
      <c r="B1442" t="s">
        <v>2981</v>
      </c>
      <c r="C1442" s="2">
        <v>45055</v>
      </c>
      <c r="D1442" t="str">
        <f t="shared" si="135"/>
        <v>May</v>
      </c>
      <c r="E1442" s="2">
        <v>45063</v>
      </c>
      <c r="F1442" t="s">
        <v>14</v>
      </c>
      <c r="G1442">
        <v>92248</v>
      </c>
      <c r="H1442">
        <v>4424</v>
      </c>
      <c r="I1442">
        <v>396</v>
      </c>
      <c r="J1442" t="b">
        <v>1</v>
      </c>
      <c r="K1442" s="10">
        <v>3631.7599999999998</v>
      </c>
      <c r="L1442" s="6">
        <f t="shared" si="136"/>
        <v>4.7957679299280201E-2</v>
      </c>
      <c r="M1442">
        <f t="shared" si="137"/>
        <v>0.82092224231464728</v>
      </c>
      <c r="N1442">
        <f t="shared" si="138"/>
        <v>9.1711111111111112</v>
      </c>
      <c r="O1442">
        <f t="shared" si="139"/>
        <v>16168.24</v>
      </c>
      <c r="P1442">
        <f t="shared" si="140"/>
        <v>8.9511754068716087E-2</v>
      </c>
      <c r="Q1442" t="s">
        <v>4137</v>
      </c>
      <c r="R1442" t="s">
        <v>4138</v>
      </c>
      <c r="S1442">
        <f>YEAR(marketing_data[[#This Row],[Start_date]])</f>
        <v>2023</v>
      </c>
      <c r="T1442" t="str">
        <f>TEXT(marketing_data[[#This Row],[Start_date]],"ddd")</f>
        <v>Tue</v>
      </c>
      <c r="U1442">
        <f>marketing_data[[#This Row],[Cleaned End_date]]-marketing_data[[#This Row],[Start_date]]</f>
        <v>8</v>
      </c>
    </row>
    <row r="1443" spans="1:21" x14ac:dyDescent="0.2">
      <c r="A1443" t="s">
        <v>2982</v>
      </c>
      <c r="B1443" t="s">
        <v>2983</v>
      </c>
      <c r="C1443" s="2">
        <v>45043</v>
      </c>
      <c r="D1443" t="str">
        <f t="shared" si="135"/>
        <v>Apr</v>
      </c>
      <c r="E1443" s="2">
        <v>45047</v>
      </c>
      <c r="F1443" t="s">
        <v>23</v>
      </c>
      <c r="G1443">
        <v>25762</v>
      </c>
      <c r="H1443">
        <v>1249</v>
      </c>
      <c r="I1443">
        <v>116</v>
      </c>
      <c r="J1443" t="b">
        <v>1</v>
      </c>
      <c r="K1443" s="10">
        <v>2233.39</v>
      </c>
      <c r="L1443" s="6">
        <f t="shared" si="136"/>
        <v>4.8482260694045494E-2</v>
      </c>
      <c r="M1443">
        <f t="shared" si="137"/>
        <v>1.7881425140112088</v>
      </c>
      <c r="N1443">
        <f t="shared" si="138"/>
        <v>19.253362068965515</v>
      </c>
      <c r="O1443">
        <f t="shared" si="139"/>
        <v>3566.61</v>
      </c>
      <c r="P1443">
        <f t="shared" si="140"/>
        <v>9.2874299439551639E-2</v>
      </c>
      <c r="Q1443" t="s">
        <v>4137</v>
      </c>
      <c r="R1443" t="s">
        <v>4139</v>
      </c>
      <c r="S1443">
        <f>YEAR(marketing_data[[#This Row],[Start_date]])</f>
        <v>2023</v>
      </c>
      <c r="T1443" t="str">
        <f>TEXT(marketing_data[[#This Row],[Start_date]],"ddd")</f>
        <v>Thu</v>
      </c>
      <c r="U1443">
        <f>marketing_data[[#This Row],[Cleaned End_date]]-marketing_data[[#This Row],[Start_date]]</f>
        <v>4</v>
      </c>
    </row>
    <row r="1444" spans="1:21" x14ac:dyDescent="0.2">
      <c r="A1444" t="s">
        <v>2984</v>
      </c>
      <c r="B1444" t="s">
        <v>2985</v>
      </c>
      <c r="C1444" s="2">
        <v>45157</v>
      </c>
      <c r="D1444" t="str">
        <f t="shared" si="135"/>
        <v>Aug</v>
      </c>
      <c r="E1444" s="2">
        <v>45185</v>
      </c>
      <c r="F1444" t="s">
        <v>33</v>
      </c>
      <c r="G1444">
        <v>12046</v>
      </c>
      <c r="H1444">
        <v>419</v>
      </c>
      <c r="I1444">
        <v>53</v>
      </c>
      <c r="J1444" t="b">
        <v>0</v>
      </c>
      <c r="K1444" s="10">
        <v>414.32</v>
      </c>
      <c r="L1444" s="6">
        <f t="shared" si="136"/>
        <v>3.4783330566163041E-2</v>
      </c>
      <c r="M1444">
        <f t="shared" si="137"/>
        <v>0.9888305489260143</v>
      </c>
      <c r="N1444">
        <f t="shared" si="138"/>
        <v>7.817358490566038</v>
      </c>
      <c r="O1444">
        <f t="shared" si="139"/>
        <v>2235.6799999999998</v>
      </c>
      <c r="P1444">
        <f t="shared" si="140"/>
        <v>0.12649164677804295</v>
      </c>
      <c r="Q1444" t="s">
        <v>4139</v>
      </c>
      <c r="R1444" t="s">
        <v>4141</v>
      </c>
      <c r="S1444">
        <f>YEAR(marketing_data[[#This Row],[Start_date]])</f>
        <v>2023</v>
      </c>
      <c r="T1444" t="str">
        <f>TEXT(marketing_data[[#This Row],[Start_date]],"ddd")</f>
        <v>Sat</v>
      </c>
      <c r="U1444">
        <f>marketing_data[[#This Row],[Cleaned End_date]]-marketing_data[[#This Row],[Start_date]]</f>
        <v>28</v>
      </c>
    </row>
    <row r="1445" spans="1:21" x14ac:dyDescent="0.2">
      <c r="A1445" t="s">
        <v>2986</v>
      </c>
      <c r="B1445" t="s">
        <v>2987</v>
      </c>
      <c r="C1445" s="2">
        <v>44935</v>
      </c>
      <c r="D1445" t="str">
        <f t="shared" si="135"/>
        <v>Jan</v>
      </c>
      <c r="E1445" s="2">
        <v>44938</v>
      </c>
      <c r="F1445" t="s">
        <v>41</v>
      </c>
      <c r="G1445">
        <v>97999</v>
      </c>
      <c r="H1445">
        <v>4620</v>
      </c>
      <c r="I1445">
        <v>790</v>
      </c>
      <c r="J1445" t="b">
        <v>0</v>
      </c>
      <c r="K1445" s="10">
        <v>3631.7599999999998</v>
      </c>
      <c r="L1445" s="6">
        <f t="shared" si="136"/>
        <v>4.7143338197328542E-2</v>
      </c>
      <c r="M1445">
        <f t="shared" si="137"/>
        <v>0.78609523809523807</v>
      </c>
      <c r="N1445">
        <f t="shared" si="138"/>
        <v>4.5971645569620252</v>
      </c>
      <c r="O1445">
        <f t="shared" si="139"/>
        <v>35868.239999999998</v>
      </c>
      <c r="P1445">
        <f t="shared" si="140"/>
        <v>0.17099567099567101</v>
      </c>
      <c r="Q1445" t="s">
        <v>4138</v>
      </c>
      <c r="R1445" t="s">
        <v>4141</v>
      </c>
      <c r="S1445">
        <f>YEAR(marketing_data[[#This Row],[Start_date]])</f>
        <v>2023</v>
      </c>
      <c r="T1445" t="str">
        <f>TEXT(marketing_data[[#This Row],[Start_date]],"ddd")</f>
        <v>Mon</v>
      </c>
      <c r="U1445">
        <f>marketing_data[[#This Row],[Cleaned End_date]]-marketing_data[[#This Row],[Start_date]]</f>
        <v>3</v>
      </c>
    </row>
    <row r="1446" spans="1:21" x14ac:dyDescent="0.2">
      <c r="A1446" t="s">
        <v>2988</v>
      </c>
      <c r="B1446" t="s">
        <v>2989</v>
      </c>
      <c r="C1446" s="2">
        <v>44930</v>
      </c>
      <c r="D1446" t="str">
        <f t="shared" si="135"/>
        <v>Jan</v>
      </c>
      <c r="E1446" s="2">
        <v>44944</v>
      </c>
      <c r="F1446" t="s">
        <v>14</v>
      </c>
      <c r="G1446">
        <v>29769</v>
      </c>
      <c r="H1446">
        <v>1203</v>
      </c>
      <c r="I1446">
        <v>69</v>
      </c>
      <c r="J1446" t="b">
        <v>1</v>
      </c>
      <c r="K1446" s="10">
        <v>821.43</v>
      </c>
      <c r="L1446" s="6">
        <f t="shared" si="136"/>
        <v>4.0411165978030836E-2</v>
      </c>
      <c r="M1446">
        <f t="shared" si="137"/>
        <v>0.68281795511221943</v>
      </c>
      <c r="N1446">
        <f t="shared" si="138"/>
        <v>11.904782608695651</v>
      </c>
      <c r="O1446">
        <f t="shared" si="139"/>
        <v>2628.57</v>
      </c>
      <c r="P1446">
        <f t="shared" si="140"/>
        <v>5.7356608478802994E-2</v>
      </c>
      <c r="Q1446" t="s">
        <v>4138</v>
      </c>
      <c r="R1446" t="s">
        <v>4141</v>
      </c>
      <c r="S1446">
        <f>YEAR(marketing_data[[#This Row],[Start_date]])</f>
        <v>2023</v>
      </c>
      <c r="T1446" t="str">
        <f>TEXT(marketing_data[[#This Row],[Start_date]],"ddd")</f>
        <v>Wed</v>
      </c>
      <c r="U1446">
        <f>marketing_data[[#This Row],[Cleaned End_date]]-marketing_data[[#This Row],[Start_date]]</f>
        <v>14</v>
      </c>
    </row>
    <row r="1447" spans="1:21" x14ac:dyDescent="0.2">
      <c r="A1447" t="s">
        <v>2990</v>
      </c>
      <c r="B1447" t="s">
        <v>2991</v>
      </c>
      <c r="C1447" s="2">
        <v>45226</v>
      </c>
      <c r="D1447" t="str">
        <f t="shared" si="135"/>
        <v>Oct</v>
      </c>
      <c r="E1447" s="2">
        <v>45249</v>
      </c>
      <c r="F1447" t="s">
        <v>19</v>
      </c>
      <c r="G1447">
        <v>54302</v>
      </c>
      <c r="H1447">
        <v>1730</v>
      </c>
      <c r="I1447">
        <v>243</v>
      </c>
      <c r="J1447" t="b">
        <v>1</v>
      </c>
      <c r="K1447" s="10">
        <v>912.42</v>
      </c>
      <c r="L1447" s="6">
        <f t="shared" si="136"/>
        <v>3.1858863393613497E-2</v>
      </c>
      <c r="M1447">
        <f t="shared" si="137"/>
        <v>0.52741040462427746</v>
      </c>
      <c r="N1447">
        <f t="shared" si="138"/>
        <v>3.7548148148148148</v>
      </c>
      <c r="O1447">
        <f t="shared" si="139"/>
        <v>11237.58</v>
      </c>
      <c r="P1447">
        <f t="shared" si="140"/>
        <v>0.14046242774566475</v>
      </c>
      <c r="Q1447" t="s">
        <v>4136</v>
      </c>
      <c r="R1447" t="s">
        <v>4141</v>
      </c>
      <c r="S1447">
        <f>YEAR(marketing_data[[#This Row],[Start_date]])</f>
        <v>2023</v>
      </c>
      <c r="T1447" t="str">
        <f>TEXT(marketing_data[[#This Row],[Start_date]],"ddd")</f>
        <v>Fri</v>
      </c>
      <c r="U1447">
        <f>marketing_data[[#This Row],[Cleaned End_date]]-marketing_data[[#This Row],[Start_date]]</f>
        <v>23</v>
      </c>
    </row>
    <row r="1448" spans="1:21" x14ac:dyDescent="0.2">
      <c r="A1448" t="s">
        <v>2993</v>
      </c>
      <c r="B1448" t="s">
        <v>2994</v>
      </c>
      <c r="C1448" s="2">
        <v>44964</v>
      </c>
      <c r="D1448" t="str">
        <f t="shared" si="135"/>
        <v>Feb</v>
      </c>
      <c r="E1448" s="2">
        <v>44979</v>
      </c>
      <c r="F1448" t="s">
        <v>23</v>
      </c>
      <c r="G1448">
        <v>24150</v>
      </c>
      <c r="H1448">
        <v>415</v>
      </c>
      <c r="I1448">
        <v>70</v>
      </c>
      <c r="J1448" t="b">
        <v>1</v>
      </c>
      <c r="K1448" s="10">
        <v>770.32</v>
      </c>
      <c r="L1448" s="6">
        <f t="shared" si="136"/>
        <v>1.7184265010351966E-2</v>
      </c>
      <c r="M1448">
        <f t="shared" si="137"/>
        <v>1.8561927710843376</v>
      </c>
      <c r="N1448">
        <f t="shared" si="138"/>
        <v>11.004571428571429</v>
      </c>
      <c r="O1448">
        <f t="shared" si="139"/>
        <v>2729.68</v>
      </c>
      <c r="P1448">
        <f t="shared" si="140"/>
        <v>0.16867469879518071</v>
      </c>
      <c r="Q1448" t="s">
        <v>4138</v>
      </c>
      <c r="R1448" t="s">
        <v>4141</v>
      </c>
      <c r="S1448">
        <f>YEAR(marketing_data[[#This Row],[Start_date]])</f>
        <v>2023</v>
      </c>
      <c r="T1448" t="str">
        <f>TEXT(marketing_data[[#This Row],[Start_date]],"ddd")</f>
        <v>Tue</v>
      </c>
      <c r="U1448">
        <f>marketing_data[[#This Row],[Cleaned End_date]]-marketing_data[[#This Row],[Start_date]]</f>
        <v>15</v>
      </c>
    </row>
    <row r="1449" spans="1:21" x14ac:dyDescent="0.2">
      <c r="A1449" t="s">
        <v>2995</v>
      </c>
      <c r="B1449" t="s">
        <v>2996</v>
      </c>
      <c r="C1449" s="2">
        <v>45075</v>
      </c>
      <c r="D1449" t="str">
        <f t="shared" si="135"/>
        <v>May</v>
      </c>
      <c r="E1449" s="2">
        <v>45090</v>
      </c>
      <c r="F1449" t="s">
        <v>14</v>
      </c>
      <c r="G1449">
        <v>69247</v>
      </c>
      <c r="H1449">
        <v>1962</v>
      </c>
      <c r="I1449">
        <v>144</v>
      </c>
      <c r="J1449" t="b">
        <v>0</v>
      </c>
      <c r="K1449" s="10">
        <v>1183.03</v>
      </c>
      <c r="L1449" s="6">
        <f t="shared" si="136"/>
        <v>2.8333357401764698E-2</v>
      </c>
      <c r="M1449">
        <f t="shared" si="137"/>
        <v>0.60297145769622829</v>
      </c>
      <c r="N1449">
        <f t="shared" si="138"/>
        <v>8.2154861111111117</v>
      </c>
      <c r="O1449">
        <f t="shared" si="139"/>
        <v>6016.97</v>
      </c>
      <c r="P1449">
        <f t="shared" si="140"/>
        <v>7.3394495412844041E-2</v>
      </c>
      <c r="Q1449" t="s">
        <v>4137</v>
      </c>
      <c r="R1449" t="s">
        <v>4141</v>
      </c>
      <c r="S1449">
        <f>YEAR(marketing_data[[#This Row],[Start_date]])</f>
        <v>2023</v>
      </c>
      <c r="T1449" t="str">
        <f>TEXT(marketing_data[[#This Row],[Start_date]],"ddd")</f>
        <v>Mon</v>
      </c>
      <c r="U1449">
        <f>marketing_data[[#This Row],[Cleaned End_date]]-marketing_data[[#This Row],[Start_date]]</f>
        <v>15</v>
      </c>
    </row>
    <row r="1450" spans="1:21" x14ac:dyDescent="0.2">
      <c r="A1450" t="s">
        <v>2997</v>
      </c>
      <c r="B1450" t="s">
        <v>2998</v>
      </c>
      <c r="C1450" s="2">
        <v>44971</v>
      </c>
      <c r="D1450" t="str">
        <f t="shared" si="135"/>
        <v>Feb</v>
      </c>
      <c r="E1450" s="2">
        <v>44976</v>
      </c>
      <c r="F1450" t="s">
        <v>41</v>
      </c>
      <c r="G1450">
        <v>5853</v>
      </c>
      <c r="H1450">
        <v>189</v>
      </c>
      <c r="I1450">
        <v>9</v>
      </c>
      <c r="J1450" t="b">
        <v>1</v>
      </c>
      <c r="K1450" s="10">
        <v>375.7</v>
      </c>
      <c r="L1450" s="6">
        <f t="shared" si="136"/>
        <v>3.2291132752434649E-2</v>
      </c>
      <c r="M1450">
        <f t="shared" si="137"/>
        <v>1.9878306878306877</v>
      </c>
      <c r="N1450">
        <f t="shared" si="138"/>
        <v>41.74444444444444</v>
      </c>
      <c r="O1450">
        <f t="shared" si="139"/>
        <v>74.300000000000011</v>
      </c>
      <c r="P1450">
        <f t="shared" si="140"/>
        <v>4.7619047619047616E-2</v>
      </c>
      <c r="Q1450" t="s">
        <v>4138</v>
      </c>
      <c r="R1450" t="s">
        <v>4138</v>
      </c>
      <c r="S1450">
        <f>YEAR(marketing_data[[#This Row],[Start_date]])</f>
        <v>2023</v>
      </c>
      <c r="T1450" t="str">
        <f>TEXT(marketing_data[[#This Row],[Start_date]],"ddd")</f>
        <v>Tue</v>
      </c>
      <c r="U1450">
        <f>marketing_data[[#This Row],[Cleaned End_date]]-marketing_data[[#This Row],[Start_date]]</f>
        <v>5</v>
      </c>
    </row>
    <row r="1451" spans="1:21" x14ac:dyDescent="0.2">
      <c r="A1451" t="s">
        <v>2999</v>
      </c>
      <c r="B1451" t="s">
        <v>3000</v>
      </c>
      <c r="C1451" s="2">
        <v>45122</v>
      </c>
      <c r="D1451" t="str">
        <f t="shared" si="135"/>
        <v>Jul</v>
      </c>
      <c r="E1451" s="2">
        <v>45146</v>
      </c>
      <c r="F1451" t="s">
        <v>41</v>
      </c>
      <c r="G1451">
        <v>95613</v>
      </c>
      <c r="H1451">
        <v>4260</v>
      </c>
      <c r="I1451">
        <v>412</v>
      </c>
      <c r="J1451" t="b">
        <v>1</v>
      </c>
      <c r="K1451" s="10">
        <v>3631.7599999999998</v>
      </c>
      <c r="L1451" s="6">
        <f t="shared" si="136"/>
        <v>4.4554610774685449E-2</v>
      </c>
      <c r="M1451">
        <f t="shared" si="137"/>
        <v>0.85252582159624413</v>
      </c>
      <c r="N1451">
        <f t="shared" si="138"/>
        <v>8.8149514563106788</v>
      </c>
      <c r="O1451">
        <f t="shared" si="139"/>
        <v>16968.240000000002</v>
      </c>
      <c r="P1451">
        <f t="shared" si="140"/>
        <v>9.6713615023474184E-2</v>
      </c>
      <c r="Q1451" t="s">
        <v>4139</v>
      </c>
      <c r="R1451" t="s">
        <v>4139</v>
      </c>
      <c r="S1451">
        <f>YEAR(marketing_data[[#This Row],[Start_date]])</f>
        <v>2023</v>
      </c>
      <c r="T1451" t="str">
        <f>TEXT(marketing_data[[#This Row],[Start_date]],"ddd")</f>
        <v>Sat</v>
      </c>
      <c r="U1451">
        <f>marketing_data[[#This Row],[Cleaned End_date]]-marketing_data[[#This Row],[Start_date]]</f>
        <v>24</v>
      </c>
    </row>
    <row r="1452" spans="1:21" x14ac:dyDescent="0.2">
      <c r="A1452" t="s">
        <v>3001</v>
      </c>
      <c r="B1452" t="s">
        <v>3002</v>
      </c>
      <c r="C1452" s="2">
        <v>45169</v>
      </c>
      <c r="D1452" t="str">
        <f t="shared" si="135"/>
        <v>Aug</v>
      </c>
      <c r="E1452" s="2">
        <v>45198</v>
      </c>
      <c r="F1452" t="s">
        <v>19</v>
      </c>
      <c r="G1452">
        <v>90399</v>
      </c>
      <c r="H1452">
        <v>2644</v>
      </c>
      <c r="I1452">
        <v>365</v>
      </c>
      <c r="J1452" t="b">
        <v>1</v>
      </c>
      <c r="K1452" s="10">
        <v>1865.42</v>
      </c>
      <c r="L1452" s="6">
        <f t="shared" si="136"/>
        <v>2.9248111151672033E-2</v>
      </c>
      <c r="M1452">
        <f t="shared" si="137"/>
        <v>0.70552950075642973</v>
      </c>
      <c r="N1452">
        <f t="shared" si="138"/>
        <v>5.1107397260273979</v>
      </c>
      <c r="O1452">
        <f t="shared" si="139"/>
        <v>16384.580000000002</v>
      </c>
      <c r="P1452">
        <f t="shared" si="140"/>
        <v>0.1380484114977307</v>
      </c>
      <c r="Q1452" t="s">
        <v>4139</v>
      </c>
      <c r="R1452" t="s">
        <v>4138</v>
      </c>
      <c r="S1452">
        <f>YEAR(marketing_data[[#This Row],[Start_date]])</f>
        <v>2023</v>
      </c>
      <c r="T1452" t="str">
        <f>TEXT(marketing_data[[#This Row],[Start_date]],"ddd")</f>
        <v>Thu</v>
      </c>
      <c r="U1452">
        <f>marketing_data[[#This Row],[Cleaned End_date]]-marketing_data[[#This Row],[Start_date]]</f>
        <v>29</v>
      </c>
    </row>
    <row r="1453" spans="1:21" x14ac:dyDescent="0.2">
      <c r="A1453" t="s">
        <v>3003</v>
      </c>
      <c r="B1453" t="s">
        <v>3004</v>
      </c>
      <c r="C1453" s="2">
        <v>45127</v>
      </c>
      <c r="D1453" t="str">
        <f t="shared" si="135"/>
        <v>Jul</v>
      </c>
      <c r="E1453" s="2">
        <v>45140</v>
      </c>
      <c r="F1453" t="s">
        <v>14</v>
      </c>
      <c r="G1453">
        <v>22792</v>
      </c>
      <c r="H1453">
        <v>1046</v>
      </c>
      <c r="I1453">
        <v>73</v>
      </c>
      <c r="J1453" t="b">
        <v>1</v>
      </c>
      <c r="K1453" s="10">
        <v>1366.47</v>
      </c>
      <c r="L1453" s="6">
        <f t="shared" si="136"/>
        <v>4.5893295893295896E-2</v>
      </c>
      <c r="M1453">
        <f t="shared" si="137"/>
        <v>1.3063766730401529</v>
      </c>
      <c r="N1453">
        <f t="shared" si="138"/>
        <v>18.718767123287673</v>
      </c>
      <c r="O1453">
        <f t="shared" si="139"/>
        <v>2283.5299999999997</v>
      </c>
      <c r="P1453">
        <f t="shared" si="140"/>
        <v>6.9789674952198857E-2</v>
      </c>
      <c r="Q1453" t="s">
        <v>4139</v>
      </c>
      <c r="R1453" t="s">
        <v>4138</v>
      </c>
      <c r="S1453">
        <f>YEAR(marketing_data[[#This Row],[Start_date]])</f>
        <v>2023</v>
      </c>
      <c r="T1453" t="str">
        <f>TEXT(marketing_data[[#This Row],[Start_date]],"ddd")</f>
        <v>Thu</v>
      </c>
      <c r="U1453">
        <f>marketing_data[[#This Row],[Cleaned End_date]]-marketing_data[[#This Row],[Start_date]]</f>
        <v>13</v>
      </c>
    </row>
    <row r="1454" spans="1:21" x14ac:dyDescent="0.2">
      <c r="A1454" t="s">
        <v>3005</v>
      </c>
      <c r="B1454" t="s">
        <v>3006</v>
      </c>
      <c r="C1454" s="2">
        <v>45078</v>
      </c>
      <c r="D1454" t="str">
        <f t="shared" si="135"/>
        <v>Jun</v>
      </c>
      <c r="E1454" s="2">
        <v>45106</v>
      </c>
      <c r="F1454" t="s">
        <v>41</v>
      </c>
      <c r="G1454">
        <v>60129</v>
      </c>
      <c r="H1454">
        <v>2223</v>
      </c>
      <c r="I1454">
        <v>253</v>
      </c>
      <c r="J1454" t="b">
        <v>1</v>
      </c>
      <c r="K1454" s="10">
        <v>1728.12</v>
      </c>
      <c r="L1454" s="6">
        <f t="shared" si="136"/>
        <v>3.6970513396198175E-2</v>
      </c>
      <c r="M1454">
        <f t="shared" si="137"/>
        <v>0.77738191632928466</v>
      </c>
      <c r="N1454">
        <f t="shared" si="138"/>
        <v>6.8305138339920948</v>
      </c>
      <c r="O1454">
        <f t="shared" si="139"/>
        <v>10921.880000000001</v>
      </c>
      <c r="P1454">
        <f t="shared" si="140"/>
        <v>0.11381016644174539</v>
      </c>
      <c r="Q1454" t="s">
        <v>4139</v>
      </c>
      <c r="R1454" t="s">
        <v>4139</v>
      </c>
      <c r="S1454">
        <f>YEAR(marketing_data[[#This Row],[Start_date]])</f>
        <v>2023</v>
      </c>
      <c r="T1454" t="str">
        <f>TEXT(marketing_data[[#This Row],[Start_date]],"ddd")</f>
        <v>Thu</v>
      </c>
      <c r="U1454">
        <f>marketing_data[[#This Row],[Cleaned End_date]]-marketing_data[[#This Row],[Start_date]]</f>
        <v>28</v>
      </c>
    </row>
    <row r="1455" spans="1:21" x14ac:dyDescent="0.2">
      <c r="A1455" t="s">
        <v>3007</v>
      </c>
      <c r="B1455" t="s">
        <v>3008</v>
      </c>
      <c r="C1455" s="2">
        <v>45273</v>
      </c>
      <c r="D1455" t="str">
        <f t="shared" si="135"/>
        <v>Dec</v>
      </c>
      <c r="E1455" s="2">
        <v>45293</v>
      </c>
      <c r="F1455" t="s">
        <v>33</v>
      </c>
      <c r="G1455">
        <v>75478</v>
      </c>
      <c r="H1455">
        <v>1168</v>
      </c>
      <c r="I1455">
        <v>155</v>
      </c>
      <c r="J1455" t="b">
        <v>1</v>
      </c>
      <c r="K1455" s="10">
        <v>1334.13</v>
      </c>
      <c r="L1455" s="6">
        <f t="shared" si="136"/>
        <v>1.5474707861893531E-2</v>
      </c>
      <c r="M1455">
        <f t="shared" si="137"/>
        <v>1.1422345890410961</v>
      </c>
      <c r="N1455">
        <f t="shared" si="138"/>
        <v>8.6072903225806456</v>
      </c>
      <c r="O1455">
        <f t="shared" si="139"/>
        <v>6415.87</v>
      </c>
      <c r="P1455">
        <f t="shared" si="140"/>
        <v>0.1327054794520548</v>
      </c>
      <c r="Q1455" t="s">
        <v>4138</v>
      </c>
      <c r="R1455" t="s">
        <v>4142</v>
      </c>
      <c r="S1455">
        <f>YEAR(marketing_data[[#This Row],[Start_date]])</f>
        <v>2023</v>
      </c>
      <c r="T1455" t="str">
        <f>TEXT(marketing_data[[#This Row],[Start_date]],"ddd")</f>
        <v>Wed</v>
      </c>
      <c r="U1455">
        <f>marketing_data[[#This Row],[Cleaned End_date]]-marketing_data[[#This Row],[Start_date]]</f>
        <v>20</v>
      </c>
    </row>
    <row r="1456" spans="1:21" x14ac:dyDescent="0.2">
      <c r="A1456" t="s">
        <v>3009</v>
      </c>
      <c r="B1456" t="s">
        <v>3010</v>
      </c>
      <c r="C1456" s="2">
        <v>45258</v>
      </c>
      <c r="D1456" t="str">
        <f t="shared" si="135"/>
        <v>Nov</v>
      </c>
      <c r="E1456" s="2">
        <v>45283</v>
      </c>
      <c r="F1456" t="s">
        <v>41</v>
      </c>
      <c r="G1456">
        <v>68298</v>
      </c>
      <c r="H1456">
        <v>3401</v>
      </c>
      <c r="I1456">
        <v>475</v>
      </c>
      <c r="J1456" t="b">
        <v>0</v>
      </c>
      <c r="K1456" s="10">
        <v>2013.86</v>
      </c>
      <c r="L1456" s="6">
        <f t="shared" si="136"/>
        <v>4.9796480131189785E-2</v>
      </c>
      <c r="M1456">
        <f t="shared" si="137"/>
        <v>0.5921376065862981</v>
      </c>
      <c r="N1456">
        <f t="shared" si="138"/>
        <v>4.2397052631578944</v>
      </c>
      <c r="O1456">
        <f t="shared" si="139"/>
        <v>21736.14</v>
      </c>
      <c r="P1456">
        <f t="shared" si="140"/>
        <v>0.13966480446927373</v>
      </c>
      <c r="Q1456" t="s">
        <v>4136</v>
      </c>
      <c r="R1456" t="s">
        <v>4141</v>
      </c>
      <c r="S1456">
        <f>YEAR(marketing_data[[#This Row],[Start_date]])</f>
        <v>2023</v>
      </c>
      <c r="T1456" t="str">
        <f>TEXT(marketing_data[[#This Row],[Start_date]],"ddd")</f>
        <v>Tue</v>
      </c>
      <c r="U1456">
        <f>marketing_data[[#This Row],[Cleaned End_date]]-marketing_data[[#This Row],[Start_date]]</f>
        <v>25</v>
      </c>
    </row>
    <row r="1457" spans="1:21" x14ac:dyDescent="0.2">
      <c r="A1457" t="s">
        <v>3011</v>
      </c>
      <c r="B1457" t="s">
        <v>3012</v>
      </c>
      <c r="C1457" s="2">
        <v>45210</v>
      </c>
      <c r="D1457" t="str">
        <f t="shared" si="135"/>
        <v>Oct</v>
      </c>
      <c r="E1457" s="2">
        <v>45223</v>
      </c>
      <c r="F1457" t="s">
        <v>33</v>
      </c>
      <c r="G1457">
        <v>32987</v>
      </c>
      <c r="H1457">
        <v>1025</v>
      </c>
      <c r="I1457">
        <v>93</v>
      </c>
      <c r="J1457" t="b">
        <v>0</v>
      </c>
      <c r="K1457" s="10">
        <v>856.78</v>
      </c>
      <c r="L1457" s="6">
        <f t="shared" si="136"/>
        <v>3.1072846879073576E-2</v>
      </c>
      <c r="M1457">
        <f t="shared" si="137"/>
        <v>0.83588292682926824</v>
      </c>
      <c r="N1457">
        <f t="shared" si="138"/>
        <v>9.2126881720430109</v>
      </c>
      <c r="O1457">
        <f t="shared" si="139"/>
        <v>3793.2200000000003</v>
      </c>
      <c r="P1457">
        <f t="shared" si="140"/>
        <v>9.0731707317073168E-2</v>
      </c>
      <c r="Q1457" t="s">
        <v>4136</v>
      </c>
      <c r="R1457" t="s">
        <v>4138</v>
      </c>
      <c r="S1457">
        <f>YEAR(marketing_data[[#This Row],[Start_date]])</f>
        <v>2023</v>
      </c>
      <c r="T1457" t="str">
        <f>TEXT(marketing_data[[#This Row],[Start_date]],"ddd")</f>
        <v>Wed</v>
      </c>
      <c r="U1457">
        <f>marketing_data[[#This Row],[Cleaned End_date]]-marketing_data[[#This Row],[Start_date]]</f>
        <v>13</v>
      </c>
    </row>
    <row r="1458" spans="1:21" x14ac:dyDescent="0.2">
      <c r="A1458" t="s">
        <v>3013</v>
      </c>
      <c r="B1458" t="s">
        <v>3014</v>
      </c>
      <c r="C1458" s="2">
        <v>44948</v>
      </c>
      <c r="D1458" t="str">
        <f t="shared" si="135"/>
        <v>Jan</v>
      </c>
      <c r="E1458" s="2">
        <v>44949</v>
      </c>
      <c r="F1458" t="s">
        <v>33</v>
      </c>
      <c r="G1458">
        <v>16850</v>
      </c>
      <c r="H1458">
        <v>432</v>
      </c>
      <c r="J1458" t="b">
        <v>1</v>
      </c>
      <c r="K1458" s="10">
        <v>451.4</v>
      </c>
      <c r="L1458" s="6">
        <f t="shared" si="136"/>
        <v>2.5637982195845697E-2</v>
      </c>
      <c r="M1458">
        <f t="shared" si="137"/>
        <v>1.0449074074074074</v>
      </c>
      <c r="N1458">
        <f t="shared" si="138"/>
        <v>0</v>
      </c>
      <c r="O1458">
        <f t="shared" si="139"/>
        <v>-451.4</v>
      </c>
      <c r="P1458">
        <f t="shared" si="140"/>
        <v>0</v>
      </c>
      <c r="Q1458" t="s">
        <v>4138</v>
      </c>
      <c r="R1458" t="s">
        <v>4142</v>
      </c>
      <c r="S1458">
        <f>YEAR(marketing_data[[#This Row],[Start_date]])</f>
        <v>2023</v>
      </c>
      <c r="T1458" t="str">
        <f>TEXT(marketing_data[[#This Row],[Start_date]],"ddd")</f>
        <v>Sun</v>
      </c>
      <c r="U1458">
        <f>marketing_data[[#This Row],[Cleaned End_date]]-marketing_data[[#This Row],[Start_date]]</f>
        <v>1</v>
      </c>
    </row>
    <row r="1459" spans="1:21" x14ac:dyDescent="0.2">
      <c r="A1459" t="s">
        <v>3016</v>
      </c>
      <c r="B1459" t="s">
        <v>3017</v>
      </c>
      <c r="C1459" s="2">
        <v>45232</v>
      </c>
      <c r="D1459" t="str">
        <f t="shared" si="135"/>
        <v>Nov</v>
      </c>
      <c r="E1459" s="2">
        <v>45250</v>
      </c>
      <c r="F1459" t="s">
        <v>33</v>
      </c>
      <c r="G1459">
        <v>13112</v>
      </c>
      <c r="H1459">
        <v>476</v>
      </c>
      <c r="I1459">
        <v>79</v>
      </c>
      <c r="J1459" t="b">
        <v>0</v>
      </c>
      <c r="K1459" s="10">
        <v>551.19000000000005</v>
      </c>
      <c r="L1459" s="6">
        <f t="shared" si="136"/>
        <v>3.6302623550945698E-2</v>
      </c>
      <c r="M1459">
        <f t="shared" si="137"/>
        <v>1.1579621848739496</v>
      </c>
      <c r="N1459">
        <f t="shared" si="138"/>
        <v>6.9770886075949372</v>
      </c>
      <c r="O1459">
        <f t="shared" si="139"/>
        <v>3398.81</v>
      </c>
      <c r="P1459">
        <f t="shared" si="140"/>
        <v>0.16596638655462184</v>
      </c>
      <c r="Q1459" t="s">
        <v>4136</v>
      </c>
      <c r="R1459" t="s">
        <v>4142</v>
      </c>
      <c r="S1459">
        <f>YEAR(marketing_data[[#This Row],[Start_date]])</f>
        <v>2023</v>
      </c>
      <c r="T1459" t="str">
        <f>TEXT(marketing_data[[#This Row],[Start_date]],"ddd")</f>
        <v>Thu</v>
      </c>
      <c r="U1459">
        <f>marketing_data[[#This Row],[Cleaned End_date]]-marketing_data[[#This Row],[Start_date]]</f>
        <v>18</v>
      </c>
    </row>
    <row r="1460" spans="1:21" x14ac:dyDescent="0.2">
      <c r="A1460" t="s">
        <v>3018</v>
      </c>
      <c r="B1460" t="s">
        <v>3019</v>
      </c>
      <c r="C1460" s="2">
        <v>44970</v>
      </c>
      <c r="D1460" t="str">
        <f t="shared" si="135"/>
        <v>Feb</v>
      </c>
      <c r="E1460" s="2">
        <v>44995</v>
      </c>
      <c r="F1460" t="s">
        <v>14</v>
      </c>
      <c r="G1460">
        <v>25058</v>
      </c>
      <c r="H1460">
        <v>359</v>
      </c>
      <c r="I1460">
        <v>68</v>
      </c>
      <c r="J1460" t="b">
        <v>1</v>
      </c>
      <c r="K1460" s="10">
        <v>705.88</v>
      </c>
      <c r="L1460" s="6">
        <f t="shared" si="136"/>
        <v>1.4326761912363317E-2</v>
      </c>
      <c r="M1460">
        <f t="shared" si="137"/>
        <v>1.9662395543175488</v>
      </c>
      <c r="N1460">
        <f t="shared" si="138"/>
        <v>10.380588235294118</v>
      </c>
      <c r="O1460">
        <f t="shared" si="139"/>
        <v>2694.12</v>
      </c>
      <c r="P1460">
        <f t="shared" si="140"/>
        <v>0.1894150417827298</v>
      </c>
      <c r="Q1460" t="s">
        <v>4138</v>
      </c>
      <c r="R1460" t="s">
        <v>4141</v>
      </c>
      <c r="S1460">
        <f>YEAR(marketing_data[[#This Row],[Start_date]])</f>
        <v>2023</v>
      </c>
      <c r="T1460" t="str">
        <f>TEXT(marketing_data[[#This Row],[Start_date]],"ddd")</f>
        <v>Mon</v>
      </c>
      <c r="U1460">
        <f>marketing_data[[#This Row],[Cleaned End_date]]-marketing_data[[#This Row],[Start_date]]</f>
        <v>25</v>
      </c>
    </row>
    <row r="1461" spans="1:21" x14ac:dyDescent="0.2">
      <c r="A1461" t="s">
        <v>3020</v>
      </c>
      <c r="B1461" t="s">
        <v>3021</v>
      </c>
      <c r="C1461" s="2">
        <v>45103</v>
      </c>
      <c r="D1461" t="str">
        <f t="shared" si="135"/>
        <v>Jun</v>
      </c>
      <c r="E1461" s="2">
        <v>45112</v>
      </c>
      <c r="F1461" t="s">
        <v>33</v>
      </c>
      <c r="G1461">
        <v>46420</v>
      </c>
      <c r="H1461">
        <v>1646</v>
      </c>
      <c r="J1461" t="b">
        <v>0</v>
      </c>
      <c r="K1461" s="10">
        <v>2817.62</v>
      </c>
      <c r="L1461" s="6">
        <f t="shared" si="136"/>
        <v>3.5458853942266264E-2</v>
      </c>
      <c r="M1461">
        <f t="shared" si="137"/>
        <v>1.7117982989064398</v>
      </c>
      <c r="N1461">
        <f t="shared" si="138"/>
        <v>0</v>
      </c>
      <c r="O1461">
        <f t="shared" si="139"/>
        <v>-2817.62</v>
      </c>
      <c r="P1461">
        <f t="shared" si="140"/>
        <v>0</v>
      </c>
      <c r="Q1461" t="s">
        <v>4139</v>
      </c>
      <c r="R1461" t="s">
        <v>4139</v>
      </c>
      <c r="S1461">
        <f>YEAR(marketing_data[[#This Row],[Start_date]])</f>
        <v>2023</v>
      </c>
      <c r="T1461" t="str">
        <f>TEXT(marketing_data[[#This Row],[Start_date]],"ddd")</f>
        <v>Mon</v>
      </c>
      <c r="U1461">
        <f>marketing_data[[#This Row],[Cleaned End_date]]-marketing_data[[#This Row],[Start_date]]</f>
        <v>9</v>
      </c>
    </row>
    <row r="1462" spans="1:21" x14ac:dyDescent="0.2">
      <c r="A1462" t="s">
        <v>3022</v>
      </c>
      <c r="B1462" t="s">
        <v>3023</v>
      </c>
      <c r="C1462" s="2">
        <v>45189</v>
      </c>
      <c r="D1462" t="str">
        <f t="shared" si="135"/>
        <v>Sep</v>
      </c>
      <c r="E1462" s="2">
        <v>45196</v>
      </c>
      <c r="F1462" t="s">
        <v>19</v>
      </c>
      <c r="G1462">
        <v>39890</v>
      </c>
      <c r="H1462">
        <v>1193</v>
      </c>
      <c r="I1462">
        <v>160</v>
      </c>
      <c r="J1462" t="b">
        <v>1</v>
      </c>
      <c r="K1462" s="10">
        <v>3631.7599999999998</v>
      </c>
      <c r="L1462" s="6">
        <f t="shared" si="136"/>
        <v>2.9907244923539734E-2</v>
      </c>
      <c r="M1462">
        <f t="shared" si="137"/>
        <v>3.0442246437552387</v>
      </c>
      <c r="N1462">
        <f t="shared" si="138"/>
        <v>22.698499999999999</v>
      </c>
      <c r="O1462">
        <f t="shared" si="139"/>
        <v>4368.24</v>
      </c>
      <c r="P1462">
        <f t="shared" si="140"/>
        <v>0.13411567476948869</v>
      </c>
      <c r="Q1462" t="s">
        <v>4136</v>
      </c>
      <c r="R1462" t="s">
        <v>4141</v>
      </c>
      <c r="S1462">
        <f>YEAR(marketing_data[[#This Row],[Start_date]])</f>
        <v>2023</v>
      </c>
      <c r="T1462" t="str">
        <f>TEXT(marketing_data[[#This Row],[Start_date]],"ddd")</f>
        <v>Wed</v>
      </c>
      <c r="U1462">
        <f>marketing_data[[#This Row],[Cleaned End_date]]-marketing_data[[#This Row],[Start_date]]</f>
        <v>7</v>
      </c>
    </row>
    <row r="1463" spans="1:21" x14ac:dyDescent="0.2">
      <c r="A1463" t="s">
        <v>3024</v>
      </c>
      <c r="B1463" t="s">
        <v>3025</v>
      </c>
      <c r="C1463" s="2">
        <v>45242</v>
      </c>
      <c r="D1463" t="str">
        <f t="shared" si="135"/>
        <v>Nov</v>
      </c>
      <c r="E1463" s="2">
        <v>45271</v>
      </c>
      <c r="F1463" t="s">
        <v>14</v>
      </c>
      <c r="G1463">
        <v>67017</v>
      </c>
      <c r="H1463">
        <v>1760</v>
      </c>
      <c r="J1463" t="b">
        <v>1</v>
      </c>
      <c r="K1463" s="10">
        <v>2297.79</v>
      </c>
      <c r="L1463" s="6">
        <f t="shared" si="136"/>
        <v>2.6261993225599474E-2</v>
      </c>
      <c r="M1463">
        <f t="shared" si="137"/>
        <v>1.3055625</v>
      </c>
      <c r="N1463">
        <f t="shared" si="138"/>
        <v>0</v>
      </c>
      <c r="O1463">
        <f t="shared" si="139"/>
        <v>-2297.79</v>
      </c>
      <c r="P1463">
        <f t="shared" si="140"/>
        <v>0</v>
      </c>
      <c r="Q1463" t="s">
        <v>4136</v>
      </c>
      <c r="R1463" t="s">
        <v>4139</v>
      </c>
      <c r="S1463">
        <f>YEAR(marketing_data[[#This Row],[Start_date]])</f>
        <v>2023</v>
      </c>
      <c r="T1463" t="str">
        <f>TEXT(marketing_data[[#This Row],[Start_date]],"ddd")</f>
        <v>Sun</v>
      </c>
      <c r="U1463">
        <f>marketing_data[[#This Row],[Cleaned End_date]]-marketing_data[[#This Row],[Start_date]]</f>
        <v>29</v>
      </c>
    </row>
    <row r="1464" spans="1:21" x14ac:dyDescent="0.2">
      <c r="A1464" t="s">
        <v>3026</v>
      </c>
      <c r="B1464" t="s">
        <v>3027</v>
      </c>
      <c r="C1464" s="2">
        <v>45019</v>
      </c>
      <c r="D1464" t="str">
        <f t="shared" si="135"/>
        <v>Apr</v>
      </c>
      <c r="E1464" s="2">
        <v>45049</v>
      </c>
      <c r="F1464" t="s">
        <v>33</v>
      </c>
      <c r="G1464">
        <v>48304</v>
      </c>
      <c r="H1464">
        <v>2324</v>
      </c>
      <c r="J1464" t="b">
        <v>1</v>
      </c>
      <c r="K1464" s="10">
        <v>3631.7599999999998</v>
      </c>
      <c r="L1464" s="6">
        <f t="shared" si="136"/>
        <v>4.8111957601854917E-2</v>
      </c>
      <c r="M1464">
        <f t="shared" si="137"/>
        <v>1.5627194492254732</v>
      </c>
      <c r="N1464">
        <f t="shared" si="138"/>
        <v>0</v>
      </c>
      <c r="O1464">
        <f t="shared" si="139"/>
        <v>-3631.7599999999998</v>
      </c>
      <c r="P1464">
        <f t="shared" si="140"/>
        <v>0</v>
      </c>
      <c r="Q1464" t="s">
        <v>4137</v>
      </c>
      <c r="R1464" t="s">
        <v>4142</v>
      </c>
      <c r="S1464">
        <f>YEAR(marketing_data[[#This Row],[Start_date]])</f>
        <v>2023</v>
      </c>
      <c r="T1464" t="str">
        <f>TEXT(marketing_data[[#This Row],[Start_date]],"ddd")</f>
        <v>Mon</v>
      </c>
      <c r="U1464">
        <f>marketing_data[[#This Row],[Cleaned End_date]]-marketing_data[[#This Row],[Start_date]]</f>
        <v>30</v>
      </c>
    </row>
    <row r="1465" spans="1:21" x14ac:dyDescent="0.2">
      <c r="A1465" t="s">
        <v>3028</v>
      </c>
      <c r="B1465" t="s">
        <v>3029</v>
      </c>
      <c r="C1465" s="2">
        <v>44954</v>
      </c>
      <c r="D1465" t="str">
        <f t="shared" si="135"/>
        <v>Jan</v>
      </c>
      <c r="E1465" s="2">
        <v>44970</v>
      </c>
      <c r="F1465" t="s">
        <v>33</v>
      </c>
      <c r="G1465">
        <v>33921</v>
      </c>
      <c r="H1465">
        <v>1048</v>
      </c>
      <c r="I1465">
        <v>72</v>
      </c>
      <c r="J1465" t="b">
        <v>0</v>
      </c>
      <c r="K1465" s="10">
        <v>1057.42</v>
      </c>
      <c r="L1465" s="6">
        <f t="shared" si="136"/>
        <v>3.0895315586215027E-2</v>
      </c>
      <c r="M1465">
        <f t="shared" si="137"/>
        <v>1.0089885496183206</v>
      </c>
      <c r="N1465">
        <f t="shared" si="138"/>
        <v>14.68638888888889</v>
      </c>
      <c r="O1465">
        <f t="shared" si="139"/>
        <v>2542.58</v>
      </c>
      <c r="P1465">
        <f t="shared" si="140"/>
        <v>6.8702290076335881E-2</v>
      </c>
      <c r="Q1465" t="s">
        <v>4138</v>
      </c>
      <c r="R1465" t="s">
        <v>4139</v>
      </c>
      <c r="S1465">
        <f>YEAR(marketing_data[[#This Row],[Start_date]])</f>
        <v>2023</v>
      </c>
      <c r="T1465" t="str">
        <f>TEXT(marketing_data[[#This Row],[Start_date]],"ddd")</f>
        <v>Sat</v>
      </c>
      <c r="U1465">
        <f>marketing_data[[#This Row],[Cleaned End_date]]-marketing_data[[#This Row],[Start_date]]</f>
        <v>16</v>
      </c>
    </row>
    <row r="1466" spans="1:21" x14ac:dyDescent="0.2">
      <c r="A1466" t="s">
        <v>3030</v>
      </c>
      <c r="B1466" t="s">
        <v>3031</v>
      </c>
      <c r="C1466" s="2">
        <v>45208</v>
      </c>
      <c r="D1466" t="str">
        <f t="shared" si="135"/>
        <v>Oct</v>
      </c>
      <c r="E1466" s="2">
        <v>45222</v>
      </c>
      <c r="F1466" t="s">
        <v>33</v>
      </c>
      <c r="G1466">
        <v>2524</v>
      </c>
      <c r="H1466">
        <v>47</v>
      </c>
      <c r="I1466">
        <v>3</v>
      </c>
      <c r="J1466" t="b">
        <v>1</v>
      </c>
      <c r="K1466" s="10">
        <v>329.13249999999999</v>
      </c>
      <c r="L1466" s="6">
        <f t="shared" si="136"/>
        <v>1.862123613312203E-2</v>
      </c>
      <c r="M1466">
        <f t="shared" si="137"/>
        <v>7.0028191489361697</v>
      </c>
      <c r="N1466">
        <f t="shared" si="138"/>
        <v>109.71083333333333</v>
      </c>
      <c r="O1466">
        <f t="shared" si="139"/>
        <v>-179.13249999999999</v>
      </c>
      <c r="P1466">
        <f t="shared" si="140"/>
        <v>6.3829787234042548E-2</v>
      </c>
      <c r="Q1466" t="s">
        <v>4136</v>
      </c>
      <c r="R1466" t="s">
        <v>4142</v>
      </c>
      <c r="S1466">
        <f>YEAR(marketing_data[[#This Row],[Start_date]])</f>
        <v>2023</v>
      </c>
      <c r="T1466" t="str">
        <f>TEXT(marketing_data[[#This Row],[Start_date]],"ddd")</f>
        <v>Mon</v>
      </c>
      <c r="U1466">
        <f>marketing_data[[#This Row],[Cleaned End_date]]-marketing_data[[#This Row],[Start_date]]</f>
        <v>14</v>
      </c>
    </row>
    <row r="1467" spans="1:21" x14ac:dyDescent="0.2">
      <c r="A1467" t="s">
        <v>3032</v>
      </c>
      <c r="B1467" t="s">
        <v>3033</v>
      </c>
      <c r="C1467" s="2">
        <v>45075</v>
      </c>
      <c r="D1467" t="str">
        <f t="shared" si="135"/>
        <v>May</v>
      </c>
      <c r="E1467" s="2">
        <v>45101</v>
      </c>
      <c r="F1467" t="s">
        <v>23</v>
      </c>
      <c r="G1467">
        <v>16048</v>
      </c>
      <c r="H1467">
        <v>455</v>
      </c>
      <c r="I1467">
        <v>69</v>
      </c>
      <c r="J1467" t="b">
        <v>0</v>
      </c>
      <c r="K1467" s="10">
        <v>905.76</v>
      </c>
      <c r="L1467" s="6">
        <f t="shared" si="136"/>
        <v>2.8352442671984047E-2</v>
      </c>
      <c r="M1467">
        <f t="shared" si="137"/>
        <v>1.9906813186813186</v>
      </c>
      <c r="N1467">
        <f t="shared" si="138"/>
        <v>13.12695652173913</v>
      </c>
      <c r="O1467">
        <f t="shared" si="139"/>
        <v>2544.2399999999998</v>
      </c>
      <c r="P1467">
        <f t="shared" si="140"/>
        <v>0.15164835164835164</v>
      </c>
      <c r="Q1467" t="s">
        <v>4137</v>
      </c>
      <c r="R1467" t="s">
        <v>4139</v>
      </c>
      <c r="S1467">
        <f>YEAR(marketing_data[[#This Row],[Start_date]])</f>
        <v>2023</v>
      </c>
      <c r="T1467" t="str">
        <f>TEXT(marketing_data[[#This Row],[Start_date]],"ddd")</f>
        <v>Mon</v>
      </c>
      <c r="U1467">
        <f>marketing_data[[#This Row],[Cleaned End_date]]-marketing_data[[#This Row],[Start_date]]</f>
        <v>26</v>
      </c>
    </row>
    <row r="1468" spans="1:21" x14ac:dyDescent="0.2">
      <c r="A1468" t="s">
        <v>3034</v>
      </c>
      <c r="B1468" t="s">
        <v>3035</v>
      </c>
      <c r="C1468" s="2">
        <v>45028</v>
      </c>
      <c r="D1468" t="str">
        <f t="shared" si="135"/>
        <v>Apr</v>
      </c>
      <c r="E1468" s="2">
        <v>45057</v>
      </c>
      <c r="F1468" t="s">
        <v>33</v>
      </c>
      <c r="G1468">
        <v>36111</v>
      </c>
      <c r="H1468">
        <v>1689</v>
      </c>
      <c r="I1468">
        <v>150</v>
      </c>
      <c r="J1468" t="b">
        <v>1</v>
      </c>
      <c r="K1468" s="10">
        <v>1641.61</v>
      </c>
      <c r="L1468" s="6">
        <f t="shared" si="136"/>
        <v>4.6772451607543411E-2</v>
      </c>
      <c r="M1468">
        <f t="shared" si="137"/>
        <v>0.97194197750148015</v>
      </c>
      <c r="N1468">
        <f t="shared" si="138"/>
        <v>10.944066666666666</v>
      </c>
      <c r="O1468">
        <f t="shared" si="139"/>
        <v>5858.39</v>
      </c>
      <c r="P1468">
        <f t="shared" si="140"/>
        <v>8.8809946714031973E-2</v>
      </c>
      <c r="Q1468" t="s">
        <v>4137</v>
      </c>
      <c r="R1468" t="s">
        <v>4141</v>
      </c>
      <c r="S1468">
        <f>YEAR(marketing_data[[#This Row],[Start_date]])</f>
        <v>2023</v>
      </c>
      <c r="T1468" t="str">
        <f>TEXT(marketing_data[[#This Row],[Start_date]],"ddd")</f>
        <v>Wed</v>
      </c>
      <c r="U1468">
        <f>marketing_data[[#This Row],[Cleaned End_date]]-marketing_data[[#This Row],[Start_date]]</f>
        <v>29</v>
      </c>
    </row>
    <row r="1469" spans="1:21" x14ac:dyDescent="0.2">
      <c r="A1469" t="s">
        <v>3036</v>
      </c>
      <c r="B1469" t="s">
        <v>3037</v>
      </c>
      <c r="C1469" s="2">
        <v>45096</v>
      </c>
      <c r="D1469" t="str">
        <f t="shared" si="135"/>
        <v>Jun</v>
      </c>
      <c r="E1469" s="2">
        <v>45113</v>
      </c>
      <c r="F1469" t="s">
        <v>19</v>
      </c>
      <c r="G1469">
        <v>38904</v>
      </c>
      <c r="H1469">
        <v>663</v>
      </c>
      <c r="I1469">
        <v>58</v>
      </c>
      <c r="J1469" t="b">
        <v>1</v>
      </c>
      <c r="K1469" s="10">
        <v>1001.81</v>
      </c>
      <c r="L1469" s="6">
        <f t="shared" si="136"/>
        <v>1.704194941394201E-2</v>
      </c>
      <c r="M1469">
        <f t="shared" si="137"/>
        <v>1.5110256410256409</v>
      </c>
      <c r="N1469">
        <f t="shared" si="138"/>
        <v>17.272586206896552</v>
      </c>
      <c r="O1469">
        <f t="shared" si="139"/>
        <v>1898.19</v>
      </c>
      <c r="P1469">
        <f t="shared" si="140"/>
        <v>8.7481146304675711E-2</v>
      </c>
      <c r="Q1469" t="s">
        <v>4139</v>
      </c>
      <c r="R1469" t="s">
        <v>4142</v>
      </c>
      <c r="S1469">
        <f>YEAR(marketing_data[[#This Row],[Start_date]])</f>
        <v>2023</v>
      </c>
      <c r="T1469" t="str">
        <f>TEXT(marketing_data[[#This Row],[Start_date]],"ddd")</f>
        <v>Mon</v>
      </c>
      <c r="U1469">
        <f>marketing_data[[#This Row],[Cleaned End_date]]-marketing_data[[#This Row],[Start_date]]</f>
        <v>17</v>
      </c>
    </row>
    <row r="1470" spans="1:21" x14ac:dyDescent="0.2">
      <c r="A1470" t="s">
        <v>3038</v>
      </c>
      <c r="B1470" t="s">
        <v>3039</v>
      </c>
      <c r="C1470" s="2">
        <v>45047</v>
      </c>
      <c r="D1470" t="str">
        <f t="shared" si="135"/>
        <v>May</v>
      </c>
      <c r="E1470" s="2">
        <v>45058</v>
      </c>
      <c r="F1470" t="str">
        <f>F1469</f>
        <v>Facebook</v>
      </c>
      <c r="G1470">
        <v>55912</v>
      </c>
      <c r="H1470">
        <v>1037</v>
      </c>
      <c r="I1470">
        <v>207</v>
      </c>
      <c r="J1470" t="b">
        <v>1</v>
      </c>
      <c r="K1470" s="10">
        <v>1831.83</v>
      </c>
      <c r="L1470" s="6">
        <f t="shared" si="136"/>
        <v>1.8547002432393763E-2</v>
      </c>
      <c r="M1470">
        <f t="shared" si="137"/>
        <v>1.766470588235294</v>
      </c>
      <c r="N1470">
        <f t="shared" si="138"/>
        <v>8.8494202898550718</v>
      </c>
      <c r="O1470">
        <f t="shared" si="139"/>
        <v>8518.17</v>
      </c>
      <c r="P1470">
        <f t="shared" si="140"/>
        <v>0.19961427193828352</v>
      </c>
      <c r="Q1470" t="s">
        <v>4137</v>
      </c>
      <c r="R1470" t="s">
        <v>4139</v>
      </c>
      <c r="S1470">
        <f>YEAR(marketing_data[[#This Row],[Start_date]])</f>
        <v>2023</v>
      </c>
      <c r="T1470" t="str">
        <f>TEXT(marketing_data[[#This Row],[Start_date]],"ddd")</f>
        <v>Mon</v>
      </c>
      <c r="U1470">
        <f>marketing_data[[#This Row],[Cleaned End_date]]-marketing_data[[#This Row],[Start_date]]</f>
        <v>11</v>
      </c>
    </row>
    <row r="1471" spans="1:21" x14ac:dyDescent="0.2">
      <c r="A1471" t="s">
        <v>3040</v>
      </c>
      <c r="B1471" t="s">
        <v>3041</v>
      </c>
      <c r="C1471" s="2">
        <v>45026</v>
      </c>
      <c r="D1471" t="str">
        <f t="shared" si="135"/>
        <v>Apr</v>
      </c>
      <c r="E1471" s="2">
        <v>45037</v>
      </c>
      <c r="F1471" t="s">
        <v>33</v>
      </c>
      <c r="G1471">
        <v>35008</v>
      </c>
      <c r="H1471">
        <v>368</v>
      </c>
      <c r="I1471">
        <v>28</v>
      </c>
      <c r="J1471" t="b">
        <v>0</v>
      </c>
      <c r="K1471" s="10">
        <v>689.53</v>
      </c>
      <c r="L1471" s="6">
        <f t="shared" si="136"/>
        <v>1.0511882998171846E-2</v>
      </c>
      <c r="M1471">
        <f t="shared" si="137"/>
        <v>1.8737228260869565</v>
      </c>
      <c r="N1471">
        <f t="shared" si="138"/>
        <v>24.626071428571429</v>
      </c>
      <c r="O1471">
        <f t="shared" si="139"/>
        <v>710.47</v>
      </c>
      <c r="P1471">
        <f t="shared" si="140"/>
        <v>7.6086956521739135E-2</v>
      </c>
      <c r="Q1471" t="s">
        <v>4137</v>
      </c>
      <c r="R1471" t="s">
        <v>4138</v>
      </c>
      <c r="S1471">
        <f>YEAR(marketing_data[[#This Row],[Start_date]])</f>
        <v>2023</v>
      </c>
      <c r="T1471" t="str">
        <f>TEXT(marketing_data[[#This Row],[Start_date]],"ddd")</f>
        <v>Mon</v>
      </c>
      <c r="U1471">
        <f>marketing_data[[#This Row],[Cleaned End_date]]-marketing_data[[#This Row],[Start_date]]</f>
        <v>11</v>
      </c>
    </row>
    <row r="1472" spans="1:21" x14ac:dyDescent="0.2">
      <c r="A1472" t="s">
        <v>3042</v>
      </c>
      <c r="B1472" t="s">
        <v>3043</v>
      </c>
      <c r="C1472" s="2">
        <v>45242</v>
      </c>
      <c r="D1472" t="str">
        <f t="shared" si="135"/>
        <v>Nov</v>
      </c>
      <c r="E1472" s="2">
        <v>45243</v>
      </c>
      <c r="F1472" t="str">
        <f>F1471</f>
        <v>Instagram</v>
      </c>
      <c r="G1472">
        <v>1060</v>
      </c>
      <c r="H1472">
        <v>11</v>
      </c>
      <c r="I1472">
        <v>0</v>
      </c>
      <c r="J1472" t="b">
        <v>0</v>
      </c>
      <c r="K1472" s="10">
        <v>329.13249999999999</v>
      </c>
      <c r="L1472" s="6">
        <f t="shared" si="136"/>
        <v>1.0377358490566037E-2</v>
      </c>
      <c r="M1472">
        <f t="shared" si="137"/>
        <v>29.921136363636364</v>
      </c>
      <c r="N1472">
        <f t="shared" si="138"/>
        <v>0</v>
      </c>
      <c r="O1472">
        <f t="shared" si="139"/>
        <v>-329.13249999999999</v>
      </c>
      <c r="P1472">
        <f t="shared" si="140"/>
        <v>0</v>
      </c>
      <c r="Q1472" t="s">
        <v>4136</v>
      </c>
      <c r="R1472" t="s">
        <v>4139</v>
      </c>
      <c r="S1472">
        <f>YEAR(marketing_data[[#This Row],[Start_date]])</f>
        <v>2023</v>
      </c>
      <c r="T1472" t="str">
        <f>TEXT(marketing_data[[#This Row],[Start_date]],"ddd")</f>
        <v>Sun</v>
      </c>
      <c r="U1472">
        <f>marketing_data[[#This Row],[Cleaned End_date]]-marketing_data[[#This Row],[Start_date]]</f>
        <v>1</v>
      </c>
    </row>
    <row r="1473" spans="1:21" x14ac:dyDescent="0.2">
      <c r="A1473" t="s">
        <v>3044</v>
      </c>
      <c r="B1473" t="s">
        <v>3045</v>
      </c>
      <c r="C1473" s="2">
        <v>45005</v>
      </c>
      <c r="D1473" t="str">
        <f t="shared" si="135"/>
        <v>Mar</v>
      </c>
      <c r="E1473" s="2">
        <v>45021</v>
      </c>
      <c r="F1473" t="s">
        <v>41</v>
      </c>
      <c r="G1473">
        <v>75666</v>
      </c>
      <c r="H1473">
        <v>3266</v>
      </c>
      <c r="I1473">
        <v>211</v>
      </c>
      <c r="J1473" t="b">
        <v>0</v>
      </c>
      <c r="K1473" s="10">
        <v>3022.4</v>
      </c>
      <c r="L1473" s="6">
        <f t="shared" si="136"/>
        <v>4.316337588877435E-2</v>
      </c>
      <c r="M1473">
        <f t="shared" si="137"/>
        <v>0.92541334966319655</v>
      </c>
      <c r="N1473">
        <f t="shared" si="138"/>
        <v>14.324170616113744</v>
      </c>
      <c r="O1473">
        <f t="shared" si="139"/>
        <v>7527.6</v>
      </c>
      <c r="P1473">
        <f t="shared" si="140"/>
        <v>6.4605021432945497E-2</v>
      </c>
      <c r="Q1473" t="s">
        <v>4137</v>
      </c>
      <c r="R1473" t="s">
        <v>4138</v>
      </c>
      <c r="S1473">
        <f>YEAR(marketing_data[[#This Row],[Start_date]])</f>
        <v>2023</v>
      </c>
      <c r="T1473" t="str">
        <f>TEXT(marketing_data[[#This Row],[Start_date]],"ddd")</f>
        <v>Mon</v>
      </c>
      <c r="U1473">
        <f>marketing_data[[#This Row],[Cleaned End_date]]-marketing_data[[#This Row],[Start_date]]</f>
        <v>16</v>
      </c>
    </row>
    <row r="1474" spans="1:21" x14ac:dyDescent="0.2">
      <c r="A1474" t="s">
        <v>3046</v>
      </c>
      <c r="B1474" t="s">
        <v>3047</v>
      </c>
      <c r="C1474" s="2">
        <v>45088</v>
      </c>
      <c r="D1474" t="str">
        <f t="shared" si="135"/>
        <v>Jun</v>
      </c>
      <c r="E1474" s="2">
        <v>45105</v>
      </c>
      <c r="F1474" t="s">
        <v>14</v>
      </c>
      <c r="G1474">
        <v>84559</v>
      </c>
      <c r="H1474">
        <v>3321</v>
      </c>
      <c r="I1474">
        <v>454</v>
      </c>
      <c r="J1474" t="b">
        <v>0</v>
      </c>
      <c r="K1474" s="10">
        <v>3285.87</v>
      </c>
      <c r="L1474" s="6">
        <f t="shared" si="136"/>
        <v>3.9274352818741941E-2</v>
      </c>
      <c r="M1474">
        <f t="shared" si="137"/>
        <v>0.98942186088527551</v>
      </c>
      <c r="N1474">
        <f t="shared" si="138"/>
        <v>7.2375991189427307</v>
      </c>
      <c r="O1474">
        <f t="shared" si="139"/>
        <v>19414.13</v>
      </c>
      <c r="P1474">
        <f t="shared" si="140"/>
        <v>0.13670581150255948</v>
      </c>
      <c r="Q1474" t="s">
        <v>4139</v>
      </c>
      <c r="R1474" t="s">
        <v>4141</v>
      </c>
      <c r="S1474">
        <f>YEAR(marketing_data[[#This Row],[Start_date]])</f>
        <v>2023</v>
      </c>
      <c r="T1474" t="str">
        <f>TEXT(marketing_data[[#This Row],[Start_date]],"ddd")</f>
        <v>Sun</v>
      </c>
      <c r="U1474">
        <f>marketing_data[[#This Row],[Cleaned End_date]]-marketing_data[[#This Row],[Start_date]]</f>
        <v>17</v>
      </c>
    </row>
    <row r="1475" spans="1:21" x14ac:dyDescent="0.2">
      <c r="A1475" t="s">
        <v>3048</v>
      </c>
      <c r="B1475" t="s">
        <v>3049</v>
      </c>
      <c r="C1475" s="2">
        <v>45087</v>
      </c>
      <c r="D1475" t="str">
        <f t="shared" ref="D1475:D1538" si="141">TEXT(C1475,"mmm")</f>
        <v>Jun</v>
      </c>
      <c r="E1475" s="2">
        <v>45107</v>
      </c>
      <c r="F1475" t="s">
        <v>33</v>
      </c>
      <c r="G1475">
        <v>56337</v>
      </c>
      <c r="H1475">
        <v>1363</v>
      </c>
      <c r="I1475">
        <v>196</v>
      </c>
      <c r="J1475" t="b">
        <v>0</v>
      </c>
      <c r="K1475" s="10">
        <v>723.94</v>
      </c>
      <c r="L1475" s="6">
        <f t="shared" ref="L1475:L1538" si="142">H1475/G1475</f>
        <v>2.4193691534870512E-2</v>
      </c>
      <c r="M1475">
        <f t="shared" ref="M1475:M1538" si="143">K1475/H1475</f>
        <v>0.53113719735876741</v>
      </c>
      <c r="N1475">
        <f t="shared" ref="N1475:N1538" si="144">IFERROR(K1475/I1475,0)</f>
        <v>3.6935714285714289</v>
      </c>
      <c r="O1475">
        <f t="shared" ref="O1475:O1538" si="145">(50*I1475)-K1475</f>
        <v>9076.06</v>
      </c>
      <c r="P1475">
        <f t="shared" ref="P1475:P1538" si="146">I1475/H1475</f>
        <v>0.1438004402054292</v>
      </c>
      <c r="Q1475" t="s">
        <v>4139</v>
      </c>
      <c r="R1475" t="s">
        <v>4139</v>
      </c>
      <c r="S1475">
        <f>YEAR(marketing_data[[#This Row],[Start_date]])</f>
        <v>2023</v>
      </c>
      <c r="T1475" t="str">
        <f>TEXT(marketing_data[[#This Row],[Start_date]],"ddd")</f>
        <v>Sat</v>
      </c>
      <c r="U1475">
        <f>marketing_data[[#This Row],[Cleaned End_date]]-marketing_data[[#This Row],[Start_date]]</f>
        <v>20</v>
      </c>
    </row>
    <row r="1476" spans="1:21" x14ac:dyDescent="0.2">
      <c r="A1476" t="s">
        <v>3050</v>
      </c>
      <c r="B1476" t="s">
        <v>3051</v>
      </c>
      <c r="C1476" s="2">
        <v>45255</v>
      </c>
      <c r="D1476" t="str">
        <f t="shared" si="141"/>
        <v>Nov</v>
      </c>
      <c r="E1476" s="2">
        <v>45268</v>
      </c>
      <c r="F1476" t="str">
        <f>F1475</f>
        <v>Instagram</v>
      </c>
      <c r="G1476">
        <v>14350</v>
      </c>
      <c r="H1476">
        <v>544</v>
      </c>
      <c r="I1476">
        <v>57</v>
      </c>
      <c r="J1476" t="b">
        <v>0</v>
      </c>
      <c r="K1476" s="10">
        <v>892.88</v>
      </c>
      <c r="L1476" s="6">
        <f t="shared" si="142"/>
        <v>3.7909407665505226E-2</v>
      </c>
      <c r="M1476">
        <f t="shared" si="143"/>
        <v>1.6413235294117647</v>
      </c>
      <c r="N1476">
        <f t="shared" si="144"/>
        <v>15.664561403508772</v>
      </c>
      <c r="O1476">
        <f t="shared" si="145"/>
        <v>1957.12</v>
      </c>
      <c r="P1476">
        <f t="shared" si="146"/>
        <v>0.10477941176470588</v>
      </c>
      <c r="Q1476" t="s">
        <v>4136</v>
      </c>
      <c r="R1476" t="s">
        <v>4142</v>
      </c>
      <c r="S1476">
        <f>YEAR(marketing_data[[#This Row],[Start_date]])</f>
        <v>2023</v>
      </c>
      <c r="T1476" t="str">
        <f>TEXT(marketing_data[[#This Row],[Start_date]],"ddd")</f>
        <v>Sat</v>
      </c>
      <c r="U1476">
        <f>marketing_data[[#This Row],[Cleaned End_date]]-marketing_data[[#This Row],[Start_date]]</f>
        <v>13</v>
      </c>
    </row>
    <row r="1477" spans="1:21" x14ac:dyDescent="0.2">
      <c r="A1477" t="s">
        <v>3052</v>
      </c>
      <c r="B1477" t="s">
        <v>3053</v>
      </c>
      <c r="C1477" s="2">
        <v>44995</v>
      </c>
      <c r="D1477" t="str">
        <f t="shared" si="141"/>
        <v>Mar</v>
      </c>
      <c r="E1477" s="2">
        <v>45022</v>
      </c>
      <c r="F1477" t="s">
        <v>41</v>
      </c>
      <c r="G1477">
        <v>25354</v>
      </c>
      <c r="H1477">
        <v>654</v>
      </c>
      <c r="I1477">
        <v>85</v>
      </c>
      <c r="J1477" t="b">
        <v>1</v>
      </c>
      <c r="K1477" s="10">
        <v>368.93</v>
      </c>
      <c r="L1477" s="6">
        <f t="shared" si="142"/>
        <v>2.5794746391101995E-2</v>
      </c>
      <c r="M1477">
        <f t="shared" si="143"/>
        <v>0.56411314984709482</v>
      </c>
      <c r="N1477">
        <f t="shared" si="144"/>
        <v>4.3403529411764703</v>
      </c>
      <c r="O1477">
        <f t="shared" si="145"/>
        <v>3881.07</v>
      </c>
      <c r="P1477">
        <f t="shared" si="146"/>
        <v>0.12996941896024464</v>
      </c>
      <c r="Q1477" t="s">
        <v>4137</v>
      </c>
      <c r="R1477" t="s">
        <v>4141</v>
      </c>
      <c r="S1477">
        <f>YEAR(marketing_data[[#This Row],[Start_date]])</f>
        <v>2023</v>
      </c>
      <c r="T1477" t="str">
        <f>TEXT(marketing_data[[#This Row],[Start_date]],"ddd")</f>
        <v>Fri</v>
      </c>
      <c r="U1477">
        <f>marketing_data[[#This Row],[Cleaned End_date]]-marketing_data[[#This Row],[Start_date]]</f>
        <v>27</v>
      </c>
    </row>
    <row r="1478" spans="1:21" x14ac:dyDescent="0.2">
      <c r="A1478" t="s">
        <v>3054</v>
      </c>
      <c r="B1478" t="s">
        <v>3055</v>
      </c>
      <c r="C1478" s="2">
        <v>45172</v>
      </c>
      <c r="D1478" t="str">
        <f t="shared" si="141"/>
        <v>Sep</v>
      </c>
      <c r="E1478" s="2">
        <v>45187</v>
      </c>
      <c r="F1478" t="s">
        <v>33</v>
      </c>
      <c r="G1478">
        <v>46186</v>
      </c>
      <c r="H1478">
        <v>2222</v>
      </c>
      <c r="I1478">
        <v>373</v>
      </c>
      <c r="J1478" t="b">
        <v>0</v>
      </c>
      <c r="K1478" s="10">
        <v>3631.7599999999998</v>
      </c>
      <c r="L1478" s="6">
        <f t="shared" si="142"/>
        <v>4.8109816827610098E-2</v>
      </c>
      <c r="M1478">
        <f t="shared" si="143"/>
        <v>1.6344554455445544</v>
      </c>
      <c r="N1478">
        <f t="shared" si="144"/>
        <v>9.7366219839142083</v>
      </c>
      <c r="O1478">
        <f t="shared" si="145"/>
        <v>15018.24</v>
      </c>
      <c r="P1478">
        <f t="shared" si="146"/>
        <v>0.16786678667866786</v>
      </c>
      <c r="Q1478" t="s">
        <v>4136</v>
      </c>
      <c r="R1478" t="s">
        <v>4141</v>
      </c>
      <c r="S1478">
        <f>YEAR(marketing_data[[#This Row],[Start_date]])</f>
        <v>2023</v>
      </c>
      <c r="T1478" t="str">
        <f>TEXT(marketing_data[[#This Row],[Start_date]],"ddd")</f>
        <v>Sun</v>
      </c>
      <c r="U1478">
        <f>marketing_data[[#This Row],[Cleaned End_date]]-marketing_data[[#This Row],[Start_date]]</f>
        <v>15</v>
      </c>
    </row>
    <row r="1479" spans="1:21" x14ac:dyDescent="0.2">
      <c r="A1479" t="s">
        <v>3056</v>
      </c>
      <c r="B1479" t="s">
        <v>3057</v>
      </c>
      <c r="C1479" s="2">
        <v>45083</v>
      </c>
      <c r="D1479" t="str">
        <f t="shared" si="141"/>
        <v>Jun</v>
      </c>
      <c r="E1479" s="2">
        <v>45103</v>
      </c>
      <c r="F1479" t="s">
        <v>14</v>
      </c>
      <c r="G1479">
        <v>29145</v>
      </c>
      <c r="H1479">
        <v>1418</v>
      </c>
      <c r="J1479" t="b">
        <v>1</v>
      </c>
      <c r="K1479" s="10">
        <v>961.39</v>
      </c>
      <c r="L1479" s="6">
        <f t="shared" si="142"/>
        <v>4.865328529764968E-2</v>
      </c>
      <c r="M1479">
        <f t="shared" si="143"/>
        <v>0.67799012693935123</v>
      </c>
      <c r="N1479">
        <f t="shared" si="144"/>
        <v>0</v>
      </c>
      <c r="O1479">
        <f t="shared" si="145"/>
        <v>-961.39</v>
      </c>
      <c r="P1479">
        <f t="shared" si="146"/>
        <v>0</v>
      </c>
      <c r="Q1479" t="s">
        <v>4139</v>
      </c>
      <c r="R1479" t="s">
        <v>4138</v>
      </c>
      <c r="S1479">
        <f>YEAR(marketing_data[[#This Row],[Start_date]])</f>
        <v>2023</v>
      </c>
      <c r="T1479" t="str">
        <f>TEXT(marketing_data[[#This Row],[Start_date]],"ddd")</f>
        <v>Tue</v>
      </c>
      <c r="U1479">
        <f>marketing_data[[#This Row],[Cleaned End_date]]-marketing_data[[#This Row],[Start_date]]</f>
        <v>20</v>
      </c>
    </row>
    <row r="1480" spans="1:21" x14ac:dyDescent="0.2">
      <c r="A1480" t="s">
        <v>3058</v>
      </c>
      <c r="B1480" t="s">
        <v>3059</v>
      </c>
      <c r="C1480" s="2">
        <v>45257</v>
      </c>
      <c r="D1480" t="str">
        <f t="shared" si="141"/>
        <v>Nov</v>
      </c>
      <c r="E1480" s="2">
        <v>45264</v>
      </c>
      <c r="F1480" t="s">
        <v>14</v>
      </c>
      <c r="G1480">
        <v>35020</v>
      </c>
      <c r="H1480">
        <v>900</v>
      </c>
      <c r="J1480" t="b">
        <v>1</v>
      </c>
      <c r="K1480" s="10">
        <v>682.03</v>
      </c>
      <c r="L1480" s="6">
        <f t="shared" si="142"/>
        <v>2.5699600228440891E-2</v>
      </c>
      <c r="M1480">
        <f t="shared" si="143"/>
        <v>0.7578111111111111</v>
      </c>
      <c r="N1480">
        <f t="shared" si="144"/>
        <v>0</v>
      </c>
      <c r="O1480">
        <f t="shared" si="145"/>
        <v>-682.03</v>
      </c>
      <c r="P1480">
        <f t="shared" si="146"/>
        <v>0</v>
      </c>
      <c r="Q1480" t="s">
        <v>4136</v>
      </c>
      <c r="R1480" t="s">
        <v>4138</v>
      </c>
      <c r="S1480">
        <f>YEAR(marketing_data[[#This Row],[Start_date]])</f>
        <v>2023</v>
      </c>
      <c r="T1480" t="str">
        <f>TEXT(marketing_data[[#This Row],[Start_date]],"ddd")</f>
        <v>Mon</v>
      </c>
      <c r="U1480">
        <f>marketing_data[[#This Row],[Cleaned End_date]]-marketing_data[[#This Row],[Start_date]]</f>
        <v>7</v>
      </c>
    </row>
    <row r="1481" spans="1:21" x14ac:dyDescent="0.2">
      <c r="A1481" t="s">
        <v>3060</v>
      </c>
      <c r="B1481" t="s">
        <v>3061</v>
      </c>
      <c r="C1481" s="2">
        <v>44998</v>
      </c>
      <c r="D1481" t="str">
        <f t="shared" si="141"/>
        <v>Mar</v>
      </c>
      <c r="E1481" s="2">
        <v>45010</v>
      </c>
      <c r="F1481" t="s">
        <v>14</v>
      </c>
      <c r="G1481">
        <v>87123</v>
      </c>
      <c r="H1481">
        <v>3848</v>
      </c>
      <c r="I1481">
        <v>668</v>
      </c>
      <c r="J1481" t="b">
        <v>1</v>
      </c>
      <c r="K1481" s="10">
        <v>3631.7599999999998</v>
      </c>
      <c r="L1481" s="6">
        <f t="shared" si="142"/>
        <v>4.4167441433375802E-2</v>
      </c>
      <c r="M1481">
        <f t="shared" si="143"/>
        <v>0.94380457380457372</v>
      </c>
      <c r="N1481">
        <f t="shared" si="144"/>
        <v>5.4367664670658682</v>
      </c>
      <c r="O1481">
        <f t="shared" si="145"/>
        <v>29768.240000000002</v>
      </c>
      <c r="P1481">
        <f t="shared" si="146"/>
        <v>0.17359667359667361</v>
      </c>
      <c r="Q1481" t="s">
        <v>4137</v>
      </c>
      <c r="R1481" t="s">
        <v>4139</v>
      </c>
      <c r="S1481">
        <f>YEAR(marketing_data[[#This Row],[Start_date]])</f>
        <v>2023</v>
      </c>
      <c r="T1481" t="str">
        <f>TEXT(marketing_data[[#This Row],[Start_date]],"ddd")</f>
        <v>Mon</v>
      </c>
      <c r="U1481">
        <f>marketing_data[[#This Row],[Cleaned End_date]]-marketing_data[[#This Row],[Start_date]]</f>
        <v>12</v>
      </c>
    </row>
    <row r="1482" spans="1:21" x14ac:dyDescent="0.2">
      <c r="A1482" t="s">
        <v>3062</v>
      </c>
      <c r="B1482" t="s">
        <v>3063</v>
      </c>
      <c r="C1482" s="2">
        <v>45247</v>
      </c>
      <c r="D1482" t="str">
        <f t="shared" si="141"/>
        <v>Nov</v>
      </c>
      <c r="E1482" s="2">
        <v>45252</v>
      </c>
      <c r="F1482" t="s">
        <v>14</v>
      </c>
      <c r="G1482">
        <v>76186</v>
      </c>
      <c r="H1482">
        <v>3117</v>
      </c>
      <c r="I1482">
        <v>419</v>
      </c>
      <c r="J1482" t="b">
        <v>1</v>
      </c>
      <c r="K1482" s="10">
        <v>3631.7599999999998</v>
      </c>
      <c r="L1482" s="6">
        <f t="shared" si="142"/>
        <v>4.0913028640432628E-2</v>
      </c>
      <c r="M1482">
        <f t="shared" si="143"/>
        <v>1.165145973692653</v>
      </c>
      <c r="N1482">
        <f t="shared" si="144"/>
        <v>8.6676849642004772</v>
      </c>
      <c r="O1482">
        <f t="shared" si="145"/>
        <v>17318.240000000002</v>
      </c>
      <c r="P1482">
        <f t="shared" si="146"/>
        <v>0.13442412576195059</v>
      </c>
      <c r="Q1482" t="s">
        <v>4136</v>
      </c>
      <c r="R1482" t="s">
        <v>4139</v>
      </c>
      <c r="S1482">
        <f>YEAR(marketing_data[[#This Row],[Start_date]])</f>
        <v>2023</v>
      </c>
      <c r="T1482" t="str">
        <f>TEXT(marketing_data[[#This Row],[Start_date]],"ddd")</f>
        <v>Fri</v>
      </c>
      <c r="U1482">
        <f>marketing_data[[#This Row],[Cleaned End_date]]-marketing_data[[#This Row],[Start_date]]</f>
        <v>5</v>
      </c>
    </row>
    <row r="1483" spans="1:21" x14ac:dyDescent="0.2">
      <c r="A1483" t="s">
        <v>3065</v>
      </c>
      <c r="B1483" t="s">
        <v>3066</v>
      </c>
      <c r="C1483" s="2">
        <v>44965</v>
      </c>
      <c r="D1483" t="str">
        <f t="shared" si="141"/>
        <v>Feb</v>
      </c>
      <c r="E1483" s="2">
        <v>44988</v>
      </c>
      <c r="F1483" t="s">
        <v>19</v>
      </c>
      <c r="G1483">
        <v>86469</v>
      </c>
      <c r="H1483">
        <v>1936</v>
      </c>
      <c r="I1483">
        <v>148</v>
      </c>
      <c r="J1483" t="b">
        <v>1</v>
      </c>
      <c r="K1483" s="10">
        <v>1371.66</v>
      </c>
      <c r="L1483" s="6">
        <f t="shared" si="142"/>
        <v>2.2389526882466548E-2</v>
      </c>
      <c r="M1483">
        <f t="shared" si="143"/>
        <v>0.70850206611570254</v>
      </c>
      <c r="N1483">
        <f t="shared" si="144"/>
        <v>9.2679729729729736</v>
      </c>
      <c r="O1483">
        <f t="shared" si="145"/>
        <v>6028.34</v>
      </c>
      <c r="P1483">
        <f t="shared" si="146"/>
        <v>7.6446280991735532E-2</v>
      </c>
      <c r="Q1483" t="s">
        <v>4138</v>
      </c>
      <c r="R1483" t="s">
        <v>4138</v>
      </c>
      <c r="S1483">
        <f>YEAR(marketing_data[[#This Row],[Start_date]])</f>
        <v>2023</v>
      </c>
      <c r="T1483" t="str">
        <f>TEXT(marketing_data[[#This Row],[Start_date]],"ddd")</f>
        <v>Wed</v>
      </c>
      <c r="U1483">
        <f>marketing_data[[#This Row],[Cleaned End_date]]-marketing_data[[#This Row],[Start_date]]</f>
        <v>23</v>
      </c>
    </row>
    <row r="1484" spans="1:21" x14ac:dyDescent="0.2">
      <c r="A1484" t="s">
        <v>3067</v>
      </c>
      <c r="B1484" t="s">
        <v>3068</v>
      </c>
      <c r="C1484" s="2">
        <v>45250</v>
      </c>
      <c r="D1484" t="str">
        <f t="shared" si="141"/>
        <v>Nov</v>
      </c>
      <c r="E1484" s="2">
        <v>45253</v>
      </c>
      <c r="F1484" t="s">
        <v>41</v>
      </c>
      <c r="G1484">
        <v>21581</v>
      </c>
      <c r="H1484">
        <v>416</v>
      </c>
      <c r="I1484">
        <v>27</v>
      </c>
      <c r="J1484" t="b">
        <v>1</v>
      </c>
      <c r="K1484" s="10">
        <v>482.6</v>
      </c>
      <c r="L1484" s="6">
        <f t="shared" si="142"/>
        <v>1.9276215189286874E-2</v>
      </c>
      <c r="M1484">
        <f t="shared" si="143"/>
        <v>1.1600961538461538</v>
      </c>
      <c r="N1484">
        <f t="shared" si="144"/>
        <v>17.874074074074073</v>
      </c>
      <c r="O1484">
        <f t="shared" si="145"/>
        <v>867.4</v>
      </c>
      <c r="P1484">
        <f t="shared" si="146"/>
        <v>6.4903846153846159E-2</v>
      </c>
      <c r="Q1484" t="s">
        <v>4136</v>
      </c>
      <c r="R1484" t="s">
        <v>4141</v>
      </c>
      <c r="S1484">
        <f>YEAR(marketing_data[[#This Row],[Start_date]])</f>
        <v>2023</v>
      </c>
      <c r="T1484" t="str">
        <f>TEXT(marketing_data[[#This Row],[Start_date]],"ddd")</f>
        <v>Mon</v>
      </c>
      <c r="U1484">
        <f>marketing_data[[#This Row],[Cleaned End_date]]-marketing_data[[#This Row],[Start_date]]</f>
        <v>3</v>
      </c>
    </row>
    <row r="1485" spans="1:21" x14ac:dyDescent="0.2">
      <c r="A1485" t="s">
        <v>3070</v>
      </c>
      <c r="B1485" t="s">
        <v>3071</v>
      </c>
      <c r="C1485" s="2">
        <v>45224</v>
      </c>
      <c r="D1485" t="str">
        <f t="shared" si="141"/>
        <v>Oct</v>
      </c>
      <c r="E1485" s="2">
        <v>45244</v>
      </c>
      <c r="F1485" t="s">
        <v>33</v>
      </c>
      <c r="G1485">
        <v>89929</v>
      </c>
      <c r="H1485">
        <v>2547</v>
      </c>
      <c r="I1485">
        <v>148</v>
      </c>
      <c r="J1485" t="b">
        <v>0</v>
      </c>
      <c r="K1485" s="10">
        <v>3118.23</v>
      </c>
      <c r="L1485" s="6">
        <f t="shared" si="142"/>
        <v>2.8322343181843453E-2</v>
      </c>
      <c r="M1485">
        <f t="shared" si="143"/>
        <v>1.2242756183745582</v>
      </c>
      <c r="N1485">
        <f t="shared" si="144"/>
        <v>21.069121621621623</v>
      </c>
      <c r="O1485">
        <f t="shared" si="145"/>
        <v>4281.7700000000004</v>
      </c>
      <c r="P1485">
        <f t="shared" si="146"/>
        <v>5.8107577542206516E-2</v>
      </c>
      <c r="Q1485" t="s">
        <v>4136</v>
      </c>
      <c r="R1485" t="s">
        <v>4142</v>
      </c>
      <c r="S1485">
        <f>YEAR(marketing_data[[#This Row],[Start_date]])</f>
        <v>2023</v>
      </c>
      <c r="T1485" t="str">
        <f>TEXT(marketing_data[[#This Row],[Start_date]],"ddd")</f>
        <v>Wed</v>
      </c>
      <c r="U1485">
        <f>marketing_data[[#This Row],[Cleaned End_date]]-marketing_data[[#This Row],[Start_date]]</f>
        <v>20</v>
      </c>
    </row>
    <row r="1486" spans="1:21" x14ac:dyDescent="0.2">
      <c r="A1486" t="s">
        <v>3072</v>
      </c>
      <c r="B1486" t="s">
        <v>3073</v>
      </c>
      <c r="C1486" s="2">
        <v>45035</v>
      </c>
      <c r="D1486" t="str">
        <f t="shared" si="141"/>
        <v>Apr</v>
      </c>
      <c r="E1486" s="2">
        <v>45062</v>
      </c>
      <c r="F1486" t="s">
        <v>33</v>
      </c>
      <c r="G1486">
        <v>24051</v>
      </c>
      <c r="H1486">
        <v>992</v>
      </c>
      <c r="I1486">
        <v>148</v>
      </c>
      <c r="J1486" t="b">
        <v>0</v>
      </c>
      <c r="K1486" s="10">
        <v>811.88</v>
      </c>
      <c r="L1486" s="6">
        <f t="shared" si="142"/>
        <v>4.1245686250051976E-2</v>
      </c>
      <c r="M1486">
        <f t="shared" si="143"/>
        <v>0.81842741935483876</v>
      </c>
      <c r="N1486">
        <f t="shared" si="144"/>
        <v>5.4856756756756759</v>
      </c>
      <c r="O1486">
        <f t="shared" si="145"/>
        <v>6588.12</v>
      </c>
      <c r="P1486">
        <f t="shared" si="146"/>
        <v>0.14919354838709678</v>
      </c>
      <c r="Q1486" t="s">
        <v>4137</v>
      </c>
      <c r="R1486" t="s">
        <v>4139</v>
      </c>
      <c r="S1486">
        <f>YEAR(marketing_data[[#This Row],[Start_date]])</f>
        <v>2023</v>
      </c>
      <c r="T1486" t="str">
        <f>TEXT(marketing_data[[#This Row],[Start_date]],"ddd")</f>
        <v>Wed</v>
      </c>
      <c r="U1486">
        <f>marketing_data[[#This Row],[Cleaned End_date]]-marketing_data[[#This Row],[Start_date]]</f>
        <v>27</v>
      </c>
    </row>
    <row r="1487" spans="1:21" x14ac:dyDescent="0.2">
      <c r="A1487" t="s">
        <v>3074</v>
      </c>
      <c r="B1487" t="s">
        <v>3075</v>
      </c>
      <c r="C1487" s="2">
        <v>45205</v>
      </c>
      <c r="D1487" t="str">
        <f t="shared" si="141"/>
        <v>Oct</v>
      </c>
      <c r="E1487" s="2">
        <v>45228</v>
      </c>
      <c r="F1487" t="s">
        <v>14</v>
      </c>
      <c r="G1487">
        <v>52474</v>
      </c>
      <c r="H1487">
        <v>2540</v>
      </c>
      <c r="I1487">
        <v>434</v>
      </c>
      <c r="J1487" t="b">
        <v>1</v>
      </c>
      <c r="K1487" s="10">
        <v>1710.28</v>
      </c>
      <c r="L1487" s="6">
        <f t="shared" si="142"/>
        <v>4.8404924343484396E-2</v>
      </c>
      <c r="M1487">
        <f t="shared" si="143"/>
        <v>0.6733385826771654</v>
      </c>
      <c r="N1487">
        <f t="shared" si="144"/>
        <v>3.9407373271889399</v>
      </c>
      <c r="O1487">
        <f t="shared" si="145"/>
        <v>19989.72</v>
      </c>
      <c r="P1487">
        <f t="shared" si="146"/>
        <v>0.17086614173228346</v>
      </c>
      <c r="Q1487" t="s">
        <v>4136</v>
      </c>
      <c r="R1487" t="s">
        <v>4142</v>
      </c>
      <c r="S1487">
        <f>YEAR(marketing_data[[#This Row],[Start_date]])</f>
        <v>2023</v>
      </c>
      <c r="T1487" t="str">
        <f>TEXT(marketing_data[[#This Row],[Start_date]],"ddd")</f>
        <v>Fri</v>
      </c>
      <c r="U1487">
        <f>marketing_data[[#This Row],[Cleaned End_date]]-marketing_data[[#This Row],[Start_date]]</f>
        <v>23</v>
      </c>
    </row>
    <row r="1488" spans="1:21" x14ac:dyDescent="0.2">
      <c r="A1488" t="s">
        <v>3076</v>
      </c>
      <c r="B1488" t="s">
        <v>3077</v>
      </c>
      <c r="C1488" s="2">
        <v>45261</v>
      </c>
      <c r="D1488" t="str">
        <f t="shared" si="141"/>
        <v>Dec</v>
      </c>
      <c r="E1488" s="2">
        <v>45283</v>
      </c>
      <c r="F1488" t="s">
        <v>41</v>
      </c>
      <c r="G1488">
        <v>92748</v>
      </c>
      <c r="H1488">
        <v>3760</v>
      </c>
      <c r="I1488">
        <v>474</v>
      </c>
      <c r="J1488" t="b">
        <v>0</v>
      </c>
      <c r="K1488" s="10">
        <v>3631.7599999999998</v>
      </c>
      <c r="L1488" s="6">
        <f t="shared" si="142"/>
        <v>4.0539957734937682E-2</v>
      </c>
      <c r="M1488">
        <f t="shared" si="143"/>
        <v>0.96589361702127652</v>
      </c>
      <c r="N1488">
        <f t="shared" si="144"/>
        <v>7.6619409282700417</v>
      </c>
      <c r="O1488">
        <f t="shared" si="145"/>
        <v>20068.240000000002</v>
      </c>
      <c r="P1488">
        <f t="shared" si="146"/>
        <v>0.12606382978723404</v>
      </c>
      <c r="Q1488" t="s">
        <v>4138</v>
      </c>
      <c r="R1488" t="s">
        <v>4141</v>
      </c>
      <c r="S1488">
        <f>YEAR(marketing_data[[#This Row],[Start_date]])</f>
        <v>2023</v>
      </c>
      <c r="T1488" t="str">
        <f>TEXT(marketing_data[[#This Row],[Start_date]],"ddd")</f>
        <v>Fri</v>
      </c>
      <c r="U1488">
        <f>marketing_data[[#This Row],[Cleaned End_date]]-marketing_data[[#This Row],[Start_date]]</f>
        <v>22</v>
      </c>
    </row>
    <row r="1489" spans="1:21" x14ac:dyDescent="0.2">
      <c r="A1489" t="s">
        <v>3078</v>
      </c>
      <c r="B1489" t="s">
        <v>3079</v>
      </c>
      <c r="C1489" s="2">
        <v>45041</v>
      </c>
      <c r="D1489" t="str">
        <f t="shared" si="141"/>
        <v>Apr</v>
      </c>
      <c r="E1489" s="2">
        <v>45054</v>
      </c>
      <c r="F1489" t="s">
        <v>23</v>
      </c>
      <c r="G1489">
        <v>70626</v>
      </c>
      <c r="H1489">
        <v>3122</v>
      </c>
      <c r="I1489">
        <v>181</v>
      </c>
      <c r="J1489" t="b">
        <v>0</v>
      </c>
      <c r="K1489" s="10">
        <v>3631.7599999999998</v>
      </c>
      <c r="L1489" s="6">
        <f t="shared" si="142"/>
        <v>4.420468382748563E-2</v>
      </c>
      <c r="M1489">
        <f t="shared" si="143"/>
        <v>1.1632799487508008</v>
      </c>
      <c r="N1489">
        <f t="shared" si="144"/>
        <v>20.064972375690605</v>
      </c>
      <c r="O1489">
        <f t="shared" si="145"/>
        <v>5418.24</v>
      </c>
      <c r="P1489">
        <f t="shared" si="146"/>
        <v>5.7975656630365149E-2</v>
      </c>
      <c r="Q1489" t="s">
        <v>4137</v>
      </c>
      <c r="R1489" t="s">
        <v>4138</v>
      </c>
      <c r="S1489">
        <f>YEAR(marketing_data[[#This Row],[Start_date]])</f>
        <v>2023</v>
      </c>
      <c r="T1489" t="str">
        <f>TEXT(marketing_data[[#This Row],[Start_date]],"ddd")</f>
        <v>Tue</v>
      </c>
      <c r="U1489">
        <f>marketing_data[[#This Row],[Cleaned End_date]]-marketing_data[[#This Row],[Start_date]]</f>
        <v>13</v>
      </c>
    </row>
    <row r="1490" spans="1:21" x14ac:dyDescent="0.2">
      <c r="A1490" t="s">
        <v>3080</v>
      </c>
      <c r="B1490" t="s">
        <v>3081</v>
      </c>
      <c r="C1490" s="2">
        <v>45075</v>
      </c>
      <c r="D1490" t="str">
        <f t="shared" si="141"/>
        <v>May</v>
      </c>
      <c r="E1490" s="2">
        <v>45081</v>
      </c>
      <c r="F1490" t="str">
        <f>F1489</f>
        <v>Email</v>
      </c>
      <c r="G1490">
        <v>7960</v>
      </c>
      <c r="H1490">
        <v>271</v>
      </c>
      <c r="I1490">
        <v>35</v>
      </c>
      <c r="J1490" t="b">
        <v>1</v>
      </c>
      <c r="K1490" s="10">
        <v>329.13249999999999</v>
      </c>
      <c r="L1490" s="6">
        <f t="shared" si="142"/>
        <v>3.4045226130653264E-2</v>
      </c>
      <c r="M1490">
        <f t="shared" si="143"/>
        <v>1.2145110701107011</v>
      </c>
      <c r="N1490">
        <f t="shared" si="144"/>
        <v>9.4037857142857142</v>
      </c>
      <c r="O1490">
        <f t="shared" si="145"/>
        <v>1420.8675000000001</v>
      </c>
      <c r="P1490">
        <f t="shared" si="146"/>
        <v>0.12915129151291513</v>
      </c>
      <c r="Q1490" t="s">
        <v>4137</v>
      </c>
      <c r="R1490" t="s">
        <v>4139</v>
      </c>
      <c r="S1490">
        <f>YEAR(marketing_data[[#This Row],[Start_date]])</f>
        <v>2023</v>
      </c>
      <c r="T1490" t="str">
        <f>TEXT(marketing_data[[#This Row],[Start_date]],"ddd")</f>
        <v>Mon</v>
      </c>
      <c r="U1490">
        <f>marketing_data[[#This Row],[Cleaned End_date]]-marketing_data[[#This Row],[Start_date]]</f>
        <v>6</v>
      </c>
    </row>
    <row r="1491" spans="1:21" x14ac:dyDescent="0.2">
      <c r="A1491" t="s">
        <v>3082</v>
      </c>
      <c r="B1491" t="s">
        <v>3083</v>
      </c>
      <c r="C1491" s="2">
        <v>44973</v>
      </c>
      <c r="D1491" t="str">
        <f t="shared" si="141"/>
        <v>Feb</v>
      </c>
      <c r="E1491" s="2">
        <v>44999</v>
      </c>
      <c r="F1491" t="s">
        <v>14</v>
      </c>
      <c r="G1491">
        <v>36772</v>
      </c>
      <c r="H1491">
        <v>1596</v>
      </c>
      <c r="J1491" t="b">
        <v>1</v>
      </c>
      <c r="K1491" s="10">
        <v>2720.34</v>
      </c>
      <c r="L1491" s="6">
        <f t="shared" si="142"/>
        <v>4.3402588926357011E-2</v>
      </c>
      <c r="M1491">
        <f t="shared" si="143"/>
        <v>1.7044736842105264</v>
      </c>
      <c r="N1491">
        <f t="shared" si="144"/>
        <v>0</v>
      </c>
      <c r="O1491">
        <f t="shared" si="145"/>
        <v>-2720.34</v>
      </c>
      <c r="P1491">
        <f t="shared" si="146"/>
        <v>0</v>
      </c>
      <c r="Q1491" t="s">
        <v>4138</v>
      </c>
      <c r="R1491" t="s">
        <v>4138</v>
      </c>
      <c r="S1491">
        <f>YEAR(marketing_data[[#This Row],[Start_date]])</f>
        <v>2023</v>
      </c>
      <c r="T1491" t="str">
        <f>TEXT(marketing_data[[#This Row],[Start_date]],"ddd")</f>
        <v>Thu</v>
      </c>
      <c r="U1491">
        <f>marketing_data[[#This Row],[Cleaned End_date]]-marketing_data[[#This Row],[Start_date]]</f>
        <v>26</v>
      </c>
    </row>
    <row r="1492" spans="1:21" x14ac:dyDescent="0.2">
      <c r="A1492" t="s">
        <v>3084</v>
      </c>
      <c r="B1492" t="s">
        <v>3085</v>
      </c>
      <c r="C1492" s="2">
        <v>45266</v>
      </c>
      <c r="D1492" t="str">
        <f t="shared" si="141"/>
        <v>Dec</v>
      </c>
      <c r="E1492" s="2">
        <v>45279</v>
      </c>
      <c r="F1492" t="s">
        <v>33</v>
      </c>
      <c r="G1492">
        <v>22520</v>
      </c>
      <c r="H1492">
        <v>931</v>
      </c>
      <c r="I1492">
        <v>130</v>
      </c>
      <c r="J1492" t="b">
        <v>0</v>
      </c>
      <c r="K1492" s="10">
        <v>1835.18</v>
      </c>
      <c r="L1492" s="6">
        <f t="shared" si="142"/>
        <v>4.1341030195381885E-2</v>
      </c>
      <c r="M1492">
        <f t="shared" si="143"/>
        <v>1.9711922663802364</v>
      </c>
      <c r="N1492">
        <f t="shared" si="144"/>
        <v>14.116769230769231</v>
      </c>
      <c r="O1492">
        <f t="shared" si="145"/>
        <v>4664.82</v>
      </c>
      <c r="P1492">
        <f t="shared" si="146"/>
        <v>0.13963480128893663</v>
      </c>
      <c r="Q1492" t="s">
        <v>4138</v>
      </c>
      <c r="R1492" t="s">
        <v>4139</v>
      </c>
      <c r="S1492">
        <f>YEAR(marketing_data[[#This Row],[Start_date]])</f>
        <v>2023</v>
      </c>
      <c r="T1492" t="str">
        <f>TEXT(marketing_data[[#This Row],[Start_date]],"ddd")</f>
        <v>Wed</v>
      </c>
      <c r="U1492">
        <f>marketing_data[[#This Row],[Cleaned End_date]]-marketing_data[[#This Row],[Start_date]]</f>
        <v>13</v>
      </c>
    </row>
    <row r="1493" spans="1:21" x14ac:dyDescent="0.2">
      <c r="A1493" t="s">
        <v>3086</v>
      </c>
      <c r="B1493" t="s">
        <v>3087</v>
      </c>
      <c r="C1493" s="2">
        <v>45241</v>
      </c>
      <c r="D1493" t="str">
        <f t="shared" si="141"/>
        <v>Nov</v>
      </c>
      <c r="E1493" s="2">
        <v>45248</v>
      </c>
      <c r="F1493" t="s">
        <v>23</v>
      </c>
      <c r="G1493">
        <v>50481</v>
      </c>
      <c r="H1493">
        <v>1266</v>
      </c>
      <c r="I1493">
        <v>217</v>
      </c>
      <c r="J1493" t="b">
        <v>1</v>
      </c>
      <c r="K1493" s="10">
        <v>1783.65</v>
      </c>
      <c r="L1493" s="6">
        <f t="shared" si="142"/>
        <v>2.5078742497177155E-2</v>
      </c>
      <c r="M1493">
        <f t="shared" si="143"/>
        <v>1.4088862559241706</v>
      </c>
      <c r="N1493">
        <f t="shared" si="144"/>
        <v>8.2195852534562217</v>
      </c>
      <c r="O1493">
        <f t="shared" si="145"/>
        <v>9066.35</v>
      </c>
      <c r="P1493">
        <f t="shared" si="146"/>
        <v>0.17140600315955767</v>
      </c>
      <c r="Q1493" t="s">
        <v>4136</v>
      </c>
      <c r="R1493" t="s">
        <v>4142</v>
      </c>
      <c r="S1493">
        <f>YEAR(marketing_data[[#This Row],[Start_date]])</f>
        <v>2023</v>
      </c>
      <c r="T1493" t="str">
        <f>TEXT(marketing_data[[#This Row],[Start_date]],"ddd")</f>
        <v>Sat</v>
      </c>
      <c r="U1493">
        <f>marketing_data[[#This Row],[Cleaned End_date]]-marketing_data[[#This Row],[Start_date]]</f>
        <v>7</v>
      </c>
    </row>
    <row r="1494" spans="1:21" x14ac:dyDescent="0.2">
      <c r="A1494" t="s">
        <v>3088</v>
      </c>
      <c r="B1494" t="s">
        <v>3089</v>
      </c>
      <c r="C1494" s="2">
        <v>44998</v>
      </c>
      <c r="D1494" t="str">
        <f t="shared" si="141"/>
        <v>Mar</v>
      </c>
      <c r="E1494" s="2">
        <v>45005</v>
      </c>
      <c r="F1494" t="s">
        <v>41</v>
      </c>
      <c r="G1494">
        <v>37408</v>
      </c>
      <c r="H1494">
        <v>1200</v>
      </c>
      <c r="I1494">
        <v>204</v>
      </c>
      <c r="J1494" t="b">
        <v>1</v>
      </c>
      <c r="K1494" s="10">
        <v>1506.68</v>
      </c>
      <c r="L1494" s="6">
        <f t="shared" si="142"/>
        <v>3.2078699743370402E-2</v>
      </c>
      <c r="M1494">
        <f t="shared" si="143"/>
        <v>1.2555666666666667</v>
      </c>
      <c r="N1494">
        <f t="shared" si="144"/>
        <v>7.385686274509804</v>
      </c>
      <c r="O1494">
        <f t="shared" si="145"/>
        <v>8693.32</v>
      </c>
      <c r="P1494">
        <f t="shared" si="146"/>
        <v>0.17</v>
      </c>
      <c r="Q1494" t="s">
        <v>4137</v>
      </c>
      <c r="R1494" t="s">
        <v>4139</v>
      </c>
      <c r="S1494">
        <f>YEAR(marketing_data[[#This Row],[Start_date]])</f>
        <v>2023</v>
      </c>
      <c r="T1494" t="str">
        <f>TEXT(marketing_data[[#This Row],[Start_date]],"ddd")</f>
        <v>Mon</v>
      </c>
      <c r="U1494">
        <f>marketing_data[[#This Row],[Cleaned End_date]]-marketing_data[[#This Row],[Start_date]]</f>
        <v>7</v>
      </c>
    </row>
    <row r="1495" spans="1:21" x14ac:dyDescent="0.2">
      <c r="A1495" t="s">
        <v>3090</v>
      </c>
      <c r="B1495" t="s">
        <v>3091</v>
      </c>
      <c r="C1495" s="2">
        <v>45216</v>
      </c>
      <c r="D1495" t="str">
        <f t="shared" si="141"/>
        <v>Oct</v>
      </c>
      <c r="E1495" s="2">
        <v>45227</v>
      </c>
      <c r="F1495" t="s">
        <v>14</v>
      </c>
      <c r="G1495">
        <v>95006</v>
      </c>
      <c r="H1495">
        <v>4008</v>
      </c>
      <c r="I1495">
        <v>760</v>
      </c>
      <c r="J1495" t="b">
        <v>1</v>
      </c>
      <c r="K1495" s="10">
        <v>3631.7599999999998</v>
      </c>
      <c r="L1495" s="6">
        <f t="shared" si="142"/>
        <v>4.2186809254152371E-2</v>
      </c>
      <c r="M1495">
        <f t="shared" si="143"/>
        <v>0.90612774451097799</v>
      </c>
      <c r="N1495">
        <f t="shared" si="144"/>
        <v>4.7786315789473681</v>
      </c>
      <c r="O1495">
        <f t="shared" si="145"/>
        <v>34368.239999999998</v>
      </c>
      <c r="P1495">
        <f t="shared" si="146"/>
        <v>0.18962075848303392</v>
      </c>
      <c r="Q1495" t="s">
        <v>4136</v>
      </c>
      <c r="R1495" t="s">
        <v>4139</v>
      </c>
      <c r="S1495">
        <f>YEAR(marketing_data[[#This Row],[Start_date]])</f>
        <v>2023</v>
      </c>
      <c r="T1495" t="str">
        <f>TEXT(marketing_data[[#This Row],[Start_date]],"ddd")</f>
        <v>Tue</v>
      </c>
      <c r="U1495">
        <f>marketing_data[[#This Row],[Cleaned End_date]]-marketing_data[[#This Row],[Start_date]]</f>
        <v>11</v>
      </c>
    </row>
    <row r="1496" spans="1:21" x14ac:dyDescent="0.2">
      <c r="A1496" t="s">
        <v>3092</v>
      </c>
      <c r="B1496" t="s">
        <v>3093</v>
      </c>
      <c r="C1496" s="2">
        <v>45174</v>
      </c>
      <c r="D1496" t="str">
        <f t="shared" si="141"/>
        <v>Sep</v>
      </c>
      <c r="E1496" s="2">
        <v>45204</v>
      </c>
      <c r="F1496" t="s">
        <v>41</v>
      </c>
      <c r="G1496">
        <v>58134</v>
      </c>
      <c r="H1496">
        <v>688</v>
      </c>
      <c r="I1496">
        <v>113</v>
      </c>
      <c r="J1496" t="b">
        <v>1</v>
      </c>
      <c r="K1496" s="10">
        <v>1327</v>
      </c>
      <c r="L1496" s="6">
        <f t="shared" si="142"/>
        <v>1.1834726665978601E-2</v>
      </c>
      <c r="M1496">
        <f t="shared" si="143"/>
        <v>1.9287790697674418</v>
      </c>
      <c r="N1496">
        <f t="shared" si="144"/>
        <v>11.743362831858407</v>
      </c>
      <c r="O1496">
        <f t="shared" si="145"/>
        <v>4323</v>
      </c>
      <c r="P1496">
        <f t="shared" si="146"/>
        <v>0.16424418604651161</v>
      </c>
      <c r="Q1496" t="s">
        <v>4136</v>
      </c>
      <c r="R1496" t="s">
        <v>4141</v>
      </c>
      <c r="S1496">
        <f>YEAR(marketing_data[[#This Row],[Start_date]])</f>
        <v>2023</v>
      </c>
      <c r="T1496" t="str">
        <f>TEXT(marketing_data[[#This Row],[Start_date]],"ddd")</f>
        <v>Tue</v>
      </c>
      <c r="U1496">
        <f>marketing_data[[#This Row],[Cleaned End_date]]-marketing_data[[#This Row],[Start_date]]</f>
        <v>30</v>
      </c>
    </row>
    <row r="1497" spans="1:21" x14ac:dyDescent="0.2">
      <c r="A1497" t="s">
        <v>3094</v>
      </c>
      <c r="B1497" t="s">
        <v>3095</v>
      </c>
      <c r="C1497" s="2">
        <v>45176</v>
      </c>
      <c r="D1497" t="str">
        <f t="shared" si="141"/>
        <v>Sep</v>
      </c>
      <c r="E1497" s="2">
        <v>45189</v>
      </c>
      <c r="F1497" t="s">
        <v>41</v>
      </c>
      <c r="G1497">
        <v>21491</v>
      </c>
      <c r="H1497">
        <v>909</v>
      </c>
      <c r="J1497" t="b">
        <v>1</v>
      </c>
      <c r="K1497" s="10">
        <v>1483.31</v>
      </c>
      <c r="L1497" s="6">
        <f t="shared" si="142"/>
        <v>4.2296775394351123E-2</v>
      </c>
      <c r="M1497">
        <f t="shared" si="143"/>
        <v>1.6318041804180416</v>
      </c>
      <c r="N1497">
        <f t="shared" si="144"/>
        <v>0</v>
      </c>
      <c r="O1497">
        <f t="shared" si="145"/>
        <v>-1483.31</v>
      </c>
      <c r="P1497">
        <f t="shared" si="146"/>
        <v>0</v>
      </c>
      <c r="Q1497" t="s">
        <v>4136</v>
      </c>
      <c r="R1497" t="s">
        <v>4141</v>
      </c>
      <c r="S1497">
        <f>YEAR(marketing_data[[#This Row],[Start_date]])</f>
        <v>2023</v>
      </c>
      <c r="T1497" t="str">
        <f>TEXT(marketing_data[[#This Row],[Start_date]],"ddd")</f>
        <v>Thu</v>
      </c>
      <c r="U1497">
        <f>marketing_data[[#This Row],[Cleaned End_date]]-marketing_data[[#This Row],[Start_date]]</f>
        <v>13</v>
      </c>
    </row>
    <row r="1498" spans="1:21" x14ac:dyDescent="0.2">
      <c r="A1498" t="s">
        <v>3096</v>
      </c>
      <c r="B1498" t="s">
        <v>3097</v>
      </c>
      <c r="C1498" s="2">
        <v>45046</v>
      </c>
      <c r="D1498" t="str">
        <f t="shared" si="141"/>
        <v>Apr</v>
      </c>
      <c r="E1498" s="2">
        <v>45055</v>
      </c>
      <c r="F1498" t="s">
        <v>23</v>
      </c>
      <c r="G1498">
        <v>2341</v>
      </c>
      <c r="H1498">
        <v>40</v>
      </c>
      <c r="I1498">
        <v>3</v>
      </c>
      <c r="J1498" t="b">
        <v>1</v>
      </c>
      <c r="K1498" s="10">
        <v>329.13249999999999</v>
      </c>
      <c r="L1498" s="6">
        <f t="shared" si="142"/>
        <v>1.7086715079026059E-2</v>
      </c>
      <c r="M1498">
        <f t="shared" si="143"/>
        <v>8.2283124999999995</v>
      </c>
      <c r="N1498">
        <f t="shared" si="144"/>
        <v>109.71083333333333</v>
      </c>
      <c r="O1498">
        <f t="shared" si="145"/>
        <v>-179.13249999999999</v>
      </c>
      <c r="P1498">
        <f t="shared" si="146"/>
        <v>7.4999999999999997E-2</v>
      </c>
      <c r="Q1498" t="s">
        <v>4137</v>
      </c>
      <c r="R1498" t="s">
        <v>4138</v>
      </c>
      <c r="S1498">
        <f>YEAR(marketing_data[[#This Row],[Start_date]])</f>
        <v>2023</v>
      </c>
      <c r="T1498" t="str">
        <f>TEXT(marketing_data[[#This Row],[Start_date]],"ddd")</f>
        <v>Sun</v>
      </c>
      <c r="U1498">
        <f>marketing_data[[#This Row],[Cleaned End_date]]-marketing_data[[#This Row],[Start_date]]</f>
        <v>9</v>
      </c>
    </row>
    <row r="1499" spans="1:21" x14ac:dyDescent="0.2">
      <c r="A1499" t="s">
        <v>3099</v>
      </c>
      <c r="B1499" t="s">
        <v>3100</v>
      </c>
      <c r="C1499" s="2">
        <v>45032</v>
      </c>
      <c r="D1499" t="str">
        <f t="shared" si="141"/>
        <v>Apr</v>
      </c>
      <c r="E1499" s="2">
        <v>45062</v>
      </c>
      <c r="F1499" t="s">
        <v>19</v>
      </c>
      <c r="G1499">
        <v>45623</v>
      </c>
      <c r="H1499">
        <v>1395</v>
      </c>
      <c r="I1499">
        <v>82</v>
      </c>
      <c r="J1499" t="b">
        <v>0</v>
      </c>
      <c r="K1499" s="10">
        <v>1936.72</v>
      </c>
      <c r="L1499" s="6">
        <f t="shared" si="142"/>
        <v>3.0576682813493194E-2</v>
      </c>
      <c r="M1499">
        <f t="shared" si="143"/>
        <v>1.3883297491039426</v>
      </c>
      <c r="N1499">
        <f t="shared" si="144"/>
        <v>23.618536585365852</v>
      </c>
      <c r="O1499">
        <f t="shared" si="145"/>
        <v>2163.2799999999997</v>
      </c>
      <c r="P1499">
        <f t="shared" si="146"/>
        <v>5.8781362007168457E-2</v>
      </c>
      <c r="Q1499" t="s">
        <v>4137</v>
      </c>
      <c r="R1499" t="s">
        <v>4142</v>
      </c>
      <c r="S1499">
        <f>YEAR(marketing_data[[#This Row],[Start_date]])</f>
        <v>2023</v>
      </c>
      <c r="T1499" t="str">
        <f>TEXT(marketing_data[[#This Row],[Start_date]],"ddd")</f>
        <v>Sun</v>
      </c>
      <c r="U1499">
        <f>marketing_data[[#This Row],[Cleaned End_date]]-marketing_data[[#This Row],[Start_date]]</f>
        <v>30</v>
      </c>
    </row>
    <row r="1500" spans="1:21" x14ac:dyDescent="0.2">
      <c r="A1500" t="s">
        <v>3101</v>
      </c>
      <c r="B1500" t="s">
        <v>3102</v>
      </c>
      <c r="C1500" s="2">
        <v>45125</v>
      </c>
      <c r="D1500" t="str">
        <f t="shared" si="141"/>
        <v>Jul</v>
      </c>
      <c r="E1500" s="2">
        <v>45148</v>
      </c>
      <c r="F1500" t="s">
        <v>19</v>
      </c>
      <c r="G1500">
        <v>91327</v>
      </c>
      <c r="H1500">
        <v>3865</v>
      </c>
      <c r="I1500">
        <v>493</v>
      </c>
      <c r="J1500" t="b">
        <v>0</v>
      </c>
      <c r="K1500" s="10">
        <v>3631.7599999999998</v>
      </c>
      <c r="L1500" s="6">
        <f t="shared" si="142"/>
        <v>4.2320452878119287E-2</v>
      </c>
      <c r="M1500">
        <f t="shared" si="143"/>
        <v>0.93965329883570503</v>
      </c>
      <c r="N1500">
        <f t="shared" si="144"/>
        <v>7.3666531440162268</v>
      </c>
      <c r="O1500">
        <f t="shared" si="145"/>
        <v>21018.240000000002</v>
      </c>
      <c r="P1500">
        <f t="shared" si="146"/>
        <v>0.12755498059508408</v>
      </c>
      <c r="Q1500" t="s">
        <v>4139</v>
      </c>
      <c r="R1500" t="s">
        <v>4141</v>
      </c>
      <c r="S1500">
        <f>YEAR(marketing_data[[#This Row],[Start_date]])</f>
        <v>2023</v>
      </c>
      <c r="T1500" t="str">
        <f>TEXT(marketing_data[[#This Row],[Start_date]],"ddd")</f>
        <v>Tue</v>
      </c>
      <c r="U1500">
        <f>marketing_data[[#This Row],[Cleaned End_date]]-marketing_data[[#This Row],[Start_date]]</f>
        <v>23</v>
      </c>
    </row>
    <row r="1501" spans="1:21" x14ac:dyDescent="0.2">
      <c r="A1501" t="s">
        <v>3103</v>
      </c>
      <c r="B1501" t="s">
        <v>3104</v>
      </c>
      <c r="C1501" s="2">
        <v>44950</v>
      </c>
      <c r="D1501" t="str">
        <f t="shared" si="141"/>
        <v>Jan</v>
      </c>
      <c r="E1501" s="2">
        <v>44960</v>
      </c>
      <c r="F1501" t="s">
        <v>23</v>
      </c>
      <c r="G1501">
        <v>1338</v>
      </c>
      <c r="H1501">
        <v>26</v>
      </c>
      <c r="J1501" t="b">
        <v>1</v>
      </c>
      <c r="K1501" s="10">
        <v>329.13249999999999</v>
      </c>
      <c r="L1501" s="6">
        <f t="shared" si="142"/>
        <v>1.9431988041853511E-2</v>
      </c>
      <c r="M1501">
        <f t="shared" si="143"/>
        <v>12.658942307692307</v>
      </c>
      <c r="N1501">
        <f t="shared" si="144"/>
        <v>0</v>
      </c>
      <c r="O1501">
        <f t="shared" si="145"/>
        <v>-329.13249999999999</v>
      </c>
      <c r="P1501">
        <f t="shared" si="146"/>
        <v>0</v>
      </c>
      <c r="Q1501" t="s">
        <v>4138</v>
      </c>
      <c r="R1501" t="s">
        <v>4138</v>
      </c>
      <c r="S1501">
        <f>YEAR(marketing_data[[#This Row],[Start_date]])</f>
        <v>2023</v>
      </c>
      <c r="T1501" t="str">
        <f>TEXT(marketing_data[[#This Row],[Start_date]],"ddd")</f>
        <v>Tue</v>
      </c>
      <c r="U1501">
        <f>marketing_data[[#This Row],[Cleaned End_date]]-marketing_data[[#This Row],[Start_date]]</f>
        <v>10</v>
      </c>
    </row>
    <row r="1502" spans="1:21" x14ac:dyDescent="0.2">
      <c r="A1502" t="s">
        <v>3105</v>
      </c>
      <c r="B1502" t="s">
        <v>3106</v>
      </c>
      <c r="C1502" s="2">
        <v>45259</v>
      </c>
      <c r="D1502" t="str">
        <f t="shared" si="141"/>
        <v>Nov</v>
      </c>
      <c r="E1502" s="2">
        <v>45288</v>
      </c>
      <c r="F1502" t="s">
        <v>14</v>
      </c>
      <c r="G1502">
        <v>72431</v>
      </c>
      <c r="H1502">
        <v>1436</v>
      </c>
      <c r="I1502">
        <v>279</v>
      </c>
      <c r="J1502" t="b">
        <v>1</v>
      </c>
      <c r="K1502" s="10">
        <v>1681.27</v>
      </c>
      <c r="L1502" s="6">
        <f t="shared" si="142"/>
        <v>1.9825765211028426E-2</v>
      </c>
      <c r="M1502">
        <f t="shared" si="143"/>
        <v>1.170800835654596</v>
      </c>
      <c r="N1502">
        <f t="shared" si="144"/>
        <v>6.0260573476702506</v>
      </c>
      <c r="O1502">
        <f t="shared" si="145"/>
        <v>12268.73</v>
      </c>
      <c r="P1502">
        <f t="shared" si="146"/>
        <v>0.19428969359331477</v>
      </c>
      <c r="Q1502" t="s">
        <v>4136</v>
      </c>
      <c r="R1502" t="s">
        <v>4142</v>
      </c>
      <c r="S1502">
        <f>YEAR(marketing_data[[#This Row],[Start_date]])</f>
        <v>2023</v>
      </c>
      <c r="T1502" t="str">
        <f>TEXT(marketing_data[[#This Row],[Start_date]],"ddd")</f>
        <v>Wed</v>
      </c>
      <c r="U1502">
        <f>marketing_data[[#This Row],[Cleaned End_date]]-marketing_data[[#This Row],[Start_date]]</f>
        <v>29</v>
      </c>
    </row>
    <row r="1503" spans="1:21" x14ac:dyDescent="0.2">
      <c r="A1503" t="s">
        <v>3107</v>
      </c>
      <c r="B1503" t="s">
        <v>3108</v>
      </c>
      <c r="C1503" s="2">
        <v>45193</v>
      </c>
      <c r="D1503" t="str">
        <f t="shared" si="141"/>
        <v>Sep</v>
      </c>
      <c r="E1503" s="2">
        <v>45201</v>
      </c>
      <c r="F1503" t="str">
        <f>F1502</f>
        <v>TikTok</v>
      </c>
      <c r="G1503">
        <v>13254</v>
      </c>
      <c r="H1503">
        <v>346</v>
      </c>
      <c r="I1503">
        <v>32</v>
      </c>
      <c r="J1503" t="b">
        <v>1</v>
      </c>
      <c r="K1503" s="10">
        <v>603.67999999999995</v>
      </c>
      <c r="L1503" s="6">
        <f t="shared" si="142"/>
        <v>2.6105326693828278E-2</v>
      </c>
      <c r="M1503">
        <f t="shared" si="143"/>
        <v>1.7447398843930635</v>
      </c>
      <c r="N1503">
        <f t="shared" si="144"/>
        <v>18.864999999999998</v>
      </c>
      <c r="O1503">
        <f t="shared" si="145"/>
        <v>996.32</v>
      </c>
      <c r="P1503">
        <f t="shared" si="146"/>
        <v>9.2485549132947972E-2</v>
      </c>
      <c r="Q1503" t="s">
        <v>4136</v>
      </c>
      <c r="R1503" t="s">
        <v>4141</v>
      </c>
      <c r="S1503">
        <f>YEAR(marketing_data[[#This Row],[Start_date]])</f>
        <v>2023</v>
      </c>
      <c r="T1503" t="str">
        <f>TEXT(marketing_data[[#This Row],[Start_date]],"ddd")</f>
        <v>Sun</v>
      </c>
      <c r="U1503">
        <f>marketing_data[[#This Row],[Cleaned End_date]]-marketing_data[[#This Row],[Start_date]]</f>
        <v>8</v>
      </c>
    </row>
    <row r="1504" spans="1:21" x14ac:dyDescent="0.2">
      <c r="A1504" t="s">
        <v>3109</v>
      </c>
      <c r="B1504" t="s">
        <v>3110</v>
      </c>
      <c r="C1504" s="2">
        <v>45061</v>
      </c>
      <c r="D1504" t="str">
        <f t="shared" si="141"/>
        <v>May</v>
      </c>
      <c r="E1504" s="2">
        <v>45074</v>
      </c>
      <c r="F1504" t="s">
        <v>14</v>
      </c>
      <c r="G1504">
        <v>52860</v>
      </c>
      <c r="H1504">
        <v>2420</v>
      </c>
      <c r="I1504">
        <v>430</v>
      </c>
      <c r="J1504" t="b">
        <v>1</v>
      </c>
      <c r="K1504" s="10">
        <v>3586.65</v>
      </c>
      <c r="L1504" s="6">
        <f t="shared" si="142"/>
        <v>4.5781309118426032E-2</v>
      </c>
      <c r="M1504">
        <f t="shared" si="143"/>
        <v>1.4820867768595041</v>
      </c>
      <c r="N1504">
        <f t="shared" si="144"/>
        <v>8.3410465116279067</v>
      </c>
      <c r="O1504">
        <f t="shared" si="145"/>
        <v>17913.349999999999</v>
      </c>
      <c r="P1504">
        <f t="shared" si="146"/>
        <v>0.17768595041322313</v>
      </c>
      <c r="Q1504" t="s">
        <v>4137</v>
      </c>
      <c r="R1504" t="s">
        <v>4138</v>
      </c>
      <c r="S1504">
        <f>YEAR(marketing_data[[#This Row],[Start_date]])</f>
        <v>2023</v>
      </c>
      <c r="T1504" t="str">
        <f>TEXT(marketing_data[[#This Row],[Start_date]],"ddd")</f>
        <v>Mon</v>
      </c>
      <c r="U1504">
        <f>marketing_data[[#This Row],[Cleaned End_date]]-marketing_data[[#This Row],[Start_date]]</f>
        <v>13</v>
      </c>
    </row>
    <row r="1505" spans="1:21" x14ac:dyDescent="0.2">
      <c r="A1505" t="s">
        <v>3111</v>
      </c>
      <c r="B1505" t="s">
        <v>3112</v>
      </c>
      <c r="C1505" s="2">
        <v>45119</v>
      </c>
      <c r="D1505" t="str">
        <f t="shared" si="141"/>
        <v>Jul</v>
      </c>
      <c r="E1505" s="2">
        <v>45139</v>
      </c>
      <c r="F1505" t="s">
        <v>41</v>
      </c>
      <c r="G1505">
        <v>12344</v>
      </c>
      <c r="H1505">
        <v>123</v>
      </c>
      <c r="I1505">
        <v>13</v>
      </c>
      <c r="J1505" t="b">
        <v>1</v>
      </c>
      <c r="K1505" s="10">
        <v>329.13249999999999</v>
      </c>
      <c r="L1505" s="6">
        <f t="shared" si="142"/>
        <v>9.9643551523007131E-3</v>
      </c>
      <c r="M1505">
        <f t="shared" si="143"/>
        <v>2.6758739837398373</v>
      </c>
      <c r="N1505">
        <f t="shared" si="144"/>
        <v>25.317884615384614</v>
      </c>
      <c r="O1505">
        <f t="shared" si="145"/>
        <v>320.86750000000001</v>
      </c>
      <c r="P1505">
        <f t="shared" si="146"/>
        <v>0.10569105691056911</v>
      </c>
      <c r="Q1505" t="s">
        <v>4139</v>
      </c>
      <c r="R1505" t="s">
        <v>4138</v>
      </c>
      <c r="S1505">
        <f>YEAR(marketing_data[[#This Row],[Start_date]])</f>
        <v>2023</v>
      </c>
      <c r="T1505" t="str">
        <f>TEXT(marketing_data[[#This Row],[Start_date]],"ddd")</f>
        <v>Wed</v>
      </c>
      <c r="U1505">
        <f>marketing_data[[#This Row],[Cleaned End_date]]-marketing_data[[#This Row],[Start_date]]</f>
        <v>20</v>
      </c>
    </row>
    <row r="1506" spans="1:21" x14ac:dyDescent="0.2">
      <c r="A1506" t="s">
        <v>3113</v>
      </c>
      <c r="B1506" t="s">
        <v>3114</v>
      </c>
      <c r="C1506" s="2">
        <v>45261</v>
      </c>
      <c r="D1506" t="str">
        <f t="shared" si="141"/>
        <v>Dec</v>
      </c>
      <c r="E1506" s="2">
        <v>45291</v>
      </c>
      <c r="F1506" t="s">
        <v>14</v>
      </c>
      <c r="G1506">
        <v>2750</v>
      </c>
      <c r="H1506">
        <v>126</v>
      </c>
      <c r="I1506">
        <v>12</v>
      </c>
      <c r="J1506" t="b">
        <v>0</v>
      </c>
      <c r="K1506" s="10">
        <v>329.13249999999999</v>
      </c>
      <c r="L1506" s="6">
        <f t="shared" si="142"/>
        <v>4.581818181818182E-2</v>
      </c>
      <c r="M1506">
        <f t="shared" si="143"/>
        <v>2.6121626984126984</v>
      </c>
      <c r="N1506">
        <f t="shared" si="144"/>
        <v>27.427708333333332</v>
      </c>
      <c r="O1506">
        <f t="shared" si="145"/>
        <v>270.86750000000001</v>
      </c>
      <c r="P1506">
        <f t="shared" si="146"/>
        <v>9.5238095238095233E-2</v>
      </c>
      <c r="Q1506" t="s">
        <v>4138</v>
      </c>
      <c r="R1506" t="s">
        <v>4138</v>
      </c>
      <c r="S1506">
        <f>YEAR(marketing_data[[#This Row],[Start_date]])</f>
        <v>2023</v>
      </c>
      <c r="T1506" t="str">
        <f>TEXT(marketing_data[[#This Row],[Start_date]],"ddd")</f>
        <v>Fri</v>
      </c>
      <c r="U1506">
        <f>marketing_data[[#This Row],[Cleaned End_date]]-marketing_data[[#This Row],[Start_date]]</f>
        <v>30</v>
      </c>
    </row>
    <row r="1507" spans="1:21" x14ac:dyDescent="0.2">
      <c r="A1507" t="s">
        <v>3115</v>
      </c>
      <c r="B1507" t="s">
        <v>3116</v>
      </c>
      <c r="C1507" s="2">
        <v>45055</v>
      </c>
      <c r="D1507" t="str">
        <f t="shared" si="141"/>
        <v>May</v>
      </c>
      <c r="E1507" s="2">
        <v>45071</v>
      </c>
      <c r="F1507" t="s">
        <v>33</v>
      </c>
      <c r="G1507">
        <v>55756</v>
      </c>
      <c r="H1507">
        <v>900</v>
      </c>
      <c r="I1507">
        <v>171</v>
      </c>
      <c r="J1507" t="b">
        <v>1</v>
      </c>
      <c r="K1507" s="10">
        <v>609.6</v>
      </c>
      <c r="L1507" s="6">
        <f t="shared" si="142"/>
        <v>1.6141760528014922E-2</v>
      </c>
      <c r="M1507">
        <f t="shared" si="143"/>
        <v>0.67733333333333334</v>
      </c>
      <c r="N1507">
        <f t="shared" si="144"/>
        <v>3.5649122807017544</v>
      </c>
      <c r="O1507">
        <f t="shared" si="145"/>
        <v>7940.4</v>
      </c>
      <c r="P1507">
        <f t="shared" si="146"/>
        <v>0.19</v>
      </c>
      <c r="Q1507" t="s">
        <v>4137</v>
      </c>
      <c r="R1507" t="s">
        <v>4139</v>
      </c>
      <c r="S1507">
        <f>YEAR(marketing_data[[#This Row],[Start_date]])</f>
        <v>2023</v>
      </c>
      <c r="T1507" t="str">
        <f>TEXT(marketing_data[[#This Row],[Start_date]],"ddd")</f>
        <v>Tue</v>
      </c>
      <c r="U1507">
        <f>marketing_data[[#This Row],[Cleaned End_date]]-marketing_data[[#This Row],[Start_date]]</f>
        <v>16</v>
      </c>
    </row>
    <row r="1508" spans="1:21" x14ac:dyDescent="0.2">
      <c r="A1508" t="s">
        <v>3117</v>
      </c>
      <c r="B1508" t="s">
        <v>3118</v>
      </c>
      <c r="C1508" s="2">
        <v>45191</v>
      </c>
      <c r="D1508" t="str">
        <f t="shared" si="141"/>
        <v>Sep</v>
      </c>
      <c r="E1508" s="2">
        <v>45192</v>
      </c>
      <c r="F1508" t="s">
        <v>19</v>
      </c>
      <c r="G1508">
        <v>68957</v>
      </c>
      <c r="H1508">
        <v>3420</v>
      </c>
      <c r="I1508">
        <v>357</v>
      </c>
      <c r="J1508" t="b">
        <v>1</v>
      </c>
      <c r="K1508" s="10">
        <v>3631.7599999999998</v>
      </c>
      <c r="L1508" s="6">
        <f t="shared" si="142"/>
        <v>4.9596125121452499E-2</v>
      </c>
      <c r="M1508">
        <f t="shared" si="143"/>
        <v>1.0619181286549706</v>
      </c>
      <c r="N1508">
        <f t="shared" si="144"/>
        <v>10.172997198879552</v>
      </c>
      <c r="O1508">
        <f t="shared" si="145"/>
        <v>14218.24</v>
      </c>
      <c r="P1508">
        <f t="shared" si="146"/>
        <v>0.10438596491228071</v>
      </c>
      <c r="Q1508" t="s">
        <v>4136</v>
      </c>
      <c r="R1508" t="s">
        <v>4141</v>
      </c>
      <c r="S1508">
        <f>YEAR(marketing_data[[#This Row],[Start_date]])</f>
        <v>2023</v>
      </c>
      <c r="T1508" t="str">
        <f>TEXT(marketing_data[[#This Row],[Start_date]],"ddd")</f>
        <v>Fri</v>
      </c>
      <c r="U1508">
        <f>marketing_data[[#This Row],[Cleaned End_date]]-marketing_data[[#This Row],[Start_date]]</f>
        <v>1</v>
      </c>
    </row>
    <row r="1509" spans="1:21" x14ac:dyDescent="0.2">
      <c r="A1509" t="s">
        <v>3119</v>
      </c>
      <c r="B1509" t="s">
        <v>3120</v>
      </c>
      <c r="C1509" s="2">
        <v>45103</v>
      </c>
      <c r="D1509" t="str">
        <f t="shared" si="141"/>
        <v>Jun</v>
      </c>
      <c r="E1509" s="2">
        <v>45125</v>
      </c>
      <c r="F1509" t="s">
        <v>41</v>
      </c>
      <c r="G1509">
        <v>59053</v>
      </c>
      <c r="H1509">
        <v>2845</v>
      </c>
      <c r="I1509">
        <v>308</v>
      </c>
      <c r="J1509" t="b">
        <v>0</v>
      </c>
      <c r="K1509" s="10">
        <v>3631.7599999999998</v>
      </c>
      <c r="L1509" s="6">
        <f t="shared" si="142"/>
        <v>4.8177061283931386E-2</v>
      </c>
      <c r="M1509">
        <f t="shared" si="143"/>
        <v>1.2765413005272408</v>
      </c>
      <c r="N1509">
        <f t="shared" si="144"/>
        <v>11.79142857142857</v>
      </c>
      <c r="O1509">
        <f t="shared" si="145"/>
        <v>11768.24</v>
      </c>
      <c r="P1509">
        <f t="shared" si="146"/>
        <v>0.10826010544815466</v>
      </c>
      <c r="Q1509" t="s">
        <v>4139</v>
      </c>
      <c r="R1509" t="s">
        <v>4139</v>
      </c>
      <c r="S1509">
        <f>YEAR(marketing_data[[#This Row],[Start_date]])</f>
        <v>2023</v>
      </c>
      <c r="T1509" t="str">
        <f>TEXT(marketing_data[[#This Row],[Start_date]],"ddd")</f>
        <v>Mon</v>
      </c>
      <c r="U1509">
        <f>marketing_data[[#This Row],[Cleaned End_date]]-marketing_data[[#This Row],[Start_date]]</f>
        <v>22</v>
      </c>
    </row>
    <row r="1510" spans="1:21" x14ac:dyDescent="0.2">
      <c r="A1510" t="s">
        <v>3121</v>
      </c>
      <c r="B1510" t="s">
        <v>3122</v>
      </c>
      <c r="C1510" s="2">
        <v>45088</v>
      </c>
      <c r="D1510" t="str">
        <f t="shared" si="141"/>
        <v>Jun</v>
      </c>
      <c r="E1510" s="2">
        <v>45266</v>
      </c>
      <c r="F1510" t="s">
        <v>19</v>
      </c>
      <c r="G1510">
        <v>71855</v>
      </c>
      <c r="H1510">
        <v>2140</v>
      </c>
      <c r="I1510">
        <v>141</v>
      </c>
      <c r="J1510" t="b">
        <v>1</v>
      </c>
      <c r="K1510" s="10">
        <v>1777.83</v>
      </c>
      <c r="L1510" s="6">
        <f t="shared" si="142"/>
        <v>2.9782200264421403E-2</v>
      </c>
      <c r="M1510">
        <f t="shared" si="143"/>
        <v>0.83076168224299063</v>
      </c>
      <c r="N1510">
        <f t="shared" si="144"/>
        <v>12.608723404255318</v>
      </c>
      <c r="O1510">
        <f t="shared" si="145"/>
        <v>5272.17</v>
      </c>
      <c r="P1510">
        <f t="shared" si="146"/>
        <v>6.5887850467289719E-2</v>
      </c>
      <c r="Q1510" t="s">
        <v>4139</v>
      </c>
      <c r="R1510" t="s">
        <v>4138</v>
      </c>
      <c r="S1510">
        <f>YEAR(marketing_data[[#This Row],[Start_date]])</f>
        <v>2023</v>
      </c>
      <c r="T1510" t="str">
        <f>TEXT(marketing_data[[#This Row],[Start_date]],"ddd")</f>
        <v>Sun</v>
      </c>
      <c r="U1510">
        <f>marketing_data[[#This Row],[Cleaned End_date]]-marketing_data[[#This Row],[Start_date]]</f>
        <v>178</v>
      </c>
    </row>
    <row r="1511" spans="1:21" x14ac:dyDescent="0.2">
      <c r="A1511" t="s">
        <v>3123</v>
      </c>
      <c r="B1511" t="s">
        <v>3124</v>
      </c>
      <c r="C1511" s="2">
        <v>44998</v>
      </c>
      <c r="D1511" t="str">
        <f t="shared" si="141"/>
        <v>Mar</v>
      </c>
      <c r="E1511" s="2">
        <v>45017</v>
      </c>
      <c r="F1511" t="str">
        <f t="shared" ref="F1511:F1512" si="147">F1510</f>
        <v>Facebook</v>
      </c>
      <c r="G1511">
        <v>16896</v>
      </c>
      <c r="H1511">
        <v>515</v>
      </c>
      <c r="I1511">
        <v>77</v>
      </c>
      <c r="J1511" t="b">
        <v>1</v>
      </c>
      <c r="K1511" s="10">
        <v>401.16</v>
      </c>
      <c r="L1511" s="6">
        <f t="shared" si="142"/>
        <v>3.048058712121212E-2</v>
      </c>
      <c r="M1511">
        <f t="shared" si="143"/>
        <v>0.77895145631067964</v>
      </c>
      <c r="N1511">
        <f t="shared" si="144"/>
        <v>5.2098701298701302</v>
      </c>
      <c r="O1511">
        <f t="shared" si="145"/>
        <v>3448.84</v>
      </c>
      <c r="P1511">
        <f t="shared" si="146"/>
        <v>0.14951456310679612</v>
      </c>
      <c r="Q1511" t="s">
        <v>4137</v>
      </c>
      <c r="R1511" t="s">
        <v>4138</v>
      </c>
      <c r="S1511">
        <f>YEAR(marketing_data[[#This Row],[Start_date]])</f>
        <v>2023</v>
      </c>
      <c r="T1511" t="str">
        <f>TEXT(marketing_data[[#This Row],[Start_date]],"ddd")</f>
        <v>Mon</v>
      </c>
      <c r="U1511">
        <f>marketing_data[[#This Row],[Cleaned End_date]]-marketing_data[[#This Row],[Start_date]]</f>
        <v>19</v>
      </c>
    </row>
    <row r="1512" spans="1:21" x14ac:dyDescent="0.2">
      <c r="A1512" t="s">
        <v>3125</v>
      </c>
      <c r="B1512" t="s">
        <v>3126</v>
      </c>
      <c r="C1512" s="2">
        <v>45190</v>
      </c>
      <c r="D1512" t="str">
        <f t="shared" si="141"/>
        <v>Sep</v>
      </c>
      <c r="E1512" s="2">
        <v>45198</v>
      </c>
      <c r="F1512" t="str">
        <f t="shared" si="147"/>
        <v>Facebook</v>
      </c>
      <c r="G1512">
        <v>56761</v>
      </c>
      <c r="H1512">
        <v>1660</v>
      </c>
      <c r="I1512">
        <v>154</v>
      </c>
      <c r="J1512" t="b">
        <v>1</v>
      </c>
      <c r="K1512" s="10">
        <v>3197.54</v>
      </c>
      <c r="L1512" s="6">
        <f t="shared" si="142"/>
        <v>2.9245432603372035E-2</v>
      </c>
      <c r="M1512">
        <f t="shared" si="143"/>
        <v>1.9262289156626506</v>
      </c>
      <c r="N1512">
        <f t="shared" si="144"/>
        <v>20.763246753246754</v>
      </c>
      <c r="O1512">
        <f t="shared" si="145"/>
        <v>4502.46</v>
      </c>
      <c r="P1512">
        <f t="shared" si="146"/>
        <v>9.2771084337349402E-2</v>
      </c>
      <c r="Q1512" t="s">
        <v>4136</v>
      </c>
      <c r="R1512" t="s">
        <v>4142</v>
      </c>
      <c r="S1512">
        <f>YEAR(marketing_data[[#This Row],[Start_date]])</f>
        <v>2023</v>
      </c>
      <c r="T1512" t="str">
        <f>TEXT(marketing_data[[#This Row],[Start_date]],"ddd")</f>
        <v>Thu</v>
      </c>
      <c r="U1512">
        <f>marketing_data[[#This Row],[Cleaned End_date]]-marketing_data[[#This Row],[Start_date]]</f>
        <v>8</v>
      </c>
    </row>
    <row r="1513" spans="1:21" x14ac:dyDescent="0.2">
      <c r="A1513" t="s">
        <v>3127</v>
      </c>
      <c r="B1513" t="s">
        <v>3128</v>
      </c>
      <c r="C1513" s="2">
        <v>45022</v>
      </c>
      <c r="D1513" t="str">
        <f t="shared" si="141"/>
        <v>Apr</v>
      </c>
      <c r="E1513" s="2">
        <v>45043</v>
      </c>
      <c r="F1513" t="s">
        <v>33</v>
      </c>
      <c r="G1513">
        <v>63552</v>
      </c>
      <c r="H1513">
        <v>2250</v>
      </c>
      <c r="I1513">
        <v>310</v>
      </c>
      <c r="J1513" t="b">
        <v>0</v>
      </c>
      <c r="K1513" s="10">
        <v>1833.4</v>
      </c>
      <c r="L1513" s="6">
        <f t="shared" si="142"/>
        <v>3.5404078549848943E-2</v>
      </c>
      <c r="M1513">
        <f t="shared" si="143"/>
        <v>0.81484444444444448</v>
      </c>
      <c r="N1513">
        <f t="shared" si="144"/>
        <v>5.9141935483870967</v>
      </c>
      <c r="O1513">
        <f t="shared" si="145"/>
        <v>13666.6</v>
      </c>
      <c r="P1513">
        <f t="shared" si="146"/>
        <v>0.13777777777777778</v>
      </c>
      <c r="Q1513" t="s">
        <v>4137</v>
      </c>
      <c r="R1513" t="s">
        <v>4142</v>
      </c>
      <c r="S1513">
        <f>YEAR(marketing_data[[#This Row],[Start_date]])</f>
        <v>2023</v>
      </c>
      <c r="T1513" t="str">
        <f>TEXT(marketing_data[[#This Row],[Start_date]],"ddd")</f>
        <v>Thu</v>
      </c>
      <c r="U1513">
        <f>marketing_data[[#This Row],[Cleaned End_date]]-marketing_data[[#This Row],[Start_date]]</f>
        <v>21</v>
      </c>
    </row>
    <row r="1514" spans="1:21" x14ac:dyDescent="0.2">
      <c r="A1514" t="s">
        <v>3129</v>
      </c>
      <c r="B1514" t="s">
        <v>3130</v>
      </c>
      <c r="C1514" s="2">
        <v>44987</v>
      </c>
      <c r="D1514" t="str">
        <f t="shared" si="141"/>
        <v>Mar</v>
      </c>
      <c r="E1514" s="2">
        <v>45010</v>
      </c>
      <c r="F1514" t="s">
        <v>23</v>
      </c>
      <c r="G1514">
        <v>78454</v>
      </c>
      <c r="H1514">
        <v>1069</v>
      </c>
      <c r="I1514">
        <v>148</v>
      </c>
      <c r="J1514" t="b">
        <v>1</v>
      </c>
      <c r="K1514" s="10">
        <v>952.88</v>
      </c>
      <c r="L1514" s="6">
        <f t="shared" si="142"/>
        <v>1.362581895123257E-2</v>
      </c>
      <c r="M1514">
        <f t="shared" si="143"/>
        <v>0.8913751169317119</v>
      </c>
      <c r="N1514">
        <f t="shared" si="144"/>
        <v>6.4383783783783786</v>
      </c>
      <c r="O1514">
        <f t="shared" si="145"/>
        <v>6447.12</v>
      </c>
      <c r="P1514">
        <f t="shared" si="146"/>
        <v>0.13844714686623011</v>
      </c>
      <c r="Q1514" t="s">
        <v>4137</v>
      </c>
      <c r="R1514" t="s">
        <v>4142</v>
      </c>
      <c r="S1514">
        <f>YEAR(marketing_data[[#This Row],[Start_date]])</f>
        <v>2023</v>
      </c>
      <c r="T1514" t="str">
        <f>TEXT(marketing_data[[#This Row],[Start_date]],"ddd")</f>
        <v>Thu</v>
      </c>
      <c r="U1514">
        <f>marketing_data[[#This Row],[Cleaned End_date]]-marketing_data[[#This Row],[Start_date]]</f>
        <v>23</v>
      </c>
    </row>
    <row r="1515" spans="1:21" x14ac:dyDescent="0.2">
      <c r="A1515" t="s">
        <v>3131</v>
      </c>
      <c r="B1515" t="s">
        <v>3132</v>
      </c>
      <c r="C1515" s="2">
        <v>45096</v>
      </c>
      <c r="D1515" t="str">
        <f t="shared" si="141"/>
        <v>Jun</v>
      </c>
      <c r="E1515" s="2">
        <v>45099</v>
      </c>
      <c r="F1515" t="s">
        <v>33</v>
      </c>
      <c r="G1515">
        <v>91600</v>
      </c>
      <c r="H1515">
        <v>1035</v>
      </c>
      <c r="I1515">
        <v>163</v>
      </c>
      <c r="J1515" t="b">
        <v>0</v>
      </c>
      <c r="K1515" s="10">
        <v>2022.83</v>
      </c>
      <c r="L1515" s="6">
        <f t="shared" si="142"/>
        <v>1.1299126637554585E-2</v>
      </c>
      <c r="M1515">
        <f t="shared" si="143"/>
        <v>1.9544251207729468</v>
      </c>
      <c r="N1515">
        <f t="shared" si="144"/>
        <v>12.41</v>
      </c>
      <c r="O1515">
        <f t="shared" si="145"/>
        <v>6127.17</v>
      </c>
      <c r="P1515">
        <f t="shared" si="146"/>
        <v>0.157487922705314</v>
      </c>
      <c r="Q1515" t="s">
        <v>4139</v>
      </c>
      <c r="R1515" t="s">
        <v>4142</v>
      </c>
      <c r="S1515">
        <f>YEAR(marketing_data[[#This Row],[Start_date]])</f>
        <v>2023</v>
      </c>
      <c r="T1515" t="str">
        <f>TEXT(marketing_data[[#This Row],[Start_date]],"ddd")</f>
        <v>Mon</v>
      </c>
      <c r="U1515">
        <f>marketing_data[[#This Row],[Cleaned End_date]]-marketing_data[[#This Row],[Start_date]]</f>
        <v>3</v>
      </c>
    </row>
    <row r="1516" spans="1:21" x14ac:dyDescent="0.2">
      <c r="A1516" t="s">
        <v>3133</v>
      </c>
      <c r="B1516" t="s">
        <v>3134</v>
      </c>
      <c r="C1516" s="2">
        <v>45172</v>
      </c>
      <c r="D1516" t="str">
        <f t="shared" si="141"/>
        <v>Sep</v>
      </c>
      <c r="E1516" s="2">
        <v>45187</v>
      </c>
      <c r="F1516" t="s">
        <v>19</v>
      </c>
      <c r="G1516">
        <v>28935</v>
      </c>
      <c r="H1516">
        <v>356</v>
      </c>
      <c r="I1516">
        <v>57</v>
      </c>
      <c r="J1516" t="b">
        <v>0</v>
      </c>
      <c r="K1516" s="10">
        <v>570.33000000000004</v>
      </c>
      <c r="L1516" s="6">
        <f t="shared" si="142"/>
        <v>1.2303438742007948E-2</v>
      </c>
      <c r="M1516">
        <f t="shared" si="143"/>
        <v>1.602050561797753</v>
      </c>
      <c r="N1516">
        <f t="shared" si="144"/>
        <v>10.005789473684212</v>
      </c>
      <c r="O1516">
        <f t="shared" si="145"/>
        <v>2279.67</v>
      </c>
      <c r="P1516">
        <f t="shared" si="146"/>
        <v>0.1601123595505618</v>
      </c>
      <c r="Q1516" t="s">
        <v>4136</v>
      </c>
      <c r="R1516" t="s">
        <v>4139</v>
      </c>
      <c r="S1516">
        <f>YEAR(marketing_data[[#This Row],[Start_date]])</f>
        <v>2023</v>
      </c>
      <c r="T1516" t="str">
        <f>TEXT(marketing_data[[#This Row],[Start_date]],"ddd")</f>
        <v>Sun</v>
      </c>
      <c r="U1516">
        <f>marketing_data[[#This Row],[Cleaned End_date]]-marketing_data[[#This Row],[Start_date]]</f>
        <v>15</v>
      </c>
    </row>
    <row r="1517" spans="1:21" x14ac:dyDescent="0.2">
      <c r="A1517" t="s">
        <v>3135</v>
      </c>
      <c r="B1517" t="s">
        <v>3136</v>
      </c>
      <c r="C1517" s="2">
        <v>45258</v>
      </c>
      <c r="D1517" t="str">
        <f t="shared" si="141"/>
        <v>Nov</v>
      </c>
      <c r="E1517" s="2">
        <v>45281</v>
      </c>
      <c r="F1517" t="s">
        <v>14</v>
      </c>
      <c r="G1517">
        <v>38641</v>
      </c>
      <c r="H1517">
        <v>1073</v>
      </c>
      <c r="I1517">
        <v>136</v>
      </c>
      <c r="J1517" t="b">
        <v>1</v>
      </c>
      <c r="K1517" s="10">
        <v>1662.5</v>
      </c>
      <c r="L1517" s="6">
        <f t="shared" si="142"/>
        <v>2.7768432493983076E-2</v>
      </c>
      <c r="M1517">
        <f t="shared" si="143"/>
        <v>1.549394221808015</v>
      </c>
      <c r="N1517">
        <f t="shared" si="144"/>
        <v>12.224264705882353</v>
      </c>
      <c r="O1517">
        <f t="shared" si="145"/>
        <v>5137.5</v>
      </c>
      <c r="P1517">
        <f t="shared" si="146"/>
        <v>0.12674743709226469</v>
      </c>
      <c r="Q1517" t="s">
        <v>4136</v>
      </c>
      <c r="R1517" t="s">
        <v>4139</v>
      </c>
      <c r="S1517">
        <f>YEAR(marketing_data[[#This Row],[Start_date]])</f>
        <v>2023</v>
      </c>
      <c r="T1517" t="str">
        <f>TEXT(marketing_data[[#This Row],[Start_date]],"ddd")</f>
        <v>Tue</v>
      </c>
      <c r="U1517">
        <f>marketing_data[[#This Row],[Cleaned End_date]]-marketing_data[[#This Row],[Start_date]]</f>
        <v>23</v>
      </c>
    </row>
    <row r="1518" spans="1:21" x14ac:dyDescent="0.2">
      <c r="A1518" t="s">
        <v>3137</v>
      </c>
      <c r="B1518" t="s">
        <v>3138</v>
      </c>
      <c r="C1518" s="2">
        <v>44949</v>
      </c>
      <c r="D1518" t="str">
        <f t="shared" si="141"/>
        <v>Jan</v>
      </c>
      <c r="E1518" s="2">
        <v>44975</v>
      </c>
      <c r="F1518" t="s">
        <v>23</v>
      </c>
      <c r="G1518">
        <v>30711</v>
      </c>
      <c r="H1518">
        <v>645</v>
      </c>
      <c r="I1518">
        <v>64</v>
      </c>
      <c r="J1518" t="b">
        <v>0</v>
      </c>
      <c r="K1518" s="10">
        <v>1147.71</v>
      </c>
      <c r="L1518" s="6">
        <f t="shared" si="142"/>
        <v>2.1002246751978117E-2</v>
      </c>
      <c r="M1518">
        <f t="shared" si="143"/>
        <v>1.7793953488372094</v>
      </c>
      <c r="N1518">
        <f t="shared" si="144"/>
        <v>17.932968750000001</v>
      </c>
      <c r="O1518">
        <f t="shared" si="145"/>
        <v>2052.29</v>
      </c>
      <c r="P1518">
        <f t="shared" si="146"/>
        <v>9.9224806201550386E-2</v>
      </c>
      <c r="Q1518" t="s">
        <v>4138</v>
      </c>
      <c r="R1518" t="s">
        <v>4138</v>
      </c>
      <c r="S1518">
        <f>YEAR(marketing_data[[#This Row],[Start_date]])</f>
        <v>2023</v>
      </c>
      <c r="T1518" t="str">
        <f>TEXT(marketing_data[[#This Row],[Start_date]],"ddd")</f>
        <v>Mon</v>
      </c>
      <c r="U1518">
        <f>marketing_data[[#This Row],[Cleaned End_date]]-marketing_data[[#This Row],[Start_date]]</f>
        <v>26</v>
      </c>
    </row>
    <row r="1519" spans="1:21" x14ac:dyDescent="0.2">
      <c r="A1519" t="s">
        <v>3139</v>
      </c>
      <c r="B1519" t="s">
        <v>3140</v>
      </c>
      <c r="C1519" s="2">
        <v>44995</v>
      </c>
      <c r="D1519" t="str">
        <f t="shared" si="141"/>
        <v>Mar</v>
      </c>
      <c r="E1519" s="2">
        <v>45203</v>
      </c>
      <c r="F1519" t="s">
        <v>19</v>
      </c>
      <c r="G1519">
        <v>71342</v>
      </c>
      <c r="H1519">
        <v>2488</v>
      </c>
      <c r="I1519">
        <v>436</v>
      </c>
      <c r="J1519" t="b">
        <v>1</v>
      </c>
      <c r="K1519" s="10">
        <v>1676.25</v>
      </c>
      <c r="L1519" s="6">
        <f t="shared" si="142"/>
        <v>3.487426761234616E-2</v>
      </c>
      <c r="M1519">
        <f t="shared" si="143"/>
        <v>0.673733922829582</v>
      </c>
      <c r="N1519">
        <f t="shared" si="144"/>
        <v>3.8446100917431192</v>
      </c>
      <c r="O1519">
        <f t="shared" si="145"/>
        <v>20123.75</v>
      </c>
      <c r="P1519">
        <f t="shared" si="146"/>
        <v>0.17524115755627009</v>
      </c>
      <c r="Q1519" t="s">
        <v>4137</v>
      </c>
      <c r="R1519" t="s">
        <v>4138</v>
      </c>
      <c r="S1519">
        <f>YEAR(marketing_data[[#This Row],[Start_date]])</f>
        <v>2023</v>
      </c>
      <c r="T1519" t="str">
        <f>TEXT(marketing_data[[#This Row],[Start_date]],"ddd")</f>
        <v>Fri</v>
      </c>
      <c r="U1519">
        <f>marketing_data[[#This Row],[Cleaned End_date]]-marketing_data[[#This Row],[Start_date]]</f>
        <v>208</v>
      </c>
    </row>
    <row r="1520" spans="1:21" x14ac:dyDescent="0.2">
      <c r="A1520" t="s">
        <v>3141</v>
      </c>
      <c r="B1520" t="s">
        <v>3142</v>
      </c>
      <c r="C1520" s="2">
        <v>45220</v>
      </c>
      <c r="D1520" t="str">
        <f t="shared" si="141"/>
        <v>Oct</v>
      </c>
      <c r="E1520" s="2">
        <v>45233</v>
      </c>
      <c r="F1520" t="str">
        <f>F1519</f>
        <v>Facebook</v>
      </c>
      <c r="G1520">
        <v>13182</v>
      </c>
      <c r="H1520">
        <v>655</v>
      </c>
      <c r="I1520">
        <v>63</v>
      </c>
      <c r="J1520" t="b">
        <v>0</v>
      </c>
      <c r="K1520" s="10">
        <v>1021.1</v>
      </c>
      <c r="L1520" s="6">
        <f t="shared" si="142"/>
        <v>4.9688969807313001E-2</v>
      </c>
      <c r="M1520">
        <f t="shared" si="143"/>
        <v>1.5589312977099237</v>
      </c>
      <c r="N1520">
        <f t="shared" si="144"/>
        <v>16.207936507936509</v>
      </c>
      <c r="O1520">
        <f t="shared" si="145"/>
        <v>2128.9</v>
      </c>
      <c r="P1520">
        <f t="shared" si="146"/>
        <v>9.6183206106870228E-2</v>
      </c>
      <c r="Q1520" t="s">
        <v>4136</v>
      </c>
      <c r="R1520" t="s">
        <v>4138</v>
      </c>
      <c r="S1520">
        <f>YEAR(marketing_data[[#This Row],[Start_date]])</f>
        <v>2023</v>
      </c>
      <c r="T1520" t="str">
        <f>TEXT(marketing_data[[#This Row],[Start_date]],"ddd")</f>
        <v>Sat</v>
      </c>
      <c r="U1520">
        <f>marketing_data[[#This Row],[Cleaned End_date]]-marketing_data[[#This Row],[Start_date]]</f>
        <v>13</v>
      </c>
    </row>
    <row r="1521" spans="1:21" x14ac:dyDescent="0.2">
      <c r="A1521" t="s">
        <v>3143</v>
      </c>
      <c r="B1521" t="s">
        <v>3144</v>
      </c>
      <c r="C1521" s="2">
        <v>45019</v>
      </c>
      <c r="D1521" t="str">
        <f t="shared" si="141"/>
        <v>Apr</v>
      </c>
      <c r="E1521" s="2">
        <v>45038</v>
      </c>
      <c r="F1521" t="s">
        <v>33</v>
      </c>
      <c r="G1521">
        <v>88833</v>
      </c>
      <c r="H1521">
        <v>2261</v>
      </c>
      <c r="I1521">
        <v>285</v>
      </c>
      <c r="J1521" t="b">
        <v>1</v>
      </c>
      <c r="K1521" s="10">
        <v>2838.76</v>
      </c>
      <c r="L1521" s="6">
        <f t="shared" si="142"/>
        <v>2.5452253104139226E-2</v>
      </c>
      <c r="M1521">
        <f t="shared" si="143"/>
        <v>1.2555329500221142</v>
      </c>
      <c r="N1521">
        <f t="shared" si="144"/>
        <v>9.9605614035087733</v>
      </c>
      <c r="O1521">
        <f t="shared" si="145"/>
        <v>11411.24</v>
      </c>
      <c r="P1521">
        <f t="shared" si="146"/>
        <v>0.12605042016806722</v>
      </c>
      <c r="Q1521" t="s">
        <v>4137</v>
      </c>
      <c r="R1521" t="s">
        <v>4141</v>
      </c>
      <c r="S1521">
        <f>YEAR(marketing_data[[#This Row],[Start_date]])</f>
        <v>2023</v>
      </c>
      <c r="T1521" t="str">
        <f>TEXT(marketing_data[[#This Row],[Start_date]],"ddd")</f>
        <v>Mon</v>
      </c>
      <c r="U1521">
        <f>marketing_data[[#This Row],[Cleaned End_date]]-marketing_data[[#This Row],[Start_date]]</f>
        <v>19</v>
      </c>
    </row>
    <row r="1522" spans="1:21" x14ac:dyDescent="0.2">
      <c r="A1522" t="s">
        <v>3145</v>
      </c>
      <c r="B1522" t="s">
        <v>3146</v>
      </c>
      <c r="C1522" s="2">
        <v>45215</v>
      </c>
      <c r="D1522" t="str">
        <f t="shared" si="141"/>
        <v>Oct</v>
      </c>
      <c r="E1522" s="2">
        <v>45227</v>
      </c>
      <c r="F1522" t="s">
        <v>41</v>
      </c>
      <c r="G1522">
        <v>57276</v>
      </c>
      <c r="H1522">
        <v>1887</v>
      </c>
      <c r="I1522">
        <v>207</v>
      </c>
      <c r="J1522" t="b">
        <v>0</v>
      </c>
      <c r="K1522" s="10">
        <v>3290.41</v>
      </c>
      <c r="L1522" s="6">
        <f t="shared" si="142"/>
        <v>3.294573643410853E-2</v>
      </c>
      <c r="M1522">
        <f t="shared" si="143"/>
        <v>1.7437254901960784</v>
      </c>
      <c r="N1522">
        <f t="shared" si="144"/>
        <v>15.895700483091787</v>
      </c>
      <c r="O1522">
        <f t="shared" si="145"/>
        <v>7059.59</v>
      </c>
      <c r="P1522">
        <f t="shared" si="146"/>
        <v>0.10969793322734499</v>
      </c>
      <c r="Q1522" t="s">
        <v>4136</v>
      </c>
      <c r="R1522" t="s">
        <v>4139</v>
      </c>
      <c r="S1522">
        <f>YEAR(marketing_data[[#This Row],[Start_date]])</f>
        <v>2023</v>
      </c>
      <c r="T1522" t="str">
        <f>TEXT(marketing_data[[#This Row],[Start_date]],"ddd")</f>
        <v>Mon</v>
      </c>
      <c r="U1522">
        <f>marketing_data[[#This Row],[Cleaned End_date]]-marketing_data[[#This Row],[Start_date]]</f>
        <v>12</v>
      </c>
    </row>
    <row r="1523" spans="1:21" x14ac:dyDescent="0.2">
      <c r="A1523" t="s">
        <v>3147</v>
      </c>
      <c r="B1523" t="s">
        <v>3148</v>
      </c>
      <c r="C1523" s="2">
        <v>45265</v>
      </c>
      <c r="D1523" t="str">
        <f t="shared" si="141"/>
        <v>Dec</v>
      </c>
      <c r="E1523" s="2">
        <v>45277</v>
      </c>
      <c r="F1523" t="s">
        <v>23</v>
      </c>
      <c r="G1523">
        <v>20541</v>
      </c>
      <c r="H1523">
        <v>546</v>
      </c>
      <c r="I1523">
        <v>97</v>
      </c>
      <c r="J1523" t="b">
        <v>0</v>
      </c>
      <c r="K1523" s="10">
        <v>689.17</v>
      </c>
      <c r="L1523" s="6">
        <f t="shared" si="142"/>
        <v>2.658098437271798E-2</v>
      </c>
      <c r="M1523">
        <f t="shared" si="143"/>
        <v>1.262216117216117</v>
      </c>
      <c r="N1523">
        <f t="shared" si="144"/>
        <v>7.1048453608247417</v>
      </c>
      <c r="O1523">
        <f t="shared" si="145"/>
        <v>4160.83</v>
      </c>
      <c r="P1523">
        <f t="shared" si="146"/>
        <v>0.17765567765567766</v>
      </c>
      <c r="Q1523" t="s">
        <v>4138</v>
      </c>
      <c r="R1523" t="s">
        <v>4141</v>
      </c>
      <c r="S1523">
        <f>YEAR(marketing_data[[#This Row],[Start_date]])</f>
        <v>2023</v>
      </c>
      <c r="T1523" t="str">
        <f>TEXT(marketing_data[[#This Row],[Start_date]],"ddd")</f>
        <v>Tue</v>
      </c>
      <c r="U1523">
        <f>marketing_data[[#This Row],[Cleaned End_date]]-marketing_data[[#This Row],[Start_date]]</f>
        <v>12</v>
      </c>
    </row>
    <row r="1524" spans="1:21" x14ac:dyDescent="0.2">
      <c r="A1524" t="s">
        <v>3149</v>
      </c>
      <c r="B1524" t="s">
        <v>3150</v>
      </c>
      <c r="C1524" s="2">
        <v>45037</v>
      </c>
      <c r="D1524" t="str">
        <f t="shared" si="141"/>
        <v>Apr</v>
      </c>
      <c r="E1524" s="2">
        <v>45050</v>
      </c>
      <c r="F1524" t="s">
        <v>14</v>
      </c>
      <c r="G1524">
        <v>95457</v>
      </c>
      <c r="H1524">
        <v>4189</v>
      </c>
      <c r="I1524">
        <v>480</v>
      </c>
      <c r="J1524" t="b">
        <v>0</v>
      </c>
      <c r="K1524" s="10">
        <v>3631.7599999999998</v>
      </c>
      <c r="L1524" s="6">
        <f t="shared" si="142"/>
        <v>4.3883633468472717E-2</v>
      </c>
      <c r="M1524">
        <f t="shared" si="143"/>
        <v>0.86697541179279058</v>
      </c>
      <c r="N1524">
        <f t="shared" si="144"/>
        <v>7.5661666666666658</v>
      </c>
      <c r="O1524">
        <f t="shared" si="145"/>
        <v>20368.240000000002</v>
      </c>
      <c r="P1524">
        <f t="shared" si="146"/>
        <v>0.11458582000477441</v>
      </c>
      <c r="Q1524" t="s">
        <v>4137</v>
      </c>
      <c r="R1524" t="s">
        <v>4138</v>
      </c>
      <c r="S1524">
        <f>YEAR(marketing_data[[#This Row],[Start_date]])</f>
        <v>2023</v>
      </c>
      <c r="T1524" t="str">
        <f>TEXT(marketing_data[[#This Row],[Start_date]],"ddd")</f>
        <v>Fri</v>
      </c>
      <c r="U1524">
        <f>marketing_data[[#This Row],[Cleaned End_date]]-marketing_data[[#This Row],[Start_date]]</f>
        <v>13</v>
      </c>
    </row>
    <row r="1525" spans="1:21" x14ac:dyDescent="0.2">
      <c r="A1525" t="s">
        <v>3151</v>
      </c>
      <c r="B1525" t="s">
        <v>3152</v>
      </c>
      <c r="C1525" s="2">
        <v>45173</v>
      </c>
      <c r="D1525" t="str">
        <f t="shared" si="141"/>
        <v>Sep</v>
      </c>
      <c r="E1525" s="2">
        <v>45174</v>
      </c>
      <c r="F1525" t="s">
        <v>14</v>
      </c>
      <c r="G1525">
        <v>83310</v>
      </c>
      <c r="H1525">
        <v>3839</v>
      </c>
      <c r="I1525">
        <v>414</v>
      </c>
      <c r="J1525" t="b">
        <v>1</v>
      </c>
      <c r="K1525" s="10">
        <v>3631.7599999999998</v>
      </c>
      <c r="L1525" s="6">
        <f t="shared" si="142"/>
        <v>4.608090265274277E-2</v>
      </c>
      <c r="M1525">
        <f t="shared" si="143"/>
        <v>0.94601719197707734</v>
      </c>
      <c r="N1525">
        <f t="shared" si="144"/>
        <v>8.7723671497584537</v>
      </c>
      <c r="O1525">
        <f t="shared" si="145"/>
        <v>17068.240000000002</v>
      </c>
      <c r="P1525">
        <f t="shared" si="146"/>
        <v>0.10784058348528262</v>
      </c>
      <c r="Q1525" t="s">
        <v>4136</v>
      </c>
      <c r="R1525" t="s">
        <v>4141</v>
      </c>
      <c r="S1525">
        <f>YEAR(marketing_data[[#This Row],[Start_date]])</f>
        <v>2023</v>
      </c>
      <c r="T1525" t="str">
        <f>TEXT(marketing_data[[#This Row],[Start_date]],"ddd")</f>
        <v>Mon</v>
      </c>
      <c r="U1525">
        <f>marketing_data[[#This Row],[Cleaned End_date]]-marketing_data[[#This Row],[Start_date]]</f>
        <v>1</v>
      </c>
    </row>
    <row r="1526" spans="1:21" x14ac:dyDescent="0.2">
      <c r="A1526" t="s">
        <v>3153</v>
      </c>
      <c r="B1526" t="s">
        <v>3154</v>
      </c>
      <c r="C1526" s="2">
        <v>45234</v>
      </c>
      <c r="D1526" t="str">
        <f t="shared" si="141"/>
        <v>Nov</v>
      </c>
      <c r="E1526" s="2">
        <v>45250</v>
      </c>
      <c r="F1526" t="s">
        <v>19</v>
      </c>
      <c r="G1526">
        <v>45813</v>
      </c>
      <c r="H1526">
        <v>2065</v>
      </c>
      <c r="I1526">
        <v>316</v>
      </c>
      <c r="J1526" t="b">
        <v>0</v>
      </c>
      <c r="K1526" s="10">
        <v>2513.6</v>
      </c>
      <c r="L1526" s="6">
        <f t="shared" si="142"/>
        <v>4.5074542160522126E-2</v>
      </c>
      <c r="M1526">
        <f t="shared" si="143"/>
        <v>1.2172397094430993</v>
      </c>
      <c r="N1526">
        <f t="shared" si="144"/>
        <v>7.9544303797468352</v>
      </c>
      <c r="O1526">
        <f t="shared" si="145"/>
        <v>13286.4</v>
      </c>
      <c r="P1526">
        <f t="shared" si="146"/>
        <v>0.15302663438256658</v>
      </c>
      <c r="Q1526" t="s">
        <v>4136</v>
      </c>
      <c r="R1526" t="s">
        <v>4141</v>
      </c>
      <c r="S1526">
        <f>YEAR(marketing_data[[#This Row],[Start_date]])</f>
        <v>2023</v>
      </c>
      <c r="T1526" t="str">
        <f>TEXT(marketing_data[[#This Row],[Start_date]],"ddd")</f>
        <v>Sat</v>
      </c>
      <c r="U1526">
        <f>marketing_data[[#This Row],[Cleaned End_date]]-marketing_data[[#This Row],[Start_date]]</f>
        <v>16</v>
      </c>
    </row>
    <row r="1527" spans="1:21" x14ac:dyDescent="0.2">
      <c r="A1527" t="s">
        <v>3155</v>
      </c>
      <c r="B1527" t="s">
        <v>3156</v>
      </c>
      <c r="C1527" s="2">
        <v>45020</v>
      </c>
      <c r="D1527" t="str">
        <f t="shared" si="141"/>
        <v>Apr</v>
      </c>
      <c r="E1527" s="2">
        <v>45034</v>
      </c>
      <c r="F1527" t="s">
        <v>23</v>
      </c>
      <c r="G1527">
        <v>38198</v>
      </c>
      <c r="H1527">
        <v>1870</v>
      </c>
      <c r="I1527">
        <v>262</v>
      </c>
      <c r="J1527" t="b">
        <v>1</v>
      </c>
      <c r="K1527" s="10">
        <v>3089.16</v>
      </c>
      <c r="L1527" s="6">
        <f t="shared" si="142"/>
        <v>4.8955442693334732E-2</v>
      </c>
      <c r="M1527">
        <f t="shared" si="143"/>
        <v>1.6519572192513368</v>
      </c>
      <c r="N1527">
        <f t="shared" si="144"/>
        <v>11.790687022900762</v>
      </c>
      <c r="O1527">
        <f t="shared" si="145"/>
        <v>10010.84</v>
      </c>
      <c r="P1527">
        <f t="shared" si="146"/>
        <v>0.14010695187165775</v>
      </c>
      <c r="Q1527" t="s">
        <v>4137</v>
      </c>
      <c r="R1527" t="s">
        <v>4141</v>
      </c>
      <c r="S1527">
        <f>YEAR(marketing_data[[#This Row],[Start_date]])</f>
        <v>2023</v>
      </c>
      <c r="T1527" t="str">
        <f>TEXT(marketing_data[[#This Row],[Start_date]],"ddd")</f>
        <v>Tue</v>
      </c>
      <c r="U1527">
        <f>marketing_data[[#This Row],[Cleaned End_date]]-marketing_data[[#This Row],[Start_date]]</f>
        <v>14</v>
      </c>
    </row>
    <row r="1528" spans="1:21" x14ac:dyDescent="0.2">
      <c r="A1528" t="s">
        <v>3157</v>
      </c>
      <c r="B1528" t="s">
        <v>3158</v>
      </c>
      <c r="C1528" s="2">
        <v>45012</v>
      </c>
      <c r="D1528" t="str">
        <f t="shared" si="141"/>
        <v>Mar</v>
      </c>
      <c r="E1528" s="2">
        <v>45036</v>
      </c>
      <c r="F1528" t="s">
        <v>41</v>
      </c>
      <c r="G1528">
        <v>9820</v>
      </c>
      <c r="H1528">
        <v>109</v>
      </c>
      <c r="I1528">
        <v>7</v>
      </c>
      <c r="J1528" t="b">
        <v>1</v>
      </c>
      <c r="K1528" s="10">
        <v>329.13249999999999</v>
      </c>
      <c r="L1528" s="6">
        <f t="shared" si="142"/>
        <v>1.1099796334012219E-2</v>
      </c>
      <c r="M1528">
        <f t="shared" si="143"/>
        <v>3.019564220183486</v>
      </c>
      <c r="N1528">
        <f t="shared" si="144"/>
        <v>47.018928571428567</v>
      </c>
      <c r="O1528">
        <f t="shared" si="145"/>
        <v>20.867500000000007</v>
      </c>
      <c r="P1528">
        <f t="shared" si="146"/>
        <v>6.4220183486238536E-2</v>
      </c>
      <c r="Q1528" t="s">
        <v>4137</v>
      </c>
      <c r="R1528" t="s">
        <v>4142</v>
      </c>
      <c r="S1528">
        <f>YEAR(marketing_data[[#This Row],[Start_date]])</f>
        <v>2023</v>
      </c>
      <c r="T1528" t="str">
        <f>TEXT(marketing_data[[#This Row],[Start_date]],"ddd")</f>
        <v>Mon</v>
      </c>
      <c r="U1528">
        <f>marketing_data[[#This Row],[Cleaned End_date]]-marketing_data[[#This Row],[Start_date]]</f>
        <v>24</v>
      </c>
    </row>
    <row r="1529" spans="1:21" x14ac:dyDescent="0.2">
      <c r="A1529" t="s">
        <v>3159</v>
      </c>
      <c r="B1529" t="s">
        <v>3160</v>
      </c>
      <c r="C1529" s="2">
        <v>45159</v>
      </c>
      <c r="D1529" t="str">
        <f t="shared" si="141"/>
        <v>Aug</v>
      </c>
      <c r="E1529" s="2">
        <v>45174</v>
      </c>
      <c r="F1529" t="s">
        <v>41</v>
      </c>
      <c r="G1529">
        <v>25070</v>
      </c>
      <c r="H1529">
        <v>1092</v>
      </c>
      <c r="I1529">
        <v>137</v>
      </c>
      <c r="J1529" t="b">
        <v>1</v>
      </c>
      <c r="K1529" s="10">
        <v>1583.29</v>
      </c>
      <c r="L1529" s="6">
        <f t="shared" si="142"/>
        <v>4.3558037495013961E-2</v>
      </c>
      <c r="M1529">
        <f t="shared" si="143"/>
        <v>1.4498992673992674</v>
      </c>
      <c r="N1529">
        <f t="shared" si="144"/>
        <v>11.556861313868612</v>
      </c>
      <c r="O1529">
        <f t="shared" si="145"/>
        <v>5266.71</v>
      </c>
      <c r="P1529">
        <f t="shared" si="146"/>
        <v>0.12545787545787546</v>
      </c>
      <c r="Q1529" t="s">
        <v>4139</v>
      </c>
      <c r="R1529" t="s">
        <v>4142</v>
      </c>
      <c r="S1529">
        <f>YEAR(marketing_data[[#This Row],[Start_date]])</f>
        <v>2023</v>
      </c>
      <c r="T1529" t="str">
        <f>TEXT(marketing_data[[#This Row],[Start_date]],"ddd")</f>
        <v>Mon</v>
      </c>
      <c r="U1529">
        <f>marketing_data[[#This Row],[Cleaned End_date]]-marketing_data[[#This Row],[Start_date]]</f>
        <v>15</v>
      </c>
    </row>
    <row r="1530" spans="1:21" x14ac:dyDescent="0.2">
      <c r="A1530" t="s">
        <v>3161</v>
      </c>
      <c r="B1530" t="s">
        <v>3162</v>
      </c>
      <c r="C1530" s="2">
        <v>45120</v>
      </c>
      <c r="D1530" t="str">
        <f t="shared" si="141"/>
        <v>Jul</v>
      </c>
      <c r="E1530" s="2">
        <v>45150</v>
      </c>
      <c r="F1530" t="s">
        <v>14</v>
      </c>
      <c r="G1530">
        <v>70768</v>
      </c>
      <c r="H1530">
        <v>2835</v>
      </c>
      <c r="I1530">
        <v>454</v>
      </c>
      <c r="J1530" t="b">
        <v>0</v>
      </c>
      <c r="K1530" s="10">
        <v>3332.33</v>
      </c>
      <c r="L1530" s="6">
        <f t="shared" si="142"/>
        <v>4.0060479312683701E-2</v>
      </c>
      <c r="M1530">
        <f t="shared" si="143"/>
        <v>1.1754250440917107</v>
      </c>
      <c r="N1530">
        <f t="shared" si="144"/>
        <v>7.339933920704846</v>
      </c>
      <c r="O1530">
        <f t="shared" si="145"/>
        <v>19367.669999999998</v>
      </c>
      <c r="P1530">
        <f t="shared" si="146"/>
        <v>0.16014109347442682</v>
      </c>
      <c r="Q1530" t="s">
        <v>4139</v>
      </c>
      <c r="R1530" t="s">
        <v>4142</v>
      </c>
      <c r="S1530">
        <f>YEAR(marketing_data[[#This Row],[Start_date]])</f>
        <v>2023</v>
      </c>
      <c r="T1530" t="str">
        <f>TEXT(marketing_data[[#This Row],[Start_date]],"ddd")</f>
        <v>Thu</v>
      </c>
      <c r="U1530">
        <f>marketing_data[[#This Row],[Cleaned End_date]]-marketing_data[[#This Row],[Start_date]]</f>
        <v>30</v>
      </c>
    </row>
    <row r="1531" spans="1:21" x14ac:dyDescent="0.2">
      <c r="A1531" t="s">
        <v>3163</v>
      </c>
      <c r="B1531" t="s">
        <v>3164</v>
      </c>
      <c r="C1531" s="2">
        <v>45030</v>
      </c>
      <c r="D1531" t="str">
        <f t="shared" si="141"/>
        <v>Apr</v>
      </c>
      <c r="E1531" s="2">
        <v>45044</v>
      </c>
      <c r="F1531" t="s">
        <v>19</v>
      </c>
      <c r="G1531">
        <v>12122</v>
      </c>
      <c r="H1531">
        <v>232</v>
      </c>
      <c r="I1531">
        <v>46</v>
      </c>
      <c r="J1531" t="b">
        <v>1</v>
      </c>
      <c r="K1531" s="10">
        <v>329.13249999999999</v>
      </c>
      <c r="L1531" s="6">
        <f t="shared" si="142"/>
        <v>1.9138755980861243E-2</v>
      </c>
      <c r="M1531">
        <f t="shared" si="143"/>
        <v>1.4186745689655171</v>
      </c>
      <c r="N1531">
        <f t="shared" si="144"/>
        <v>7.1550543478260868</v>
      </c>
      <c r="O1531">
        <f t="shared" si="145"/>
        <v>1970.8675000000001</v>
      </c>
      <c r="P1531">
        <f t="shared" si="146"/>
        <v>0.19827586206896552</v>
      </c>
      <c r="Q1531" t="s">
        <v>4137</v>
      </c>
      <c r="R1531" t="s">
        <v>4141</v>
      </c>
      <c r="S1531">
        <f>YEAR(marketing_data[[#This Row],[Start_date]])</f>
        <v>2023</v>
      </c>
      <c r="T1531" t="str">
        <f>TEXT(marketing_data[[#This Row],[Start_date]],"ddd")</f>
        <v>Fri</v>
      </c>
      <c r="U1531">
        <f>marketing_data[[#This Row],[Cleaned End_date]]-marketing_data[[#This Row],[Start_date]]</f>
        <v>14</v>
      </c>
    </row>
    <row r="1532" spans="1:21" x14ac:dyDescent="0.2">
      <c r="A1532" t="s">
        <v>3165</v>
      </c>
      <c r="B1532" t="s">
        <v>3166</v>
      </c>
      <c r="C1532" s="2">
        <v>45277</v>
      </c>
      <c r="D1532" t="str">
        <f t="shared" si="141"/>
        <v>Dec</v>
      </c>
      <c r="E1532" s="2">
        <v>45280</v>
      </c>
      <c r="F1532" t="s">
        <v>14</v>
      </c>
      <c r="G1532">
        <v>81559</v>
      </c>
      <c r="H1532">
        <v>3935</v>
      </c>
      <c r="I1532">
        <v>568</v>
      </c>
      <c r="J1532" t="b">
        <v>1</v>
      </c>
      <c r="K1532" s="10">
        <v>3631.7599999999998</v>
      </c>
      <c r="L1532" s="6">
        <f t="shared" si="142"/>
        <v>4.8247281109380938E-2</v>
      </c>
      <c r="M1532">
        <f t="shared" si="143"/>
        <v>0.92293773824650571</v>
      </c>
      <c r="N1532">
        <f t="shared" si="144"/>
        <v>6.3939436619718304</v>
      </c>
      <c r="O1532">
        <f t="shared" si="145"/>
        <v>24768.240000000002</v>
      </c>
      <c r="P1532">
        <f t="shared" si="146"/>
        <v>0.14434561626429479</v>
      </c>
      <c r="Q1532" t="s">
        <v>4138</v>
      </c>
      <c r="R1532" t="s">
        <v>4139</v>
      </c>
      <c r="S1532">
        <f>YEAR(marketing_data[[#This Row],[Start_date]])</f>
        <v>2023</v>
      </c>
      <c r="T1532" t="str">
        <f>TEXT(marketing_data[[#This Row],[Start_date]],"ddd")</f>
        <v>Sun</v>
      </c>
      <c r="U1532">
        <f>marketing_data[[#This Row],[Cleaned End_date]]-marketing_data[[#This Row],[Start_date]]</f>
        <v>3</v>
      </c>
    </row>
    <row r="1533" spans="1:21" x14ac:dyDescent="0.2">
      <c r="A1533" t="s">
        <v>3167</v>
      </c>
      <c r="B1533" t="s">
        <v>3168</v>
      </c>
      <c r="C1533" s="2">
        <v>44976</v>
      </c>
      <c r="D1533" t="str">
        <f t="shared" si="141"/>
        <v>Feb</v>
      </c>
      <c r="E1533" s="2">
        <v>44990</v>
      </c>
      <c r="F1533" t="s">
        <v>19</v>
      </c>
      <c r="G1533">
        <v>74543</v>
      </c>
      <c r="H1533">
        <v>1187</v>
      </c>
      <c r="I1533">
        <v>125</v>
      </c>
      <c r="J1533" t="b">
        <v>1</v>
      </c>
      <c r="K1533" s="10">
        <v>2064.09</v>
      </c>
      <c r="L1533" s="6">
        <f t="shared" si="142"/>
        <v>1.5923695048495501E-2</v>
      </c>
      <c r="M1533">
        <f t="shared" si="143"/>
        <v>1.7389132266217355</v>
      </c>
      <c r="N1533">
        <f t="shared" si="144"/>
        <v>16.512720000000002</v>
      </c>
      <c r="O1533">
        <f t="shared" si="145"/>
        <v>4185.91</v>
      </c>
      <c r="P1533">
        <f t="shared" si="146"/>
        <v>0.10530749789385004</v>
      </c>
      <c r="Q1533" t="s">
        <v>4138</v>
      </c>
      <c r="R1533" t="s">
        <v>4142</v>
      </c>
      <c r="S1533">
        <f>YEAR(marketing_data[[#This Row],[Start_date]])</f>
        <v>2023</v>
      </c>
      <c r="T1533" t="str">
        <f>TEXT(marketing_data[[#This Row],[Start_date]],"ddd")</f>
        <v>Sun</v>
      </c>
      <c r="U1533">
        <f>marketing_data[[#This Row],[Cleaned End_date]]-marketing_data[[#This Row],[Start_date]]</f>
        <v>14</v>
      </c>
    </row>
    <row r="1534" spans="1:21" x14ac:dyDescent="0.2">
      <c r="A1534" t="s">
        <v>3169</v>
      </c>
      <c r="B1534" t="s">
        <v>3170</v>
      </c>
      <c r="C1534" s="2">
        <v>45027</v>
      </c>
      <c r="D1534" t="str">
        <f t="shared" si="141"/>
        <v>Apr</v>
      </c>
      <c r="E1534" s="2">
        <v>45243</v>
      </c>
      <c r="F1534" t="s">
        <v>14</v>
      </c>
      <c r="G1534">
        <v>84441</v>
      </c>
      <c r="H1534">
        <v>3139</v>
      </c>
      <c r="I1534">
        <v>263</v>
      </c>
      <c r="J1534" t="b">
        <v>0</v>
      </c>
      <c r="K1534" s="10">
        <v>3631.7599999999998</v>
      </c>
      <c r="L1534" s="6">
        <f t="shared" si="142"/>
        <v>3.7173884724245328E-2</v>
      </c>
      <c r="M1534">
        <f t="shared" si="143"/>
        <v>1.1569799299139853</v>
      </c>
      <c r="N1534">
        <f t="shared" si="144"/>
        <v>13.808973384030418</v>
      </c>
      <c r="O1534">
        <f t="shared" si="145"/>
        <v>9518.24</v>
      </c>
      <c r="P1534">
        <f t="shared" si="146"/>
        <v>8.3784644791334822E-2</v>
      </c>
      <c r="Q1534" t="s">
        <v>4137</v>
      </c>
      <c r="R1534" t="s">
        <v>4142</v>
      </c>
      <c r="S1534">
        <f>YEAR(marketing_data[[#This Row],[Start_date]])</f>
        <v>2023</v>
      </c>
      <c r="T1534" t="str">
        <f>TEXT(marketing_data[[#This Row],[Start_date]],"ddd")</f>
        <v>Tue</v>
      </c>
      <c r="U1534">
        <f>marketing_data[[#This Row],[Cleaned End_date]]-marketing_data[[#This Row],[Start_date]]</f>
        <v>216</v>
      </c>
    </row>
    <row r="1535" spans="1:21" x14ac:dyDescent="0.2">
      <c r="A1535" t="s">
        <v>3171</v>
      </c>
      <c r="B1535" t="s">
        <v>3172</v>
      </c>
      <c r="C1535" s="2">
        <v>45199</v>
      </c>
      <c r="D1535" t="str">
        <f t="shared" si="141"/>
        <v>Sep</v>
      </c>
      <c r="E1535" s="2">
        <v>45211</v>
      </c>
      <c r="F1535" t="s">
        <v>41</v>
      </c>
      <c r="G1535">
        <v>42786</v>
      </c>
      <c r="H1535">
        <v>812</v>
      </c>
      <c r="I1535">
        <v>146</v>
      </c>
      <c r="J1535" t="b">
        <v>1</v>
      </c>
      <c r="K1535" s="10">
        <v>1531.52</v>
      </c>
      <c r="L1535" s="6">
        <f t="shared" si="142"/>
        <v>1.897817042957977E-2</v>
      </c>
      <c r="M1535">
        <f t="shared" si="143"/>
        <v>1.8861083743842364</v>
      </c>
      <c r="N1535">
        <f t="shared" si="144"/>
        <v>10.48986301369863</v>
      </c>
      <c r="O1535">
        <f t="shared" si="145"/>
        <v>5768.48</v>
      </c>
      <c r="P1535">
        <f t="shared" si="146"/>
        <v>0.17980295566502463</v>
      </c>
      <c r="Q1535" t="s">
        <v>4136</v>
      </c>
      <c r="R1535" t="s">
        <v>4139</v>
      </c>
      <c r="S1535">
        <f>YEAR(marketing_data[[#This Row],[Start_date]])</f>
        <v>2023</v>
      </c>
      <c r="T1535" t="str">
        <f>TEXT(marketing_data[[#This Row],[Start_date]],"ddd")</f>
        <v>Sat</v>
      </c>
      <c r="U1535">
        <f>marketing_data[[#This Row],[Cleaned End_date]]-marketing_data[[#This Row],[Start_date]]</f>
        <v>12</v>
      </c>
    </row>
    <row r="1536" spans="1:21" x14ac:dyDescent="0.2">
      <c r="A1536" t="s">
        <v>3173</v>
      </c>
      <c r="B1536" t="s">
        <v>3174</v>
      </c>
      <c r="C1536" s="2">
        <v>45173</v>
      </c>
      <c r="D1536" t="str">
        <f t="shared" si="141"/>
        <v>Sep</v>
      </c>
      <c r="E1536" s="2">
        <v>45181</v>
      </c>
      <c r="F1536" t="s">
        <v>33</v>
      </c>
      <c r="G1536">
        <v>95934</v>
      </c>
      <c r="H1536">
        <v>2614</v>
      </c>
      <c r="I1536">
        <v>450</v>
      </c>
      <c r="J1536" t="b">
        <v>1</v>
      </c>
      <c r="K1536" s="10">
        <v>3631.7599999999998</v>
      </c>
      <c r="L1536" s="6">
        <f t="shared" si="142"/>
        <v>2.7247899597640044E-2</v>
      </c>
      <c r="M1536">
        <f t="shared" si="143"/>
        <v>1.3893496557000764</v>
      </c>
      <c r="N1536">
        <f t="shared" si="144"/>
        <v>8.0705777777777765</v>
      </c>
      <c r="O1536">
        <f t="shared" si="145"/>
        <v>18868.240000000002</v>
      </c>
      <c r="P1536">
        <f t="shared" si="146"/>
        <v>0.17214996174445293</v>
      </c>
      <c r="Q1536" t="s">
        <v>4136</v>
      </c>
      <c r="R1536" t="s">
        <v>4139</v>
      </c>
      <c r="S1536">
        <f>YEAR(marketing_data[[#This Row],[Start_date]])</f>
        <v>2023</v>
      </c>
      <c r="T1536" t="str">
        <f>TEXT(marketing_data[[#This Row],[Start_date]],"ddd")</f>
        <v>Mon</v>
      </c>
      <c r="U1536">
        <f>marketing_data[[#This Row],[Cleaned End_date]]-marketing_data[[#This Row],[Start_date]]</f>
        <v>8</v>
      </c>
    </row>
    <row r="1537" spans="1:21" x14ac:dyDescent="0.2">
      <c r="A1537" t="s">
        <v>3175</v>
      </c>
      <c r="B1537" t="s">
        <v>3176</v>
      </c>
      <c r="C1537" s="2">
        <v>45203</v>
      </c>
      <c r="D1537" t="str">
        <f t="shared" si="141"/>
        <v>Oct</v>
      </c>
      <c r="E1537" s="2">
        <v>45212</v>
      </c>
      <c r="F1537" t="s">
        <v>33</v>
      </c>
      <c r="G1537">
        <v>7737</v>
      </c>
      <c r="H1537">
        <v>299</v>
      </c>
      <c r="I1537">
        <v>25</v>
      </c>
      <c r="J1537" t="b">
        <v>0</v>
      </c>
      <c r="K1537" s="10">
        <v>401.5</v>
      </c>
      <c r="L1537" s="6">
        <f t="shared" si="142"/>
        <v>3.8645469820343802E-2</v>
      </c>
      <c r="M1537">
        <f t="shared" si="143"/>
        <v>1.3428093645484951</v>
      </c>
      <c r="N1537">
        <f t="shared" si="144"/>
        <v>16.059999999999999</v>
      </c>
      <c r="O1537">
        <f t="shared" si="145"/>
        <v>848.5</v>
      </c>
      <c r="P1537">
        <f t="shared" si="146"/>
        <v>8.3612040133779264E-2</v>
      </c>
      <c r="Q1537" t="s">
        <v>4136</v>
      </c>
      <c r="R1537" t="s">
        <v>4141</v>
      </c>
      <c r="S1537">
        <f>YEAR(marketing_data[[#This Row],[Start_date]])</f>
        <v>2023</v>
      </c>
      <c r="T1537" t="str">
        <f>TEXT(marketing_data[[#This Row],[Start_date]],"ddd")</f>
        <v>Wed</v>
      </c>
      <c r="U1537">
        <f>marketing_data[[#This Row],[Cleaned End_date]]-marketing_data[[#This Row],[Start_date]]</f>
        <v>9</v>
      </c>
    </row>
    <row r="1538" spans="1:21" x14ac:dyDescent="0.2">
      <c r="A1538" t="s">
        <v>3177</v>
      </c>
      <c r="B1538" t="s">
        <v>3178</v>
      </c>
      <c r="C1538" s="2">
        <v>45274</v>
      </c>
      <c r="D1538" t="str">
        <f t="shared" si="141"/>
        <v>Dec</v>
      </c>
      <c r="E1538" s="2">
        <v>45286</v>
      </c>
      <c r="F1538" t="s">
        <v>33</v>
      </c>
      <c r="G1538">
        <v>37062</v>
      </c>
      <c r="H1538">
        <v>1205</v>
      </c>
      <c r="I1538">
        <v>96</v>
      </c>
      <c r="J1538" t="b">
        <v>1</v>
      </c>
      <c r="K1538" s="10">
        <v>1816.07</v>
      </c>
      <c r="L1538" s="6">
        <f t="shared" si="142"/>
        <v>3.2513086179914739E-2</v>
      </c>
      <c r="M1538">
        <f t="shared" si="143"/>
        <v>1.5071120331950207</v>
      </c>
      <c r="N1538">
        <f t="shared" si="144"/>
        <v>18.917395833333334</v>
      </c>
      <c r="O1538">
        <f t="shared" si="145"/>
        <v>2983.9300000000003</v>
      </c>
      <c r="P1538">
        <f t="shared" si="146"/>
        <v>7.9668049792531115E-2</v>
      </c>
      <c r="Q1538" t="s">
        <v>4138</v>
      </c>
      <c r="R1538" t="s">
        <v>4139</v>
      </c>
      <c r="S1538">
        <f>YEAR(marketing_data[[#This Row],[Start_date]])</f>
        <v>2023</v>
      </c>
      <c r="T1538" t="str">
        <f>TEXT(marketing_data[[#This Row],[Start_date]],"ddd")</f>
        <v>Thu</v>
      </c>
      <c r="U1538">
        <f>marketing_data[[#This Row],[Cleaned End_date]]-marketing_data[[#This Row],[Start_date]]</f>
        <v>12</v>
      </c>
    </row>
    <row r="1539" spans="1:21" x14ac:dyDescent="0.2">
      <c r="A1539" t="s">
        <v>3179</v>
      </c>
      <c r="B1539" t="s">
        <v>3180</v>
      </c>
      <c r="C1539" s="2">
        <v>45116</v>
      </c>
      <c r="D1539" t="str">
        <f t="shared" ref="D1539:D1602" si="148">TEXT(C1539,"mmm")</f>
        <v>Jul</v>
      </c>
      <c r="E1539" s="2">
        <v>45146</v>
      </c>
      <c r="F1539" t="s">
        <v>23</v>
      </c>
      <c r="G1539">
        <v>55237</v>
      </c>
      <c r="H1539">
        <v>1496</v>
      </c>
      <c r="I1539">
        <v>235</v>
      </c>
      <c r="J1539" t="b">
        <v>0</v>
      </c>
      <c r="K1539" s="10">
        <v>2826.64</v>
      </c>
      <c r="L1539" s="6">
        <f t="shared" ref="L1539:L1602" si="149">H1539/G1539</f>
        <v>2.7083295617068268E-2</v>
      </c>
      <c r="M1539">
        <f t="shared" ref="M1539:M1602" si="150">K1539/H1539</f>
        <v>1.8894652406417112</v>
      </c>
      <c r="N1539">
        <f t="shared" ref="N1539:N1602" si="151">IFERROR(K1539/I1539,0)</f>
        <v>12.028255319148936</v>
      </c>
      <c r="O1539">
        <f t="shared" ref="O1539:O1602" si="152">(50*I1539)-K1539</f>
        <v>8923.36</v>
      </c>
      <c r="P1539">
        <f t="shared" ref="P1539:P1602" si="153">I1539/H1539</f>
        <v>0.15708556149732619</v>
      </c>
      <c r="Q1539" t="s">
        <v>4139</v>
      </c>
      <c r="R1539" t="s">
        <v>4138</v>
      </c>
      <c r="S1539">
        <f>YEAR(marketing_data[[#This Row],[Start_date]])</f>
        <v>2023</v>
      </c>
      <c r="T1539" t="str">
        <f>TEXT(marketing_data[[#This Row],[Start_date]],"ddd")</f>
        <v>Sun</v>
      </c>
      <c r="U1539">
        <f>marketing_data[[#This Row],[Cleaned End_date]]-marketing_data[[#This Row],[Start_date]]</f>
        <v>30</v>
      </c>
    </row>
    <row r="1540" spans="1:21" x14ac:dyDescent="0.2">
      <c r="A1540" t="s">
        <v>3181</v>
      </c>
      <c r="B1540" t="s">
        <v>3182</v>
      </c>
      <c r="C1540" s="2">
        <v>45146</v>
      </c>
      <c r="D1540" t="str">
        <f t="shared" si="148"/>
        <v>Aug</v>
      </c>
      <c r="E1540" s="2">
        <v>45155</v>
      </c>
      <c r="F1540" t="s">
        <v>14</v>
      </c>
      <c r="G1540">
        <v>52571</v>
      </c>
      <c r="H1540">
        <v>1211</v>
      </c>
      <c r="I1540">
        <v>117</v>
      </c>
      <c r="J1540" t="b">
        <v>0</v>
      </c>
      <c r="K1540" s="10">
        <v>1730.22</v>
      </c>
      <c r="L1540" s="6">
        <f t="shared" si="149"/>
        <v>2.3035513876471819E-2</v>
      </c>
      <c r="M1540">
        <f t="shared" si="150"/>
        <v>1.4287530966143682</v>
      </c>
      <c r="N1540">
        <f t="shared" si="151"/>
        <v>14.788205128205128</v>
      </c>
      <c r="O1540">
        <f t="shared" si="152"/>
        <v>4119.78</v>
      </c>
      <c r="P1540">
        <f t="shared" si="153"/>
        <v>9.661436829066887E-2</v>
      </c>
      <c r="Q1540" t="s">
        <v>4139</v>
      </c>
      <c r="R1540" t="s">
        <v>4142</v>
      </c>
      <c r="S1540">
        <f>YEAR(marketing_data[[#This Row],[Start_date]])</f>
        <v>2023</v>
      </c>
      <c r="T1540" t="str">
        <f>TEXT(marketing_data[[#This Row],[Start_date]],"ddd")</f>
        <v>Tue</v>
      </c>
      <c r="U1540">
        <f>marketing_data[[#This Row],[Cleaned End_date]]-marketing_data[[#This Row],[Start_date]]</f>
        <v>9</v>
      </c>
    </row>
    <row r="1541" spans="1:21" x14ac:dyDescent="0.2">
      <c r="A1541" t="s">
        <v>3183</v>
      </c>
      <c r="B1541" t="s">
        <v>3184</v>
      </c>
      <c r="C1541" s="2">
        <v>45122</v>
      </c>
      <c r="D1541" t="str">
        <f t="shared" si="148"/>
        <v>Jul</v>
      </c>
      <c r="E1541" s="2">
        <v>45138</v>
      </c>
      <c r="F1541" t="s">
        <v>33</v>
      </c>
      <c r="G1541">
        <v>26510</v>
      </c>
      <c r="H1541">
        <v>1155</v>
      </c>
      <c r="I1541">
        <v>110</v>
      </c>
      <c r="J1541" t="b">
        <v>1</v>
      </c>
      <c r="K1541" s="10">
        <v>2006.48</v>
      </c>
      <c r="L1541" s="6">
        <f t="shared" si="149"/>
        <v>4.3568464730290454E-2</v>
      </c>
      <c r="M1541">
        <f t="shared" si="150"/>
        <v>1.7372121212121212</v>
      </c>
      <c r="N1541">
        <f t="shared" si="151"/>
        <v>18.240727272727273</v>
      </c>
      <c r="O1541">
        <f t="shared" si="152"/>
        <v>3493.52</v>
      </c>
      <c r="P1541">
        <f t="shared" si="153"/>
        <v>9.5238095238095233E-2</v>
      </c>
      <c r="Q1541" t="s">
        <v>4139</v>
      </c>
      <c r="R1541" t="s">
        <v>4141</v>
      </c>
      <c r="S1541">
        <f>YEAR(marketing_data[[#This Row],[Start_date]])</f>
        <v>2023</v>
      </c>
      <c r="T1541" t="str">
        <f>TEXT(marketing_data[[#This Row],[Start_date]],"ddd")</f>
        <v>Sat</v>
      </c>
      <c r="U1541">
        <f>marketing_data[[#This Row],[Cleaned End_date]]-marketing_data[[#This Row],[Start_date]]</f>
        <v>16</v>
      </c>
    </row>
    <row r="1542" spans="1:21" x14ac:dyDescent="0.2">
      <c r="A1542" t="s">
        <v>3185</v>
      </c>
      <c r="B1542" t="s">
        <v>3186</v>
      </c>
      <c r="C1542" s="2">
        <v>45283</v>
      </c>
      <c r="D1542" t="str">
        <f t="shared" si="148"/>
        <v>Dec</v>
      </c>
      <c r="E1542" s="2">
        <v>45289</v>
      </c>
      <c r="F1542" t="s">
        <v>19</v>
      </c>
      <c r="G1542">
        <v>20426</v>
      </c>
      <c r="H1542">
        <v>321</v>
      </c>
      <c r="I1542">
        <v>23</v>
      </c>
      <c r="J1542" t="b">
        <v>1</v>
      </c>
      <c r="K1542" s="10">
        <v>492.16</v>
      </c>
      <c r="L1542" s="6">
        <f t="shared" si="149"/>
        <v>1.5715264858513659E-2</v>
      </c>
      <c r="M1542">
        <f t="shared" si="150"/>
        <v>1.533208722741433</v>
      </c>
      <c r="N1542">
        <f t="shared" si="151"/>
        <v>21.398260869565217</v>
      </c>
      <c r="O1542">
        <f t="shared" si="152"/>
        <v>657.83999999999992</v>
      </c>
      <c r="P1542">
        <f t="shared" si="153"/>
        <v>7.1651090342679122E-2</v>
      </c>
      <c r="Q1542" t="s">
        <v>4138</v>
      </c>
      <c r="R1542" t="s">
        <v>4138</v>
      </c>
      <c r="S1542">
        <f>YEAR(marketing_data[[#This Row],[Start_date]])</f>
        <v>2023</v>
      </c>
      <c r="T1542" t="str">
        <f>TEXT(marketing_data[[#This Row],[Start_date]],"ddd")</f>
        <v>Sat</v>
      </c>
      <c r="U1542">
        <f>marketing_data[[#This Row],[Cleaned End_date]]-marketing_data[[#This Row],[Start_date]]</f>
        <v>6</v>
      </c>
    </row>
    <row r="1543" spans="1:21" x14ac:dyDescent="0.2">
      <c r="A1543" t="s">
        <v>3187</v>
      </c>
      <c r="B1543" t="s">
        <v>3188</v>
      </c>
      <c r="C1543" s="2">
        <v>45057</v>
      </c>
      <c r="D1543" t="str">
        <f t="shared" si="148"/>
        <v>May</v>
      </c>
      <c r="E1543" s="2">
        <v>45063</v>
      </c>
      <c r="F1543" t="s">
        <v>33</v>
      </c>
      <c r="G1543">
        <v>38265</v>
      </c>
      <c r="H1543">
        <v>1040</v>
      </c>
      <c r="I1543">
        <v>93</v>
      </c>
      <c r="J1543" t="b">
        <v>0</v>
      </c>
      <c r="K1543" s="10">
        <v>1381.02</v>
      </c>
      <c r="L1543" s="6">
        <f t="shared" si="149"/>
        <v>2.7178884097739449E-2</v>
      </c>
      <c r="M1543">
        <f t="shared" si="150"/>
        <v>1.3279038461538462</v>
      </c>
      <c r="N1543">
        <f t="shared" si="151"/>
        <v>14.849677419354839</v>
      </c>
      <c r="O1543">
        <f t="shared" si="152"/>
        <v>3268.98</v>
      </c>
      <c r="P1543">
        <f t="shared" si="153"/>
        <v>8.9423076923076925E-2</v>
      </c>
      <c r="Q1543" t="s">
        <v>4137</v>
      </c>
      <c r="R1543" t="s">
        <v>4138</v>
      </c>
      <c r="S1543">
        <f>YEAR(marketing_data[[#This Row],[Start_date]])</f>
        <v>2023</v>
      </c>
      <c r="T1543" t="str">
        <f>TEXT(marketing_data[[#This Row],[Start_date]],"ddd")</f>
        <v>Thu</v>
      </c>
      <c r="U1543">
        <f>marketing_data[[#This Row],[Cleaned End_date]]-marketing_data[[#This Row],[Start_date]]</f>
        <v>6</v>
      </c>
    </row>
    <row r="1544" spans="1:21" x14ac:dyDescent="0.2">
      <c r="A1544" t="s">
        <v>3189</v>
      </c>
      <c r="B1544" t="s">
        <v>3190</v>
      </c>
      <c r="C1544" s="2">
        <v>44969</v>
      </c>
      <c r="D1544" t="str">
        <f t="shared" si="148"/>
        <v>Feb</v>
      </c>
      <c r="E1544" s="2">
        <v>44977</v>
      </c>
      <c r="F1544" t="s">
        <v>14</v>
      </c>
      <c r="G1544">
        <v>18850</v>
      </c>
      <c r="H1544">
        <v>869</v>
      </c>
      <c r="I1544">
        <v>99</v>
      </c>
      <c r="J1544" t="b">
        <v>1</v>
      </c>
      <c r="K1544" s="10">
        <v>749.74</v>
      </c>
      <c r="L1544" s="6">
        <f t="shared" si="149"/>
        <v>4.610079575596817E-2</v>
      </c>
      <c r="M1544">
        <f t="shared" si="150"/>
        <v>0.86276179516685847</v>
      </c>
      <c r="N1544">
        <f t="shared" si="151"/>
        <v>7.5731313131313129</v>
      </c>
      <c r="O1544">
        <f t="shared" si="152"/>
        <v>4200.26</v>
      </c>
      <c r="P1544">
        <f t="shared" si="153"/>
        <v>0.11392405063291139</v>
      </c>
      <c r="Q1544" t="s">
        <v>4138</v>
      </c>
      <c r="R1544" t="s">
        <v>4138</v>
      </c>
      <c r="S1544">
        <f>YEAR(marketing_data[[#This Row],[Start_date]])</f>
        <v>2023</v>
      </c>
      <c r="T1544" t="str">
        <f>TEXT(marketing_data[[#This Row],[Start_date]],"ddd")</f>
        <v>Sun</v>
      </c>
      <c r="U1544">
        <f>marketing_data[[#This Row],[Cleaned End_date]]-marketing_data[[#This Row],[Start_date]]</f>
        <v>8</v>
      </c>
    </row>
    <row r="1545" spans="1:21" x14ac:dyDescent="0.2">
      <c r="A1545" t="s">
        <v>3191</v>
      </c>
      <c r="B1545" t="s">
        <v>3192</v>
      </c>
      <c r="C1545" s="2">
        <v>45136</v>
      </c>
      <c r="D1545" t="str">
        <f t="shared" si="148"/>
        <v>Jul</v>
      </c>
      <c r="E1545" s="2">
        <v>45164</v>
      </c>
      <c r="F1545" t="s">
        <v>23</v>
      </c>
      <c r="G1545">
        <v>67150</v>
      </c>
      <c r="H1545">
        <v>2943</v>
      </c>
      <c r="I1545">
        <v>470</v>
      </c>
      <c r="J1545" t="b">
        <v>0</v>
      </c>
      <c r="K1545" s="10">
        <v>3352.07</v>
      </c>
      <c r="L1545" s="6">
        <f t="shared" si="149"/>
        <v>4.3827252419955325E-2</v>
      </c>
      <c r="M1545">
        <f t="shared" si="150"/>
        <v>1.1389976214746858</v>
      </c>
      <c r="N1545">
        <f t="shared" si="151"/>
        <v>7.1320638297872341</v>
      </c>
      <c r="O1545">
        <f t="shared" si="152"/>
        <v>20147.93</v>
      </c>
      <c r="P1545">
        <f t="shared" si="153"/>
        <v>0.15970098538905877</v>
      </c>
      <c r="Q1545" t="s">
        <v>4139</v>
      </c>
      <c r="R1545" t="s">
        <v>4138</v>
      </c>
      <c r="S1545">
        <f>YEAR(marketing_data[[#This Row],[Start_date]])</f>
        <v>2023</v>
      </c>
      <c r="T1545" t="str">
        <f>TEXT(marketing_data[[#This Row],[Start_date]],"ddd")</f>
        <v>Sat</v>
      </c>
      <c r="U1545">
        <f>marketing_data[[#This Row],[Cleaned End_date]]-marketing_data[[#This Row],[Start_date]]</f>
        <v>28</v>
      </c>
    </row>
    <row r="1546" spans="1:21" x14ac:dyDescent="0.2">
      <c r="A1546" t="s">
        <v>3193</v>
      </c>
      <c r="B1546" t="s">
        <v>3194</v>
      </c>
      <c r="C1546" s="2">
        <v>44930</v>
      </c>
      <c r="D1546" t="str">
        <f t="shared" si="148"/>
        <v>Jan</v>
      </c>
      <c r="E1546" s="2">
        <v>44949</v>
      </c>
      <c r="F1546" t="s">
        <v>33</v>
      </c>
      <c r="G1546">
        <v>88312</v>
      </c>
      <c r="H1546">
        <v>2299</v>
      </c>
      <c r="J1546" t="b">
        <v>0</v>
      </c>
      <c r="K1546" s="10">
        <v>3631.7599999999998</v>
      </c>
      <c r="L1546" s="6">
        <f t="shared" si="149"/>
        <v>2.6032702237521514E-2</v>
      </c>
      <c r="M1546">
        <f t="shared" si="150"/>
        <v>1.579712918660287</v>
      </c>
      <c r="N1546">
        <f t="shared" si="151"/>
        <v>0</v>
      </c>
      <c r="O1546">
        <f t="shared" si="152"/>
        <v>-3631.7599999999998</v>
      </c>
      <c r="P1546">
        <f t="shared" si="153"/>
        <v>0</v>
      </c>
      <c r="Q1546" t="s">
        <v>4138</v>
      </c>
      <c r="R1546" t="s">
        <v>4138</v>
      </c>
      <c r="S1546">
        <f>YEAR(marketing_data[[#This Row],[Start_date]])</f>
        <v>2023</v>
      </c>
      <c r="T1546" t="str">
        <f>TEXT(marketing_data[[#This Row],[Start_date]],"ddd")</f>
        <v>Wed</v>
      </c>
      <c r="U1546">
        <f>marketing_data[[#This Row],[Cleaned End_date]]-marketing_data[[#This Row],[Start_date]]</f>
        <v>19</v>
      </c>
    </row>
    <row r="1547" spans="1:21" x14ac:dyDescent="0.2">
      <c r="A1547" t="s">
        <v>3195</v>
      </c>
      <c r="B1547" t="s">
        <v>3196</v>
      </c>
      <c r="C1547" s="2">
        <v>44930</v>
      </c>
      <c r="D1547" t="str">
        <f t="shared" si="148"/>
        <v>Jan</v>
      </c>
      <c r="E1547" s="2">
        <v>44951</v>
      </c>
      <c r="F1547" t="s">
        <v>19</v>
      </c>
      <c r="G1547">
        <v>90613</v>
      </c>
      <c r="H1547">
        <v>3672</v>
      </c>
      <c r="I1547">
        <v>364</v>
      </c>
      <c r="J1547" t="b">
        <v>0</v>
      </c>
      <c r="K1547" s="10">
        <v>3631.7599999999998</v>
      </c>
      <c r="L1547" s="6">
        <f t="shared" si="149"/>
        <v>4.0523986624435786E-2</v>
      </c>
      <c r="M1547">
        <f t="shared" si="150"/>
        <v>0.98904139433551197</v>
      </c>
      <c r="N1547">
        <f t="shared" si="151"/>
        <v>9.9773626373626367</v>
      </c>
      <c r="O1547">
        <f t="shared" si="152"/>
        <v>14568.24</v>
      </c>
      <c r="P1547">
        <f t="shared" si="153"/>
        <v>9.9128540305010893E-2</v>
      </c>
      <c r="Q1547" t="s">
        <v>4138</v>
      </c>
      <c r="R1547" t="s">
        <v>4142</v>
      </c>
      <c r="S1547">
        <f>YEAR(marketing_data[[#This Row],[Start_date]])</f>
        <v>2023</v>
      </c>
      <c r="T1547" t="str">
        <f>TEXT(marketing_data[[#This Row],[Start_date]],"ddd")</f>
        <v>Wed</v>
      </c>
      <c r="U1547">
        <f>marketing_data[[#This Row],[Cleaned End_date]]-marketing_data[[#This Row],[Start_date]]</f>
        <v>21</v>
      </c>
    </row>
    <row r="1548" spans="1:21" x14ac:dyDescent="0.2">
      <c r="A1548" t="s">
        <v>3197</v>
      </c>
      <c r="B1548" t="s">
        <v>3198</v>
      </c>
      <c r="C1548" s="2">
        <v>45088</v>
      </c>
      <c r="D1548" t="str">
        <f t="shared" si="148"/>
        <v>Jun</v>
      </c>
      <c r="E1548" s="2">
        <v>45105</v>
      </c>
      <c r="F1548" t="str">
        <f>F1547</f>
        <v>Facebook</v>
      </c>
      <c r="G1548">
        <v>75910</v>
      </c>
      <c r="H1548">
        <v>3258</v>
      </c>
      <c r="I1548">
        <v>302</v>
      </c>
      <c r="J1548" t="b">
        <v>1</v>
      </c>
      <c r="K1548" s="10">
        <v>3631.7599999999998</v>
      </c>
      <c r="L1548" s="6">
        <f t="shared" si="149"/>
        <v>4.2919246476090106E-2</v>
      </c>
      <c r="M1548">
        <f t="shared" si="150"/>
        <v>1.1147206875383671</v>
      </c>
      <c r="N1548">
        <f t="shared" si="151"/>
        <v>12.025695364238409</v>
      </c>
      <c r="O1548">
        <f t="shared" si="152"/>
        <v>11468.24</v>
      </c>
      <c r="P1548">
        <f t="shared" si="153"/>
        <v>9.2694904849600981E-2</v>
      </c>
      <c r="Q1548" t="s">
        <v>4139</v>
      </c>
      <c r="R1548" t="s">
        <v>4138</v>
      </c>
      <c r="S1548">
        <f>YEAR(marketing_data[[#This Row],[Start_date]])</f>
        <v>2023</v>
      </c>
      <c r="T1548" t="str">
        <f>TEXT(marketing_data[[#This Row],[Start_date]],"ddd")</f>
        <v>Sun</v>
      </c>
      <c r="U1548">
        <f>marketing_data[[#This Row],[Cleaned End_date]]-marketing_data[[#This Row],[Start_date]]</f>
        <v>17</v>
      </c>
    </row>
    <row r="1549" spans="1:21" x14ac:dyDescent="0.2">
      <c r="A1549" t="s">
        <v>3199</v>
      </c>
      <c r="B1549" t="s">
        <v>3200</v>
      </c>
      <c r="C1549" s="2">
        <v>45145</v>
      </c>
      <c r="D1549" t="str">
        <f t="shared" si="148"/>
        <v>Aug</v>
      </c>
      <c r="E1549" s="2">
        <v>45165</v>
      </c>
      <c r="F1549" t="s">
        <v>19</v>
      </c>
      <c r="G1549">
        <v>53375</v>
      </c>
      <c r="H1549">
        <v>2431</v>
      </c>
      <c r="I1549">
        <v>295</v>
      </c>
      <c r="J1549" t="b">
        <v>0</v>
      </c>
      <c r="K1549" s="10">
        <v>3631.7599999999998</v>
      </c>
      <c r="L1549" s="6">
        <f t="shared" si="149"/>
        <v>4.5545667447306794E-2</v>
      </c>
      <c r="M1549">
        <f t="shared" si="150"/>
        <v>1.4939366515837103</v>
      </c>
      <c r="N1549">
        <f t="shared" si="151"/>
        <v>12.311050847457626</v>
      </c>
      <c r="O1549">
        <f t="shared" si="152"/>
        <v>11118.24</v>
      </c>
      <c r="P1549">
        <f t="shared" si="153"/>
        <v>0.12134923899629782</v>
      </c>
      <c r="Q1549" t="s">
        <v>4139</v>
      </c>
      <c r="R1549" t="s">
        <v>4138</v>
      </c>
      <c r="S1549">
        <f>YEAR(marketing_data[[#This Row],[Start_date]])</f>
        <v>2023</v>
      </c>
      <c r="T1549" t="str">
        <f>TEXT(marketing_data[[#This Row],[Start_date]],"ddd")</f>
        <v>Mon</v>
      </c>
      <c r="U1549">
        <f>marketing_data[[#This Row],[Cleaned End_date]]-marketing_data[[#This Row],[Start_date]]</f>
        <v>20</v>
      </c>
    </row>
    <row r="1550" spans="1:21" x14ac:dyDescent="0.2">
      <c r="A1550" t="s">
        <v>3201</v>
      </c>
      <c r="B1550" t="s">
        <v>3202</v>
      </c>
      <c r="C1550" s="2">
        <v>45201</v>
      </c>
      <c r="D1550" t="str">
        <f t="shared" si="148"/>
        <v>Oct</v>
      </c>
      <c r="E1550" s="2">
        <v>45218</v>
      </c>
      <c r="F1550" t="s">
        <v>14</v>
      </c>
      <c r="G1550">
        <v>36435</v>
      </c>
      <c r="H1550">
        <v>1157</v>
      </c>
      <c r="I1550">
        <v>89</v>
      </c>
      <c r="J1550" t="b">
        <v>1</v>
      </c>
      <c r="K1550" s="10">
        <v>1596.39</v>
      </c>
      <c r="L1550" s="6">
        <f t="shared" si="149"/>
        <v>3.175518045835049E-2</v>
      </c>
      <c r="M1550">
        <f t="shared" si="150"/>
        <v>1.3797666378565256</v>
      </c>
      <c r="N1550">
        <f t="shared" si="151"/>
        <v>17.936966292134834</v>
      </c>
      <c r="O1550">
        <f t="shared" si="152"/>
        <v>2853.6099999999997</v>
      </c>
      <c r="P1550">
        <f t="shared" si="153"/>
        <v>7.6923076923076927E-2</v>
      </c>
      <c r="Q1550" t="s">
        <v>4136</v>
      </c>
      <c r="R1550" t="s">
        <v>4138</v>
      </c>
      <c r="S1550">
        <f>YEAR(marketing_data[[#This Row],[Start_date]])</f>
        <v>2023</v>
      </c>
      <c r="T1550" t="str">
        <f>TEXT(marketing_data[[#This Row],[Start_date]],"ddd")</f>
        <v>Mon</v>
      </c>
      <c r="U1550">
        <f>marketing_data[[#This Row],[Cleaned End_date]]-marketing_data[[#This Row],[Start_date]]</f>
        <v>17</v>
      </c>
    </row>
    <row r="1551" spans="1:21" x14ac:dyDescent="0.2">
      <c r="A1551" t="s">
        <v>3203</v>
      </c>
      <c r="B1551" t="s">
        <v>3204</v>
      </c>
      <c r="C1551" s="2">
        <v>45068</v>
      </c>
      <c r="D1551" t="str">
        <f t="shared" si="148"/>
        <v>May</v>
      </c>
      <c r="E1551" s="2">
        <v>45094</v>
      </c>
      <c r="F1551" t="s">
        <v>19</v>
      </c>
      <c r="G1551">
        <v>97443</v>
      </c>
      <c r="H1551">
        <v>1771</v>
      </c>
      <c r="I1551">
        <v>217</v>
      </c>
      <c r="J1551" t="b">
        <v>1</v>
      </c>
      <c r="K1551" s="10">
        <v>2283.04</v>
      </c>
      <c r="L1551" s="6">
        <f t="shared" si="149"/>
        <v>1.8174727789579549E-2</v>
      </c>
      <c r="M1551">
        <f t="shared" si="150"/>
        <v>1.289124788255223</v>
      </c>
      <c r="N1551">
        <f t="shared" si="151"/>
        <v>10.520921658986175</v>
      </c>
      <c r="O1551">
        <f t="shared" si="152"/>
        <v>8566.9599999999991</v>
      </c>
      <c r="P1551">
        <f t="shared" si="153"/>
        <v>0.1225296442687747</v>
      </c>
      <c r="Q1551" t="s">
        <v>4137</v>
      </c>
      <c r="R1551" t="s">
        <v>4138</v>
      </c>
      <c r="S1551">
        <f>YEAR(marketing_data[[#This Row],[Start_date]])</f>
        <v>2023</v>
      </c>
      <c r="T1551" t="str">
        <f>TEXT(marketing_data[[#This Row],[Start_date]],"ddd")</f>
        <v>Mon</v>
      </c>
      <c r="U1551">
        <f>marketing_data[[#This Row],[Cleaned End_date]]-marketing_data[[#This Row],[Start_date]]</f>
        <v>26</v>
      </c>
    </row>
    <row r="1552" spans="1:21" x14ac:dyDescent="0.2">
      <c r="A1552" t="s">
        <v>3205</v>
      </c>
      <c r="B1552" t="s">
        <v>3206</v>
      </c>
      <c r="C1552" s="2">
        <v>45031</v>
      </c>
      <c r="D1552" t="str">
        <f t="shared" si="148"/>
        <v>Apr</v>
      </c>
      <c r="E1552" s="2">
        <v>45038</v>
      </c>
      <c r="F1552" t="s">
        <v>41</v>
      </c>
      <c r="G1552">
        <v>58132</v>
      </c>
      <c r="H1552">
        <v>1174</v>
      </c>
      <c r="I1552">
        <v>182</v>
      </c>
      <c r="J1552" t="b">
        <v>1</v>
      </c>
      <c r="K1552" s="10">
        <v>1924.15</v>
      </c>
      <c r="L1552" s="6">
        <f t="shared" si="149"/>
        <v>2.0195417326085461E-2</v>
      </c>
      <c r="M1552">
        <f t="shared" si="150"/>
        <v>1.6389693356047701</v>
      </c>
      <c r="N1552">
        <f t="shared" si="151"/>
        <v>10.572252747252747</v>
      </c>
      <c r="O1552">
        <f t="shared" si="152"/>
        <v>7175.85</v>
      </c>
      <c r="P1552">
        <f t="shared" si="153"/>
        <v>0.15502555366269166</v>
      </c>
      <c r="Q1552" t="s">
        <v>4137</v>
      </c>
      <c r="R1552" t="s">
        <v>4138</v>
      </c>
      <c r="S1552">
        <f>YEAR(marketing_data[[#This Row],[Start_date]])</f>
        <v>2023</v>
      </c>
      <c r="T1552" t="str">
        <f>TEXT(marketing_data[[#This Row],[Start_date]],"ddd")</f>
        <v>Sat</v>
      </c>
      <c r="U1552">
        <f>marketing_data[[#This Row],[Cleaned End_date]]-marketing_data[[#This Row],[Start_date]]</f>
        <v>7</v>
      </c>
    </row>
    <row r="1553" spans="1:21" x14ac:dyDescent="0.2">
      <c r="A1553" t="s">
        <v>3207</v>
      </c>
      <c r="B1553" t="s">
        <v>3208</v>
      </c>
      <c r="C1553" s="2">
        <v>45174</v>
      </c>
      <c r="D1553" t="str">
        <f t="shared" si="148"/>
        <v>Sep</v>
      </c>
      <c r="E1553" s="2">
        <v>45202</v>
      </c>
      <c r="F1553" t="s">
        <v>19</v>
      </c>
      <c r="G1553">
        <v>79945</v>
      </c>
      <c r="H1553">
        <v>1745</v>
      </c>
      <c r="I1553">
        <v>95</v>
      </c>
      <c r="J1553" t="b">
        <v>1</v>
      </c>
      <c r="K1553" s="10">
        <v>2737.9</v>
      </c>
      <c r="L1553" s="6">
        <f t="shared" si="149"/>
        <v>2.1827506410657328E-2</v>
      </c>
      <c r="M1553">
        <f t="shared" si="150"/>
        <v>1.5689971346704872</v>
      </c>
      <c r="N1553">
        <f t="shared" si="151"/>
        <v>28.82</v>
      </c>
      <c r="O1553">
        <f t="shared" si="152"/>
        <v>2012.1</v>
      </c>
      <c r="P1553">
        <f t="shared" si="153"/>
        <v>5.4441260744985676E-2</v>
      </c>
      <c r="Q1553" t="s">
        <v>4136</v>
      </c>
      <c r="R1553" t="s">
        <v>4139</v>
      </c>
      <c r="S1553">
        <f>YEAR(marketing_data[[#This Row],[Start_date]])</f>
        <v>2023</v>
      </c>
      <c r="T1553" t="str">
        <f>TEXT(marketing_data[[#This Row],[Start_date]],"ddd")</f>
        <v>Tue</v>
      </c>
      <c r="U1553">
        <f>marketing_data[[#This Row],[Cleaned End_date]]-marketing_data[[#This Row],[Start_date]]</f>
        <v>28</v>
      </c>
    </row>
    <row r="1554" spans="1:21" x14ac:dyDescent="0.2">
      <c r="A1554" t="s">
        <v>3209</v>
      </c>
      <c r="B1554" t="s">
        <v>3210</v>
      </c>
      <c r="C1554" s="2">
        <v>45174</v>
      </c>
      <c r="D1554" t="str">
        <f t="shared" si="148"/>
        <v>Sep</v>
      </c>
      <c r="E1554" s="2">
        <v>45176</v>
      </c>
      <c r="F1554" t="s">
        <v>19</v>
      </c>
      <c r="G1554">
        <v>83050</v>
      </c>
      <c r="H1554">
        <v>2803</v>
      </c>
      <c r="I1554">
        <v>144</v>
      </c>
      <c r="J1554" t="b">
        <v>1</v>
      </c>
      <c r="K1554" s="10">
        <v>2213.64</v>
      </c>
      <c r="L1554" s="6">
        <f t="shared" si="149"/>
        <v>3.3750752558699582E-2</v>
      </c>
      <c r="M1554">
        <f t="shared" si="150"/>
        <v>0.78973956475205132</v>
      </c>
      <c r="N1554">
        <f t="shared" si="151"/>
        <v>15.372499999999999</v>
      </c>
      <c r="O1554">
        <f t="shared" si="152"/>
        <v>4986.3600000000006</v>
      </c>
      <c r="P1554">
        <f t="shared" si="153"/>
        <v>5.1373528362468786E-2</v>
      </c>
      <c r="Q1554" t="s">
        <v>4136</v>
      </c>
      <c r="R1554" t="s">
        <v>4142</v>
      </c>
      <c r="S1554">
        <f>YEAR(marketing_data[[#This Row],[Start_date]])</f>
        <v>2023</v>
      </c>
      <c r="T1554" t="str">
        <f>TEXT(marketing_data[[#This Row],[Start_date]],"ddd")</f>
        <v>Tue</v>
      </c>
      <c r="U1554">
        <f>marketing_data[[#This Row],[Cleaned End_date]]-marketing_data[[#This Row],[Start_date]]</f>
        <v>2</v>
      </c>
    </row>
    <row r="1555" spans="1:21" x14ac:dyDescent="0.2">
      <c r="A1555" t="s">
        <v>3211</v>
      </c>
      <c r="B1555" t="s">
        <v>3212</v>
      </c>
      <c r="C1555" s="2">
        <v>45103</v>
      </c>
      <c r="D1555" t="str">
        <f t="shared" si="148"/>
        <v>Jun</v>
      </c>
      <c r="E1555" s="2">
        <v>45116</v>
      </c>
      <c r="F1555" t="s">
        <v>23</v>
      </c>
      <c r="G1555">
        <v>96402</v>
      </c>
      <c r="H1555">
        <v>1090</v>
      </c>
      <c r="I1555">
        <v>66</v>
      </c>
      <c r="J1555" t="b">
        <v>1</v>
      </c>
      <c r="K1555" s="10">
        <v>1315.59</v>
      </c>
      <c r="L1555" s="6">
        <f t="shared" si="149"/>
        <v>1.1306819360594179E-2</v>
      </c>
      <c r="M1555">
        <f t="shared" si="150"/>
        <v>1.2069633027522935</v>
      </c>
      <c r="N1555">
        <f t="shared" si="151"/>
        <v>19.933181818181819</v>
      </c>
      <c r="O1555">
        <f t="shared" si="152"/>
        <v>1984.41</v>
      </c>
      <c r="P1555">
        <f t="shared" si="153"/>
        <v>6.0550458715596334E-2</v>
      </c>
      <c r="Q1555" t="s">
        <v>4139</v>
      </c>
      <c r="R1555" t="s">
        <v>4141</v>
      </c>
      <c r="S1555">
        <f>YEAR(marketing_data[[#This Row],[Start_date]])</f>
        <v>2023</v>
      </c>
      <c r="T1555" t="str">
        <f>TEXT(marketing_data[[#This Row],[Start_date]],"ddd")</f>
        <v>Mon</v>
      </c>
      <c r="U1555">
        <f>marketing_data[[#This Row],[Cleaned End_date]]-marketing_data[[#This Row],[Start_date]]</f>
        <v>13</v>
      </c>
    </row>
    <row r="1556" spans="1:21" x14ac:dyDescent="0.2">
      <c r="A1556" t="s">
        <v>3213</v>
      </c>
      <c r="B1556" t="s">
        <v>3214</v>
      </c>
      <c r="C1556" s="2">
        <v>44997</v>
      </c>
      <c r="D1556" t="str">
        <f t="shared" si="148"/>
        <v>Mar</v>
      </c>
      <c r="E1556" s="2">
        <v>45009</v>
      </c>
      <c r="F1556" t="s">
        <v>14</v>
      </c>
      <c r="G1556">
        <v>3983</v>
      </c>
      <c r="H1556">
        <v>141</v>
      </c>
      <c r="I1556">
        <v>18</v>
      </c>
      <c r="J1556" t="b">
        <v>0</v>
      </c>
      <c r="K1556" s="10">
        <v>329.13249999999999</v>
      </c>
      <c r="L1556" s="6">
        <f t="shared" si="149"/>
        <v>3.5400451920662816E-2</v>
      </c>
      <c r="M1556">
        <f t="shared" si="150"/>
        <v>2.3342730496453901</v>
      </c>
      <c r="N1556">
        <f t="shared" si="151"/>
        <v>18.285138888888888</v>
      </c>
      <c r="O1556">
        <f t="shared" si="152"/>
        <v>570.86750000000006</v>
      </c>
      <c r="P1556">
        <f t="shared" si="153"/>
        <v>0.1276595744680851</v>
      </c>
      <c r="Q1556" t="s">
        <v>4137</v>
      </c>
      <c r="R1556" t="s">
        <v>4141</v>
      </c>
      <c r="S1556">
        <f>YEAR(marketing_data[[#This Row],[Start_date]])</f>
        <v>2023</v>
      </c>
      <c r="T1556" t="str">
        <f>TEXT(marketing_data[[#This Row],[Start_date]],"ddd")</f>
        <v>Sun</v>
      </c>
      <c r="U1556">
        <f>marketing_data[[#This Row],[Cleaned End_date]]-marketing_data[[#This Row],[Start_date]]</f>
        <v>12</v>
      </c>
    </row>
    <row r="1557" spans="1:21" x14ac:dyDescent="0.2">
      <c r="A1557" t="s">
        <v>3215</v>
      </c>
      <c r="B1557" t="s">
        <v>3216</v>
      </c>
      <c r="C1557" s="2">
        <v>45044</v>
      </c>
      <c r="D1557" t="str">
        <f t="shared" si="148"/>
        <v>Apr</v>
      </c>
      <c r="E1557" s="2">
        <v>45046</v>
      </c>
      <c r="F1557" t="s">
        <v>41</v>
      </c>
      <c r="G1557">
        <v>98241</v>
      </c>
      <c r="H1557">
        <v>2414</v>
      </c>
      <c r="I1557">
        <v>430</v>
      </c>
      <c r="J1557" t="b">
        <v>1</v>
      </c>
      <c r="K1557" s="10">
        <v>2576.5500000000002</v>
      </c>
      <c r="L1557" s="6">
        <f t="shared" si="149"/>
        <v>2.4572225445587893E-2</v>
      </c>
      <c r="M1557">
        <f t="shared" si="150"/>
        <v>1.0673363711681856</v>
      </c>
      <c r="N1557">
        <f t="shared" si="151"/>
        <v>5.9919767441860472</v>
      </c>
      <c r="O1557">
        <f t="shared" si="152"/>
        <v>18923.45</v>
      </c>
      <c r="P1557">
        <f t="shared" si="153"/>
        <v>0.17812758906379453</v>
      </c>
      <c r="Q1557" t="s">
        <v>4137</v>
      </c>
      <c r="R1557" t="s">
        <v>4138</v>
      </c>
      <c r="S1557">
        <f>YEAR(marketing_data[[#This Row],[Start_date]])</f>
        <v>2023</v>
      </c>
      <c r="T1557" t="str">
        <f>TEXT(marketing_data[[#This Row],[Start_date]],"ddd")</f>
        <v>Fri</v>
      </c>
      <c r="U1557">
        <f>marketing_data[[#This Row],[Cleaned End_date]]-marketing_data[[#This Row],[Start_date]]</f>
        <v>2</v>
      </c>
    </row>
    <row r="1558" spans="1:21" x14ac:dyDescent="0.2">
      <c r="A1558" t="s">
        <v>3217</v>
      </c>
      <c r="B1558" t="s">
        <v>3218</v>
      </c>
      <c r="C1558" s="2">
        <v>45009</v>
      </c>
      <c r="D1558" t="str">
        <f t="shared" si="148"/>
        <v>Mar</v>
      </c>
      <c r="E1558" s="2">
        <v>45034</v>
      </c>
      <c r="F1558" t="s">
        <v>14</v>
      </c>
      <c r="G1558">
        <v>21662</v>
      </c>
      <c r="H1558">
        <v>472</v>
      </c>
      <c r="I1558">
        <v>23</v>
      </c>
      <c r="J1558" t="b">
        <v>0</v>
      </c>
      <c r="K1558" s="10">
        <v>602.24</v>
      </c>
      <c r="L1558" s="6">
        <f t="shared" si="149"/>
        <v>2.1789308466438926E-2</v>
      </c>
      <c r="M1558">
        <f t="shared" si="150"/>
        <v>1.2759322033898306</v>
      </c>
      <c r="N1558">
        <f t="shared" si="151"/>
        <v>26.184347826086956</v>
      </c>
      <c r="O1558">
        <f t="shared" si="152"/>
        <v>547.76</v>
      </c>
      <c r="P1558">
        <f t="shared" si="153"/>
        <v>4.8728813559322036E-2</v>
      </c>
      <c r="Q1558" t="s">
        <v>4137</v>
      </c>
      <c r="R1558" t="s">
        <v>4139</v>
      </c>
      <c r="S1558">
        <f>YEAR(marketing_data[[#This Row],[Start_date]])</f>
        <v>2023</v>
      </c>
      <c r="T1558" t="str">
        <f>TEXT(marketing_data[[#This Row],[Start_date]],"ddd")</f>
        <v>Fri</v>
      </c>
      <c r="U1558">
        <f>marketing_data[[#This Row],[Cleaned End_date]]-marketing_data[[#This Row],[Start_date]]</f>
        <v>25</v>
      </c>
    </row>
    <row r="1559" spans="1:21" x14ac:dyDescent="0.2">
      <c r="A1559" t="s">
        <v>3219</v>
      </c>
      <c r="B1559" t="s">
        <v>3220</v>
      </c>
      <c r="C1559" s="2">
        <v>45100</v>
      </c>
      <c r="D1559" t="str">
        <f t="shared" si="148"/>
        <v>Jun</v>
      </c>
      <c r="E1559" s="2">
        <v>45108</v>
      </c>
      <c r="F1559" t="s">
        <v>23</v>
      </c>
      <c r="G1559">
        <v>24510</v>
      </c>
      <c r="H1559">
        <v>1107</v>
      </c>
      <c r="J1559" t="b">
        <v>0</v>
      </c>
      <c r="K1559" s="10">
        <v>1239.46</v>
      </c>
      <c r="L1559" s="6">
        <f t="shared" si="149"/>
        <v>4.5165238678090573E-2</v>
      </c>
      <c r="M1559">
        <f t="shared" si="150"/>
        <v>1.1196567299006324</v>
      </c>
      <c r="N1559">
        <f t="shared" si="151"/>
        <v>0</v>
      </c>
      <c r="O1559">
        <f t="shared" si="152"/>
        <v>-1239.46</v>
      </c>
      <c r="P1559">
        <f t="shared" si="153"/>
        <v>0</v>
      </c>
      <c r="Q1559" t="s">
        <v>4139</v>
      </c>
      <c r="R1559" t="s">
        <v>4142</v>
      </c>
      <c r="S1559">
        <f>YEAR(marketing_data[[#This Row],[Start_date]])</f>
        <v>2023</v>
      </c>
      <c r="T1559" t="str">
        <f>TEXT(marketing_data[[#This Row],[Start_date]],"ddd")</f>
        <v>Fri</v>
      </c>
      <c r="U1559">
        <f>marketing_data[[#This Row],[Cleaned End_date]]-marketing_data[[#This Row],[Start_date]]</f>
        <v>8</v>
      </c>
    </row>
    <row r="1560" spans="1:21" x14ac:dyDescent="0.2">
      <c r="A1560" t="s">
        <v>3221</v>
      </c>
      <c r="B1560" t="s">
        <v>3222</v>
      </c>
      <c r="C1560" s="2">
        <v>45277</v>
      </c>
      <c r="D1560" t="str">
        <f t="shared" si="148"/>
        <v>Dec</v>
      </c>
      <c r="E1560" s="2">
        <v>45280</v>
      </c>
      <c r="F1560" t="s">
        <v>41</v>
      </c>
      <c r="G1560">
        <v>79187</v>
      </c>
      <c r="H1560">
        <v>2248</v>
      </c>
      <c r="I1560">
        <v>148</v>
      </c>
      <c r="J1560" t="b">
        <v>1</v>
      </c>
      <c r="K1560" s="10">
        <v>1796.19</v>
      </c>
      <c r="L1560" s="6">
        <f t="shared" si="149"/>
        <v>2.8388498112063849E-2</v>
      </c>
      <c r="M1560">
        <f t="shared" si="150"/>
        <v>0.79901690391459079</v>
      </c>
      <c r="N1560">
        <f t="shared" si="151"/>
        <v>12.136418918918919</v>
      </c>
      <c r="O1560">
        <f t="shared" si="152"/>
        <v>5603.8099999999995</v>
      </c>
      <c r="P1560">
        <f t="shared" si="153"/>
        <v>6.5836298932384338E-2</v>
      </c>
      <c r="Q1560" t="s">
        <v>4138</v>
      </c>
      <c r="R1560" t="s">
        <v>4138</v>
      </c>
      <c r="S1560">
        <f>YEAR(marketing_data[[#This Row],[Start_date]])</f>
        <v>2023</v>
      </c>
      <c r="T1560" t="str">
        <f>TEXT(marketing_data[[#This Row],[Start_date]],"ddd")</f>
        <v>Sun</v>
      </c>
      <c r="U1560">
        <f>marketing_data[[#This Row],[Cleaned End_date]]-marketing_data[[#This Row],[Start_date]]</f>
        <v>3</v>
      </c>
    </row>
    <row r="1561" spans="1:21" x14ac:dyDescent="0.2">
      <c r="A1561" t="s">
        <v>3223</v>
      </c>
      <c r="B1561" t="s">
        <v>3224</v>
      </c>
      <c r="C1561" s="2">
        <v>45252</v>
      </c>
      <c r="D1561" t="str">
        <f t="shared" si="148"/>
        <v>Nov</v>
      </c>
      <c r="E1561" s="2">
        <v>45275</v>
      </c>
      <c r="F1561" t="s">
        <v>41</v>
      </c>
      <c r="G1561">
        <v>41998</v>
      </c>
      <c r="H1561">
        <v>579</v>
      </c>
      <c r="I1561">
        <v>102</v>
      </c>
      <c r="J1561" t="b">
        <v>1</v>
      </c>
      <c r="K1561" s="10">
        <v>647.64</v>
      </c>
      <c r="L1561" s="6">
        <f t="shared" si="149"/>
        <v>1.3786370779560931E-2</v>
      </c>
      <c r="M1561">
        <f t="shared" si="150"/>
        <v>1.1185492227979275</v>
      </c>
      <c r="N1561">
        <f t="shared" si="151"/>
        <v>6.3494117647058825</v>
      </c>
      <c r="O1561">
        <f t="shared" si="152"/>
        <v>4452.3599999999997</v>
      </c>
      <c r="P1561">
        <f t="shared" si="153"/>
        <v>0.17616580310880828</v>
      </c>
      <c r="Q1561" t="s">
        <v>4136</v>
      </c>
      <c r="R1561" t="s">
        <v>4139</v>
      </c>
      <c r="S1561">
        <f>YEAR(marketing_data[[#This Row],[Start_date]])</f>
        <v>2023</v>
      </c>
      <c r="T1561" t="str">
        <f>TEXT(marketing_data[[#This Row],[Start_date]],"ddd")</f>
        <v>Wed</v>
      </c>
      <c r="U1561">
        <f>marketing_data[[#This Row],[Cleaned End_date]]-marketing_data[[#This Row],[Start_date]]</f>
        <v>23</v>
      </c>
    </row>
    <row r="1562" spans="1:21" x14ac:dyDescent="0.2">
      <c r="A1562" t="s">
        <v>3226</v>
      </c>
      <c r="B1562" t="s">
        <v>3227</v>
      </c>
      <c r="C1562" s="2">
        <v>44973</v>
      </c>
      <c r="D1562" t="str">
        <f t="shared" si="148"/>
        <v>Feb</v>
      </c>
      <c r="E1562" s="2">
        <v>45003</v>
      </c>
      <c r="F1562" t="s">
        <v>33</v>
      </c>
      <c r="G1562">
        <v>57846</v>
      </c>
      <c r="H1562">
        <v>2491</v>
      </c>
      <c r="I1562">
        <v>304</v>
      </c>
      <c r="J1562" t="b">
        <v>0</v>
      </c>
      <c r="K1562" s="10">
        <v>1515.56</v>
      </c>
      <c r="L1562" s="6">
        <f t="shared" si="149"/>
        <v>4.3062614528230125E-2</v>
      </c>
      <c r="M1562">
        <f t="shared" si="150"/>
        <v>0.60841429144921721</v>
      </c>
      <c r="N1562">
        <f t="shared" si="151"/>
        <v>4.985394736842105</v>
      </c>
      <c r="O1562">
        <f t="shared" si="152"/>
        <v>13684.44</v>
      </c>
      <c r="P1562">
        <f t="shared" si="153"/>
        <v>0.12203934162986753</v>
      </c>
      <c r="Q1562" t="s">
        <v>4138</v>
      </c>
      <c r="R1562" t="s">
        <v>4138</v>
      </c>
      <c r="S1562">
        <f>YEAR(marketing_data[[#This Row],[Start_date]])</f>
        <v>2023</v>
      </c>
      <c r="T1562" t="str">
        <f>TEXT(marketing_data[[#This Row],[Start_date]],"ddd")</f>
        <v>Thu</v>
      </c>
      <c r="U1562">
        <f>marketing_data[[#This Row],[Cleaned End_date]]-marketing_data[[#This Row],[Start_date]]</f>
        <v>30</v>
      </c>
    </row>
    <row r="1563" spans="1:21" x14ac:dyDescent="0.2">
      <c r="A1563" t="s">
        <v>3228</v>
      </c>
      <c r="B1563" t="s">
        <v>3229</v>
      </c>
      <c r="C1563" s="2">
        <v>45234</v>
      </c>
      <c r="D1563" t="str">
        <f t="shared" si="148"/>
        <v>Nov</v>
      </c>
      <c r="E1563" s="2">
        <v>45264</v>
      </c>
      <c r="F1563" t="s">
        <v>14</v>
      </c>
      <c r="G1563">
        <v>95071</v>
      </c>
      <c r="H1563">
        <v>1131</v>
      </c>
      <c r="I1563">
        <v>168</v>
      </c>
      <c r="J1563" t="b">
        <v>1</v>
      </c>
      <c r="K1563" s="10">
        <v>1542.32</v>
      </c>
      <c r="L1563" s="6">
        <f t="shared" si="149"/>
        <v>1.1896372184998579E-2</v>
      </c>
      <c r="M1563">
        <f t="shared" si="150"/>
        <v>1.3636781609195401</v>
      </c>
      <c r="N1563">
        <f t="shared" si="151"/>
        <v>9.18047619047619</v>
      </c>
      <c r="O1563">
        <f t="shared" si="152"/>
        <v>6857.68</v>
      </c>
      <c r="P1563">
        <f t="shared" si="153"/>
        <v>0.14854111405835543</v>
      </c>
      <c r="Q1563" t="s">
        <v>4136</v>
      </c>
      <c r="R1563" t="s">
        <v>4141</v>
      </c>
      <c r="S1563">
        <f>YEAR(marketing_data[[#This Row],[Start_date]])</f>
        <v>2023</v>
      </c>
      <c r="T1563" t="str">
        <f>TEXT(marketing_data[[#This Row],[Start_date]],"ddd")</f>
        <v>Sat</v>
      </c>
      <c r="U1563">
        <f>marketing_data[[#This Row],[Cleaned End_date]]-marketing_data[[#This Row],[Start_date]]</f>
        <v>30</v>
      </c>
    </row>
    <row r="1564" spans="1:21" x14ac:dyDescent="0.2">
      <c r="A1564" t="s">
        <v>3230</v>
      </c>
      <c r="B1564" t="s">
        <v>3231</v>
      </c>
      <c r="C1564" s="2">
        <v>45040</v>
      </c>
      <c r="D1564" t="str">
        <f t="shared" si="148"/>
        <v>Apr</v>
      </c>
      <c r="E1564" s="2">
        <v>45043</v>
      </c>
      <c r="F1564" t="s">
        <v>19</v>
      </c>
      <c r="G1564">
        <v>7640</v>
      </c>
      <c r="H1564">
        <v>298</v>
      </c>
      <c r="I1564">
        <v>37</v>
      </c>
      <c r="J1564" t="b">
        <v>0</v>
      </c>
      <c r="K1564" s="10">
        <v>530.58000000000004</v>
      </c>
      <c r="L1564" s="6">
        <f t="shared" si="149"/>
        <v>3.9005235602094242E-2</v>
      </c>
      <c r="M1564">
        <f t="shared" si="150"/>
        <v>1.7804697986577183</v>
      </c>
      <c r="N1564">
        <f t="shared" si="151"/>
        <v>14.340000000000002</v>
      </c>
      <c r="O1564">
        <f t="shared" si="152"/>
        <v>1319.42</v>
      </c>
      <c r="P1564">
        <f t="shared" si="153"/>
        <v>0.12416107382550336</v>
      </c>
      <c r="Q1564" t="s">
        <v>4137</v>
      </c>
      <c r="R1564" t="s">
        <v>4138</v>
      </c>
      <c r="S1564">
        <f>YEAR(marketing_data[[#This Row],[Start_date]])</f>
        <v>2023</v>
      </c>
      <c r="T1564" t="str">
        <f>TEXT(marketing_data[[#This Row],[Start_date]],"ddd")</f>
        <v>Mon</v>
      </c>
      <c r="U1564">
        <f>marketing_data[[#This Row],[Cleaned End_date]]-marketing_data[[#This Row],[Start_date]]</f>
        <v>3</v>
      </c>
    </row>
    <row r="1565" spans="1:21" x14ac:dyDescent="0.2">
      <c r="A1565" t="s">
        <v>3232</v>
      </c>
      <c r="B1565" t="s">
        <v>3233</v>
      </c>
      <c r="C1565" s="2">
        <v>45123</v>
      </c>
      <c r="D1565" t="str">
        <f t="shared" si="148"/>
        <v>Jul</v>
      </c>
      <c r="E1565" s="2">
        <v>45143</v>
      </c>
      <c r="F1565" t="s">
        <v>41</v>
      </c>
      <c r="G1565">
        <v>45547</v>
      </c>
      <c r="H1565">
        <v>1865</v>
      </c>
      <c r="I1565">
        <v>226</v>
      </c>
      <c r="J1565" t="b">
        <v>1</v>
      </c>
      <c r="K1565" s="10">
        <v>2961.49</v>
      </c>
      <c r="L1565" s="6">
        <f t="shared" si="149"/>
        <v>4.0946714382945087E-2</v>
      </c>
      <c r="M1565">
        <f t="shared" si="150"/>
        <v>1.587930294906166</v>
      </c>
      <c r="N1565">
        <f t="shared" si="151"/>
        <v>13.103938053097345</v>
      </c>
      <c r="O1565">
        <f t="shared" si="152"/>
        <v>8338.51</v>
      </c>
      <c r="P1565">
        <f t="shared" si="153"/>
        <v>0.12117962466487936</v>
      </c>
      <c r="Q1565" t="s">
        <v>4139</v>
      </c>
      <c r="R1565" t="s">
        <v>4138</v>
      </c>
      <c r="S1565">
        <f>YEAR(marketing_data[[#This Row],[Start_date]])</f>
        <v>2023</v>
      </c>
      <c r="T1565" t="str">
        <f>TEXT(marketing_data[[#This Row],[Start_date]],"ddd")</f>
        <v>Sun</v>
      </c>
      <c r="U1565">
        <f>marketing_data[[#This Row],[Cleaned End_date]]-marketing_data[[#This Row],[Start_date]]</f>
        <v>20</v>
      </c>
    </row>
    <row r="1566" spans="1:21" x14ac:dyDescent="0.2">
      <c r="A1566" t="s">
        <v>3234</v>
      </c>
      <c r="B1566" t="s">
        <v>3235</v>
      </c>
      <c r="C1566" s="2">
        <v>45262</v>
      </c>
      <c r="D1566" t="str">
        <f t="shared" si="148"/>
        <v>Dec</v>
      </c>
      <c r="E1566" s="2">
        <v>45285</v>
      </c>
      <c r="F1566" t="s">
        <v>19</v>
      </c>
      <c r="G1566">
        <v>55620</v>
      </c>
      <c r="H1566">
        <v>1340</v>
      </c>
      <c r="I1566">
        <v>234</v>
      </c>
      <c r="J1566" t="b">
        <v>0</v>
      </c>
      <c r="K1566" s="10">
        <v>1394.39</v>
      </c>
      <c r="L1566" s="6">
        <f t="shared" si="149"/>
        <v>2.409205321826681E-2</v>
      </c>
      <c r="M1566">
        <f t="shared" si="150"/>
        <v>1.040589552238806</v>
      </c>
      <c r="N1566">
        <f t="shared" si="151"/>
        <v>5.9589316239316243</v>
      </c>
      <c r="O1566">
        <f t="shared" si="152"/>
        <v>10305.61</v>
      </c>
      <c r="P1566">
        <f t="shared" si="153"/>
        <v>0.17462686567164179</v>
      </c>
      <c r="Q1566" t="s">
        <v>4138</v>
      </c>
      <c r="R1566" t="s">
        <v>4141</v>
      </c>
      <c r="S1566">
        <f>YEAR(marketing_data[[#This Row],[Start_date]])</f>
        <v>2023</v>
      </c>
      <c r="T1566" t="str">
        <f>TEXT(marketing_data[[#This Row],[Start_date]],"ddd")</f>
        <v>Sat</v>
      </c>
      <c r="U1566">
        <f>marketing_data[[#This Row],[Cleaned End_date]]-marketing_data[[#This Row],[Start_date]]</f>
        <v>23</v>
      </c>
    </row>
    <row r="1567" spans="1:21" x14ac:dyDescent="0.2">
      <c r="A1567" t="s">
        <v>3236</v>
      </c>
      <c r="B1567" t="s">
        <v>3237</v>
      </c>
      <c r="C1567" s="2">
        <v>44968</v>
      </c>
      <c r="D1567" t="str">
        <f t="shared" si="148"/>
        <v>Feb</v>
      </c>
      <c r="E1567" s="2">
        <v>45250</v>
      </c>
      <c r="F1567" t="s">
        <v>14</v>
      </c>
      <c r="G1567">
        <v>16317</v>
      </c>
      <c r="H1567">
        <v>701</v>
      </c>
      <c r="I1567">
        <v>114</v>
      </c>
      <c r="J1567" t="b">
        <v>0</v>
      </c>
      <c r="K1567" s="10">
        <v>442.06</v>
      </c>
      <c r="L1567" s="6">
        <f t="shared" si="149"/>
        <v>4.2961328675614391E-2</v>
      </c>
      <c r="M1567">
        <f t="shared" si="150"/>
        <v>0.63061340941512123</v>
      </c>
      <c r="N1567">
        <f t="shared" si="151"/>
        <v>3.8777192982456139</v>
      </c>
      <c r="O1567">
        <f t="shared" si="152"/>
        <v>5257.94</v>
      </c>
      <c r="P1567">
        <f t="shared" si="153"/>
        <v>0.16262482168330955</v>
      </c>
      <c r="Q1567" t="s">
        <v>4138</v>
      </c>
      <c r="R1567" t="s">
        <v>4138</v>
      </c>
      <c r="S1567">
        <f>YEAR(marketing_data[[#This Row],[Start_date]])</f>
        <v>2023</v>
      </c>
      <c r="T1567" t="str">
        <f>TEXT(marketing_data[[#This Row],[Start_date]],"ddd")</f>
        <v>Sat</v>
      </c>
      <c r="U1567">
        <f>marketing_data[[#This Row],[Cleaned End_date]]-marketing_data[[#This Row],[Start_date]]</f>
        <v>282</v>
      </c>
    </row>
    <row r="1568" spans="1:21" x14ac:dyDescent="0.2">
      <c r="A1568" t="s">
        <v>3238</v>
      </c>
      <c r="B1568" t="s">
        <v>3239</v>
      </c>
      <c r="C1568" s="2">
        <v>45016</v>
      </c>
      <c r="D1568" t="str">
        <f t="shared" si="148"/>
        <v>Mar</v>
      </c>
      <c r="E1568" s="2">
        <v>45018</v>
      </c>
      <c r="F1568" t="s">
        <v>33</v>
      </c>
      <c r="G1568">
        <v>8564</v>
      </c>
      <c r="H1568">
        <v>262</v>
      </c>
      <c r="I1568">
        <v>32</v>
      </c>
      <c r="J1568" t="b">
        <v>0</v>
      </c>
      <c r="K1568" s="10">
        <v>329.13249999999999</v>
      </c>
      <c r="L1568" s="6">
        <f t="shared" si="149"/>
        <v>3.0593180756655767E-2</v>
      </c>
      <c r="M1568">
        <f t="shared" si="150"/>
        <v>1.2562309160305343</v>
      </c>
      <c r="N1568">
        <f t="shared" si="151"/>
        <v>10.285390625</v>
      </c>
      <c r="O1568">
        <f t="shared" si="152"/>
        <v>1270.8675000000001</v>
      </c>
      <c r="P1568">
        <f t="shared" si="153"/>
        <v>0.12213740458015267</v>
      </c>
      <c r="Q1568" t="s">
        <v>4137</v>
      </c>
      <c r="R1568" t="s">
        <v>4139</v>
      </c>
      <c r="S1568">
        <f>YEAR(marketing_data[[#This Row],[Start_date]])</f>
        <v>2023</v>
      </c>
      <c r="T1568" t="str">
        <f>TEXT(marketing_data[[#This Row],[Start_date]],"ddd")</f>
        <v>Fri</v>
      </c>
      <c r="U1568">
        <f>marketing_data[[#This Row],[Cleaned End_date]]-marketing_data[[#This Row],[Start_date]]</f>
        <v>2</v>
      </c>
    </row>
    <row r="1569" spans="1:21" x14ac:dyDescent="0.2">
      <c r="A1569" t="s">
        <v>3240</v>
      </c>
      <c r="B1569" t="s">
        <v>3241</v>
      </c>
      <c r="C1569" s="2">
        <v>45030</v>
      </c>
      <c r="D1569" t="str">
        <f t="shared" si="148"/>
        <v>Apr</v>
      </c>
      <c r="E1569" s="2">
        <v>45039</v>
      </c>
      <c r="F1569" t="s">
        <v>19</v>
      </c>
      <c r="G1569">
        <v>28345</v>
      </c>
      <c r="H1569">
        <v>808</v>
      </c>
      <c r="I1569">
        <v>53</v>
      </c>
      <c r="J1569" t="b">
        <v>1</v>
      </c>
      <c r="K1569" s="10">
        <v>1065.1300000000001</v>
      </c>
      <c r="L1569" s="6">
        <f t="shared" si="149"/>
        <v>2.8505909331451754E-2</v>
      </c>
      <c r="M1569">
        <f t="shared" si="150"/>
        <v>1.3182301980198021</v>
      </c>
      <c r="N1569">
        <f t="shared" si="151"/>
        <v>20.09679245283019</v>
      </c>
      <c r="O1569">
        <f t="shared" si="152"/>
        <v>1584.87</v>
      </c>
      <c r="P1569">
        <f t="shared" si="153"/>
        <v>6.5594059405940597E-2</v>
      </c>
      <c r="Q1569" t="s">
        <v>4137</v>
      </c>
      <c r="R1569" t="s">
        <v>4142</v>
      </c>
      <c r="S1569">
        <f>YEAR(marketing_data[[#This Row],[Start_date]])</f>
        <v>2023</v>
      </c>
      <c r="T1569" t="str">
        <f>TEXT(marketing_data[[#This Row],[Start_date]],"ddd")</f>
        <v>Fri</v>
      </c>
      <c r="U1569">
        <f>marketing_data[[#This Row],[Cleaned End_date]]-marketing_data[[#This Row],[Start_date]]</f>
        <v>9</v>
      </c>
    </row>
    <row r="1570" spans="1:21" x14ac:dyDescent="0.2">
      <c r="A1570" t="s">
        <v>3242</v>
      </c>
      <c r="B1570" t="s">
        <v>3243</v>
      </c>
      <c r="C1570" s="2">
        <v>45192</v>
      </c>
      <c r="D1570" t="str">
        <f t="shared" si="148"/>
        <v>Sep</v>
      </c>
      <c r="E1570" s="2">
        <v>45195</v>
      </c>
      <c r="F1570" t="s">
        <v>41</v>
      </c>
      <c r="G1570">
        <v>95223</v>
      </c>
      <c r="H1570">
        <v>1125</v>
      </c>
      <c r="I1570">
        <v>75</v>
      </c>
      <c r="J1570" t="b">
        <v>1</v>
      </c>
      <c r="K1570" s="10">
        <v>911.91</v>
      </c>
      <c r="L1570" s="6">
        <f t="shared" si="149"/>
        <v>1.1814372578053621E-2</v>
      </c>
      <c r="M1570">
        <f t="shared" si="150"/>
        <v>0.81058666666666668</v>
      </c>
      <c r="N1570">
        <f t="shared" si="151"/>
        <v>12.158799999999999</v>
      </c>
      <c r="O1570">
        <f t="shared" si="152"/>
        <v>2838.09</v>
      </c>
      <c r="P1570">
        <f t="shared" si="153"/>
        <v>6.6666666666666666E-2</v>
      </c>
      <c r="Q1570" t="s">
        <v>4136</v>
      </c>
      <c r="R1570" t="s">
        <v>4141</v>
      </c>
      <c r="S1570">
        <f>YEAR(marketing_data[[#This Row],[Start_date]])</f>
        <v>2023</v>
      </c>
      <c r="T1570" t="str">
        <f>TEXT(marketing_data[[#This Row],[Start_date]],"ddd")</f>
        <v>Sat</v>
      </c>
      <c r="U1570">
        <f>marketing_data[[#This Row],[Cleaned End_date]]-marketing_data[[#This Row],[Start_date]]</f>
        <v>3</v>
      </c>
    </row>
    <row r="1571" spans="1:21" x14ac:dyDescent="0.2">
      <c r="A1571" t="s">
        <v>3244</v>
      </c>
      <c r="B1571" t="s">
        <v>3245</v>
      </c>
      <c r="C1571" s="2">
        <v>45233</v>
      </c>
      <c r="D1571" t="str">
        <f t="shared" si="148"/>
        <v>Nov</v>
      </c>
      <c r="E1571" s="2">
        <v>45250</v>
      </c>
      <c r="F1571" t="s">
        <v>33</v>
      </c>
      <c r="G1571">
        <v>80273</v>
      </c>
      <c r="H1571">
        <v>1733</v>
      </c>
      <c r="I1571">
        <v>295</v>
      </c>
      <c r="J1571" t="b">
        <v>0</v>
      </c>
      <c r="K1571" s="10">
        <v>2280.56</v>
      </c>
      <c r="L1571" s="6">
        <f t="shared" si="149"/>
        <v>2.1588828124026758E-2</v>
      </c>
      <c r="M1571">
        <f t="shared" si="150"/>
        <v>1.3159607616849394</v>
      </c>
      <c r="N1571">
        <f t="shared" si="151"/>
        <v>7.7307118644067794</v>
      </c>
      <c r="O1571">
        <f t="shared" si="152"/>
        <v>12469.44</v>
      </c>
      <c r="P1571">
        <f t="shared" si="153"/>
        <v>0.17022504327755339</v>
      </c>
      <c r="Q1571" t="s">
        <v>4136</v>
      </c>
      <c r="R1571" t="s">
        <v>4138</v>
      </c>
      <c r="S1571">
        <f>YEAR(marketing_data[[#This Row],[Start_date]])</f>
        <v>2023</v>
      </c>
      <c r="T1571" t="str">
        <f>TEXT(marketing_data[[#This Row],[Start_date]],"ddd")</f>
        <v>Fri</v>
      </c>
      <c r="U1571">
        <f>marketing_data[[#This Row],[Cleaned End_date]]-marketing_data[[#This Row],[Start_date]]</f>
        <v>17</v>
      </c>
    </row>
    <row r="1572" spans="1:21" x14ac:dyDescent="0.2">
      <c r="A1572" t="s">
        <v>3246</v>
      </c>
      <c r="B1572" t="s">
        <v>3247</v>
      </c>
      <c r="C1572" s="2">
        <v>45241</v>
      </c>
      <c r="D1572" t="str">
        <f t="shared" si="148"/>
        <v>Nov</v>
      </c>
      <c r="E1572" s="2">
        <v>45271</v>
      </c>
      <c r="F1572" t="s">
        <v>23</v>
      </c>
      <c r="G1572">
        <v>75859</v>
      </c>
      <c r="H1572">
        <v>3583</v>
      </c>
      <c r="J1572" t="b">
        <v>1</v>
      </c>
      <c r="K1572" s="10">
        <v>3036.23</v>
      </c>
      <c r="L1572" s="6">
        <f t="shared" si="149"/>
        <v>4.7232365309323877E-2</v>
      </c>
      <c r="M1572">
        <f t="shared" si="150"/>
        <v>0.84739882779793474</v>
      </c>
      <c r="N1572">
        <f t="shared" si="151"/>
        <v>0</v>
      </c>
      <c r="O1572">
        <f t="shared" si="152"/>
        <v>-3036.23</v>
      </c>
      <c r="P1572">
        <f t="shared" si="153"/>
        <v>0</v>
      </c>
      <c r="Q1572" t="s">
        <v>4136</v>
      </c>
      <c r="R1572" t="s">
        <v>4141</v>
      </c>
      <c r="S1572">
        <f>YEAR(marketing_data[[#This Row],[Start_date]])</f>
        <v>2023</v>
      </c>
      <c r="T1572" t="str">
        <f>TEXT(marketing_data[[#This Row],[Start_date]],"ddd")</f>
        <v>Sat</v>
      </c>
      <c r="U1572">
        <f>marketing_data[[#This Row],[Cleaned End_date]]-marketing_data[[#This Row],[Start_date]]</f>
        <v>30</v>
      </c>
    </row>
    <row r="1573" spans="1:21" x14ac:dyDescent="0.2">
      <c r="A1573" t="s">
        <v>3248</v>
      </c>
      <c r="B1573" t="s">
        <v>3249</v>
      </c>
      <c r="C1573" s="2">
        <v>45049</v>
      </c>
      <c r="D1573" t="str">
        <f t="shared" si="148"/>
        <v>May</v>
      </c>
      <c r="E1573" s="2">
        <v>45058</v>
      </c>
      <c r="F1573" t="s">
        <v>14</v>
      </c>
      <c r="G1573">
        <v>81765</v>
      </c>
      <c r="H1573">
        <v>2099</v>
      </c>
      <c r="J1573" t="b">
        <v>0</v>
      </c>
      <c r="K1573" s="10">
        <v>3631.7599999999998</v>
      </c>
      <c r="L1573" s="6">
        <f t="shared" si="149"/>
        <v>2.5671130679386044E-2</v>
      </c>
      <c r="M1573">
        <f t="shared" si="150"/>
        <v>1.7302334444973797</v>
      </c>
      <c r="N1573">
        <f t="shared" si="151"/>
        <v>0</v>
      </c>
      <c r="O1573">
        <f t="shared" si="152"/>
        <v>-3631.7599999999998</v>
      </c>
      <c r="P1573">
        <f t="shared" si="153"/>
        <v>0</v>
      </c>
      <c r="Q1573" t="s">
        <v>4137</v>
      </c>
      <c r="R1573" t="s">
        <v>4142</v>
      </c>
      <c r="S1573">
        <f>YEAR(marketing_data[[#This Row],[Start_date]])</f>
        <v>2023</v>
      </c>
      <c r="T1573" t="str">
        <f>TEXT(marketing_data[[#This Row],[Start_date]],"ddd")</f>
        <v>Wed</v>
      </c>
      <c r="U1573">
        <f>marketing_data[[#This Row],[Cleaned End_date]]-marketing_data[[#This Row],[Start_date]]</f>
        <v>9</v>
      </c>
    </row>
    <row r="1574" spans="1:21" x14ac:dyDescent="0.2">
      <c r="A1574" t="s">
        <v>3250</v>
      </c>
      <c r="B1574" t="s">
        <v>3251</v>
      </c>
      <c r="C1574" s="2">
        <v>44971</v>
      </c>
      <c r="D1574" t="str">
        <f t="shared" si="148"/>
        <v>Feb</v>
      </c>
      <c r="E1574" s="2">
        <v>44986</v>
      </c>
      <c r="F1574" t="s">
        <v>33</v>
      </c>
      <c r="G1574">
        <v>75038</v>
      </c>
      <c r="H1574">
        <v>2391</v>
      </c>
      <c r="I1574">
        <v>363</v>
      </c>
      <c r="J1574" t="b">
        <v>1</v>
      </c>
      <c r="K1574" s="10">
        <v>2620.31</v>
      </c>
      <c r="L1574" s="6">
        <f t="shared" si="149"/>
        <v>3.1863855646472455E-2</v>
      </c>
      <c r="M1574">
        <f t="shared" si="150"/>
        <v>1.09590547887913</v>
      </c>
      <c r="N1574">
        <f t="shared" si="151"/>
        <v>7.2184848484848487</v>
      </c>
      <c r="O1574">
        <f t="shared" si="152"/>
        <v>15529.69</v>
      </c>
      <c r="P1574">
        <f t="shared" si="153"/>
        <v>0.15181932245922208</v>
      </c>
      <c r="Q1574" t="s">
        <v>4138</v>
      </c>
      <c r="R1574" t="s">
        <v>4139</v>
      </c>
      <c r="S1574">
        <f>YEAR(marketing_data[[#This Row],[Start_date]])</f>
        <v>2023</v>
      </c>
      <c r="T1574" t="str">
        <f>TEXT(marketing_data[[#This Row],[Start_date]],"ddd")</f>
        <v>Tue</v>
      </c>
      <c r="U1574">
        <f>marketing_data[[#This Row],[Cleaned End_date]]-marketing_data[[#This Row],[Start_date]]</f>
        <v>15</v>
      </c>
    </row>
    <row r="1575" spans="1:21" x14ac:dyDescent="0.2">
      <c r="A1575" t="s">
        <v>3252</v>
      </c>
      <c r="B1575" t="s">
        <v>3253</v>
      </c>
      <c r="C1575" s="2">
        <v>45107</v>
      </c>
      <c r="D1575" t="str">
        <f t="shared" si="148"/>
        <v>Jun</v>
      </c>
      <c r="E1575" s="2">
        <v>45112</v>
      </c>
      <c r="F1575" t="s">
        <v>41</v>
      </c>
      <c r="G1575">
        <v>53393</v>
      </c>
      <c r="H1575">
        <v>1670</v>
      </c>
      <c r="J1575" t="b">
        <v>1</v>
      </c>
      <c r="K1575" s="10">
        <v>1450.1</v>
      </c>
      <c r="L1575" s="6">
        <f t="shared" si="149"/>
        <v>3.1277508287603242E-2</v>
      </c>
      <c r="M1575">
        <f t="shared" si="150"/>
        <v>0.86832335329341315</v>
      </c>
      <c r="N1575">
        <f t="shared" si="151"/>
        <v>0</v>
      </c>
      <c r="O1575">
        <f t="shared" si="152"/>
        <v>-1450.1</v>
      </c>
      <c r="P1575">
        <f t="shared" si="153"/>
        <v>0</v>
      </c>
      <c r="Q1575" t="s">
        <v>4139</v>
      </c>
      <c r="R1575" t="s">
        <v>4142</v>
      </c>
      <c r="S1575">
        <f>YEAR(marketing_data[[#This Row],[Start_date]])</f>
        <v>2023</v>
      </c>
      <c r="T1575" t="str">
        <f>TEXT(marketing_data[[#This Row],[Start_date]],"ddd")</f>
        <v>Fri</v>
      </c>
      <c r="U1575">
        <f>marketing_data[[#This Row],[Cleaned End_date]]-marketing_data[[#This Row],[Start_date]]</f>
        <v>5</v>
      </c>
    </row>
    <row r="1576" spans="1:21" x14ac:dyDescent="0.2">
      <c r="A1576" t="s">
        <v>3254</v>
      </c>
      <c r="B1576" t="s">
        <v>3255</v>
      </c>
      <c r="C1576" s="2">
        <v>45029</v>
      </c>
      <c r="D1576" t="str">
        <f t="shared" si="148"/>
        <v>Apr</v>
      </c>
      <c r="E1576" s="2">
        <v>45039</v>
      </c>
      <c r="F1576" t="s">
        <v>41</v>
      </c>
      <c r="G1576">
        <v>67081</v>
      </c>
      <c r="H1576">
        <v>2255</v>
      </c>
      <c r="I1576">
        <v>325</v>
      </c>
      <c r="J1576" t="b">
        <v>0</v>
      </c>
      <c r="K1576" s="10">
        <v>3631.7599999999998</v>
      </c>
      <c r="L1576" s="6">
        <f t="shared" si="149"/>
        <v>3.3616076087118557E-2</v>
      </c>
      <c r="M1576">
        <f t="shared" si="150"/>
        <v>1.6105365853658535</v>
      </c>
      <c r="N1576">
        <f t="shared" si="151"/>
        <v>11.174646153846153</v>
      </c>
      <c r="O1576">
        <f t="shared" si="152"/>
        <v>12618.24</v>
      </c>
      <c r="P1576">
        <f t="shared" si="153"/>
        <v>0.14412416851441243</v>
      </c>
      <c r="Q1576" t="s">
        <v>4137</v>
      </c>
      <c r="R1576" t="s">
        <v>4141</v>
      </c>
      <c r="S1576">
        <f>YEAR(marketing_data[[#This Row],[Start_date]])</f>
        <v>2023</v>
      </c>
      <c r="T1576" t="str">
        <f>TEXT(marketing_data[[#This Row],[Start_date]],"ddd")</f>
        <v>Thu</v>
      </c>
      <c r="U1576">
        <f>marketing_data[[#This Row],[Cleaned End_date]]-marketing_data[[#This Row],[Start_date]]</f>
        <v>10</v>
      </c>
    </row>
    <row r="1577" spans="1:21" x14ac:dyDescent="0.2">
      <c r="A1577" t="s">
        <v>3256</v>
      </c>
      <c r="B1577" t="s">
        <v>3257</v>
      </c>
      <c r="C1577" s="2">
        <v>44962</v>
      </c>
      <c r="D1577" t="str">
        <f t="shared" si="148"/>
        <v>Feb</v>
      </c>
      <c r="E1577" s="2">
        <v>44967</v>
      </c>
      <c r="F1577" t="s">
        <v>41</v>
      </c>
      <c r="G1577">
        <v>30430</v>
      </c>
      <c r="H1577">
        <v>378</v>
      </c>
      <c r="I1577">
        <v>62</v>
      </c>
      <c r="J1577" t="b">
        <v>1</v>
      </c>
      <c r="K1577" s="10">
        <v>383.39</v>
      </c>
      <c r="L1577" s="6">
        <f t="shared" si="149"/>
        <v>1.2421952021031876E-2</v>
      </c>
      <c r="M1577">
        <f t="shared" si="150"/>
        <v>1.0142592592592592</v>
      </c>
      <c r="N1577">
        <f t="shared" si="151"/>
        <v>6.1837096774193547</v>
      </c>
      <c r="O1577">
        <f t="shared" si="152"/>
        <v>2716.61</v>
      </c>
      <c r="P1577">
        <f t="shared" si="153"/>
        <v>0.16402116402116401</v>
      </c>
      <c r="Q1577" t="s">
        <v>4138</v>
      </c>
      <c r="R1577" t="s">
        <v>4141</v>
      </c>
      <c r="S1577">
        <f>YEAR(marketing_data[[#This Row],[Start_date]])</f>
        <v>2023</v>
      </c>
      <c r="T1577" t="str">
        <f>TEXT(marketing_data[[#This Row],[Start_date]],"ddd")</f>
        <v>Sun</v>
      </c>
      <c r="U1577">
        <f>marketing_data[[#This Row],[Cleaned End_date]]-marketing_data[[#This Row],[Start_date]]</f>
        <v>5</v>
      </c>
    </row>
    <row r="1578" spans="1:21" x14ac:dyDescent="0.2">
      <c r="A1578" t="s">
        <v>3258</v>
      </c>
      <c r="B1578" t="s">
        <v>3259</v>
      </c>
      <c r="C1578" s="2">
        <v>45213</v>
      </c>
      <c r="D1578" t="str">
        <f t="shared" si="148"/>
        <v>Oct</v>
      </c>
      <c r="E1578" s="2">
        <v>45241</v>
      </c>
      <c r="F1578" t="s">
        <v>33</v>
      </c>
      <c r="G1578">
        <v>76532</v>
      </c>
      <c r="H1578">
        <v>1874</v>
      </c>
      <c r="I1578">
        <v>308</v>
      </c>
      <c r="J1578" t="b">
        <v>1</v>
      </c>
      <c r="K1578" s="10">
        <v>1250.3900000000001</v>
      </c>
      <c r="L1578" s="6">
        <f t="shared" si="149"/>
        <v>2.4486489311660482E-2</v>
      </c>
      <c r="M1578">
        <f t="shared" si="150"/>
        <v>0.66723052294557106</v>
      </c>
      <c r="N1578">
        <f t="shared" si="151"/>
        <v>4.0597077922077922</v>
      </c>
      <c r="O1578">
        <f t="shared" si="152"/>
        <v>14149.61</v>
      </c>
      <c r="P1578">
        <f t="shared" si="153"/>
        <v>0.16435432230522945</v>
      </c>
      <c r="Q1578" t="s">
        <v>4136</v>
      </c>
      <c r="R1578" t="s">
        <v>4139</v>
      </c>
      <c r="S1578">
        <f>YEAR(marketing_data[[#This Row],[Start_date]])</f>
        <v>2023</v>
      </c>
      <c r="T1578" t="str">
        <f>TEXT(marketing_data[[#This Row],[Start_date]],"ddd")</f>
        <v>Sat</v>
      </c>
      <c r="U1578">
        <f>marketing_data[[#This Row],[Cleaned End_date]]-marketing_data[[#This Row],[Start_date]]</f>
        <v>28</v>
      </c>
    </row>
    <row r="1579" spans="1:21" x14ac:dyDescent="0.2">
      <c r="A1579" t="s">
        <v>3260</v>
      </c>
      <c r="B1579" t="s">
        <v>3261</v>
      </c>
      <c r="C1579" s="2">
        <v>45068</v>
      </c>
      <c r="D1579" t="str">
        <f t="shared" si="148"/>
        <v>May</v>
      </c>
      <c r="E1579" s="2">
        <v>45082</v>
      </c>
      <c r="F1579" t="s">
        <v>14</v>
      </c>
      <c r="G1579">
        <v>28788</v>
      </c>
      <c r="H1579">
        <v>1120</v>
      </c>
      <c r="I1579">
        <v>115</v>
      </c>
      <c r="J1579" t="b">
        <v>0</v>
      </c>
      <c r="K1579" s="10">
        <v>1518.29</v>
      </c>
      <c r="L1579" s="6">
        <f t="shared" si="149"/>
        <v>3.890509934695012E-2</v>
      </c>
      <c r="M1579">
        <f t="shared" si="150"/>
        <v>1.3556160714285714</v>
      </c>
      <c r="N1579">
        <f t="shared" si="151"/>
        <v>13.202521739130434</v>
      </c>
      <c r="O1579">
        <f t="shared" si="152"/>
        <v>4231.71</v>
      </c>
      <c r="P1579">
        <f t="shared" si="153"/>
        <v>0.10267857142857142</v>
      </c>
      <c r="Q1579" t="s">
        <v>4137</v>
      </c>
      <c r="R1579" t="s">
        <v>4138</v>
      </c>
      <c r="S1579">
        <f>YEAR(marketing_data[[#This Row],[Start_date]])</f>
        <v>2023</v>
      </c>
      <c r="T1579" t="str">
        <f>TEXT(marketing_data[[#This Row],[Start_date]],"ddd")</f>
        <v>Mon</v>
      </c>
      <c r="U1579">
        <f>marketing_data[[#This Row],[Cleaned End_date]]-marketing_data[[#This Row],[Start_date]]</f>
        <v>14</v>
      </c>
    </row>
    <row r="1580" spans="1:21" x14ac:dyDescent="0.2">
      <c r="A1580" t="s">
        <v>3262</v>
      </c>
      <c r="B1580" t="s">
        <v>3263</v>
      </c>
      <c r="C1580" s="2">
        <v>45159</v>
      </c>
      <c r="D1580" t="str">
        <f t="shared" si="148"/>
        <v>Aug</v>
      </c>
      <c r="E1580" s="2">
        <v>45168</v>
      </c>
      <c r="F1580" t="s">
        <v>19</v>
      </c>
      <c r="G1580">
        <v>96505</v>
      </c>
      <c r="H1580">
        <v>1739</v>
      </c>
      <c r="I1580">
        <v>158</v>
      </c>
      <c r="J1580" t="b">
        <v>0</v>
      </c>
      <c r="K1580" s="10">
        <v>2386.5100000000002</v>
      </c>
      <c r="L1580" s="6">
        <f t="shared" si="149"/>
        <v>1.8019791720636235E-2</v>
      </c>
      <c r="M1580">
        <f t="shared" si="150"/>
        <v>1.3723461759631974</v>
      </c>
      <c r="N1580">
        <f t="shared" si="151"/>
        <v>15.104493670886077</v>
      </c>
      <c r="O1580">
        <f t="shared" si="152"/>
        <v>5513.49</v>
      </c>
      <c r="P1580">
        <f t="shared" si="153"/>
        <v>9.0856814261069577E-2</v>
      </c>
      <c r="Q1580" t="s">
        <v>4139</v>
      </c>
      <c r="R1580" t="s">
        <v>4142</v>
      </c>
      <c r="S1580">
        <f>YEAR(marketing_data[[#This Row],[Start_date]])</f>
        <v>2023</v>
      </c>
      <c r="T1580" t="str">
        <f>TEXT(marketing_data[[#This Row],[Start_date]],"ddd")</f>
        <v>Mon</v>
      </c>
      <c r="U1580">
        <f>marketing_data[[#This Row],[Cleaned End_date]]-marketing_data[[#This Row],[Start_date]]</f>
        <v>9</v>
      </c>
    </row>
    <row r="1581" spans="1:21" x14ac:dyDescent="0.2">
      <c r="A1581" t="s">
        <v>3264</v>
      </c>
      <c r="B1581" t="s">
        <v>3265</v>
      </c>
      <c r="C1581" s="2">
        <v>45060</v>
      </c>
      <c r="D1581" t="str">
        <f t="shared" si="148"/>
        <v>May</v>
      </c>
      <c r="E1581" s="2">
        <v>45088</v>
      </c>
      <c r="F1581" t="s">
        <v>14</v>
      </c>
      <c r="G1581">
        <v>49543</v>
      </c>
      <c r="H1581">
        <v>898</v>
      </c>
      <c r="J1581" t="b">
        <v>1</v>
      </c>
      <c r="K1581" s="10">
        <v>1411.7</v>
      </c>
      <c r="L1581" s="6">
        <f t="shared" si="149"/>
        <v>1.8125668611105504E-2</v>
      </c>
      <c r="M1581">
        <f t="shared" si="150"/>
        <v>1.5720489977728285</v>
      </c>
      <c r="N1581">
        <f t="shared" si="151"/>
        <v>0</v>
      </c>
      <c r="O1581">
        <f t="shared" si="152"/>
        <v>-1411.7</v>
      </c>
      <c r="P1581">
        <f t="shared" si="153"/>
        <v>0</v>
      </c>
      <c r="Q1581" t="s">
        <v>4137</v>
      </c>
      <c r="R1581" t="s">
        <v>4139</v>
      </c>
      <c r="S1581">
        <f>YEAR(marketing_data[[#This Row],[Start_date]])</f>
        <v>2023</v>
      </c>
      <c r="T1581" t="str">
        <f>TEXT(marketing_data[[#This Row],[Start_date]],"ddd")</f>
        <v>Sun</v>
      </c>
      <c r="U1581">
        <f>marketing_data[[#This Row],[Cleaned End_date]]-marketing_data[[#This Row],[Start_date]]</f>
        <v>28</v>
      </c>
    </row>
    <row r="1582" spans="1:21" x14ac:dyDescent="0.2">
      <c r="A1582" t="s">
        <v>3266</v>
      </c>
      <c r="B1582" t="s">
        <v>3267</v>
      </c>
      <c r="C1582" s="2">
        <v>45213</v>
      </c>
      <c r="D1582" t="str">
        <f t="shared" si="148"/>
        <v>Oct</v>
      </c>
      <c r="E1582" s="2">
        <v>45243</v>
      </c>
      <c r="F1582" t="s">
        <v>19</v>
      </c>
      <c r="G1582">
        <v>14919</v>
      </c>
      <c r="H1582">
        <v>155</v>
      </c>
      <c r="I1582">
        <v>16</v>
      </c>
      <c r="J1582" t="b">
        <v>0</v>
      </c>
      <c r="K1582" s="10">
        <v>329.13249999999999</v>
      </c>
      <c r="L1582" s="6">
        <f t="shared" si="149"/>
        <v>1.0389436289295529E-2</v>
      </c>
      <c r="M1582">
        <f t="shared" si="150"/>
        <v>2.1234354838709675</v>
      </c>
      <c r="N1582">
        <f t="shared" si="151"/>
        <v>20.57078125</v>
      </c>
      <c r="O1582">
        <f t="shared" si="152"/>
        <v>470.86750000000001</v>
      </c>
      <c r="P1582">
        <f t="shared" si="153"/>
        <v>0.1032258064516129</v>
      </c>
      <c r="Q1582" t="s">
        <v>4136</v>
      </c>
      <c r="R1582" t="s">
        <v>4142</v>
      </c>
      <c r="S1582">
        <f>YEAR(marketing_data[[#This Row],[Start_date]])</f>
        <v>2023</v>
      </c>
      <c r="T1582" t="str">
        <f>TEXT(marketing_data[[#This Row],[Start_date]],"ddd")</f>
        <v>Sat</v>
      </c>
      <c r="U1582">
        <f>marketing_data[[#This Row],[Cleaned End_date]]-marketing_data[[#This Row],[Start_date]]</f>
        <v>30</v>
      </c>
    </row>
    <row r="1583" spans="1:21" x14ac:dyDescent="0.2">
      <c r="A1583" t="s">
        <v>3269</v>
      </c>
      <c r="B1583" t="s">
        <v>3270</v>
      </c>
      <c r="C1583" s="2">
        <v>45077</v>
      </c>
      <c r="D1583" t="str">
        <f t="shared" si="148"/>
        <v>May</v>
      </c>
      <c r="E1583" s="2">
        <v>45083</v>
      </c>
      <c r="F1583" t="s">
        <v>41</v>
      </c>
      <c r="G1583">
        <v>70346</v>
      </c>
      <c r="H1583">
        <v>1934</v>
      </c>
      <c r="I1583">
        <v>358</v>
      </c>
      <c r="J1583" t="b">
        <v>1</v>
      </c>
      <c r="K1583" s="10">
        <v>2254.38</v>
      </c>
      <c r="L1583" s="6">
        <f t="shared" si="149"/>
        <v>2.7492679043584569E-2</v>
      </c>
      <c r="M1583">
        <f t="shared" si="150"/>
        <v>1.1656566701137538</v>
      </c>
      <c r="N1583">
        <f t="shared" si="151"/>
        <v>6.297150837988827</v>
      </c>
      <c r="O1583">
        <f t="shared" si="152"/>
        <v>15645.619999999999</v>
      </c>
      <c r="P1583">
        <f t="shared" si="153"/>
        <v>0.18510858324715615</v>
      </c>
      <c r="Q1583" t="s">
        <v>4137</v>
      </c>
      <c r="R1583" t="s">
        <v>4141</v>
      </c>
      <c r="S1583">
        <f>YEAR(marketing_data[[#This Row],[Start_date]])</f>
        <v>2023</v>
      </c>
      <c r="T1583" t="str">
        <f>TEXT(marketing_data[[#This Row],[Start_date]],"ddd")</f>
        <v>Wed</v>
      </c>
      <c r="U1583">
        <f>marketing_data[[#This Row],[Cleaned End_date]]-marketing_data[[#This Row],[Start_date]]</f>
        <v>6</v>
      </c>
    </row>
    <row r="1584" spans="1:21" x14ac:dyDescent="0.2">
      <c r="A1584" t="s">
        <v>3271</v>
      </c>
      <c r="B1584" t="s">
        <v>3272</v>
      </c>
      <c r="C1584" s="2">
        <v>45189</v>
      </c>
      <c r="D1584" t="str">
        <f t="shared" si="148"/>
        <v>Sep</v>
      </c>
      <c r="E1584" s="2">
        <v>45197</v>
      </c>
      <c r="F1584" t="s">
        <v>33</v>
      </c>
      <c r="G1584">
        <v>97122</v>
      </c>
      <c r="H1584">
        <v>4400</v>
      </c>
      <c r="I1584">
        <v>265</v>
      </c>
      <c r="J1584" t="b">
        <v>0</v>
      </c>
      <c r="K1584" s="10">
        <v>3631.7599999999998</v>
      </c>
      <c r="L1584" s="6">
        <f t="shared" si="149"/>
        <v>4.5303844648998171E-2</v>
      </c>
      <c r="M1584">
        <f t="shared" si="150"/>
        <v>0.82539999999999991</v>
      </c>
      <c r="N1584">
        <f t="shared" si="151"/>
        <v>13.704754716981132</v>
      </c>
      <c r="O1584">
        <f t="shared" si="152"/>
        <v>9618.24</v>
      </c>
      <c r="P1584">
        <f t="shared" si="153"/>
        <v>6.0227272727272727E-2</v>
      </c>
      <c r="Q1584" t="s">
        <v>4136</v>
      </c>
      <c r="R1584" t="s">
        <v>4138</v>
      </c>
      <c r="S1584">
        <f>YEAR(marketing_data[[#This Row],[Start_date]])</f>
        <v>2023</v>
      </c>
      <c r="T1584" t="str">
        <f>TEXT(marketing_data[[#This Row],[Start_date]],"ddd")</f>
        <v>Wed</v>
      </c>
      <c r="U1584">
        <f>marketing_data[[#This Row],[Cleaned End_date]]-marketing_data[[#This Row],[Start_date]]</f>
        <v>8</v>
      </c>
    </row>
    <row r="1585" spans="1:21" x14ac:dyDescent="0.2">
      <c r="A1585" t="s">
        <v>3273</v>
      </c>
      <c r="B1585" t="s">
        <v>3274</v>
      </c>
      <c r="C1585" s="2">
        <v>45221</v>
      </c>
      <c r="D1585" t="str">
        <f t="shared" si="148"/>
        <v>Oct</v>
      </c>
      <c r="E1585" s="2">
        <v>45235</v>
      </c>
      <c r="F1585" t="s">
        <v>23</v>
      </c>
      <c r="G1585">
        <v>40974</v>
      </c>
      <c r="H1585">
        <v>494</v>
      </c>
      <c r="I1585">
        <v>29</v>
      </c>
      <c r="J1585" t="b">
        <v>1</v>
      </c>
      <c r="K1585" s="10">
        <v>329.13249999999999</v>
      </c>
      <c r="L1585" s="6">
        <f t="shared" si="149"/>
        <v>1.2056426026260555E-2</v>
      </c>
      <c r="M1585">
        <f t="shared" si="150"/>
        <v>0.66626012145748992</v>
      </c>
      <c r="N1585">
        <f t="shared" si="151"/>
        <v>11.349396551724137</v>
      </c>
      <c r="O1585">
        <f t="shared" si="152"/>
        <v>1120.8675000000001</v>
      </c>
      <c r="P1585">
        <f t="shared" si="153"/>
        <v>5.8704453441295545E-2</v>
      </c>
      <c r="Q1585" t="s">
        <v>4136</v>
      </c>
      <c r="R1585" t="s">
        <v>4142</v>
      </c>
      <c r="S1585">
        <f>YEAR(marketing_data[[#This Row],[Start_date]])</f>
        <v>2023</v>
      </c>
      <c r="T1585" t="str">
        <f>TEXT(marketing_data[[#This Row],[Start_date]],"ddd")</f>
        <v>Sun</v>
      </c>
      <c r="U1585">
        <f>marketing_data[[#This Row],[Cleaned End_date]]-marketing_data[[#This Row],[Start_date]]</f>
        <v>14</v>
      </c>
    </row>
    <row r="1586" spans="1:21" x14ac:dyDescent="0.2">
      <c r="A1586" t="s">
        <v>3275</v>
      </c>
      <c r="B1586" t="s">
        <v>3276</v>
      </c>
      <c r="C1586" s="2">
        <v>45120</v>
      </c>
      <c r="D1586" t="str">
        <f t="shared" si="148"/>
        <v>Jul</v>
      </c>
      <c r="E1586" s="2">
        <v>45130</v>
      </c>
      <c r="F1586" t="s">
        <v>23</v>
      </c>
      <c r="G1586">
        <v>17371</v>
      </c>
      <c r="H1586">
        <v>306</v>
      </c>
      <c r="I1586">
        <v>57</v>
      </c>
      <c r="J1586" t="b">
        <v>0</v>
      </c>
      <c r="K1586" s="10">
        <v>555.37</v>
      </c>
      <c r="L1586" s="6">
        <f t="shared" si="149"/>
        <v>1.7615566173507569E-2</v>
      </c>
      <c r="M1586">
        <f t="shared" si="150"/>
        <v>1.8149346405228759</v>
      </c>
      <c r="N1586">
        <f t="shared" si="151"/>
        <v>9.7433333333333341</v>
      </c>
      <c r="O1586">
        <f t="shared" si="152"/>
        <v>2294.63</v>
      </c>
      <c r="P1586">
        <f t="shared" si="153"/>
        <v>0.18627450980392157</v>
      </c>
      <c r="Q1586" t="s">
        <v>4139</v>
      </c>
      <c r="R1586" t="s">
        <v>4139</v>
      </c>
      <c r="S1586">
        <f>YEAR(marketing_data[[#This Row],[Start_date]])</f>
        <v>2023</v>
      </c>
      <c r="T1586" t="str">
        <f>TEXT(marketing_data[[#This Row],[Start_date]],"ddd")</f>
        <v>Thu</v>
      </c>
      <c r="U1586">
        <f>marketing_data[[#This Row],[Cleaned End_date]]-marketing_data[[#This Row],[Start_date]]</f>
        <v>10</v>
      </c>
    </row>
    <row r="1587" spans="1:21" x14ac:dyDescent="0.2">
      <c r="A1587" t="s">
        <v>3277</v>
      </c>
      <c r="B1587" t="s">
        <v>3278</v>
      </c>
      <c r="C1587" s="2">
        <v>45100</v>
      </c>
      <c r="D1587" t="str">
        <f t="shared" si="148"/>
        <v>Jun</v>
      </c>
      <c r="E1587" s="2">
        <v>45106</v>
      </c>
      <c r="F1587" t="s">
        <v>14</v>
      </c>
      <c r="G1587">
        <v>46084</v>
      </c>
      <c r="H1587">
        <v>1032</v>
      </c>
      <c r="I1587">
        <v>151</v>
      </c>
      <c r="J1587" t="b">
        <v>1</v>
      </c>
      <c r="K1587" s="10">
        <v>1644.29</v>
      </c>
      <c r="L1587" s="6">
        <f t="shared" si="149"/>
        <v>2.2393889419321241E-2</v>
      </c>
      <c r="M1587">
        <f t="shared" si="150"/>
        <v>1.5933042635658914</v>
      </c>
      <c r="N1587">
        <f t="shared" si="151"/>
        <v>10.889337748344371</v>
      </c>
      <c r="O1587">
        <f t="shared" si="152"/>
        <v>5905.71</v>
      </c>
      <c r="P1587">
        <f t="shared" si="153"/>
        <v>0.14631782945736435</v>
      </c>
      <c r="Q1587" t="s">
        <v>4139</v>
      </c>
      <c r="R1587" t="s">
        <v>4142</v>
      </c>
      <c r="S1587">
        <f>YEAR(marketing_data[[#This Row],[Start_date]])</f>
        <v>2023</v>
      </c>
      <c r="T1587" t="str">
        <f>TEXT(marketing_data[[#This Row],[Start_date]],"ddd")</f>
        <v>Fri</v>
      </c>
      <c r="U1587">
        <f>marketing_data[[#This Row],[Cleaned End_date]]-marketing_data[[#This Row],[Start_date]]</f>
        <v>6</v>
      </c>
    </row>
    <row r="1588" spans="1:21" x14ac:dyDescent="0.2">
      <c r="A1588" t="s">
        <v>3279</v>
      </c>
      <c r="B1588" t="s">
        <v>3280</v>
      </c>
      <c r="C1588" s="2">
        <v>45162</v>
      </c>
      <c r="D1588" t="str">
        <f t="shared" si="148"/>
        <v>Aug</v>
      </c>
      <c r="E1588" s="2">
        <v>45179</v>
      </c>
      <c r="F1588" t="s">
        <v>41</v>
      </c>
      <c r="G1588">
        <v>30629</v>
      </c>
      <c r="H1588">
        <v>1202</v>
      </c>
      <c r="J1588" t="b">
        <v>1</v>
      </c>
      <c r="K1588" s="10">
        <v>1144.54</v>
      </c>
      <c r="L1588" s="6">
        <f t="shared" si="149"/>
        <v>3.9243853863985115E-2</v>
      </c>
      <c r="M1588">
        <f t="shared" si="150"/>
        <v>0.95219633943427617</v>
      </c>
      <c r="N1588">
        <f t="shared" si="151"/>
        <v>0</v>
      </c>
      <c r="O1588">
        <f t="shared" si="152"/>
        <v>-1144.54</v>
      </c>
      <c r="P1588">
        <f t="shared" si="153"/>
        <v>0</v>
      </c>
      <c r="Q1588" t="s">
        <v>4139</v>
      </c>
      <c r="R1588" t="s">
        <v>4141</v>
      </c>
      <c r="S1588">
        <f>YEAR(marketing_data[[#This Row],[Start_date]])</f>
        <v>2023</v>
      </c>
      <c r="T1588" t="str">
        <f>TEXT(marketing_data[[#This Row],[Start_date]],"ddd")</f>
        <v>Thu</v>
      </c>
      <c r="U1588">
        <f>marketing_data[[#This Row],[Cleaned End_date]]-marketing_data[[#This Row],[Start_date]]</f>
        <v>17</v>
      </c>
    </row>
    <row r="1589" spans="1:21" x14ac:dyDescent="0.2">
      <c r="A1589" t="s">
        <v>3281</v>
      </c>
      <c r="B1589" t="s">
        <v>3282</v>
      </c>
      <c r="C1589" s="2">
        <v>45173</v>
      </c>
      <c r="D1589" t="str">
        <f t="shared" si="148"/>
        <v>Sep</v>
      </c>
      <c r="E1589" s="2">
        <v>45203</v>
      </c>
      <c r="F1589" t="s">
        <v>23</v>
      </c>
      <c r="G1589">
        <v>52184</v>
      </c>
      <c r="H1589">
        <v>1859</v>
      </c>
      <c r="I1589">
        <v>303</v>
      </c>
      <c r="J1589" t="b">
        <v>1</v>
      </c>
      <c r="K1589" s="10">
        <v>2600.85</v>
      </c>
      <c r="L1589" s="6">
        <f t="shared" si="149"/>
        <v>3.5623946037099494E-2</v>
      </c>
      <c r="M1589">
        <f t="shared" si="150"/>
        <v>1.3990586336740183</v>
      </c>
      <c r="N1589">
        <f t="shared" si="151"/>
        <v>8.5836633663366335</v>
      </c>
      <c r="O1589">
        <f t="shared" si="152"/>
        <v>12549.15</v>
      </c>
      <c r="P1589">
        <f t="shared" si="153"/>
        <v>0.16299085529854759</v>
      </c>
      <c r="Q1589" t="s">
        <v>4136</v>
      </c>
      <c r="R1589" t="s">
        <v>4141</v>
      </c>
      <c r="S1589">
        <f>YEAR(marketing_data[[#This Row],[Start_date]])</f>
        <v>2023</v>
      </c>
      <c r="T1589" t="str">
        <f>TEXT(marketing_data[[#This Row],[Start_date]],"ddd")</f>
        <v>Mon</v>
      </c>
      <c r="U1589">
        <f>marketing_data[[#This Row],[Cleaned End_date]]-marketing_data[[#This Row],[Start_date]]</f>
        <v>30</v>
      </c>
    </row>
    <row r="1590" spans="1:21" x14ac:dyDescent="0.2">
      <c r="A1590" t="s">
        <v>3283</v>
      </c>
      <c r="B1590" t="s">
        <v>3284</v>
      </c>
      <c r="C1590" s="2">
        <v>45251</v>
      </c>
      <c r="D1590" t="str">
        <f t="shared" si="148"/>
        <v>Nov</v>
      </c>
      <c r="E1590" s="2">
        <v>45259</v>
      </c>
      <c r="F1590" t="s">
        <v>14</v>
      </c>
      <c r="G1590">
        <v>62916</v>
      </c>
      <c r="H1590">
        <v>1675</v>
      </c>
      <c r="I1590">
        <v>252</v>
      </c>
      <c r="J1590" t="b">
        <v>0</v>
      </c>
      <c r="K1590" s="10">
        <v>1343.18</v>
      </c>
      <c r="L1590" s="6">
        <f t="shared" si="149"/>
        <v>2.662279865217115E-2</v>
      </c>
      <c r="M1590">
        <f t="shared" si="150"/>
        <v>0.80189850746268665</v>
      </c>
      <c r="N1590">
        <f t="shared" si="151"/>
        <v>5.3300793650793654</v>
      </c>
      <c r="O1590">
        <f t="shared" si="152"/>
        <v>11256.82</v>
      </c>
      <c r="P1590">
        <f t="shared" si="153"/>
        <v>0.15044776119402986</v>
      </c>
      <c r="Q1590" t="s">
        <v>4136</v>
      </c>
      <c r="R1590" t="s">
        <v>4139</v>
      </c>
      <c r="S1590">
        <f>YEAR(marketing_data[[#This Row],[Start_date]])</f>
        <v>2023</v>
      </c>
      <c r="T1590" t="str">
        <f>TEXT(marketing_data[[#This Row],[Start_date]],"ddd")</f>
        <v>Tue</v>
      </c>
      <c r="U1590">
        <f>marketing_data[[#This Row],[Cleaned End_date]]-marketing_data[[#This Row],[Start_date]]</f>
        <v>8</v>
      </c>
    </row>
    <row r="1591" spans="1:21" x14ac:dyDescent="0.2">
      <c r="A1591" t="s">
        <v>3285</v>
      </c>
      <c r="B1591" t="s">
        <v>3286</v>
      </c>
      <c r="C1591" s="2">
        <v>45286</v>
      </c>
      <c r="D1591" t="str">
        <f t="shared" si="148"/>
        <v>Dec</v>
      </c>
      <c r="E1591" s="2">
        <v>45314</v>
      </c>
      <c r="F1591" t="s">
        <v>14</v>
      </c>
      <c r="G1591">
        <v>74972</v>
      </c>
      <c r="H1591">
        <v>3026</v>
      </c>
      <c r="I1591">
        <v>392</v>
      </c>
      <c r="J1591" t="b">
        <v>1</v>
      </c>
      <c r="K1591" s="10">
        <v>3631.7599999999998</v>
      </c>
      <c r="L1591" s="6">
        <f t="shared" si="149"/>
        <v>4.036173504775116E-2</v>
      </c>
      <c r="M1591">
        <f t="shared" si="150"/>
        <v>1.2001850627891606</v>
      </c>
      <c r="N1591">
        <f t="shared" si="151"/>
        <v>9.2646938775510197</v>
      </c>
      <c r="O1591">
        <f t="shared" si="152"/>
        <v>15968.24</v>
      </c>
      <c r="P1591">
        <f t="shared" si="153"/>
        <v>0.12954395241242564</v>
      </c>
      <c r="Q1591" t="s">
        <v>4138</v>
      </c>
      <c r="R1591" t="s">
        <v>4142</v>
      </c>
      <c r="S1591">
        <f>YEAR(marketing_data[[#This Row],[Start_date]])</f>
        <v>2023</v>
      </c>
      <c r="T1591" t="str">
        <f>TEXT(marketing_data[[#This Row],[Start_date]],"ddd")</f>
        <v>Tue</v>
      </c>
      <c r="U1591">
        <f>marketing_data[[#This Row],[Cleaned End_date]]-marketing_data[[#This Row],[Start_date]]</f>
        <v>28</v>
      </c>
    </row>
    <row r="1592" spans="1:21" x14ac:dyDescent="0.2">
      <c r="A1592" t="s">
        <v>3287</v>
      </c>
      <c r="B1592" t="s">
        <v>3288</v>
      </c>
      <c r="C1592" s="2">
        <v>45107</v>
      </c>
      <c r="D1592" t="str">
        <f t="shared" si="148"/>
        <v>Jun</v>
      </c>
      <c r="E1592" s="2">
        <v>45110</v>
      </c>
      <c r="F1592" t="s">
        <v>14</v>
      </c>
      <c r="G1592">
        <v>63187</v>
      </c>
      <c r="H1592">
        <v>2172</v>
      </c>
      <c r="I1592">
        <v>140</v>
      </c>
      <c r="J1592" t="b">
        <v>1</v>
      </c>
      <c r="K1592" s="10">
        <v>1460.36</v>
      </c>
      <c r="L1592" s="6">
        <f t="shared" si="149"/>
        <v>3.4374159241616152E-2</v>
      </c>
      <c r="M1592">
        <f t="shared" si="150"/>
        <v>0.6723572744014733</v>
      </c>
      <c r="N1592">
        <f t="shared" si="151"/>
        <v>10.431142857142856</v>
      </c>
      <c r="O1592">
        <f t="shared" si="152"/>
        <v>5539.64</v>
      </c>
      <c r="P1592">
        <f t="shared" si="153"/>
        <v>6.4456721915285453E-2</v>
      </c>
      <c r="Q1592" t="s">
        <v>4139</v>
      </c>
      <c r="R1592" t="s">
        <v>4142</v>
      </c>
      <c r="S1592">
        <f>YEAR(marketing_data[[#This Row],[Start_date]])</f>
        <v>2023</v>
      </c>
      <c r="T1592" t="str">
        <f>TEXT(marketing_data[[#This Row],[Start_date]],"ddd")</f>
        <v>Fri</v>
      </c>
      <c r="U1592">
        <f>marketing_data[[#This Row],[Cleaned End_date]]-marketing_data[[#This Row],[Start_date]]</f>
        <v>3</v>
      </c>
    </row>
    <row r="1593" spans="1:21" x14ac:dyDescent="0.2">
      <c r="A1593" t="s">
        <v>3289</v>
      </c>
      <c r="B1593" t="s">
        <v>3290</v>
      </c>
      <c r="C1593" s="2">
        <v>45061</v>
      </c>
      <c r="D1593" t="str">
        <f t="shared" si="148"/>
        <v>May</v>
      </c>
      <c r="E1593" s="2">
        <v>45081</v>
      </c>
      <c r="F1593" t="str">
        <f>F1592</f>
        <v>TikTok</v>
      </c>
      <c r="G1593">
        <v>13984</v>
      </c>
      <c r="H1593">
        <v>641</v>
      </c>
      <c r="I1593">
        <v>110</v>
      </c>
      <c r="J1593" t="b">
        <v>0</v>
      </c>
      <c r="K1593" s="10">
        <v>329.13249999999999</v>
      </c>
      <c r="L1593" s="6">
        <f t="shared" si="149"/>
        <v>4.5838100686498857E-2</v>
      </c>
      <c r="M1593">
        <f t="shared" si="150"/>
        <v>0.51346723868954758</v>
      </c>
      <c r="N1593">
        <f t="shared" si="151"/>
        <v>2.9921136363636363</v>
      </c>
      <c r="O1593">
        <f t="shared" si="152"/>
        <v>5170.8675000000003</v>
      </c>
      <c r="P1593">
        <f t="shared" si="153"/>
        <v>0.17160686427457097</v>
      </c>
      <c r="Q1593" t="s">
        <v>4137</v>
      </c>
      <c r="R1593" t="s">
        <v>4142</v>
      </c>
      <c r="S1593">
        <f>YEAR(marketing_data[[#This Row],[Start_date]])</f>
        <v>2023</v>
      </c>
      <c r="T1593" t="str">
        <f>TEXT(marketing_data[[#This Row],[Start_date]],"ddd")</f>
        <v>Mon</v>
      </c>
      <c r="U1593">
        <f>marketing_data[[#This Row],[Cleaned End_date]]-marketing_data[[#This Row],[Start_date]]</f>
        <v>20</v>
      </c>
    </row>
    <row r="1594" spans="1:21" x14ac:dyDescent="0.2">
      <c r="A1594" t="s">
        <v>3291</v>
      </c>
      <c r="B1594" t="s">
        <v>3292</v>
      </c>
      <c r="C1594" s="2">
        <v>45271</v>
      </c>
      <c r="D1594" t="str">
        <f t="shared" si="148"/>
        <v>Dec</v>
      </c>
      <c r="E1594" s="2">
        <v>45273</v>
      </c>
      <c r="F1594" t="s">
        <v>33</v>
      </c>
      <c r="G1594">
        <v>34039</v>
      </c>
      <c r="H1594">
        <v>1454</v>
      </c>
      <c r="I1594">
        <v>261</v>
      </c>
      <c r="J1594" t="b">
        <v>1</v>
      </c>
      <c r="K1594" s="10">
        <v>1821.88</v>
      </c>
      <c r="L1594" s="6">
        <f t="shared" si="149"/>
        <v>4.2715708452069685E-2</v>
      </c>
      <c r="M1594">
        <f t="shared" si="150"/>
        <v>1.253012379642366</v>
      </c>
      <c r="N1594">
        <f t="shared" si="151"/>
        <v>6.9803831417624522</v>
      </c>
      <c r="O1594">
        <f t="shared" si="152"/>
        <v>11228.119999999999</v>
      </c>
      <c r="P1594">
        <f t="shared" si="153"/>
        <v>0.17950481430536452</v>
      </c>
      <c r="Q1594" t="s">
        <v>4138</v>
      </c>
      <c r="R1594" t="s">
        <v>4139</v>
      </c>
      <c r="S1594">
        <f>YEAR(marketing_data[[#This Row],[Start_date]])</f>
        <v>2023</v>
      </c>
      <c r="T1594" t="str">
        <f>TEXT(marketing_data[[#This Row],[Start_date]],"ddd")</f>
        <v>Mon</v>
      </c>
      <c r="U1594">
        <f>marketing_data[[#This Row],[Cleaned End_date]]-marketing_data[[#This Row],[Start_date]]</f>
        <v>2</v>
      </c>
    </row>
    <row r="1595" spans="1:21" x14ac:dyDescent="0.2">
      <c r="A1595" t="s">
        <v>3293</v>
      </c>
      <c r="B1595" t="s">
        <v>3294</v>
      </c>
      <c r="C1595" s="2">
        <v>45210</v>
      </c>
      <c r="D1595" t="str">
        <f t="shared" si="148"/>
        <v>Oct</v>
      </c>
      <c r="E1595" s="2">
        <v>45229</v>
      </c>
      <c r="F1595" t="s">
        <v>19</v>
      </c>
      <c r="G1595">
        <v>86431</v>
      </c>
      <c r="H1595">
        <v>1738</v>
      </c>
      <c r="J1595" t="b">
        <v>0</v>
      </c>
      <c r="K1595" s="10">
        <v>2389.21</v>
      </c>
      <c r="L1595" s="6">
        <f t="shared" si="149"/>
        <v>2.0108525876132405E-2</v>
      </c>
      <c r="M1595">
        <f t="shared" si="150"/>
        <v>1.3746892980437284</v>
      </c>
      <c r="N1595">
        <f t="shared" si="151"/>
        <v>0</v>
      </c>
      <c r="O1595">
        <f t="shared" si="152"/>
        <v>-2389.21</v>
      </c>
      <c r="P1595">
        <f t="shared" si="153"/>
        <v>0</v>
      </c>
      <c r="Q1595" t="s">
        <v>4136</v>
      </c>
      <c r="R1595" t="s">
        <v>4139</v>
      </c>
      <c r="S1595">
        <f>YEAR(marketing_data[[#This Row],[Start_date]])</f>
        <v>2023</v>
      </c>
      <c r="T1595" t="str">
        <f>TEXT(marketing_data[[#This Row],[Start_date]],"ddd")</f>
        <v>Wed</v>
      </c>
      <c r="U1595">
        <f>marketing_data[[#This Row],[Cleaned End_date]]-marketing_data[[#This Row],[Start_date]]</f>
        <v>19</v>
      </c>
    </row>
    <row r="1596" spans="1:21" x14ac:dyDescent="0.2">
      <c r="A1596" t="s">
        <v>3295</v>
      </c>
      <c r="B1596" t="s">
        <v>3296</v>
      </c>
      <c r="C1596" s="2">
        <v>45108</v>
      </c>
      <c r="D1596" t="str">
        <f t="shared" si="148"/>
        <v>Jul</v>
      </c>
      <c r="E1596" s="2">
        <v>45129</v>
      </c>
      <c r="F1596" t="s">
        <v>19</v>
      </c>
      <c r="G1596">
        <v>84691</v>
      </c>
      <c r="H1596">
        <v>1766</v>
      </c>
      <c r="I1596">
        <v>313</v>
      </c>
      <c r="J1596" t="b">
        <v>1</v>
      </c>
      <c r="K1596" s="10">
        <v>2416.6799999999998</v>
      </c>
      <c r="L1596" s="6">
        <f t="shared" si="149"/>
        <v>2.0852274739936946E-2</v>
      </c>
      <c r="M1596">
        <f t="shared" si="150"/>
        <v>1.3684484711211777</v>
      </c>
      <c r="N1596">
        <f t="shared" si="151"/>
        <v>7.7210223642172515</v>
      </c>
      <c r="O1596">
        <f t="shared" si="152"/>
        <v>13233.32</v>
      </c>
      <c r="P1596">
        <f t="shared" si="153"/>
        <v>0.17723669309173273</v>
      </c>
      <c r="Q1596" t="s">
        <v>4139</v>
      </c>
      <c r="R1596" t="s">
        <v>4138</v>
      </c>
      <c r="S1596">
        <f>YEAR(marketing_data[[#This Row],[Start_date]])</f>
        <v>2023</v>
      </c>
      <c r="T1596" t="str">
        <f>TEXT(marketing_data[[#This Row],[Start_date]],"ddd")</f>
        <v>Sat</v>
      </c>
      <c r="U1596">
        <f>marketing_data[[#This Row],[Cleaned End_date]]-marketing_data[[#This Row],[Start_date]]</f>
        <v>21</v>
      </c>
    </row>
    <row r="1597" spans="1:21" x14ac:dyDescent="0.2">
      <c r="A1597" t="s">
        <v>3297</v>
      </c>
      <c r="B1597" t="s">
        <v>3298</v>
      </c>
      <c r="C1597" s="2">
        <v>45020</v>
      </c>
      <c r="D1597" t="str">
        <f t="shared" si="148"/>
        <v>Apr</v>
      </c>
      <c r="E1597" s="2">
        <v>45046</v>
      </c>
      <c r="F1597" t="s">
        <v>41</v>
      </c>
      <c r="G1597">
        <v>59606</v>
      </c>
      <c r="H1597">
        <v>894</v>
      </c>
      <c r="I1597">
        <v>162</v>
      </c>
      <c r="J1597" t="b">
        <v>0</v>
      </c>
      <c r="K1597" s="10">
        <v>520.1</v>
      </c>
      <c r="L1597" s="6">
        <f t="shared" si="149"/>
        <v>1.4998490084890783E-2</v>
      </c>
      <c r="M1597">
        <f t="shared" si="150"/>
        <v>0.58176733780760626</v>
      </c>
      <c r="N1597">
        <f t="shared" si="151"/>
        <v>3.2104938271604939</v>
      </c>
      <c r="O1597">
        <f t="shared" si="152"/>
        <v>7579.9</v>
      </c>
      <c r="P1597">
        <f t="shared" si="153"/>
        <v>0.18120805369127516</v>
      </c>
      <c r="Q1597" t="s">
        <v>4137</v>
      </c>
      <c r="R1597" t="s">
        <v>4138</v>
      </c>
      <c r="S1597">
        <f>YEAR(marketing_data[[#This Row],[Start_date]])</f>
        <v>2023</v>
      </c>
      <c r="T1597" t="str">
        <f>TEXT(marketing_data[[#This Row],[Start_date]],"ddd")</f>
        <v>Tue</v>
      </c>
      <c r="U1597">
        <f>marketing_data[[#This Row],[Cleaned End_date]]-marketing_data[[#This Row],[Start_date]]</f>
        <v>26</v>
      </c>
    </row>
    <row r="1598" spans="1:21" x14ac:dyDescent="0.2">
      <c r="A1598" t="s">
        <v>3299</v>
      </c>
      <c r="B1598" t="s">
        <v>3300</v>
      </c>
      <c r="C1598" s="2">
        <v>45024</v>
      </c>
      <c r="D1598" t="str">
        <f t="shared" si="148"/>
        <v>Apr</v>
      </c>
      <c r="E1598" s="2">
        <v>45050</v>
      </c>
      <c r="F1598" t="s">
        <v>41</v>
      </c>
      <c r="G1598">
        <v>11616</v>
      </c>
      <c r="H1598">
        <v>272</v>
      </c>
      <c r="I1598">
        <v>36</v>
      </c>
      <c r="J1598" t="b">
        <v>0</v>
      </c>
      <c r="K1598" s="10">
        <v>329.13249999999999</v>
      </c>
      <c r="L1598" s="6">
        <f t="shared" si="149"/>
        <v>2.3415977961432508E-2</v>
      </c>
      <c r="M1598">
        <f t="shared" si="150"/>
        <v>1.2100459558823529</v>
      </c>
      <c r="N1598">
        <f t="shared" si="151"/>
        <v>9.1425694444444439</v>
      </c>
      <c r="O1598">
        <f t="shared" si="152"/>
        <v>1470.8675000000001</v>
      </c>
      <c r="P1598">
        <f t="shared" si="153"/>
        <v>0.13235294117647059</v>
      </c>
      <c r="Q1598" t="s">
        <v>4137</v>
      </c>
      <c r="R1598" t="s">
        <v>4142</v>
      </c>
      <c r="S1598">
        <f>YEAR(marketing_data[[#This Row],[Start_date]])</f>
        <v>2023</v>
      </c>
      <c r="T1598" t="str">
        <f>TEXT(marketing_data[[#This Row],[Start_date]],"ddd")</f>
        <v>Sat</v>
      </c>
      <c r="U1598">
        <f>marketing_data[[#This Row],[Cleaned End_date]]-marketing_data[[#This Row],[Start_date]]</f>
        <v>26</v>
      </c>
    </row>
    <row r="1599" spans="1:21" x14ac:dyDescent="0.2">
      <c r="A1599" t="s">
        <v>3301</v>
      </c>
      <c r="B1599" t="s">
        <v>3302</v>
      </c>
      <c r="C1599" s="2">
        <v>45050</v>
      </c>
      <c r="D1599" t="str">
        <f t="shared" si="148"/>
        <v>May</v>
      </c>
      <c r="E1599" s="2">
        <v>45078</v>
      </c>
      <c r="F1599" t="s">
        <v>41</v>
      </c>
      <c r="G1599">
        <v>51072</v>
      </c>
      <c r="H1599">
        <v>2552</v>
      </c>
      <c r="I1599">
        <v>378</v>
      </c>
      <c r="J1599" t="b">
        <v>1</v>
      </c>
      <c r="K1599" s="10">
        <v>3186.93</v>
      </c>
      <c r="L1599" s="6">
        <f t="shared" si="149"/>
        <v>4.9968671679197996E-2</v>
      </c>
      <c r="M1599">
        <f t="shared" si="150"/>
        <v>1.2487970219435736</v>
      </c>
      <c r="N1599">
        <f t="shared" si="151"/>
        <v>8.4310317460317457</v>
      </c>
      <c r="O1599">
        <f t="shared" si="152"/>
        <v>15713.07</v>
      </c>
      <c r="P1599">
        <f t="shared" si="153"/>
        <v>0.14811912225705329</v>
      </c>
      <c r="Q1599" t="s">
        <v>4137</v>
      </c>
      <c r="R1599" t="s">
        <v>4141</v>
      </c>
      <c r="S1599">
        <f>YEAR(marketing_data[[#This Row],[Start_date]])</f>
        <v>2023</v>
      </c>
      <c r="T1599" t="str">
        <f>TEXT(marketing_data[[#This Row],[Start_date]],"ddd")</f>
        <v>Thu</v>
      </c>
      <c r="U1599">
        <f>marketing_data[[#This Row],[Cleaned End_date]]-marketing_data[[#This Row],[Start_date]]</f>
        <v>28</v>
      </c>
    </row>
    <row r="1600" spans="1:21" x14ac:dyDescent="0.2">
      <c r="A1600" t="s">
        <v>3303</v>
      </c>
      <c r="B1600" t="s">
        <v>3304</v>
      </c>
      <c r="C1600" s="2">
        <v>45030</v>
      </c>
      <c r="D1600" t="str">
        <f t="shared" si="148"/>
        <v>Apr</v>
      </c>
      <c r="E1600" s="2">
        <v>45058</v>
      </c>
      <c r="F1600" t="s">
        <v>19</v>
      </c>
      <c r="G1600">
        <v>25574</v>
      </c>
      <c r="H1600">
        <v>670</v>
      </c>
      <c r="J1600" t="b">
        <v>1</v>
      </c>
      <c r="K1600" s="10">
        <v>552.66</v>
      </c>
      <c r="L1600" s="6">
        <f t="shared" si="149"/>
        <v>2.6198482834128411E-2</v>
      </c>
      <c r="M1600">
        <f t="shared" si="150"/>
        <v>0.82486567164179103</v>
      </c>
      <c r="N1600">
        <f t="shared" si="151"/>
        <v>0</v>
      </c>
      <c r="O1600">
        <f t="shared" si="152"/>
        <v>-552.66</v>
      </c>
      <c r="P1600">
        <f t="shared" si="153"/>
        <v>0</v>
      </c>
      <c r="Q1600" t="s">
        <v>4137</v>
      </c>
      <c r="R1600" t="s">
        <v>4141</v>
      </c>
      <c r="S1600">
        <f>YEAR(marketing_data[[#This Row],[Start_date]])</f>
        <v>2023</v>
      </c>
      <c r="T1600" t="str">
        <f>TEXT(marketing_data[[#This Row],[Start_date]],"ddd")</f>
        <v>Fri</v>
      </c>
      <c r="U1600">
        <f>marketing_data[[#This Row],[Cleaned End_date]]-marketing_data[[#This Row],[Start_date]]</f>
        <v>28</v>
      </c>
    </row>
    <row r="1601" spans="1:21" x14ac:dyDescent="0.2">
      <c r="A1601" t="s">
        <v>3305</v>
      </c>
      <c r="B1601" t="s">
        <v>3306</v>
      </c>
      <c r="C1601" s="2">
        <v>45109</v>
      </c>
      <c r="D1601" t="str">
        <f t="shared" si="148"/>
        <v>Jul</v>
      </c>
      <c r="E1601" s="2">
        <v>45133</v>
      </c>
      <c r="F1601" t="s">
        <v>23</v>
      </c>
      <c r="G1601">
        <v>4430</v>
      </c>
      <c r="H1601">
        <v>83</v>
      </c>
      <c r="I1601">
        <v>7</v>
      </c>
      <c r="J1601" t="b">
        <v>0</v>
      </c>
      <c r="K1601" s="10">
        <v>329.13249999999999</v>
      </c>
      <c r="L1601" s="6">
        <f t="shared" si="149"/>
        <v>1.8735891647855531E-2</v>
      </c>
      <c r="M1601">
        <f t="shared" si="150"/>
        <v>3.9654518072289155</v>
      </c>
      <c r="N1601">
        <f t="shared" si="151"/>
        <v>47.018928571428567</v>
      </c>
      <c r="O1601">
        <f t="shared" si="152"/>
        <v>20.867500000000007</v>
      </c>
      <c r="P1601">
        <f t="shared" si="153"/>
        <v>8.4337349397590355E-2</v>
      </c>
      <c r="Q1601" t="s">
        <v>4139</v>
      </c>
      <c r="R1601" t="s">
        <v>4139</v>
      </c>
      <c r="S1601">
        <f>YEAR(marketing_data[[#This Row],[Start_date]])</f>
        <v>2023</v>
      </c>
      <c r="T1601" t="str">
        <f>TEXT(marketing_data[[#This Row],[Start_date]],"ddd")</f>
        <v>Sun</v>
      </c>
      <c r="U1601">
        <f>marketing_data[[#This Row],[Cleaned End_date]]-marketing_data[[#This Row],[Start_date]]</f>
        <v>24</v>
      </c>
    </row>
    <row r="1602" spans="1:21" x14ac:dyDescent="0.2">
      <c r="A1602" t="s">
        <v>3307</v>
      </c>
      <c r="B1602" t="s">
        <v>3308</v>
      </c>
      <c r="C1602" s="2">
        <v>44967</v>
      </c>
      <c r="D1602" t="str">
        <f t="shared" si="148"/>
        <v>Feb</v>
      </c>
      <c r="E1602" s="2">
        <v>44973</v>
      </c>
      <c r="F1602" t="s">
        <v>14</v>
      </c>
      <c r="G1602">
        <v>13676</v>
      </c>
      <c r="H1602">
        <v>553</v>
      </c>
      <c r="I1602">
        <v>87</v>
      </c>
      <c r="J1602" t="b">
        <v>0</v>
      </c>
      <c r="K1602" s="10">
        <v>348.76</v>
      </c>
      <c r="L1602" s="6">
        <f t="shared" si="149"/>
        <v>4.0435799941503363E-2</v>
      </c>
      <c r="M1602">
        <f t="shared" si="150"/>
        <v>0.63066907775768533</v>
      </c>
      <c r="N1602">
        <f t="shared" si="151"/>
        <v>4.0087356321839076</v>
      </c>
      <c r="O1602">
        <f t="shared" si="152"/>
        <v>4001.24</v>
      </c>
      <c r="P1602">
        <f t="shared" si="153"/>
        <v>0.15732368896925858</v>
      </c>
      <c r="Q1602" t="s">
        <v>4138</v>
      </c>
      <c r="R1602" t="s">
        <v>4139</v>
      </c>
      <c r="S1602">
        <f>YEAR(marketing_data[[#This Row],[Start_date]])</f>
        <v>2023</v>
      </c>
      <c r="T1602" t="str">
        <f>TEXT(marketing_data[[#This Row],[Start_date]],"ddd")</f>
        <v>Fri</v>
      </c>
      <c r="U1602">
        <f>marketing_data[[#This Row],[Cleaned End_date]]-marketing_data[[#This Row],[Start_date]]</f>
        <v>6</v>
      </c>
    </row>
    <row r="1603" spans="1:21" x14ac:dyDescent="0.2">
      <c r="A1603" t="s">
        <v>3309</v>
      </c>
      <c r="B1603" t="s">
        <v>3310</v>
      </c>
      <c r="C1603" s="2">
        <v>45241</v>
      </c>
      <c r="D1603" t="str">
        <f t="shared" ref="D1603:D1666" si="154">TEXT(C1603,"mmm")</f>
        <v>Nov</v>
      </c>
      <c r="E1603" s="2">
        <v>45251</v>
      </c>
      <c r="F1603" t="s">
        <v>41</v>
      </c>
      <c r="G1603">
        <v>11816</v>
      </c>
      <c r="H1603">
        <v>374</v>
      </c>
      <c r="I1603">
        <v>67</v>
      </c>
      <c r="J1603" t="b">
        <v>0</v>
      </c>
      <c r="K1603" s="10">
        <v>460.42</v>
      </c>
      <c r="L1603" s="6">
        <f t="shared" ref="L1603:L1666" si="155">H1603/G1603</f>
        <v>3.1651997291807718E-2</v>
      </c>
      <c r="M1603">
        <f t="shared" ref="M1603:M1666" si="156">K1603/H1603</f>
        <v>1.2310695187165777</v>
      </c>
      <c r="N1603">
        <f t="shared" ref="N1603:N1666" si="157">IFERROR(K1603/I1603,0)</f>
        <v>6.8719402985074627</v>
      </c>
      <c r="O1603">
        <f t="shared" ref="O1603:O1666" si="158">(50*I1603)-K1603</f>
        <v>2889.58</v>
      </c>
      <c r="P1603">
        <f t="shared" ref="P1603:P1666" si="159">I1603/H1603</f>
        <v>0.17914438502673796</v>
      </c>
      <c r="Q1603" t="s">
        <v>4136</v>
      </c>
      <c r="R1603" t="s">
        <v>4138</v>
      </c>
      <c r="S1603">
        <f>YEAR(marketing_data[[#This Row],[Start_date]])</f>
        <v>2023</v>
      </c>
      <c r="T1603" t="str">
        <f>TEXT(marketing_data[[#This Row],[Start_date]],"ddd")</f>
        <v>Sat</v>
      </c>
      <c r="U1603">
        <f>marketing_data[[#This Row],[Cleaned End_date]]-marketing_data[[#This Row],[Start_date]]</f>
        <v>10</v>
      </c>
    </row>
    <row r="1604" spans="1:21" x14ac:dyDescent="0.2">
      <c r="A1604" t="s">
        <v>3311</v>
      </c>
      <c r="B1604" t="s">
        <v>3312</v>
      </c>
      <c r="C1604" s="2">
        <v>45204</v>
      </c>
      <c r="D1604" t="str">
        <f t="shared" si="154"/>
        <v>Oct</v>
      </c>
      <c r="E1604" s="2">
        <v>45222</v>
      </c>
      <c r="F1604" t="s">
        <v>23</v>
      </c>
      <c r="G1604">
        <v>33733</v>
      </c>
      <c r="H1604">
        <v>539</v>
      </c>
      <c r="I1604">
        <v>79</v>
      </c>
      <c r="J1604" t="b">
        <v>1</v>
      </c>
      <c r="K1604" s="10">
        <v>828.51</v>
      </c>
      <c r="L1604" s="6">
        <f t="shared" si="155"/>
        <v>1.5978418759078648E-2</v>
      </c>
      <c r="M1604">
        <f t="shared" si="156"/>
        <v>1.5371243042671614</v>
      </c>
      <c r="N1604">
        <f t="shared" si="157"/>
        <v>10.48746835443038</v>
      </c>
      <c r="O1604">
        <f t="shared" si="158"/>
        <v>3121.49</v>
      </c>
      <c r="P1604">
        <f t="shared" si="159"/>
        <v>0.14656771799628943</v>
      </c>
      <c r="Q1604" t="s">
        <v>4136</v>
      </c>
      <c r="R1604" t="s">
        <v>4141</v>
      </c>
      <c r="S1604">
        <f>YEAR(marketing_data[[#This Row],[Start_date]])</f>
        <v>2023</v>
      </c>
      <c r="T1604" t="str">
        <f>TEXT(marketing_data[[#This Row],[Start_date]],"ddd")</f>
        <v>Thu</v>
      </c>
      <c r="U1604">
        <f>marketing_data[[#This Row],[Cleaned End_date]]-marketing_data[[#This Row],[Start_date]]</f>
        <v>18</v>
      </c>
    </row>
    <row r="1605" spans="1:21" x14ac:dyDescent="0.2">
      <c r="A1605" t="s">
        <v>3313</v>
      </c>
      <c r="B1605" t="s">
        <v>3314</v>
      </c>
      <c r="C1605" s="2">
        <v>45117</v>
      </c>
      <c r="D1605" t="str">
        <f t="shared" si="154"/>
        <v>Jul</v>
      </c>
      <c r="E1605" s="2">
        <v>45133</v>
      </c>
      <c r="F1605" t="s">
        <v>23</v>
      </c>
      <c r="G1605">
        <v>86680</v>
      </c>
      <c r="H1605">
        <v>2186</v>
      </c>
      <c r="I1605">
        <v>277</v>
      </c>
      <c r="J1605" t="b">
        <v>0</v>
      </c>
      <c r="K1605" s="10">
        <v>1951.28</v>
      </c>
      <c r="L1605" s="6">
        <f t="shared" si="155"/>
        <v>2.5219197046608213E-2</v>
      </c>
      <c r="M1605">
        <f t="shared" si="156"/>
        <v>0.8926258005489478</v>
      </c>
      <c r="N1605">
        <f t="shared" si="157"/>
        <v>7.044332129963899</v>
      </c>
      <c r="O1605">
        <f t="shared" si="158"/>
        <v>11898.72</v>
      </c>
      <c r="P1605">
        <f t="shared" si="159"/>
        <v>0.12671546203110703</v>
      </c>
      <c r="Q1605" t="s">
        <v>4139</v>
      </c>
      <c r="R1605" t="s">
        <v>4139</v>
      </c>
      <c r="S1605">
        <f>YEAR(marketing_data[[#This Row],[Start_date]])</f>
        <v>2023</v>
      </c>
      <c r="T1605" t="str">
        <f>TEXT(marketing_data[[#This Row],[Start_date]],"ddd")</f>
        <v>Mon</v>
      </c>
      <c r="U1605">
        <f>marketing_data[[#This Row],[Cleaned End_date]]-marketing_data[[#This Row],[Start_date]]</f>
        <v>16</v>
      </c>
    </row>
    <row r="1606" spans="1:21" x14ac:dyDescent="0.2">
      <c r="A1606" t="s">
        <v>3315</v>
      </c>
      <c r="B1606" t="s">
        <v>3316</v>
      </c>
      <c r="C1606" s="2">
        <v>45221</v>
      </c>
      <c r="D1606" t="str">
        <f t="shared" si="154"/>
        <v>Oct</v>
      </c>
      <c r="E1606" s="2">
        <v>45235</v>
      </c>
      <c r="F1606" t="s">
        <v>41</v>
      </c>
      <c r="G1606">
        <v>3050</v>
      </c>
      <c r="H1606">
        <v>81</v>
      </c>
      <c r="J1606" t="b">
        <v>0</v>
      </c>
      <c r="K1606" s="10">
        <v>329.13249999999999</v>
      </c>
      <c r="L1606" s="6">
        <f t="shared" si="155"/>
        <v>2.6557377049180327E-2</v>
      </c>
      <c r="M1606">
        <f t="shared" si="156"/>
        <v>4.0633641975308645</v>
      </c>
      <c r="N1606">
        <f t="shared" si="157"/>
        <v>0</v>
      </c>
      <c r="O1606">
        <f t="shared" si="158"/>
        <v>-329.13249999999999</v>
      </c>
      <c r="P1606">
        <f t="shared" si="159"/>
        <v>0</v>
      </c>
      <c r="Q1606" t="s">
        <v>4136</v>
      </c>
      <c r="R1606" t="s">
        <v>4141</v>
      </c>
      <c r="S1606">
        <f>YEAR(marketing_data[[#This Row],[Start_date]])</f>
        <v>2023</v>
      </c>
      <c r="T1606" t="str">
        <f>TEXT(marketing_data[[#This Row],[Start_date]],"ddd")</f>
        <v>Sun</v>
      </c>
      <c r="U1606">
        <f>marketing_data[[#This Row],[Cleaned End_date]]-marketing_data[[#This Row],[Start_date]]</f>
        <v>14</v>
      </c>
    </row>
    <row r="1607" spans="1:21" x14ac:dyDescent="0.2">
      <c r="A1607" t="s">
        <v>3317</v>
      </c>
      <c r="B1607" t="s">
        <v>3318</v>
      </c>
      <c r="C1607" s="2">
        <v>45188</v>
      </c>
      <c r="D1607" t="str">
        <f t="shared" si="154"/>
        <v>Sep</v>
      </c>
      <c r="E1607" s="2">
        <v>45217</v>
      </c>
      <c r="F1607" t="s">
        <v>14</v>
      </c>
      <c r="G1607">
        <v>34933</v>
      </c>
      <c r="H1607">
        <v>1402</v>
      </c>
      <c r="I1607">
        <v>81</v>
      </c>
      <c r="J1607" t="b">
        <v>0</v>
      </c>
      <c r="K1607" s="10">
        <v>2445.1999999999998</v>
      </c>
      <c r="L1607" s="6">
        <f t="shared" si="155"/>
        <v>4.0133970743995648E-2</v>
      </c>
      <c r="M1607">
        <f t="shared" si="156"/>
        <v>1.7440798858773179</v>
      </c>
      <c r="N1607">
        <f t="shared" si="157"/>
        <v>30.187654320987651</v>
      </c>
      <c r="O1607">
        <f t="shared" si="158"/>
        <v>1604.8000000000002</v>
      </c>
      <c r="P1607">
        <f t="shared" si="159"/>
        <v>5.7774607703281029E-2</v>
      </c>
      <c r="Q1607" t="s">
        <v>4136</v>
      </c>
      <c r="R1607" t="s">
        <v>4139</v>
      </c>
      <c r="S1607">
        <f>YEAR(marketing_data[[#This Row],[Start_date]])</f>
        <v>2023</v>
      </c>
      <c r="T1607" t="str">
        <f>TEXT(marketing_data[[#This Row],[Start_date]],"ddd")</f>
        <v>Tue</v>
      </c>
      <c r="U1607">
        <f>marketing_data[[#This Row],[Cleaned End_date]]-marketing_data[[#This Row],[Start_date]]</f>
        <v>29</v>
      </c>
    </row>
    <row r="1608" spans="1:21" x14ac:dyDescent="0.2">
      <c r="A1608" t="s">
        <v>3319</v>
      </c>
      <c r="B1608" t="s">
        <v>3320</v>
      </c>
      <c r="C1608" s="2">
        <v>45222</v>
      </c>
      <c r="D1608" t="str">
        <f t="shared" si="154"/>
        <v>Oct</v>
      </c>
      <c r="E1608" s="2">
        <v>45228</v>
      </c>
      <c r="F1608" t="s">
        <v>23</v>
      </c>
      <c r="G1608">
        <v>25951</v>
      </c>
      <c r="H1608">
        <v>280</v>
      </c>
      <c r="I1608">
        <v>32</v>
      </c>
      <c r="J1608" t="b">
        <v>1</v>
      </c>
      <c r="K1608" s="10">
        <v>329.13249999999999</v>
      </c>
      <c r="L1608" s="6">
        <f t="shared" si="155"/>
        <v>1.0789564949327578E-2</v>
      </c>
      <c r="M1608">
        <f t="shared" si="156"/>
        <v>1.1754732142857143</v>
      </c>
      <c r="N1608">
        <f t="shared" si="157"/>
        <v>10.285390625</v>
      </c>
      <c r="O1608">
        <f t="shared" si="158"/>
        <v>1270.8675000000001</v>
      </c>
      <c r="P1608">
        <f t="shared" si="159"/>
        <v>0.11428571428571428</v>
      </c>
      <c r="Q1608" t="s">
        <v>4136</v>
      </c>
      <c r="R1608" t="s">
        <v>4141</v>
      </c>
      <c r="S1608">
        <f>YEAR(marketing_data[[#This Row],[Start_date]])</f>
        <v>2023</v>
      </c>
      <c r="T1608" t="str">
        <f>TEXT(marketing_data[[#This Row],[Start_date]],"ddd")</f>
        <v>Mon</v>
      </c>
      <c r="U1608">
        <f>marketing_data[[#This Row],[Cleaned End_date]]-marketing_data[[#This Row],[Start_date]]</f>
        <v>6</v>
      </c>
    </row>
    <row r="1609" spans="1:21" x14ac:dyDescent="0.2">
      <c r="A1609" t="s">
        <v>3321</v>
      </c>
      <c r="B1609" t="s">
        <v>3322</v>
      </c>
      <c r="C1609" s="2">
        <v>45143</v>
      </c>
      <c r="D1609" t="str">
        <f t="shared" si="154"/>
        <v>Aug</v>
      </c>
      <c r="E1609" s="2">
        <v>45151</v>
      </c>
      <c r="F1609" t="s">
        <v>14</v>
      </c>
      <c r="G1609">
        <v>33413</v>
      </c>
      <c r="H1609">
        <v>693</v>
      </c>
      <c r="I1609">
        <v>39</v>
      </c>
      <c r="J1609" t="b">
        <v>1</v>
      </c>
      <c r="K1609" s="10">
        <v>1299.95</v>
      </c>
      <c r="L1609" s="6">
        <f t="shared" si="155"/>
        <v>2.0740430371412325E-2</v>
      </c>
      <c r="M1609">
        <f t="shared" si="156"/>
        <v>1.8758297258297258</v>
      </c>
      <c r="N1609">
        <f t="shared" si="157"/>
        <v>33.332051282051282</v>
      </c>
      <c r="O1609">
        <f t="shared" si="158"/>
        <v>650.04999999999995</v>
      </c>
      <c r="P1609">
        <f t="shared" si="159"/>
        <v>5.627705627705628E-2</v>
      </c>
      <c r="Q1609" t="s">
        <v>4139</v>
      </c>
      <c r="R1609" t="s">
        <v>4138</v>
      </c>
      <c r="S1609">
        <f>YEAR(marketing_data[[#This Row],[Start_date]])</f>
        <v>2023</v>
      </c>
      <c r="T1609" t="str">
        <f>TEXT(marketing_data[[#This Row],[Start_date]],"ddd")</f>
        <v>Sat</v>
      </c>
      <c r="U1609">
        <f>marketing_data[[#This Row],[Cleaned End_date]]-marketing_data[[#This Row],[Start_date]]</f>
        <v>8</v>
      </c>
    </row>
    <row r="1610" spans="1:21" x14ac:dyDescent="0.2">
      <c r="A1610" t="s">
        <v>3323</v>
      </c>
      <c r="B1610" t="s">
        <v>3324</v>
      </c>
      <c r="C1610" s="2">
        <v>45184</v>
      </c>
      <c r="D1610" t="str">
        <f t="shared" si="154"/>
        <v>Sep</v>
      </c>
      <c r="E1610" s="2">
        <v>45185</v>
      </c>
      <c r="F1610" t="s">
        <v>33</v>
      </c>
      <c r="G1610">
        <v>35801</v>
      </c>
      <c r="H1610">
        <v>1099</v>
      </c>
      <c r="I1610">
        <v>148</v>
      </c>
      <c r="J1610" t="b">
        <v>1</v>
      </c>
      <c r="K1610" s="10">
        <v>1462.04</v>
      </c>
      <c r="L1610" s="6">
        <f t="shared" si="155"/>
        <v>3.0697466551213654E-2</v>
      </c>
      <c r="M1610">
        <f t="shared" si="156"/>
        <v>1.330336669699727</v>
      </c>
      <c r="N1610">
        <f t="shared" si="157"/>
        <v>9.8786486486486478</v>
      </c>
      <c r="O1610">
        <f t="shared" si="158"/>
        <v>5937.96</v>
      </c>
      <c r="P1610">
        <f t="shared" si="159"/>
        <v>0.13466787989080983</v>
      </c>
      <c r="Q1610" t="s">
        <v>4136</v>
      </c>
      <c r="R1610" t="s">
        <v>4139</v>
      </c>
      <c r="S1610">
        <f>YEAR(marketing_data[[#This Row],[Start_date]])</f>
        <v>2023</v>
      </c>
      <c r="T1610" t="str">
        <f>TEXT(marketing_data[[#This Row],[Start_date]],"ddd")</f>
        <v>Fri</v>
      </c>
      <c r="U1610">
        <f>marketing_data[[#This Row],[Cleaned End_date]]-marketing_data[[#This Row],[Start_date]]</f>
        <v>1</v>
      </c>
    </row>
    <row r="1611" spans="1:21" x14ac:dyDescent="0.2">
      <c r="A1611" t="s">
        <v>3325</v>
      </c>
      <c r="B1611" t="s">
        <v>3326</v>
      </c>
      <c r="C1611" s="2">
        <v>45016</v>
      </c>
      <c r="D1611" t="str">
        <f t="shared" si="154"/>
        <v>Mar</v>
      </c>
      <c r="E1611" s="2">
        <v>45042</v>
      </c>
      <c r="F1611" t="s">
        <v>41</v>
      </c>
      <c r="G1611">
        <v>56619</v>
      </c>
      <c r="H1611">
        <v>1175</v>
      </c>
      <c r="I1611">
        <v>126</v>
      </c>
      <c r="J1611" t="b">
        <v>1</v>
      </c>
      <c r="K1611" s="10">
        <v>1114.9000000000001</v>
      </c>
      <c r="L1611" s="6">
        <f t="shared" si="155"/>
        <v>2.0752750843356472E-2</v>
      </c>
      <c r="M1611">
        <f t="shared" si="156"/>
        <v>0.94885106382978734</v>
      </c>
      <c r="N1611">
        <f t="shared" si="157"/>
        <v>8.8484126984126998</v>
      </c>
      <c r="O1611">
        <f t="shared" si="158"/>
        <v>5185.1000000000004</v>
      </c>
      <c r="P1611">
        <f t="shared" si="159"/>
        <v>0.10723404255319149</v>
      </c>
      <c r="Q1611" t="s">
        <v>4137</v>
      </c>
      <c r="R1611" t="s">
        <v>4139</v>
      </c>
      <c r="S1611">
        <f>YEAR(marketing_data[[#This Row],[Start_date]])</f>
        <v>2023</v>
      </c>
      <c r="T1611" t="str">
        <f>TEXT(marketing_data[[#This Row],[Start_date]],"ddd")</f>
        <v>Fri</v>
      </c>
      <c r="U1611">
        <f>marketing_data[[#This Row],[Cleaned End_date]]-marketing_data[[#This Row],[Start_date]]</f>
        <v>26</v>
      </c>
    </row>
    <row r="1612" spans="1:21" x14ac:dyDescent="0.2">
      <c r="A1612" t="s">
        <v>3327</v>
      </c>
      <c r="B1612" t="s">
        <v>3328</v>
      </c>
      <c r="C1612" s="2">
        <v>45192</v>
      </c>
      <c r="D1612" t="str">
        <f t="shared" si="154"/>
        <v>Sep</v>
      </c>
      <c r="E1612" s="2">
        <v>45199</v>
      </c>
      <c r="F1612" t="s">
        <v>19</v>
      </c>
      <c r="G1612">
        <v>33913</v>
      </c>
      <c r="H1612">
        <v>1191</v>
      </c>
      <c r="I1612">
        <v>194</v>
      </c>
      <c r="J1612" t="b">
        <v>1</v>
      </c>
      <c r="K1612" s="10">
        <v>1365.23</v>
      </c>
      <c r="L1612" s="6">
        <f t="shared" si="155"/>
        <v>3.5119275793943326E-2</v>
      </c>
      <c r="M1612">
        <f t="shared" si="156"/>
        <v>1.1462888329135181</v>
      </c>
      <c r="N1612">
        <f t="shared" si="157"/>
        <v>7.0372680412371134</v>
      </c>
      <c r="O1612">
        <f t="shared" si="158"/>
        <v>8334.77</v>
      </c>
      <c r="P1612">
        <f t="shared" si="159"/>
        <v>0.16288832913518053</v>
      </c>
      <c r="Q1612" t="s">
        <v>4136</v>
      </c>
      <c r="R1612" t="s">
        <v>4141</v>
      </c>
      <c r="S1612">
        <f>YEAR(marketing_data[[#This Row],[Start_date]])</f>
        <v>2023</v>
      </c>
      <c r="T1612" t="str">
        <f>TEXT(marketing_data[[#This Row],[Start_date]],"ddd")</f>
        <v>Sat</v>
      </c>
      <c r="U1612">
        <f>marketing_data[[#This Row],[Cleaned End_date]]-marketing_data[[#This Row],[Start_date]]</f>
        <v>7</v>
      </c>
    </row>
    <row r="1613" spans="1:21" x14ac:dyDescent="0.2">
      <c r="A1613" t="s">
        <v>3329</v>
      </c>
      <c r="B1613" t="s">
        <v>3330</v>
      </c>
      <c r="C1613" s="2">
        <v>44933</v>
      </c>
      <c r="D1613" t="str">
        <f t="shared" si="154"/>
        <v>Jan</v>
      </c>
      <c r="E1613" s="2">
        <v>44953</v>
      </c>
      <c r="F1613" t="s">
        <v>23</v>
      </c>
      <c r="G1613">
        <v>41600</v>
      </c>
      <c r="H1613">
        <v>1217</v>
      </c>
      <c r="I1613">
        <v>116</v>
      </c>
      <c r="J1613" t="b">
        <v>1</v>
      </c>
      <c r="K1613" s="10">
        <v>1178.4100000000001</v>
      </c>
      <c r="L1613" s="6">
        <f t="shared" si="155"/>
        <v>2.9254807692307691E-2</v>
      </c>
      <c r="M1613">
        <f t="shared" si="156"/>
        <v>0.96829087921117507</v>
      </c>
      <c r="N1613">
        <f t="shared" si="157"/>
        <v>10.158706896551724</v>
      </c>
      <c r="O1613">
        <f t="shared" si="158"/>
        <v>4621.59</v>
      </c>
      <c r="P1613">
        <f t="shared" si="159"/>
        <v>9.5316351684470002E-2</v>
      </c>
      <c r="Q1613" t="s">
        <v>4138</v>
      </c>
      <c r="R1613" t="s">
        <v>4141</v>
      </c>
      <c r="S1613">
        <f>YEAR(marketing_data[[#This Row],[Start_date]])</f>
        <v>2023</v>
      </c>
      <c r="T1613" t="str">
        <f>TEXT(marketing_data[[#This Row],[Start_date]],"ddd")</f>
        <v>Sat</v>
      </c>
      <c r="U1613">
        <f>marketing_data[[#This Row],[Cleaned End_date]]-marketing_data[[#This Row],[Start_date]]</f>
        <v>20</v>
      </c>
    </row>
    <row r="1614" spans="1:21" x14ac:dyDescent="0.2">
      <c r="A1614" t="s">
        <v>3331</v>
      </c>
      <c r="B1614" t="s">
        <v>3332</v>
      </c>
      <c r="C1614" s="2">
        <v>44978</v>
      </c>
      <c r="D1614" t="str">
        <f t="shared" si="154"/>
        <v>Feb</v>
      </c>
      <c r="E1614" s="2">
        <v>45001</v>
      </c>
      <c r="F1614" t="s">
        <v>19</v>
      </c>
      <c r="G1614">
        <v>58775</v>
      </c>
      <c r="H1614">
        <v>1438</v>
      </c>
      <c r="I1614">
        <v>199</v>
      </c>
      <c r="J1614" t="b">
        <v>0</v>
      </c>
      <c r="K1614" s="10">
        <v>2283.06</v>
      </c>
      <c r="L1614" s="6">
        <f t="shared" si="155"/>
        <v>2.4466184602296895E-2</v>
      </c>
      <c r="M1614">
        <f t="shared" si="156"/>
        <v>1.5876634214186369</v>
      </c>
      <c r="N1614">
        <f t="shared" si="157"/>
        <v>11.472663316582913</v>
      </c>
      <c r="O1614">
        <f t="shared" si="158"/>
        <v>7666.9400000000005</v>
      </c>
      <c r="P1614">
        <f t="shared" si="159"/>
        <v>0.13838664812239221</v>
      </c>
      <c r="Q1614" t="s">
        <v>4138</v>
      </c>
      <c r="R1614" t="s">
        <v>4142</v>
      </c>
      <c r="S1614">
        <f>YEAR(marketing_data[[#This Row],[Start_date]])</f>
        <v>2023</v>
      </c>
      <c r="T1614" t="str">
        <f>TEXT(marketing_data[[#This Row],[Start_date]],"ddd")</f>
        <v>Tue</v>
      </c>
      <c r="U1614">
        <f>marketing_data[[#This Row],[Cleaned End_date]]-marketing_data[[#This Row],[Start_date]]</f>
        <v>23</v>
      </c>
    </row>
    <row r="1615" spans="1:21" x14ac:dyDescent="0.2">
      <c r="A1615" t="s">
        <v>3333</v>
      </c>
      <c r="B1615" t="s">
        <v>3334</v>
      </c>
      <c r="C1615" s="2">
        <v>45059</v>
      </c>
      <c r="D1615" t="str">
        <f t="shared" si="154"/>
        <v>May</v>
      </c>
      <c r="E1615" s="2">
        <v>45062</v>
      </c>
      <c r="F1615" t="s">
        <v>33</v>
      </c>
      <c r="G1615">
        <v>91816</v>
      </c>
      <c r="H1615">
        <v>4404</v>
      </c>
      <c r="I1615">
        <v>575</v>
      </c>
      <c r="J1615" t="b">
        <v>1</v>
      </c>
      <c r="K1615" s="10">
        <v>3631.7599999999998</v>
      </c>
      <c r="L1615" s="6">
        <f t="shared" si="155"/>
        <v>4.7965496209810929E-2</v>
      </c>
      <c r="M1615">
        <f t="shared" si="156"/>
        <v>0.82465031789282461</v>
      </c>
      <c r="N1615">
        <f t="shared" si="157"/>
        <v>6.3161043478260863</v>
      </c>
      <c r="O1615">
        <f t="shared" si="158"/>
        <v>25118.240000000002</v>
      </c>
      <c r="P1615">
        <f t="shared" si="159"/>
        <v>0.13056312443233425</v>
      </c>
      <c r="Q1615" t="s">
        <v>4137</v>
      </c>
      <c r="R1615" t="s">
        <v>4142</v>
      </c>
      <c r="S1615">
        <f>YEAR(marketing_data[[#This Row],[Start_date]])</f>
        <v>2023</v>
      </c>
      <c r="T1615" t="str">
        <f>TEXT(marketing_data[[#This Row],[Start_date]],"ddd")</f>
        <v>Sat</v>
      </c>
      <c r="U1615">
        <f>marketing_data[[#This Row],[Cleaned End_date]]-marketing_data[[#This Row],[Start_date]]</f>
        <v>3</v>
      </c>
    </row>
    <row r="1616" spans="1:21" x14ac:dyDescent="0.2">
      <c r="A1616" t="s">
        <v>3335</v>
      </c>
      <c r="B1616" t="s">
        <v>3336</v>
      </c>
      <c r="C1616" s="2">
        <v>45064</v>
      </c>
      <c r="D1616" t="str">
        <f t="shared" si="154"/>
        <v>May</v>
      </c>
      <c r="E1616" s="2">
        <v>45067</v>
      </c>
      <c r="F1616" t="s">
        <v>14</v>
      </c>
      <c r="G1616">
        <v>91093</v>
      </c>
      <c r="H1616">
        <v>3214</v>
      </c>
      <c r="I1616">
        <v>162</v>
      </c>
      <c r="J1616" t="b">
        <v>1</v>
      </c>
      <c r="K1616" s="10">
        <v>3631.7599999999998</v>
      </c>
      <c r="L1616" s="6">
        <f t="shared" si="155"/>
        <v>3.5282623253158861E-2</v>
      </c>
      <c r="M1616">
        <f t="shared" si="156"/>
        <v>1.1299813316739264</v>
      </c>
      <c r="N1616">
        <f t="shared" si="157"/>
        <v>22.418271604938269</v>
      </c>
      <c r="O1616">
        <f t="shared" si="158"/>
        <v>4468.24</v>
      </c>
      <c r="P1616">
        <f t="shared" si="159"/>
        <v>5.0404480398257623E-2</v>
      </c>
      <c r="Q1616" t="s">
        <v>4137</v>
      </c>
      <c r="R1616" t="s">
        <v>4142</v>
      </c>
      <c r="S1616">
        <f>YEAR(marketing_data[[#This Row],[Start_date]])</f>
        <v>2023</v>
      </c>
      <c r="T1616" t="str">
        <f>TEXT(marketing_data[[#This Row],[Start_date]],"ddd")</f>
        <v>Thu</v>
      </c>
      <c r="U1616">
        <f>marketing_data[[#This Row],[Cleaned End_date]]-marketing_data[[#This Row],[Start_date]]</f>
        <v>3</v>
      </c>
    </row>
    <row r="1617" spans="1:21" x14ac:dyDescent="0.2">
      <c r="A1617" t="s">
        <v>3337</v>
      </c>
      <c r="B1617" t="s">
        <v>3338</v>
      </c>
      <c r="C1617" s="2">
        <v>45114</v>
      </c>
      <c r="D1617" t="str">
        <f t="shared" si="154"/>
        <v>Jul</v>
      </c>
      <c r="E1617" s="2">
        <v>45139</v>
      </c>
      <c r="F1617" t="str">
        <f>F1616</f>
        <v>TikTok</v>
      </c>
      <c r="G1617">
        <v>36400</v>
      </c>
      <c r="H1617">
        <v>553</v>
      </c>
      <c r="I1617">
        <v>33</v>
      </c>
      <c r="J1617" t="b">
        <v>0</v>
      </c>
      <c r="K1617" s="10">
        <v>1094.19</v>
      </c>
      <c r="L1617" s="6">
        <f t="shared" si="155"/>
        <v>1.5192307692307692E-2</v>
      </c>
      <c r="M1617">
        <f t="shared" si="156"/>
        <v>1.9786437613019892</v>
      </c>
      <c r="N1617">
        <f t="shared" si="157"/>
        <v>33.157272727272726</v>
      </c>
      <c r="O1617">
        <f t="shared" si="158"/>
        <v>555.80999999999995</v>
      </c>
      <c r="P1617">
        <f t="shared" si="159"/>
        <v>5.9674502712477394E-2</v>
      </c>
      <c r="Q1617" t="s">
        <v>4139</v>
      </c>
      <c r="R1617" t="s">
        <v>4139</v>
      </c>
      <c r="S1617">
        <f>YEAR(marketing_data[[#This Row],[Start_date]])</f>
        <v>2023</v>
      </c>
      <c r="T1617" t="str">
        <f>TEXT(marketing_data[[#This Row],[Start_date]],"ddd")</f>
        <v>Fri</v>
      </c>
      <c r="U1617">
        <f>marketing_data[[#This Row],[Cleaned End_date]]-marketing_data[[#This Row],[Start_date]]</f>
        <v>25</v>
      </c>
    </row>
    <row r="1618" spans="1:21" x14ac:dyDescent="0.2">
      <c r="A1618" t="s">
        <v>3339</v>
      </c>
      <c r="B1618" t="s">
        <v>3340</v>
      </c>
      <c r="C1618" s="2">
        <v>45141</v>
      </c>
      <c r="D1618" t="str">
        <f t="shared" si="154"/>
        <v>Aug</v>
      </c>
      <c r="E1618" s="2">
        <v>45145</v>
      </c>
      <c r="F1618" t="s">
        <v>23</v>
      </c>
      <c r="G1618">
        <v>5494</v>
      </c>
      <c r="H1618">
        <v>178</v>
      </c>
      <c r="I1618">
        <v>16</v>
      </c>
      <c r="J1618" t="b">
        <v>1</v>
      </c>
      <c r="K1618" s="10">
        <v>329.13249999999999</v>
      </c>
      <c r="L1618" s="6">
        <f t="shared" si="155"/>
        <v>3.2398980706224975E-2</v>
      </c>
      <c r="M1618">
        <f t="shared" si="156"/>
        <v>1.849058988764045</v>
      </c>
      <c r="N1618">
        <f t="shared" si="157"/>
        <v>20.57078125</v>
      </c>
      <c r="O1618">
        <f t="shared" si="158"/>
        <v>470.86750000000001</v>
      </c>
      <c r="P1618">
        <f t="shared" si="159"/>
        <v>8.98876404494382E-2</v>
      </c>
      <c r="Q1618" t="s">
        <v>4139</v>
      </c>
      <c r="R1618" t="s">
        <v>4141</v>
      </c>
      <c r="S1618">
        <f>YEAR(marketing_data[[#This Row],[Start_date]])</f>
        <v>2023</v>
      </c>
      <c r="T1618" t="str">
        <f>TEXT(marketing_data[[#This Row],[Start_date]],"ddd")</f>
        <v>Thu</v>
      </c>
      <c r="U1618">
        <f>marketing_data[[#This Row],[Cleaned End_date]]-marketing_data[[#This Row],[Start_date]]</f>
        <v>4</v>
      </c>
    </row>
    <row r="1619" spans="1:21" x14ac:dyDescent="0.2">
      <c r="A1619" t="s">
        <v>3341</v>
      </c>
      <c r="B1619" t="s">
        <v>3342</v>
      </c>
      <c r="C1619" s="2">
        <v>45132</v>
      </c>
      <c r="D1619" t="str">
        <f t="shared" si="154"/>
        <v>Jul</v>
      </c>
      <c r="E1619" s="2">
        <v>45141</v>
      </c>
      <c r="F1619" t="str">
        <f>F1618</f>
        <v>Email</v>
      </c>
      <c r="G1619">
        <v>81688</v>
      </c>
      <c r="H1619">
        <v>3367</v>
      </c>
      <c r="I1619">
        <v>613</v>
      </c>
      <c r="J1619" t="b">
        <v>1</v>
      </c>
      <c r="K1619" s="10">
        <v>3631.7599999999998</v>
      </c>
      <c r="L1619" s="6">
        <f t="shared" si="155"/>
        <v>4.1217804328665168E-2</v>
      </c>
      <c r="M1619">
        <f t="shared" si="156"/>
        <v>1.0786337986337986</v>
      </c>
      <c r="N1619">
        <f t="shared" si="157"/>
        <v>5.9245676998368673</v>
      </c>
      <c r="O1619">
        <f t="shared" si="158"/>
        <v>27018.240000000002</v>
      </c>
      <c r="P1619">
        <f t="shared" si="159"/>
        <v>0.18206118206118205</v>
      </c>
      <c r="Q1619" t="s">
        <v>4139</v>
      </c>
      <c r="R1619" t="s">
        <v>4138</v>
      </c>
      <c r="S1619">
        <f>YEAR(marketing_data[[#This Row],[Start_date]])</f>
        <v>2023</v>
      </c>
      <c r="T1619" t="str">
        <f>TEXT(marketing_data[[#This Row],[Start_date]],"ddd")</f>
        <v>Tue</v>
      </c>
      <c r="U1619">
        <f>marketing_data[[#This Row],[Cleaned End_date]]-marketing_data[[#This Row],[Start_date]]</f>
        <v>9</v>
      </c>
    </row>
    <row r="1620" spans="1:21" x14ac:dyDescent="0.2">
      <c r="A1620" t="s">
        <v>3343</v>
      </c>
      <c r="B1620" t="s">
        <v>3344</v>
      </c>
      <c r="C1620" s="2">
        <v>44994</v>
      </c>
      <c r="D1620" t="str">
        <f t="shared" si="154"/>
        <v>Mar</v>
      </c>
      <c r="E1620" s="2">
        <v>45021</v>
      </c>
      <c r="F1620" t="s">
        <v>41</v>
      </c>
      <c r="G1620">
        <v>90431</v>
      </c>
      <c r="H1620">
        <v>3467</v>
      </c>
      <c r="I1620">
        <v>249</v>
      </c>
      <c r="J1620" t="b">
        <v>1</v>
      </c>
      <c r="K1620" s="10">
        <v>3497.62</v>
      </c>
      <c r="L1620" s="6">
        <f t="shared" si="155"/>
        <v>3.8338622817396688E-2</v>
      </c>
      <c r="M1620">
        <f t="shared" si="156"/>
        <v>1.0088318430920105</v>
      </c>
      <c r="N1620">
        <f t="shared" si="157"/>
        <v>14.046666666666667</v>
      </c>
      <c r="O1620">
        <f t="shared" si="158"/>
        <v>8952.380000000001</v>
      </c>
      <c r="P1620">
        <f t="shared" si="159"/>
        <v>7.1820017306028272E-2</v>
      </c>
      <c r="Q1620" t="s">
        <v>4137</v>
      </c>
      <c r="R1620" t="s">
        <v>4142</v>
      </c>
      <c r="S1620">
        <f>YEAR(marketing_data[[#This Row],[Start_date]])</f>
        <v>2023</v>
      </c>
      <c r="T1620" t="str">
        <f>TEXT(marketing_data[[#This Row],[Start_date]],"ddd")</f>
        <v>Thu</v>
      </c>
      <c r="U1620">
        <f>marketing_data[[#This Row],[Cleaned End_date]]-marketing_data[[#This Row],[Start_date]]</f>
        <v>27</v>
      </c>
    </row>
    <row r="1621" spans="1:21" x14ac:dyDescent="0.2">
      <c r="A1621" t="s">
        <v>3345</v>
      </c>
      <c r="B1621" t="s">
        <v>3346</v>
      </c>
      <c r="C1621" s="2">
        <v>44978</v>
      </c>
      <c r="D1621" t="str">
        <f t="shared" si="154"/>
        <v>Feb</v>
      </c>
      <c r="E1621" s="2">
        <v>45004</v>
      </c>
      <c r="F1621" t="s">
        <v>33</v>
      </c>
      <c r="G1621">
        <v>75691</v>
      </c>
      <c r="H1621">
        <v>1277</v>
      </c>
      <c r="I1621">
        <v>200</v>
      </c>
      <c r="J1621" t="b">
        <v>0</v>
      </c>
      <c r="K1621" s="10">
        <v>1681.67</v>
      </c>
      <c r="L1621" s="6">
        <f t="shared" si="155"/>
        <v>1.6871226433790014E-2</v>
      </c>
      <c r="M1621">
        <f t="shared" si="156"/>
        <v>1.3168911511354737</v>
      </c>
      <c r="N1621">
        <f t="shared" si="157"/>
        <v>8.4083500000000004</v>
      </c>
      <c r="O1621">
        <f t="shared" si="158"/>
        <v>8318.33</v>
      </c>
      <c r="P1621">
        <f t="shared" si="159"/>
        <v>0.15661707126076743</v>
      </c>
      <c r="Q1621" t="s">
        <v>4138</v>
      </c>
      <c r="R1621" t="s">
        <v>4142</v>
      </c>
      <c r="S1621">
        <f>YEAR(marketing_data[[#This Row],[Start_date]])</f>
        <v>2023</v>
      </c>
      <c r="T1621" t="str">
        <f>TEXT(marketing_data[[#This Row],[Start_date]],"ddd")</f>
        <v>Tue</v>
      </c>
      <c r="U1621">
        <f>marketing_data[[#This Row],[Cleaned End_date]]-marketing_data[[#This Row],[Start_date]]</f>
        <v>26</v>
      </c>
    </row>
    <row r="1622" spans="1:21" x14ac:dyDescent="0.2">
      <c r="A1622" t="s">
        <v>3347</v>
      </c>
      <c r="B1622" t="s">
        <v>3348</v>
      </c>
      <c r="C1622" s="2">
        <v>45211</v>
      </c>
      <c r="D1622" t="str">
        <f t="shared" si="154"/>
        <v>Oct</v>
      </c>
      <c r="E1622" s="2">
        <v>45217</v>
      </c>
      <c r="F1622" t="s">
        <v>23</v>
      </c>
      <c r="G1622">
        <v>98419</v>
      </c>
      <c r="H1622">
        <v>4812</v>
      </c>
      <c r="I1622">
        <v>943</v>
      </c>
      <c r="J1622" t="b">
        <v>0</v>
      </c>
      <c r="K1622" s="10">
        <v>2702.43</v>
      </c>
      <c r="L1622" s="6">
        <f t="shared" si="155"/>
        <v>4.8892998303173167E-2</v>
      </c>
      <c r="M1622">
        <f t="shared" si="156"/>
        <v>0.56160224438902739</v>
      </c>
      <c r="N1622">
        <f t="shared" si="157"/>
        <v>2.8657794273594908</v>
      </c>
      <c r="O1622">
        <f t="shared" si="158"/>
        <v>44447.57</v>
      </c>
      <c r="P1622">
        <f t="shared" si="159"/>
        <v>0.19596841230257689</v>
      </c>
      <c r="Q1622" t="s">
        <v>4136</v>
      </c>
      <c r="R1622" t="s">
        <v>4141</v>
      </c>
      <c r="S1622">
        <f>YEAR(marketing_data[[#This Row],[Start_date]])</f>
        <v>2023</v>
      </c>
      <c r="T1622" t="str">
        <f>TEXT(marketing_data[[#This Row],[Start_date]],"ddd")</f>
        <v>Thu</v>
      </c>
      <c r="U1622">
        <f>marketing_data[[#This Row],[Cleaned End_date]]-marketing_data[[#This Row],[Start_date]]</f>
        <v>6</v>
      </c>
    </row>
    <row r="1623" spans="1:21" x14ac:dyDescent="0.2">
      <c r="A1623" t="s">
        <v>3349</v>
      </c>
      <c r="B1623" t="s">
        <v>3350</v>
      </c>
      <c r="C1623" s="2">
        <v>45001</v>
      </c>
      <c r="D1623" t="str">
        <f t="shared" si="154"/>
        <v>Mar</v>
      </c>
      <c r="E1623" s="2">
        <v>45019</v>
      </c>
      <c r="F1623" t="s">
        <v>19</v>
      </c>
      <c r="G1623">
        <v>44001</v>
      </c>
      <c r="H1623">
        <v>1229</v>
      </c>
      <c r="I1623">
        <v>207</v>
      </c>
      <c r="J1623" t="b">
        <v>0</v>
      </c>
      <c r="K1623" s="10">
        <v>1987.59</v>
      </c>
      <c r="L1623" s="6">
        <f t="shared" si="155"/>
        <v>2.793118338219586E-2</v>
      </c>
      <c r="M1623">
        <f t="shared" si="156"/>
        <v>1.6172416598860861</v>
      </c>
      <c r="N1623">
        <f t="shared" si="157"/>
        <v>9.6018840579710147</v>
      </c>
      <c r="O1623">
        <f t="shared" si="158"/>
        <v>8362.41</v>
      </c>
      <c r="P1623">
        <f t="shared" si="159"/>
        <v>0.16842961757526445</v>
      </c>
      <c r="Q1623" t="s">
        <v>4137</v>
      </c>
      <c r="R1623" t="s">
        <v>4142</v>
      </c>
      <c r="S1623">
        <f>YEAR(marketing_data[[#This Row],[Start_date]])</f>
        <v>2023</v>
      </c>
      <c r="T1623" t="str">
        <f>TEXT(marketing_data[[#This Row],[Start_date]],"ddd")</f>
        <v>Thu</v>
      </c>
      <c r="U1623">
        <f>marketing_data[[#This Row],[Cleaned End_date]]-marketing_data[[#This Row],[Start_date]]</f>
        <v>18</v>
      </c>
    </row>
    <row r="1624" spans="1:21" x14ac:dyDescent="0.2">
      <c r="A1624" t="s">
        <v>3351</v>
      </c>
      <c r="B1624" t="s">
        <v>3352</v>
      </c>
      <c r="C1624" s="2">
        <v>45169</v>
      </c>
      <c r="D1624" t="str">
        <f t="shared" si="154"/>
        <v>Aug</v>
      </c>
      <c r="E1624" s="2">
        <v>45173</v>
      </c>
      <c r="F1624" t="s">
        <v>23</v>
      </c>
      <c r="G1624">
        <v>68364</v>
      </c>
      <c r="H1624">
        <v>1118</v>
      </c>
      <c r="I1624">
        <v>96</v>
      </c>
      <c r="J1624" t="b">
        <v>1</v>
      </c>
      <c r="K1624" s="10">
        <v>1306.8699999999999</v>
      </c>
      <c r="L1624" s="6">
        <f t="shared" si="155"/>
        <v>1.635363641682757E-2</v>
      </c>
      <c r="M1624">
        <f t="shared" si="156"/>
        <v>1.1689355992844364</v>
      </c>
      <c r="N1624">
        <f t="shared" si="157"/>
        <v>13.613229166666665</v>
      </c>
      <c r="O1624">
        <f t="shared" si="158"/>
        <v>3493.13</v>
      </c>
      <c r="P1624">
        <f t="shared" si="159"/>
        <v>8.5867620751341675E-2</v>
      </c>
      <c r="Q1624" t="s">
        <v>4139</v>
      </c>
      <c r="R1624" t="s">
        <v>4138</v>
      </c>
      <c r="S1624">
        <f>YEAR(marketing_data[[#This Row],[Start_date]])</f>
        <v>2023</v>
      </c>
      <c r="T1624" t="str">
        <f>TEXT(marketing_data[[#This Row],[Start_date]],"ddd")</f>
        <v>Thu</v>
      </c>
      <c r="U1624">
        <f>marketing_data[[#This Row],[Cleaned End_date]]-marketing_data[[#This Row],[Start_date]]</f>
        <v>4</v>
      </c>
    </row>
    <row r="1625" spans="1:21" x14ac:dyDescent="0.2">
      <c r="A1625" t="s">
        <v>3353</v>
      </c>
      <c r="B1625" t="s">
        <v>3354</v>
      </c>
      <c r="C1625" s="2">
        <v>45182</v>
      </c>
      <c r="D1625" t="str">
        <f t="shared" si="154"/>
        <v>Sep</v>
      </c>
      <c r="E1625" s="2">
        <v>45207</v>
      </c>
      <c r="F1625" t="s">
        <v>41</v>
      </c>
      <c r="G1625">
        <v>46028</v>
      </c>
      <c r="H1625">
        <v>792</v>
      </c>
      <c r="I1625">
        <v>147</v>
      </c>
      <c r="J1625" t="b">
        <v>1</v>
      </c>
      <c r="K1625" s="10">
        <v>419.79</v>
      </c>
      <c r="L1625" s="6">
        <f t="shared" si="155"/>
        <v>1.7206917528460937E-2</v>
      </c>
      <c r="M1625">
        <f t="shared" si="156"/>
        <v>0.53003787878787878</v>
      </c>
      <c r="N1625">
        <f t="shared" si="157"/>
        <v>2.8557142857142859</v>
      </c>
      <c r="O1625">
        <f t="shared" si="158"/>
        <v>6930.21</v>
      </c>
      <c r="P1625">
        <f t="shared" si="159"/>
        <v>0.18560606060606061</v>
      </c>
      <c r="Q1625" t="s">
        <v>4136</v>
      </c>
      <c r="R1625" t="s">
        <v>4142</v>
      </c>
      <c r="S1625">
        <f>YEAR(marketing_data[[#This Row],[Start_date]])</f>
        <v>2023</v>
      </c>
      <c r="T1625" t="str">
        <f>TEXT(marketing_data[[#This Row],[Start_date]],"ddd")</f>
        <v>Wed</v>
      </c>
      <c r="U1625">
        <f>marketing_data[[#This Row],[Cleaned End_date]]-marketing_data[[#This Row],[Start_date]]</f>
        <v>25</v>
      </c>
    </row>
    <row r="1626" spans="1:21" x14ac:dyDescent="0.2">
      <c r="A1626" t="s">
        <v>3355</v>
      </c>
      <c r="B1626" t="s">
        <v>3356</v>
      </c>
      <c r="C1626" s="2">
        <v>45249</v>
      </c>
      <c r="D1626" t="str">
        <f t="shared" si="154"/>
        <v>Nov</v>
      </c>
      <c r="E1626" s="2">
        <v>45264</v>
      </c>
      <c r="F1626" t="s">
        <v>41</v>
      </c>
      <c r="G1626">
        <v>98659</v>
      </c>
      <c r="H1626">
        <v>1374</v>
      </c>
      <c r="I1626">
        <v>87</v>
      </c>
      <c r="J1626" t="b">
        <v>1</v>
      </c>
      <c r="K1626" s="10">
        <v>815.83</v>
      </c>
      <c r="L1626" s="6">
        <f t="shared" si="155"/>
        <v>1.3926757822398363E-2</v>
      </c>
      <c r="M1626">
        <f t="shared" si="156"/>
        <v>0.59376273653566236</v>
      </c>
      <c r="N1626">
        <f t="shared" si="157"/>
        <v>9.3773563218390805</v>
      </c>
      <c r="O1626">
        <f t="shared" si="158"/>
        <v>3534.17</v>
      </c>
      <c r="P1626">
        <f t="shared" si="159"/>
        <v>6.3318777292576414E-2</v>
      </c>
      <c r="Q1626" t="s">
        <v>4136</v>
      </c>
      <c r="R1626" t="s">
        <v>4139</v>
      </c>
      <c r="S1626">
        <f>YEAR(marketing_data[[#This Row],[Start_date]])</f>
        <v>2023</v>
      </c>
      <c r="T1626" t="str">
        <f>TEXT(marketing_data[[#This Row],[Start_date]],"ddd")</f>
        <v>Sun</v>
      </c>
      <c r="U1626">
        <f>marketing_data[[#This Row],[Cleaned End_date]]-marketing_data[[#This Row],[Start_date]]</f>
        <v>15</v>
      </c>
    </row>
    <row r="1627" spans="1:21" x14ac:dyDescent="0.2">
      <c r="A1627" t="s">
        <v>3357</v>
      </c>
      <c r="B1627" t="s">
        <v>3358</v>
      </c>
      <c r="C1627" s="2">
        <v>45176</v>
      </c>
      <c r="D1627" t="str">
        <f t="shared" si="154"/>
        <v>Sep</v>
      </c>
      <c r="E1627" s="2">
        <v>45194</v>
      </c>
      <c r="F1627" t="s">
        <v>14</v>
      </c>
      <c r="G1627">
        <v>38573</v>
      </c>
      <c r="H1627">
        <v>1625</v>
      </c>
      <c r="J1627" t="b">
        <v>0</v>
      </c>
      <c r="K1627" s="10">
        <v>1756.95</v>
      </c>
      <c r="L1627" s="6">
        <f t="shared" si="155"/>
        <v>4.2127913307235629E-2</v>
      </c>
      <c r="M1627">
        <f t="shared" si="156"/>
        <v>1.0811999999999999</v>
      </c>
      <c r="N1627">
        <f t="shared" si="157"/>
        <v>0</v>
      </c>
      <c r="O1627">
        <f t="shared" si="158"/>
        <v>-1756.95</v>
      </c>
      <c r="P1627">
        <f t="shared" si="159"/>
        <v>0</v>
      </c>
      <c r="Q1627" t="s">
        <v>4136</v>
      </c>
      <c r="R1627" t="s">
        <v>4142</v>
      </c>
      <c r="S1627">
        <f>YEAR(marketing_data[[#This Row],[Start_date]])</f>
        <v>2023</v>
      </c>
      <c r="T1627" t="str">
        <f>TEXT(marketing_data[[#This Row],[Start_date]],"ddd")</f>
        <v>Thu</v>
      </c>
      <c r="U1627">
        <f>marketing_data[[#This Row],[Cleaned End_date]]-marketing_data[[#This Row],[Start_date]]</f>
        <v>18</v>
      </c>
    </row>
    <row r="1628" spans="1:21" x14ac:dyDescent="0.2">
      <c r="A1628" t="s">
        <v>3359</v>
      </c>
      <c r="B1628" t="s">
        <v>3360</v>
      </c>
      <c r="C1628" s="2">
        <v>45217</v>
      </c>
      <c r="D1628" t="str">
        <f t="shared" si="154"/>
        <v>Oct</v>
      </c>
      <c r="E1628" s="2">
        <v>45242</v>
      </c>
      <c r="F1628" t="s">
        <v>33</v>
      </c>
      <c r="G1628">
        <v>1806</v>
      </c>
      <c r="H1628">
        <v>26</v>
      </c>
      <c r="I1628">
        <v>4</v>
      </c>
      <c r="J1628" t="b">
        <v>1</v>
      </c>
      <c r="K1628" s="10">
        <v>329.13249999999999</v>
      </c>
      <c r="L1628" s="6">
        <f t="shared" si="155"/>
        <v>1.4396456256921373E-2</v>
      </c>
      <c r="M1628">
        <f t="shared" si="156"/>
        <v>12.658942307692307</v>
      </c>
      <c r="N1628">
        <f t="shared" si="157"/>
        <v>82.283124999999998</v>
      </c>
      <c r="O1628">
        <f t="shared" si="158"/>
        <v>-129.13249999999999</v>
      </c>
      <c r="P1628">
        <f t="shared" si="159"/>
        <v>0.15384615384615385</v>
      </c>
      <c r="Q1628" t="s">
        <v>4136</v>
      </c>
      <c r="R1628" t="s">
        <v>4138</v>
      </c>
      <c r="S1628">
        <f>YEAR(marketing_data[[#This Row],[Start_date]])</f>
        <v>2023</v>
      </c>
      <c r="T1628" t="str">
        <f>TEXT(marketing_data[[#This Row],[Start_date]],"ddd")</f>
        <v>Wed</v>
      </c>
      <c r="U1628">
        <f>marketing_data[[#This Row],[Cleaned End_date]]-marketing_data[[#This Row],[Start_date]]</f>
        <v>25</v>
      </c>
    </row>
    <row r="1629" spans="1:21" x14ac:dyDescent="0.2">
      <c r="A1629" t="s">
        <v>3361</v>
      </c>
      <c r="B1629" t="s">
        <v>3362</v>
      </c>
      <c r="C1629" s="2">
        <v>44977</v>
      </c>
      <c r="D1629" t="str">
        <f t="shared" si="154"/>
        <v>Feb</v>
      </c>
      <c r="E1629" s="2">
        <v>44989</v>
      </c>
      <c r="F1629" t="s">
        <v>33</v>
      </c>
      <c r="G1629">
        <v>57638</v>
      </c>
      <c r="H1629">
        <v>864</v>
      </c>
      <c r="I1629">
        <v>126</v>
      </c>
      <c r="J1629" t="b">
        <v>0</v>
      </c>
      <c r="K1629" s="10">
        <v>1033.6099999999999</v>
      </c>
      <c r="L1629" s="6">
        <f t="shared" si="155"/>
        <v>1.4990110690863666E-2</v>
      </c>
      <c r="M1629">
        <f t="shared" si="156"/>
        <v>1.1963078703703702</v>
      </c>
      <c r="N1629">
        <f t="shared" si="157"/>
        <v>8.2032539682539678</v>
      </c>
      <c r="O1629">
        <f t="shared" si="158"/>
        <v>5266.39</v>
      </c>
      <c r="P1629">
        <f t="shared" si="159"/>
        <v>0.14583333333333334</v>
      </c>
      <c r="Q1629" t="s">
        <v>4138</v>
      </c>
      <c r="R1629" t="s">
        <v>4138</v>
      </c>
      <c r="S1629">
        <f>YEAR(marketing_data[[#This Row],[Start_date]])</f>
        <v>2023</v>
      </c>
      <c r="T1629" t="str">
        <f>TEXT(marketing_data[[#This Row],[Start_date]],"ddd")</f>
        <v>Mon</v>
      </c>
      <c r="U1629">
        <f>marketing_data[[#This Row],[Cleaned End_date]]-marketing_data[[#This Row],[Start_date]]</f>
        <v>12</v>
      </c>
    </row>
    <row r="1630" spans="1:21" x14ac:dyDescent="0.2">
      <c r="A1630" t="s">
        <v>3363</v>
      </c>
      <c r="B1630" t="s">
        <v>3364</v>
      </c>
      <c r="C1630" s="2">
        <v>45057</v>
      </c>
      <c r="D1630" t="str">
        <f t="shared" si="154"/>
        <v>May</v>
      </c>
      <c r="E1630" s="2">
        <v>45081</v>
      </c>
      <c r="F1630" t="s">
        <v>19</v>
      </c>
      <c r="G1630">
        <v>30757</v>
      </c>
      <c r="H1630">
        <v>1353</v>
      </c>
      <c r="I1630">
        <v>151</v>
      </c>
      <c r="J1630" t="b">
        <v>1</v>
      </c>
      <c r="K1630" s="10">
        <v>1933.18</v>
      </c>
      <c r="L1630" s="6">
        <f t="shared" si="155"/>
        <v>4.3989986019442727E-2</v>
      </c>
      <c r="M1630">
        <f t="shared" si="156"/>
        <v>1.4288100517368811</v>
      </c>
      <c r="N1630">
        <f t="shared" si="157"/>
        <v>12.802516556291391</v>
      </c>
      <c r="O1630">
        <f t="shared" si="158"/>
        <v>5616.82</v>
      </c>
      <c r="P1630">
        <f t="shared" si="159"/>
        <v>0.11160384331116038</v>
      </c>
      <c r="Q1630" t="s">
        <v>4137</v>
      </c>
      <c r="R1630" t="s">
        <v>4141</v>
      </c>
      <c r="S1630">
        <f>YEAR(marketing_data[[#This Row],[Start_date]])</f>
        <v>2023</v>
      </c>
      <c r="T1630" t="str">
        <f>TEXT(marketing_data[[#This Row],[Start_date]],"ddd")</f>
        <v>Thu</v>
      </c>
      <c r="U1630">
        <f>marketing_data[[#This Row],[Cleaned End_date]]-marketing_data[[#This Row],[Start_date]]</f>
        <v>24</v>
      </c>
    </row>
    <row r="1631" spans="1:21" x14ac:dyDescent="0.2">
      <c r="A1631" t="s">
        <v>3365</v>
      </c>
      <c r="B1631" t="s">
        <v>3366</v>
      </c>
      <c r="C1631" s="2">
        <v>45157</v>
      </c>
      <c r="D1631" t="str">
        <f t="shared" si="154"/>
        <v>Aug</v>
      </c>
      <c r="E1631" s="2">
        <v>45163</v>
      </c>
      <c r="F1631" t="s">
        <v>41</v>
      </c>
      <c r="G1631">
        <v>35636</v>
      </c>
      <c r="H1631">
        <v>847</v>
      </c>
      <c r="I1631">
        <v>79</v>
      </c>
      <c r="J1631" t="b">
        <v>1</v>
      </c>
      <c r="K1631" s="10">
        <v>1033.71</v>
      </c>
      <c r="L1631" s="6">
        <f t="shared" si="155"/>
        <v>2.3768099674486474E-2</v>
      </c>
      <c r="M1631">
        <f t="shared" si="156"/>
        <v>1.2204368358913813</v>
      </c>
      <c r="N1631">
        <f t="shared" si="157"/>
        <v>13.084936708860759</v>
      </c>
      <c r="O1631">
        <f t="shared" si="158"/>
        <v>2916.29</v>
      </c>
      <c r="P1631">
        <f t="shared" si="159"/>
        <v>9.3270365997638729E-2</v>
      </c>
      <c r="Q1631" t="s">
        <v>4139</v>
      </c>
      <c r="R1631" t="s">
        <v>4142</v>
      </c>
      <c r="S1631">
        <f>YEAR(marketing_data[[#This Row],[Start_date]])</f>
        <v>2023</v>
      </c>
      <c r="T1631" t="str">
        <f>TEXT(marketing_data[[#This Row],[Start_date]],"ddd")</f>
        <v>Sat</v>
      </c>
      <c r="U1631">
        <f>marketing_data[[#This Row],[Cleaned End_date]]-marketing_data[[#This Row],[Start_date]]</f>
        <v>6</v>
      </c>
    </row>
    <row r="1632" spans="1:21" x14ac:dyDescent="0.2">
      <c r="A1632" t="s">
        <v>3367</v>
      </c>
      <c r="B1632" t="s">
        <v>3368</v>
      </c>
      <c r="C1632" s="2">
        <v>45111</v>
      </c>
      <c r="D1632" t="str">
        <f t="shared" si="154"/>
        <v>Jul</v>
      </c>
      <c r="E1632" s="2">
        <v>45116</v>
      </c>
      <c r="F1632" t="s">
        <v>19</v>
      </c>
      <c r="G1632">
        <v>81097</v>
      </c>
      <c r="H1632">
        <v>911</v>
      </c>
      <c r="I1632">
        <v>96</v>
      </c>
      <c r="J1632" t="b">
        <v>0</v>
      </c>
      <c r="K1632" s="10">
        <v>1359.72</v>
      </c>
      <c r="L1632" s="6">
        <f t="shared" si="155"/>
        <v>1.1233461163791508E-2</v>
      </c>
      <c r="M1632">
        <f t="shared" si="156"/>
        <v>1.4925576289791438</v>
      </c>
      <c r="N1632">
        <f t="shared" si="157"/>
        <v>14.16375</v>
      </c>
      <c r="O1632">
        <f t="shared" si="158"/>
        <v>3440.2799999999997</v>
      </c>
      <c r="P1632">
        <f t="shared" si="159"/>
        <v>0.10537870472008781</v>
      </c>
      <c r="Q1632" t="s">
        <v>4139</v>
      </c>
      <c r="R1632" t="s">
        <v>4142</v>
      </c>
      <c r="S1632">
        <f>YEAR(marketing_data[[#This Row],[Start_date]])</f>
        <v>2023</v>
      </c>
      <c r="T1632" t="str">
        <f>TEXT(marketing_data[[#This Row],[Start_date]],"ddd")</f>
        <v>Tue</v>
      </c>
      <c r="U1632">
        <f>marketing_data[[#This Row],[Cleaned End_date]]-marketing_data[[#This Row],[Start_date]]</f>
        <v>5</v>
      </c>
    </row>
    <row r="1633" spans="1:21" x14ac:dyDescent="0.2">
      <c r="A1633" t="s">
        <v>3369</v>
      </c>
      <c r="B1633" t="s">
        <v>3370</v>
      </c>
      <c r="C1633" s="2">
        <v>45058</v>
      </c>
      <c r="D1633" t="str">
        <f t="shared" si="154"/>
        <v>May</v>
      </c>
      <c r="E1633" s="2">
        <v>45076</v>
      </c>
      <c r="F1633" t="s">
        <v>23</v>
      </c>
      <c r="G1633">
        <v>49280</v>
      </c>
      <c r="H1633">
        <v>595</v>
      </c>
      <c r="I1633">
        <v>75</v>
      </c>
      <c r="J1633" t="b">
        <v>0</v>
      </c>
      <c r="K1633" s="10">
        <v>493.07</v>
      </c>
      <c r="L1633" s="6">
        <f t="shared" si="155"/>
        <v>1.2073863636363636E-2</v>
      </c>
      <c r="M1633">
        <f t="shared" si="156"/>
        <v>0.82868907563025207</v>
      </c>
      <c r="N1633">
        <f t="shared" si="157"/>
        <v>6.5742666666666665</v>
      </c>
      <c r="O1633">
        <f t="shared" si="158"/>
        <v>3256.93</v>
      </c>
      <c r="P1633">
        <f t="shared" si="159"/>
        <v>0.12605042016806722</v>
      </c>
      <c r="Q1633" t="s">
        <v>4137</v>
      </c>
      <c r="R1633" t="s">
        <v>4138</v>
      </c>
      <c r="S1633">
        <f>YEAR(marketing_data[[#This Row],[Start_date]])</f>
        <v>2023</v>
      </c>
      <c r="T1633" t="str">
        <f>TEXT(marketing_data[[#This Row],[Start_date]],"ddd")</f>
        <v>Fri</v>
      </c>
      <c r="U1633">
        <f>marketing_data[[#This Row],[Cleaned End_date]]-marketing_data[[#This Row],[Start_date]]</f>
        <v>18</v>
      </c>
    </row>
    <row r="1634" spans="1:21" x14ac:dyDescent="0.2">
      <c r="A1634" t="s">
        <v>3371</v>
      </c>
      <c r="B1634" t="s">
        <v>3372</v>
      </c>
      <c r="C1634" s="2">
        <v>45106</v>
      </c>
      <c r="D1634" t="str">
        <f t="shared" si="154"/>
        <v>Jun</v>
      </c>
      <c r="E1634" s="2">
        <v>45136</v>
      </c>
      <c r="F1634" t="s">
        <v>33</v>
      </c>
      <c r="G1634">
        <v>25262</v>
      </c>
      <c r="H1634">
        <v>396</v>
      </c>
      <c r="I1634">
        <v>38</v>
      </c>
      <c r="J1634" t="b">
        <v>1</v>
      </c>
      <c r="K1634" s="10">
        <v>329.13249999999999</v>
      </c>
      <c r="L1634" s="6">
        <f t="shared" si="155"/>
        <v>1.5675718470429895E-2</v>
      </c>
      <c r="M1634">
        <f t="shared" si="156"/>
        <v>0.83114267676767672</v>
      </c>
      <c r="N1634">
        <f t="shared" si="157"/>
        <v>8.6613815789473687</v>
      </c>
      <c r="O1634">
        <f t="shared" si="158"/>
        <v>1570.8675000000001</v>
      </c>
      <c r="P1634">
        <f t="shared" si="159"/>
        <v>9.5959595959595953E-2</v>
      </c>
      <c r="Q1634" t="s">
        <v>4139</v>
      </c>
      <c r="R1634" t="s">
        <v>4139</v>
      </c>
      <c r="S1634">
        <f>YEAR(marketing_data[[#This Row],[Start_date]])</f>
        <v>2023</v>
      </c>
      <c r="T1634" t="str">
        <f>TEXT(marketing_data[[#This Row],[Start_date]],"ddd")</f>
        <v>Thu</v>
      </c>
      <c r="U1634">
        <f>marketing_data[[#This Row],[Cleaned End_date]]-marketing_data[[#This Row],[Start_date]]</f>
        <v>30</v>
      </c>
    </row>
    <row r="1635" spans="1:21" x14ac:dyDescent="0.2">
      <c r="A1635" t="s">
        <v>3373</v>
      </c>
      <c r="B1635" t="s">
        <v>3374</v>
      </c>
      <c r="C1635" s="2">
        <v>45028</v>
      </c>
      <c r="D1635" t="str">
        <f t="shared" si="154"/>
        <v>Apr</v>
      </c>
      <c r="E1635" s="2">
        <v>45058</v>
      </c>
      <c r="F1635" t="str">
        <f>F1634</f>
        <v>Instagram</v>
      </c>
      <c r="G1635">
        <v>81435</v>
      </c>
      <c r="H1635">
        <v>1509</v>
      </c>
      <c r="I1635">
        <v>294</v>
      </c>
      <c r="J1635" t="b">
        <v>0</v>
      </c>
      <c r="K1635" s="10">
        <v>2104.5300000000002</v>
      </c>
      <c r="L1635" s="6">
        <f t="shared" si="155"/>
        <v>1.8530116043470251E-2</v>
      </c>
      <c r="M1635">
        <f t="shared" si="156"/>
        <v>1.3946520874751491</v>
      </c>
      <c r="N1635">
        <f t="shared" si="157"/>
        <v>7.1582653061224493</v>
      </c>
      <c r="O1635">
        <f t="shared" si="158"/>
        <v>12595.47</v>
      </c>
      <c r="P1635">
        <f t="shared" si="159"/>
        <v>0.19483101391650098</v>
      </c>
      <c r="Q1635" t="s">
        <v>4137</v>
      </c>
      <c r="R1635" t="s">
        <v>4138</v>
      </c>
      <c r="S1635">
        <f>YEAR(marketing_data[[#This Row],[Start_date]])</f>
        <v>2023</v>
      </c>
      <c r="T1635" t="str">
        <f>TEXT(marketing_data[[#This Row],[Start_date]],"ddd")</f>
        <v>Wed</v>
      </c>
      <c r="U1635">
        <f>marketing_data[[#This Row],[Cleaned End_date]]-marketing_data[[#This Row],[Start_date]]</f>
        <v>30</v>
      </c>
    </row>
    <row r="1636" spans="1:21" x14ac:dyDescent="0.2">
      <c r="A1636" t="s">
        <v>3375</v>
      </c>
      <c r="B1636" t="s">
        <v>3376</v>
      </c>
      <c r="C1636" s="2">
        <v>45202</v>
      </c>
      <c r="D1636" t="str">
        <f t="shared" si="154"/>
        <v>Oct</v>
      </c>
      <c r="E1636" s="2">
        <v>45210</v>
      </c>
      <c r="F1636" t="s">
        <v>41</v>
      </c>
      <c r="G1636">
        <v>63211</v>
      </c>
      <c r="H1636">
        <v>2313</v>
      </c>
      <c r="I1636">
        <v>439</v>
      </c>
      <c r="J1636" t="b">
        <v>1</v>
      </c>
      <c r="K1636" s="10">
        <v>2838.13</v>
      </c>
      <c r="L1636" s="6">
        <f t="shared" si="155"/>
        <v>3.6591732451630256E-2</v>
      </c>
      <c r="M1636">
        <f t="shared" si="156"/>
        <v>1.2270341547773456</v>
      </c>
      <c r="N1636">
        <f t="shared" si="157"/>
        <v>6.4649886104783603</v>
      </c>
      <c r="O1636">
        <f t="shared" si="158"/>
        <v>19111.87</v>
      </c>
      <c r="P1636">
        <f t="shared" si="159"/>
        <v>0.18979680069174232</v>
      </c>
      <c r="Q1636" t="s">
        <v>4136</v>
      </c>
      <c r="R1636" t="s">
        <v>4142</v>
      </c>
      <c r="S1636">
        <f>YEAR(marketing_data[[#This Row],[Start_date]])</f>
        <v>2023</v>
      </c>
      <c r="T1636" t="str">
        <f>TEXT(marketing_data[[#This Row],[Start_date]],"ddd")</f>
        <v>Tue</v>
      </c>
      <c r="U1636">
        <f>marketing_data[[#This Row],[Cleaned End_date]]-marketing_data[[#This Row],[Start_date]]</f>
        <v>8</v>
      </c>
    </row>
    <row r="1637" spans="1:21" x14ac:dyDescent="0.2">
      <c r="A1637" t="s">
        <v>3377</v>
      </c>
      <c r="B1637" t="s">
        <v>3378</v>
      </c>
      <c r="C1637" s="2">
        <v>45108</v>
      </c>
      <c r="D1637" t="str">
        <f t="shared" si="154"/>
        <v>Jul</v>
      </c>
      <c r="E1637" s="2">
        <v>45134</v>
      </c>
      <c r="F1637" t="s">
        <v>33</v>
      </c>
      <c r="G1637">
        <v>55842</v>
      </c>
      <c r="H1637">
        <v>909</v>
      </c>
      <c r="I1637">
        <v>164</v>
      </c>
      <c r="J1637" t="b">
        <v>0</v>
      </c>
      <c r="K1637" s="10">
        <v>491.13</v>
      </c>
      <c r="L1637" s="6">
        <f t="shared" si="155"/>
        <v>1.6278070269689481E-2</v>
      </c>
      <c r="M1637">
        <f t="shared" si="156"/>
        <v>0.54029702970297033</v>
      </c>
      <c r="N1637">
        <f t="shared" si="157"/>
        <v>2.9946951219512195</v>
      </c>
      <c r="O1637">
        <f t="shared" si="158"/>
        <v>7708.87</v>
      </c>
      <c r="P1637">
        <f t="shared" si="159"/>
        <v>0.18041804180418042</v>
      </c>
      <c r="Q1637" t="s">
        <v>4139</v>
      </c>
      <c r="R1637" t="s">
        <v>4141</v>
      </c>
      <c r="S1637">
        <f>YEAR(marketing_data[[#This Row],[Start_date]])</f>
        <v>2023</v>
      </c>
      <c r="T1637" t="str">
        <f>TEXT(marketing_data[[#This Row],[Start_date]],"ddd")</f>
        <v>Sat</v>
      </c>
      <c r="U1637">
        <f>marketing_data[[#This Row],[Cleaned End_date]]-marketing_data[[#This Row],[Start_date]]</f>
        <v>26</v>
      </c>
    </row>
    <row r="1638" spans="1:21" x14ac:dyDescent="0.2">
      <c r="A1638" t="s">
        <v>3379</v>
      </c>
      <c r="B1638" t="s">
        <v>3380</v>
      </c>
      <c r="C1638" s="2">
        <v>45155</v>
      </c>
      <c r="D1638" t="str">
        <f t="shared" si="154"/>
        <v>Aug</v>
      </c>
      <c r="E1638" s="2">
        <v>45156</v>
      </c>
      <c r="F1638" t="s">
        <v>33</v>
      </c>
      <c r="G1638">
        <v>57979</v>
      </c>
      <c r="H1638">
        <v>855</v>
      </c>
      <c r="I1638">
        <v>96</v>
      </c>
      <c r="J1638" t="b">
        <v>1</v>
      </c>
      <c r="K1638" s="10">
        <v>915.47</v>
      </c>
      <c r="L1638" s="6">
        <f t="shared" si="155"/>
        <v>1.4746718639507408E-2</v>
      </c>
      <c r="M1638">
        <f t="shared" si="156"/>
        <v>1.0707251461988305</v>
      </c>
      <c r="N1638">
        <f t="shared" si="157"/>
        <v>9.5361458333333342</v>
      </c>
      <c r="O1638">
        <f t="shared" si="158"/>
        <v>3884.5299999999997</v>
      </c>
      <c r="P1638">
        <f t="shared" si="159"/>
        <v>0.11228070175438597</v>
      </c>
      <c r="Q1638" t="s">
        <v>4139</v>
      </c>
      <c r="R1638" t="s">
        <v>4138</v>
      </c>
      <c r="S1638">
        <f>YEAR(marketing_data[[#This Row],[Start_date]])</f>
        <v>2023</v>
      </c>
      <c r="T1638" t="str">
        <f>TEXT(marketing_data[[#This Row],[Start_date]],"ddd")</f>
        <v>Thu</v>
      </c>
      <c r="U1638">
        <f>marketing_data[[#This Row],[Cleaned End_date]]-marketing_data[[#This Row],[Start_date]]</f>
        <v>1</v>
      </c>
    </row>
    <row r="1639" spans="1:21" x14ac:dyDescent="0.2">
      <c r="A1639" t="s">
        <v>3381</v>
      </c>
      <c r="B1639" t="s">
        <v>3382</v>
      </c>
      <c r="C1639" s="2">
        <v>45073</v>
      </c>
      <c r="D1639" t="str">
        <f t="shared" si="154"/>
        <v>May</v>
      </c>
      <c r="E1639" s="2">
        <v>45084</v>
      </c>
      <c r="F1639" t="str">
        <f>F1638</f>
        <v>Instagram</v>
      </c>
      <c r="G1639">
        <v>82470</v>
      </c>
      <c r="H1639">
        <v>3347</v>
      </c>
      <c r="I1639">
        <v>514</v>
      </c>
      <c r="J1639" t="b">
        <v>1</v>
      </c>
      <c r="K1639" s="10">
        <v>2206.3000000000002</v>
      </c>
      <c r="L1639" s="6">
        <f t="shared" si="155"/>
        <v>4.0584454953316355E-2</v>
      </c>
      <c r="M1639">
        <f t="shared" si="156"/>
        <v>0.65918733193904999</v>
      </c>
      <c r="N1639">
        <f t="shared" si="157"/>
        <v>4.2924124513618684</v>
      </c>
      <c r="O1639">
        <f t="shared" si="158"/>
        <v>23493.7</v>
      </c>
      <c r="P1639">
        <f t="shared" si="159"/>
        <v>0.15357036151777712</v>
      </c>
      <c r="Q1639" t="s">
        <v>4137</v>
      </c>
      <c r="R1639" t="s">
        <v>4139</v>
      </c>
      <c r="S1639">
        <f>YEAR(marketing_data[[#This Row],[Start_date]])</f>
        <v>2023</v>
      </c>
      <c r="T1639" t="str">
        <f>TEXT(marketing_data[[#This Row],[Start_date]],"ddd")</f>
        <v>Sat</v>
      </c>
      <c r="U1639">
        <f>marketing_data[[#This Row],[Cleaned End_date]]-marketing_data[[#This Row],[Start_date]]</f>
        <v>11</v>
      </c>
    </row>
    <row r="1640" spans="1:21" x14ac:dyDescent="0.2">
      <c r="A1640" t="s">
        <v>3383</v>
      </c>
      <c r="B1640" t="s">
        <v>3384</v>
      </c>
      <c r="C1640" s="2">
        <v>45012</v>
      </c>
      <c r="D1640" t="str">
        <f t="shared" si="154"/>
        <v>Mar</v>
      </c>
      <c r="E1640" s="2">
        <v>45040</v>
      </c>
      <c r="F1640" t="s">
        <v>33</v>
      </c>
      <c r="G1640">
        <v>39197</v>
      </c>
      <c r="H1640">
        <v>1444</v>
      </c>
      <c r="I1640">
        <v>267</v>
      </c>
      <c r="J1640" t="b">
        <v>0</v>
      </c>
      <c r="K1640" s="10">
        <v>1872.92</v>
      </c>
      <c r="L1640" s="6">
        <f t="shared" si="155"/>
        <v>3.6839554047503636E-2</v>
      </c>
      <c r="M1640">
        <f t="shared" si="156"/>
        <v>1.2970360110803325</v>
      </c>
      <c r="N1640">
        <f t="shared" si="157"/>
        <v>7.0146816479400753</v>
      </c>
      <c r="O1640">
        <f t="shared" si="158"/>
        <v>11477.08</v>
      </c>
      <c r="P1640">
        <f t="shared" si="159"/>
        <v>0.18490304709141275</v>
      </c>
      <c r="Q1640" t="s">
        <v>4137</v>
      </c>
      <c r="R1640" t="s">
        <v>4142</v>
      </c>
      <c r="S1640">
        <f>YEAR(marketing_data[[#This Row],[Start_date]])</f>
        <v>2023</v>
      </c>
      <c r="T1640" t="str">
        <f>TEXT(marketing_data[[#This Row],[Start_date]],"ddd")</f>
        <v>Mon</v>
      </c>
      <c r="U1640">
        <f>marketing_data[[#This Row],[Cleaned End_date]]-marketing_data[[#This Row],[Start_date]]</f>
        <v>28</v>
      </c>
    </row>
    <row r="1641" spans="1:21" x14ac:dyDescent="0.2">
      <c r="A1641" t="s">
        <v>3385</v>
      </c>
      <c r="B1641" t="s">
        <v>3386</v>
      </c>
      <c r="C1641" s="2">
        <v>45142</v>
      </c>
      <c r="D1641" t="str">
        <f t="shared" si="154"/>
        <v>Aug</v>
      </c>
      <c r="E1641" s="2">
        <v>45148</v>
      </c>
      <c r="F1641" t="s">
        <v>14</v>
      </c>
      <c r="G1641">
        <v>42844</v>
      </c>
      <c r="H1641">
        <v>1174</v>
      </c>
      <c r="I1641">
        <v>208</v>
      </c>
      <c r="J1641" t="b">
        <v>0</v>
      </c>
      <c r="K1641" s="10">
        <v>1283.96</v>
      </c>
      <c r="L1641" s="6">
        <f t="shared" si="155"/>
        <v>2.7401736532536646E-2</v>
      </c>
      <c r="M1641">
        <f t="shared" si="156"/>
        <v>1.0936626916524703</v>
      </c>
      <c r="N1641">
        <f t="shared" si="157"/>
        <v>6.172884615384616</v>
      </c>
      <c r="O1641">
        <f t="shared" si="158"/>
        <v>9116.0400000000009</v>
      </c>
      <c r="P1641">
        <f t="shared" si="159"/>
        <v>0.17717206132879046</v>
      </c>
      <c r="Q1641" t="s">
        <v>4139</v>
      </c>
      <c r="R1641" t="s">
        <v>4142</v>
      </c>
      <c r="S1641">
        <f>YEAR(marketing_data[[#This Row],[Start_date]])</f>
        <v>2023</v>
      </c>
      <c r="T1641" t="str">
        <f>TEXT(marketing_data[[#This Row],[Start_date]],"ddd")</f>
        <v>Fri</v>
      </c>
      <c r="U1641">
        <f>marketing_data[[#This Row],[Cleaned End_date]]-marketing_data[[#This Row],[Start_date]]</f>
        <v>6</v>
      </c>
    </row>
    <row r="1642" spans="1:21" x14ac:dyDescent="0.2">
      <c r="A1642" t="s">
        <v>3387</v>
      </c>
      <c r="B1642" t="s">
        <v>3388</v>
      </c>
      <c r="C1642" s="2">
        <v>45079</v>
      </c>
      <c r="D1642" t="str">
        <f t="shared" si="154"/>
        <v>Jun</v>
      </c>
      <c r="E1642" s="2">
        <v>45109</v>
      </c>
      <c r="F1642" t="s">
        <v>33</v>
      </c>
      <c r="G1642">
        <v>65754</v>
      </c>
      <c r="H1642">
        <v>2102</v>
      </c>
      <c r="I1642">
        <v>235</v>
      </c>
      <c r="J1642" t="b">
        <v>0</v>
      </c>
      <c r="K1642" s="10">
        <v>2984.27</v>
      </c>
      <c r="L1642" s="6">
        <f t="shared" si="155"/>
        <v>3.1967636949843357E-2</v>
      </c>
      <c r="M1642">
        <f t="shared" si="156"/>
        <v>1.4197288296860133</v>
      </c>
      <c r="N1642">
        <f t="shared" si="157"/>
        <v>12.699021276595744</v>
      </c>
      <c r="O1642">
        <f t="shared" si="158"/>
        <v>8765.73</v>
      </c>
      <c r="P1642">
        <f t="shared" si="159"/>
        <v>0.11179828734538534</v>
      </c>
      <c r="Q1642" t="s">
        <v>4139</v>
      </c>
      <c r="R1642" t="s">
        <v>4141</v>
      </c>
      <c r="S1642">
        <f>YEAR(marketing_data[[#This Row],[Start_date]])</f>
        <v>2023</v>
      </c>
      <c r="T1642" t="str">
        <f>TEXT(marketing_data[[#This Row],[Start_date]],"ddd")</f>
        <v>Fri</v>
      </c>
      <c r="U1642">
        <f>marketing_data[[#This Row],[Cleaned End_date]]-marketing_data[[#This Row],[Start_date]]</f>
        <v>30</v>
      </c>
    </row>
    <row r="1643" spans="1:21" x14ac:dyDescent="0.2">
      <c r="A1643" t="s">
        <v>3389</v>
      </c>
      <c r="B1643" t="s">
        <v>3390</v>
      </c>
      <c r="C1643" s="2">
        <v>45102</v>
      </c>
      <c r="D1643" t="str">
        <f t="shared" si="154"/>
        <v>Jun</v>
      </c>
      <c r="E1643" s="2">
        <v>45111</v>
      </c>
      <c r="F1643" t="s">
        <v>23</v>
      </c>
      <c r="G1643">
        <v>35157</v>
      </c>
      <c r="H1643">
        <v>790</v>
      </c>
      <c r="J1643" t="b">
        <v>1</v>
      </c>
      <c r="K1643" s="10">
        <v>1349.64</v>
      </c>
      <c r="L1643" s="6">
        <f t="shared" si="155"/>
        <v>2.2470631737634042E-2</v>
      </c>
      <c r="M1643">
        <f t="shared" si="156"/>
        <v>1.7084050632911394</v>
      </c>
      <c r="N1643">
        <f t="shared" si="157"/>
        <v>0</v>
      </c>
      <c r="O1643">
        <f t="shared" si="158"/>
        <v>-1349.64</v>
      </c>
      <c r="P1643">
        <f t="shared" si="159"/>
        <v>0</v>
      </c>
      <c r="Q1643" t="s">
        <v>4139</v>
      </c>
      <c r="R1643" t="s">
        <v>4141</v>
      </c>
      <c r="S1643">
        <f>YEAR(marketing_data[[#This Row],[Start_date]])</f>
        <v>2023</v>
      </c>
      <c r="T1643" t="str">
        <f>TEXT(marketing_data[[#This Row],[Start_date]],"ddd")</f>
        <v>Sun</v>
      </c>
      <c r="U1643">
        <f>marketing_data[[#This Row],[Cleaned End_date]]-marketing_data[[#This Row],[Start_date]]</f>
        <v>9</v>
      </c>
    </row>
    <row r="1644" spans="1:21" x14ac:dyDescent="0.2">
      <c r="A1644" t="s">
        <v>3391</v>
      </c>
      <c r="B1644" t="s">
        <v>3392</v>
      </c>
      <c r="C1644" s="2">
        <v>45076</v>
      </c>
      <c r="D1644" t="str">
        <f t="shared" si="154"/>
        <v>May</v>
      </c>
      <c r="E1644" s="2">
        <v>45093</v>
      </c>
      <c r="F1644" t="s">
        <v>14</v>
      </c>
      <c r="G1644">
        <v>78129</v>
      </c>
      <c r="H1644">
        <v>2289</v>
      </c>
      <c r="I1644">
        <v>140</v>
      </c>
      <c r="J1644" t="b">
        <v>1</v>
      </c>
      <c r="K1644" s="10">
        <v>2173.41</v>
      </c>
      <c r="L1644" s="6">
        <f t="shared" si="155"/>
        <v>2.9297699957762161E-2</v>
      </c>
      <c r="M1644">
        <f t="shared" si="156"/>
        <v>0.94950196592398417</v>
      </c>
      <c r="N1644">
        <f t="shared" si="157"/>
        <v>15.524357142857141</v>
      </c>
      <c r="O1644">
        <f t="shared" si="158"/>
        <v>4826.59</v>
      </c>
      <c r="P1644">
        <f t="shared" si="159"/>
        <v>6.1162079510703363E-2</v>
      </c>
      <c r="Q1644" t="s">
        <v>4137</v>
      </c>
      <c r="R1644" t="s">
        <v>4142</v>
      </c>
      <c r="S1644">
        <f>YEAR(marketing_data[[#This Row],[Start_date]])</f>
        <v>2023</v>
      </c>
      <c r="T1644" t="str">
        <f>TEXT(marketing_data[[#This Row],[Start_date]],"ddd")</f>
        <v>Tue</v>
      </c>
      <c r="U1644">
        <f>marketing_data[[#This Row],[Cleaned End_date]]-marketing_data[[#This Row],[Start_date]]</f>
        <v>17</v>
      </c>
    </row>
    <row r="1645" spans="1:21" x14ac:dyDescent="0.2">
      <c r="A1645" t="s">
        <v>3393</v>
      </c>
      <c r="B1645" t="s">
        <v>3394</v>
      </c>
      <c r="C1645" s="2">
        <v>45129</v>
      </c>
      <c r="D1645" t="str">
        <f t="shared" si="154"/>
        <v>Jul</v>
      </c>
      <c r="E1645" s="2">
        <v>45156</v>
      </c>
      <c r="F1645" t="s">
        <v>41</v>
      </c>
      <c r="G1645">
        <v>41042</v>
      </c>
      <c r="H1645">
        <v>1242</v>
      </c>
      <c r="I1645">
        <v>169</v>
      </c>
      <c r="J1645" t="b">
        <v>1</v>
      </c>
      <c r="K1645" s="10">
        <v>2413.4</v>
      </c>
      <c r="L1645" s="6">
        <f t="shared" si="155"/>
        <v>3.0261683153842405E-2</v>
      </c>
      <c r="M1645">
        <f t="shared" si="156"/>
        <v>1.943156199677939</v>
      </c>
      <c r="N1645">
        <f t="shared" si="157"/>
        <v>14.280473372781065</v>
      </c>
      <c r="O1645">
        <f t="shared" si="158"/>
        <v>6036.6</v>
      </c>
      <c r="P1645">
        <f t="shared" si="159"/>
        <v>0.1360708534621578</v>
      </c>
      <c r="Q1645" t="s">
        <v>4139</v>
      </c>
      <c r="R1645" t="s">
        <v>4142</v>
      </c>
      <c r="S1645">
        <f>YEAR(marketing_data[[#This Row],[Start_date]])</f>
        <v>2023</v>
      </c>
      <c r="T1645" t="str">
        <f>TEXT(marketing_data[[#This Row],[Start_date]],"ddd")</f>
        <v>Sat</v>
      </c>
      <c r="U1645">
        <f>marketing_data[[#This Row],[Cleaned End_date]]-marketing_data[[#This Row],[Start_date]]</f>
        <v>27</v>
      </c>
    </row>
    <row r="1646" spans="1:21" x14ac:dyDescent="0.2">
      <c r="A1646" t="s">
        <v>3395</v>
      </c>
      <c r="B1646" t="s">
        <v>3396</v>
      </c>
      <c r="C1646" s="2">
        <v>45112</v>
      </c>
      <c r="D1646" t="str">
        <f t="shared" si="154"/>
        <v>Jul</v>
      </c>
      <c r="E1646" s="2">
        <v>45113</v>
      </c>
      <c r="F1646" t="s">
        <v>14</v>
      </c>
      <c r="G1646">
        <v>62665</v>
      </c>
      <c r="H1646">
        <v>1597</v>
      </c>
      <c r="I1646">
        <v>233</v>
      </c>
      <c r="J1646" t="b">
        <v>1</v>
      </c>
      <c r="K1646" s="10">
        <v>2081.61</v>
      </c>
      <c r="L1646" s="6">
        <f t="shared" si="155"/>
        <v>2.5484720338306871E-2</v>
      </c>
      <c r="M1646">
        <f t="shared" si="156"/>
        <v>1.3034502191609267</v>
      </c>
      <c r="N1646">
        <f t="shared" si="157"/>
        <v>8.9339484978540771</v>
      </c>
      <c r="O1646">
        <f t="shared" si="158"/>
        <v>9568.39</v>
      </c>
      <c r="P1646">
        <f t="shared" si="159"/>
        <v>0.14589855979962429</v>
      </c>
      <c r="Q1646" t="s">
        <v>4139</v>
      </c>
      <c r="R1646" t="s">
        <v>4141</v>
      </c>
      <c r="S1646">
        <f>YEAR(marketing_data[[#This Row],[Start_date]])</f>
        <v>2023</v>
      </c>
      <c r="T1646" t="str">
        <f>TEXT(marketing_data[[#This Row],[Start_date]],"ddd")</f>
        <v>Wed</v>
      </c>
      <c r="U1646">
        <f>marketing_data[[#This Row],[Cleaned End_date]]-marketing_data[[#This Row],[Start_date]]</f>
        <v>1</v>
      </c>
    </row>
    <row r="1647" spans="1:21" x14ac:dyDescent="0.2">
      <c r="A1647" t="s">
        <v>3397</v>
      </c>
      <c r="B1647" t="s">
        <v>3398</v>
      </c>
      <c r="C1647" s="2">
        <v>45157</v>
      </c>
      <c r="D1647" t="str">
        <f t="shared" si="154"/>
        <v>Aug</v>
      </c>
      <c r="E1647" s="2">
        <v>45174</v>
      </c>
      <c r="F1647" t="s">
        <v>41</v>
      </c>
      <c r="G1647">
        <v>83856</v>
      </c>
      <c r="H1647">
        <v>3879</v>
      </c>
      <c r="I1647">
        <v>688</v>
      </c>
      <c r="J1647" t="b">
        <v>0</v>
      </c>
      <c r="K1647" s="10">
        <v>3631.7599999999998</v>
      </c>
      <c r="L1647" s="6">
        <f t="shared" si="155"/>
        <v>4.6257870635374926E-2</v>
      </c>
      <c r="M1647">
        <f t="shared" si="156"/>
        <v>0.93626192317607626</v>
      </c>
      <c r="N1647">
        <f t="shared" si="157"/>
        <v>5.2787209302325575</v>
      </c>
      <c r="O1647">
        <f t="shared" si="158"/>
        <v>30768.240000000002</v>
      </c>
      <c r="P1647">
        <f t="shared" si="159"/>
        <v>0.17736530033513792</v>
      </c>
      <c r="Q1647" t="s">
        <v>4139</v>
      </c>
      <c r="R1647" t="s">
        <v>4138</v>
      </c>
      <c r="S1647">
        <f>YEAR(marketing_data[[#This Row],[Start_date]])</f>
        <v>2023</v>
      </c>
      <c r="T1647" t="str">
        <f>TEXT(marketing_data[[#This Row],[Start_date]],"ddd")</f>
        <v>Sat</v>
      </c>
      <c r="U1647">
        <f>marketing_data[[#This Row],[Cleaned End_date]]-marketing_data[[#This Row],[Start_date]]</f>
        <v>17</v>
      </c>
    </row>
    <row r="1648" spans="1:21" x14ac:dyDescent="0.2">
      <c r="A1648" t="s">
        <v>3399</v>
      </c>
      <c r="B1648" t="s">
        <v>3400</v>
      </c>
      <c r="C1648" s="2">
        <v>44938</v>
      </c>
      <c r="D1648" t="str">
        <f t="shared" si="154"/>
        <v>Jan</v>
      </c>
      <c r="E1648" s="2">
        <v>44955</v>
      </c>
      <c r="F1648" t="s">
        <v>33</v>
      </c>
      <c r="G1648">
        <v>28376</v>
      </c>
      <c r="H1648">
        <v>301</v>
      </c>
      <c r="I1648">
        <v>28</v>
      </c>
      <c r="J1648" t="b">
        <v>1</v>
      </c>
      <c r="K1648" s="10">
        <v>457.82</v>
      </c>
      <c r="L1648" s="6">
        <f t="shared" si="155"/>
        <v>1.0607555680857063E-2</v>
      </c>
      <c r="M1648">
        <f t="shared" si="156"/>
        <v>1.5209966777408637</v>
      </c>
      <c r="N1648">
        <f t="shared" si="157"/>
        <v>16.350714285714286</v>
      </c>
      <c r="O1648">
        <f t="shared" si="158"/>
        <v>942.18000000000006</v>
      </c>
      <c r="P1648">
        <f t="shared" si="159"/>
        <v>9.3023255813953487E-2</v>
      </c>
      <c r="Q1648" t="s">
        <v>4138</v>
      </c>
      <c r="R1648" t="s">
        <v>4142</v>
      </c>
      <c r="S1648">
        <f>YEAR(marketing_data[[#This Row],[Start_date]])</f>
        <v>2023</v>
      </c>
      <c r="T1648" t="str">
        <f>TEXT(marketing_data[[#This Row],[Start_date]],"ddd")</f>
        <v>Thu</v>
      </c>
      <c r="U1648">
        <f>marketing_data[[#This Row],[Cleaned End_date]]-marketing_data[[#This Row],[Start_date]]</f>
        <v>17</v>
      </c>
    </row>
    <row r="1649" spans="1:21" x14ac:dyDescent="0.2">
      <c r="A1649" t="s">
        <v>3401</v>
      </c>
      <c r="B1649" t="s">
        <v>3402</v>
      </c>
      <c r="C1649" s="2">
        <v>45055</v>
      </c>
      <c r="D1649" t="str">
        <f t="shared" si="154"/>
        <v>May</v>
      </c>
      <c r="E1649" s="2">
        <v>45084</v>
      </c>
      <c r="F1649" t="s">
        <v>23</v>
      </c>
      <c r="G1649">
        <v>56554</v>
      </c>
      <c r="H1649">
        <v>2334</v>
      </c>
      <c r="I1649">
        <v>175</v>
      </c>
      <c r="J1649" t="b">
        <v>0</v>
      </c>
      <c r="K1649" s="10">
        <v>3501.23</v>
      </c>
      <c r="L1649" s="6">
        <f t="shared" si="155"/>
        <v>4.1270290341974041E-2</v>
      </c>
      <c r="M1649">
        <f t="shared" si="156"/>
        <v>1.5000985432733505</v>
      </c>
      <c r="N1649">
        <f t="shared" si="157"/>
        <v>20.00702857142857</v>
      </c>
      <c r="O1649">
        <f t="shared" si="158"/>
        <v>5248.77</v>
      </c>
      <c r="P1649">
        <f t="shared" si="159"/>
        <v>7.4978577549271633E-2</v>
      </c>
      <c r="Q1649" t="s">
        <v>4137</v>
      </c>
      <c r="R1649" t="s">
        <v>4141</v>
      </c>
      <c r="S1649">
        <f>YEAR(marketing_data[[#This Row],[Start_date]])</f>
        <v>2023</v>
      </c>
      <c r="T1649" t="str">
        <f>TEXT(marketing_data[[#This Row],[Start_date]],"ddd")</f>
        <v>Tue</v>
      </c>
      <c r="U1649">
        <f>marketing_data[[#This Row],[Cleaned End_date]]-marketing_data[[#This Row],[Start_date]]</f>
        <v>29</v>
      </c>
    </row>
    <row r="1650" spans="1:21" x14ac:dyDescent="0.2">
      <c r="A1650" t="s">
        <v>3403</v>
      </c>
      <c r="B1650" t="s">
        <v>3404</v>
      </c>
      <c r="C1650" s="2">
        <v>44967</v>
      </c>
      <c r="D1650" t="str">
        <f t="shared" si="154"/>
        <v>Feb</v>
      </c>
      <c r="E1650" s="2">
        <v>44969</v>
      </c>
      <c r="F1650" t="s">
        <v>33</v>
      </c>
      <c r="G1650">
        <v>15199</v>
      </c>
      <c r="H1650">
        <v>227</v>
      </c>
      <c r="I1650">
        <v>24</v>
      </c>
      <c r="J1650" t="b">
        <v>0</v>
      </c>
      <c r="K1650" s="10">
        <v>329.13249999999999</v>
      </c>
      <c r="L1650" s="6">
        <f t="shared" si="155"/>
        <v>1.4935193104809527E-2</v>
      </c>
      <c r="M1650">
        <f t="shared" si="156"/>
        <v>1.4499229074889868</v>
      </c>
      <c r="N1650">
        <f t="shared" si="157"/>
        <v>13.713854166666666</v>
      </c>
      <c r="O1650">
        <f t="shared" si="158"/>
        <v>870.86750000000006</v>
      </c>
      <c r="P1650">
        <f t="shared" si="159"/>
        <v>0.10572687224669604</v>
      </c>
      <c r="Q1650" t="s">
        <v>4138</v>
      </c>
      <c r="R1650" t="s">
        <v>4138</v>
      </c>
      <c r="S1650">
        <f>YEAR(marketing_data[[#This Row],[Start_date]])</f>
        <v>2023</v>
      </c>
      <c r="T1650" t="str">
        <f>TEXT(marketing_data[[#This Row],[Start_date]],"ddd")</f>
        <v>Fri</v>
      </c>
      <c r="U1650">
        <f>marketing_data[[#This Row],[Cleaned End_date]]-marketing_data[[#This Row],[Start_date]]</f>
        <v>2</v>
      </c>
    </row>
    <row r="1651" spans="1:21" x14ac:dyDescent="0.2">
      <c r="A1651" t="s">
        <v>3405</v>
      </c>
      <c r="B1651" t="s">
        <v>3406</v>
      </c>
      <c r="C1651" s="2">
        <v>44975</v>
      </c>
      <c r="D1651" t="str">
        <f t="shared" si="154"/>
        <v>Feb</v>
      </c>
      <c r="E1651" s="2">
        <v>44988</v>
      </c>
      <c r="F1651" t="s">
        <v>23</v>
      </c>
      <c r="G1651">
        <v>82412</v>
      </c>
      <c r="H1651">
        <v>3453</v>
      </c>
      <c r="I1651">
        <v>355</v>
      </c>
      <c r="J1651" t="b">
        <v>0</v>
      </c>
      <c r="K1651" s="10">
        <v>3631.7599999999998</v>
      </c>
      <c r="L1651" s="6">
        <f t="shared" si="155"/>
        <v>4.1899237975052177E-2</v>
      </c>
      <c r="M1651">
        <f t="shared" si="156"/>
        <v>1.0517694758181291</v>
      </c>
      <c r="N1651">
        <f t="shared" si="157"/>
        <v>10.230309859154929</v>
      </c>
      <c r="O1651">
        <f t="shared" si="158"/>
        <v>14118.24</v>
      </c>
      <c r="P1651">
        <f t="shared" si="159"/>
        <v>0.10280915146249638</v>
      </c>
      <c r="Q1651" t="s">
        <v>4138</v>
      </c>
      <c r="R1651" t="s">
        <v>4138</v>
      </c>
      <c r="S1651">
        <f>YEAR(marketing_data[[#This Row],[Start_date]])</f>
        <v>2023</v>
      </c>
      <c r="T1651" t="str">
        <f>TEXT(marketing_data[[#This Row],[Start_date]],"ddd")</f>
        <v>Sat</v>
      </c>
      <c r="U1651">
        <f>marketing_data[[#This Row],[Cleaned End_date]]-marketing_data[[#This Row],[Start_date]]</f>
        <v>13</v>
      </c>
    </row>
    <row r="1652" spans="1:21" x14ac:dyDescent="0.2">
      <c r="A1652" t="s">
        <v>3408</v>
      </c>
      <c r="B1652" t="s">
        <v>3409</v>
      </c>
      <c r="C1652" s="2">
        <v>45169</v>
      </c>
      <c r="D1652" t="str">
        <f t="shared" si="154"/>
        <v>Aug</v>
      </c>
      <c r="E1652" s="2">
        <v>45174</v>
      </c>
      <c r="F1652" t="s">
        <v>19</v>
      </c>
      <c r="G1652">
        <v>51948</v>
      </c>
      <c r="H1652">
        <v>1799</v>
      </c>
      <c r="I1652">
        <v>125</v>
      </c>
      <c r="J1652" t="b">
        <v>1</v>
      </c>
      <c r="K1652" s="10">
        <v>1044.6300000000001</v>
      </c>
      <c r="L1652" s="6">
        <f t="shared" si="155"/>
        <v>3.4630784630784631E-2</v>
      </c>
      <c r="M1652">
        <f t="shared" si="156"/>
        <v>0.58067259588660369</v>
      </c>
      <c r="N1652">
        <f t="shared" si="157"/>
        <v>8.3570400000000014</v>
      </c>
      <c r="O1652">
        <f t="shared" si="158"/>
        <v>5205.37</v>
      </c>
      <c r="P1652">
        <f t="shared" si="159"/>
        <v>6.9483046136742638E-2</v>
      </c>
      <c r="Q1652" t="s">
        <v>4139</v>
      </c>
      <c r="R1652" t="s">
        <v>4138</v>
      </c>
      <c r="S1652">
        <f>YEAR(marketing_data[[#This Row],[Start_date]])</f>
        <v>2023</v>
      </c>
      <c r="T1652" t="str">
        <f>TEXT(marketing_data[[#This Row],[Start_date]],"ddd")</f>
        <v>Thu</v>
      </c>
      <c r="U1652">
        <f>marketing_data[[#This Row],[Cleaned End_date]]-marketing_data[[#This Row],[Start_date]]</f>
        <v>5</v>
      </c>
    </row>
    <row r="1653" spans="1:21" x14ac:dyDescent="0.2">
      <c r="A1653" t="s">
        <v>3410</v>
      </c>
      <c r="B1653" t="s">
        <v>3411</v>
      </c>
      <c r="C1653" s="2">
        <v>45130</v>
      </c>
      <c r="D1653" t="str">
        <f t="shared" si="154"/>
        <v>Jul</v>
      </c>
      <c r="E1653" s="2">
        <v>45136</v>
      </c>
      <c r="F1653" t="s">
        <v>41</v>
      </c>
      <c r="G1653">
        <v>74781</v>
      </c>
      <c r="H1653">
        <v>3270</v>
      </c>
      <c r="I1653">
        <v>493</v>
      </c>
      <c r="J1653" t="b">
        <v>0</v>
      </c>
      <c r="K1653" s="10">
        <v>1743.33</v>
      </c>
      <c r="L1653" s="6">
        <f t="shared" si="155"/>
        <v>4.3727684839732016E-2</v>
      </c>
      <c r="M1653">
        <f t="shared" si="156"/>
        <v>0.53312844036697249</v>
      </c>
      <c r="N1653">
        <f t="shared" si="157"/>
        <v>3.5361663286004057</v>
      </c>
      <c r="O1653">
        <f t="shared" si="158"/>
        <v>22906.67</v>
      </c>
      <c r="P1653">
        <f t="shared" si="159"/>
        <v>0.15076452599388379</v>
      </c>
      <c r="Q1653" t="s">
        <v>4139</v>
      </c>
      <c r="R1653" t="s">
        <v>4139</v>
      </c>
      <c r="S1653">
        <f>YEAR(marketing_data[[#This Row],[Start_date]])</f>
        <v>2023</v>
      </c>
      <c r="T1653" t="str">
        <f>TEXT(marketing_data[[#This Row],[Start_date]],"ddd")</f>
        <v>Sun</v>
      </c>
      <c r="U1653">
        <f>marketing_data[[#This Row],[Cleaned End_date]]-marketing_data[[#This Row],[Start_date]]</f>
        <v>6</v>
      </c>
    </row>
    <row r="1654" spans="1:21" x14ac:dyDescent="0.2">
      <c r="A1654" t="s">
        <v>3412</v>
      </c>
      <c r="B1654" t="s">
        <v>3413</v>
      </c>
      <c r="C1654" s="2">
        <v>44980</v>
      </c>
      <c r="D1654" t="str">
        <f t="shared" si="154"/>
        <v>Feb</v>
      </c>
      <c r="E1654" s="2">
        <v>44982</v>
      </c>
      <c r="F1654" t="s">
        <v>33</v>
      </c>
      <c r="G1654">
        <v>73750</v>
      </c>
      <c r="H1654">
        <v>1025</v>
      </c>
      <c r="I1654">
        <v>129</v>
      </c>
      <c r="J1654" t="b">
        <v>1</v>
      </c>
      <c r="K1654" s="10">
        <v>1062.8699999999999</v>
      </c>
      <c r="L1654" s="6">
        <f t="shared" si="155"/>
        <v>1.3898305084745762E-2</v>
      </c>
      <c r="M1654">
        <f t="shared" si="156"/>
        <v>1.0369463414634146</v>
      </c>
      <c r="N1654">
        <f t="shared" si="157"/>
        <v>8.2393023255813951</v>
      </c>
      <c r="O1654">
        <f t="shared" si="158"/>
        <v>5387.13</v>
      </c>
      <c r="P1654">
        <f t="shared" si="159"/>
        <v>0.12585365853658537</v>
      </c>
      <c r="Q1654" t="s">
        <v>4138</v>
      </c>
      <c r="R1654" t="s">
        <v>4138</v>
      </c>
      <c r="S1654">
        <f>YEAR(marketing_data[[#This Row],[Start_date]])</f>
        <v>2023</v>
      </c>
      <c r="T1654" t="str">
        <f>TEXT(marketing_data[[#This Row],[Start_date]],"ddd")</f>
        <v>Thu</v>
      </c>
      <c r="U1654">
        <f>marketing_data[[#This Row],[Cleaned End_date]]-marketing_data[[#This Row],[Start_date]]</f>
        <v>2</v>
      </c>
    </row>
    <row r="1655" spans="1:21" x14ac:dyDescent="0.2">
      <c r="A1655" t="s">
        <v>3414</v>
      </c>
      <c r="B1655" t="s">
        <v>3415</v>
      </c>
      <c r="C1655" s="2">
        <v>45262</v>
      </c>
      <c r="D1655" t="str">
        <f t="shared" si="154"/>
        <v>Dec</v>
      </c>
      <c r="E1655" s="2">
        <v>45278</v>
      </c>
      <c r="F1655" t="s">
        <v>14</v>
      </c>
      <c r="G1655">
        <v>67262</v>
      </c>
      <c r="H1655">
        <v>2176</v>
      </c>
      <c r="I1655">
        <v>344</v>
      </c>
      <c r="J1655" t="b">
        <v>0</v>
      </c>
      <c r="K1655" s="10">
        <v>2177.0700000000002</v>
      </c>
      <c r="L1655" s="6">
        <f t="shared" si="155"/>
        <v>3.2351104635604054E-2</v>
      </c>
      <c r="M1655">
        <f t="shared" si="156"/>
        <v>1.0004917279411765</v>
      </c>
      <c r="N1655">
        <f t="shared" si="157"/>
        <v>6.328691860465117</v>
      </c>
      <c r="O1655">
        <f t="shared" si="158"/>
        <v>15022.93</v>
      </c>
      <c r="P1655">
        <f t="shared" si="159"/>
        <v>0.15808823529411764</v>
      </c>
      <c r="Q1655" t="s">
        <v>4138</v>
      </c>
      <c r="R1655" t="s">
        <v>4141</v>
      </c>
      <c r="S1655">
        <f>YEAR(marketing_data[[#This Row],[Start_date]])</f>
        <v>2023</v>
      </c>
      <c r="T1655" t="str">
        <f>TEXT(marketing_data[[#This Row],[Start_date]],"ddd")</f>
        <v>Sat</v>
      </c>
      <c r="U1655">
        <f>marketing_data[[#This Row],[Cleaned End_date]]-marketing_data[[#This Row],[Start_date]]</f>
        <v>16</v>
      </c>
    </row>
    <row r="1656" spans="1:21" x14ac:dyDescent="0.2">
      <c r="A1656" t="s">
        <v>3416</v>
      </c>
      <c r="B1656" t="s">
        <v>3417</v>
      </c>
      <c r="C1656" s="2">
        <v>45044</v>
      </c>
      <c r="D1656" t="str">
        <f t="shared" si="154"/>
        <v>Apr</v>
      </c>
      <c r="E1656" s="2">
        <v>45049</v>
      </c>
      <c r="F1656" t="s">
        <v>41</v>
      </c>
      <c r="G1656">
        <v>47600</v>
      </c>
      <c r="H1656">
        <v>1430</v>
      </c>
      <c r="I1656">
        <v>147</v>
      </c>
      <c r="J1656" t="b">
        <v>1</v>
      </c>
      <c r="K1656" s="10">
        <v>1546.61</v>
      </c>
      <c r="L1656" s="6">
        <f t="shared" si="155"/>
        <v>3.004201680672269E-2</v>
      </c>
      <c r="M1656">
        <f t="shared" si="156"/>
        <v>1.0815454545454544</v>
      </c>
      <c r="N1656">
        <f t="shared" si="157"/>
        <v>10.521156462585033</v>
      </c>
      <c r="O1656">
        <f t="shared" si="158"/>
        <v>5803.39</v>
      </c>
      <c r="P1656">
        <f t="shared" si="159"/>
        <v>0.10279720279720279</v>
      </c>
      <c r="Q1656" t="s">
        <v>4137</v>
      </c>
      <c r="R1656" t="s">
        <v>4141</v>
      </c>
      <c r="S1656">
        <f>YEAR(marketing_data[[#This Row],[Start_date]])</f>
        <v>2023</v>
      </c>
      <c r="T1656" t="str">
        <f>TEXT(marketing_data[[#This Row],[Start_date]],"ddd")</f>
        <v>Fri</v>
      </c>
      <c r="U1656">
        <f>marketing_data[[#This Row],[Cleaned End_date]]-marketing_data[[#This Row],[Start_date]]</f>
        <v>5</v>
      </c>
    </row>
    <row r="1657" spans="1:21" x14ac:dyDescent="0.2">
      <c r="A1657" t="s">
        <v>3418</v>
      </c>
      <c r="B1657" t="s">
        <v>3419</v>
      </c>
      <c r="C1657" s="2">
        <v>45247</v>
      </c>
      <c r="D1657" t="str">
        <f t="shared" si="154"/>
        <v>Nov</v>
      </c>
      <c r="E1657" s="2">
        <v>45275</v>
      </c>
      <c r="F1657" t="s">
        <v>33</v>
      </c>
      <c r="G1657">
        <v>77898</v>
      </c>
      <c r="H1657">
        <v>2979</v>
      </c>
      <c r="I1657">
        <v>294</v>
      </c>
      <c r="J1657" t="b">
        <v>1</v>
      </c>
      <c r="K1657" s="10">
        <v>2107.8000000000002</v>
      </c>
      <c r="L1657" s="6">
        <f t="shared" si="155"/>
        <v>3.8242316875914659E-2</v>
      </c>
      <c r="M1657">
        <f t="shared" si="156"/>
        <v>0.7075528700906345</v>
      </c>
      <c r="N1657">
        <f t="shared" si="157"/>
        <v>7.1693877551020417</v>
      </c>
      <c r="O1657">
        <f t="shared" si="158"/>
        <v>12592.2</v>
      </c>
      <c r="P1657">
        <f t="shared" si="159"/>
        <v>9.8690835850956699E-2</v>
      </c>
      <c r="Q1657" t="s">
        <v>4136</v>
      </c>
      <c r="R1657" t="s">
        <v>4141</v>
      </c>
      <c r="S1657">
        <f>YEAR(marketing_data[[#This Row],[Start_date]])</f>
        <v>2023</v>
      </c>
      <c r="T1657" t="str">
        <f>TEXT(marketing_data[[#This Row],[Start_date]],"ddd")</f>
        <v>Fri</v>
      </c>
      <c r="U1657">
        <f>marketing_data[[#This Row],[Cleaned End_date]]-marketing_data[[#This Row],[Start_date]]</f>
        <v>28</v>
      </c>
    </row>
    <row r="1658" spans="1:21" x14ac:dyDescent="0.2">
      <c r="A1658" t="s">
        <v>3420</v>
      </c>
      <c r="B1658" t="s">
        <v>3421</v>
      </c>
      <c r="C1658" s="2">
        <v>45014</v>
      </c>
      <c r="D1658" t="str">
        <f t="shared" si="154"/>
        <v>Mar</v>
      </c>
      <c r="E1658" s="2">
        <v>45019</v>
      </c>
      <c r="F1658" t="s">
        <v>33</v>
      </c>
      <c r="G1658">
        <v>63483</v>
      </c>
      <c r="H1658">
        <v>1991</v>
      </c>
      <c r="J1658" t="b">
        <v>1</v>
      </c>
      <c r="K1658" s="10">
        <v>3200.04</v>
      </c>
      <c r="L1658" s="6">
        <f t="shared" si="155"/>
        <v>3.136272702928343E-2</v>
      </c>
      <c r="M1658">
        <f t="shared" si="156"/>
        <v>1.6072526368658966</v>
      </c>
      <c r="N1658">
        <f t="shared" si="157"/>
        <v>0</v>
      </c>
      <c r="O1658">
        <f t="shared" si="158"/>
        <v>-3200.04</v>
      </c>
      <c r="P1658">
        <f t="shared" si="159"/>
        <v>0</v>
      </c>
      <c r="Q1658" t="s">
        <v>4137</v>
      </c>
      <c r="R1658" t="s">
        <v>4141</v>
      </c>
      <c r="S1658">
        <f>YEAR(marketing_data[[#This Row],[Start_date]])</f>
        <v>2023</v>
      </c>
      <c r="T1658" t="str">
        <f>TEXT(marketing_data[[#This Row],[Start_date]],"ddd")</f>
        <v>Wed</v>
      </c>
      <c r="U1658">
        <f>marketing_data[[#This Row],[Cleaned End_date]]-marketing_data[[#This Row],[Start_date]]</f>
        <v>5</v>
      </c>
    </row>
    <row r="1659" spans="1:21" x14ac:dyDescent="0.2">
      <c r="A1659" t="s">
        <v>3422</v>
      </c>
      <c r="B1659" t="s">
        <v>3423</v>
      </c>
      <c r="C1659" s="2">
        <v>45266</v>
      </c>
      <c r="D1659" t="str">
        <f t="shared" si="154"/>
        <v>Dec</v>
      </c>
      <c r="E1659" s="2">
        <v>45274</v>
      </c>
      <c r="F1659" t="s">
        <v>19</v>
      </c>
      <c r="G1659">
        <v>19297</v>
      </c>
      <c r="H1659">
        <v>610</v>
      </c>
      <c r="J1659" t="b">
        <v>0</v>
      </c>
      <c r="K1659" s="10">
        <v>1089.1199999999999</v>
      </c>
      <c r="L1659" s="6">
        <f t="shared" si="155"/>
        <v>3.1611131263927034E-2</v>
      </c>
      <c r="M1659">
        <f t="shared" si="156"/>
        <v>1.7854426229508196</v>
      </c>
      <c r="N1659">
        <f t="shared" si="157"/>
        <v>0</v>
      </c>
      <c r="O1659">
        <f t="shared" si="158"/>
        <v>-1089.1199999999999</v>
      </c>
      <c r="P1659">
        <f t="shared" si="159"/>
        <v>0</v>
      </c>
      <c r="Q1659" t="s">
        <v>4138</v>
      </c>
      <c r="R1659" t="s">
        <v>4142</v>
      </c>
      <c r="S1659">
        <f>YEAR(marketing_data[[#This Row],[Start_date]])</f>
        <v>2023</v>
      </c>
      <c r="T1659" t="str">
        <f>TEXT(marketing_data[[#This Row],[Start_date]],"ddd")</f>
        <v>Wed</v>
      </c>
      <c r="U1659">
        <f>marketing_data[[#This Row],[Cleaned End_date]]-marketing_data[[#This Row],[Start_date]]</f>
        <v>8</v>
      </c>
    </row>
    <row r="1660" spans="1:21" x14ac:dyDescent="0.2">
      <c r="A1660" t="s">
        <v>3424</v>
      </c>
      <c r="B1660" t="s">
        <v>3425</v>
      </c>
      <c r="C1660" s="2">
        <v>45170</v>
      </c>
      <c r="D1660" t="str">
        <f t="shared" si="154"/>
        <v>Sep</v>
      </c>
      <c r="E1660" s="2">
        <v>45198</v>
      </c>
      <c r="F1660" t="s">
        <v>23</v>
      </c>
      <c r="G1660">
        <v>31448</v>
      </c>
      <c r="H1660">
        <v>854</v>
      </c>
      <c r="I1660">
        <v>47</v>
      </c>
      <c r="J1660" t="b">
        <v>1</v>
      </c>
      <c r="K1660" s="10">
        <v>1629.49</v>
      </c>
      <c r="L1660" s="6">
        <f t="shared" si="155"/>
        <v>2.7155939964385652E-2</v>
      </c>
      <c r="M1660">
        <f t="shared" si="156"/>
        <v>1.9080679156908664</v>
      </c>
      <c r="N1660">
        <f t="shared" si="157"/>
        <v>34.67</v>
      </c>
      <c r="O1660">
        <f t="shared" si="158"/>
        <v>720.51</v>
      </c>
      <c r="P1660">
        <f t="shared" si="159"/>
        <v>5.5035128805620608E-2</v>
      </c>
      <c r="Q1660" t="s">
        <v>4136</v>
      </c>
      <c r="R1660" t="s">
        <v>4142</v>
      </c>
      <c r="S1660">
        <f>YEAR(marketing_data[[#This Row],[Start_date]])</f>
        <v>2023</v>
      </c>
      <c r="T1660" t="str">
        <f>TEXT(marketing_data[[#This Row],[Start_date]],"ddd")</f>
        <v>Fri</v>
      </c>
      <c r="U1660">
        <f>marketing_data[[#This Row],[Cleaned End_date]]-marketing_data[[#This Row],[Start_date]]</f>
        <v>28</v>
      </c>
    </row>
    <row r="1661" spans="1:21" x14ac:dyDescent="0.2">
      <c r="A1661" t="s">
        <v>3426</v>
      </c>
      <c r="B1661" t="s">
        <v>3427</v>
      </c>
      <c r="C1661" s="2">
        <v>45066</v>
      </c>
      <c r="D1661" t="str">
        <f t="shared" si="154"/>
        <v>May</v>
      </c>
      <c r="E1661" s="2">
        <v>45086</v>
      </c>
      <c r="F1661" t="str">
        <f>F1660</f>
        <v>Email</v>
      </c>
      <c r="G1661">
        <v>27172</v>
      </c>
      <c r="H1661">
        <v>607</v>
      </c>
      <c r="I1661">
        <v>103</v>
      </c>
      <c r="J1661" t="b">
        <v>0</v>
      </c>
      <c r="K1661" s="10">
        <v>751.8</v>
      </c>
      <c r="L1661" s="6">
        <f t="shared" si="155"/>
        <v>2.2339172677756515E-2</v>
      </c>
      <c r="M1661">
        <f t="shared" si="156"/>
        <v>1.2385502471169687</v>
      </c>
      <c r="N1661">
        <f t="shared" si="157"/>
        <v>7.2990291262135916</v>
      </c>
      <c r="O1661">
        <f t="shared" si="158"/>
        <v>4398.2</v>
      </c>
      <c r="P1661">
        <f t="shared" si="159"/>
        <v>0.16968698517298189</v>
      </c>
      <c r="Q1661" t="s">
        <v>4137</v>
      </c>
      <c r="R1661" t="s">
        <v>4142</v>
      </c>
      <c r="S1661">
        <f>YEAR(marketing_data[[#This Row],[Start_date]])</f>
        <v>2023</v>
      </c>
      <c r="T1661" t="str">
        <f>TEXT(marketing_data[[#This Row],[Start_date]],"ddd")</f>
        <v>Sat</v>
      </c>
      <c r="U1661">
        <f>marketing_data[[#This Row],[Cleaned End_date]]-marketing_data[[#This Row],[Start_date]]</f>
        <v>20</v>
      </c>
    </row>
    <row r="1662" spans="1:21" x14ac:dyDescent="0.2">
      <c r="A1662" t="s">
        <v>3428</v>
      </c>
      <c r="B1662" t="s">
        <v>3429</v>
      </c>
      <c r="C1662" s="2">
        <v>45284</v>
      </c>
      <c r="D1662" t="str">
        <f t="shared" si="154"/>
        <v>Dec</v>
      </c>
      <c r="E1662" s="2">
        <v>45311</v>
      </c>
      <c r="F1662" t="s">
        <v>14</v>
      </c>
      <c r="G1662">
        <v>43874</v>
      </c>
      <c r="H1662">
        <v>1285</v>
      </c>
      <c r="I1662">
        <v>135</v>
      </c>
      <c r="J1662" t="b">
        <v>1</v>
      </c>
      <c r="K1662" s="10">
        <v>1993.42</v>
      </c>
      <c r="L1662" s="6">
        <f t="shared" si="155"/>
        <v>2.9288416830013219E-2</v>
      </c>
      <c r="M1662">
        <f t="shared" si="156"/>
        <v>1.5512996108949417</v>
      </c>
      <c r="N1662">
        <f t="shared" si="157"/>
        <v>14.766074074074075</v>
      </c>
      <c r="O1662">
        <f t="shared" si="158"/>
        <v>4756.58</v>
      </c>
      <c r="P1662">
        <f t="shared" si="159"/>
        <v>0.10505836575875487</v>
      </c>
      <c r="Q1662" t="s">
        <v>4138</v>
      </c>
      <c r="R1662" t="s">
        <v>4138</v>
      </c>
      <c r="S1662">
        <f>YEAR(marketing_data[[#This Row],[Start_date]])</f>
        <v>2023</v>
      </c>
      <c r="T1662" t="str">
        <f>TEXT(marketing_data[[#This Row],[Start_date]],"ddd")</f>
        <v>Sun</v>
      </c>
      <c r="U1662">
        <f>marketing_data[[#This Row],[Cleaned End_date]]-marketing_data[[#This Row],[Start_date]]</f>
        <v>27</v>
      </c>
    </row>
    <row r="1663" spans="1:21" x14ac:dyDescent="0.2">
      <c r="A1663" t="s">
        <v>3430</v>
      </c>
      <c r="B1663" t="s">
        <v>3431</v>
      </c>
      <c r="C1663" s="2">
        <v>45160</v>
      </c>
      <c r="D1663" t="str">
        <f t="shared" si="154"/>
        <v>Aug</v>
      </c>
      <c r="E1663" s="2">
        <v>45172</v>
      </c>
      <c r="F1663" t="s">
        <v>33</v>
      </c>
      <c r="G1663">
        <v>8657</v>
      </c>
      <c r="H1663">
        <v>127</v>
      </c>
      <c r="I1663">
        <v>22</v>
      </c>
      <c r="J1663" t="b">
        <v>1</v>
      </c>
      <c r="K1663" s="10">
        <v>329.13249999999999</v>
      </c>
      <c r="L1663" s="6">
        <f t="shared" si="155"/>
        <v>1.4670209079357744E-2</v>
      </c>
      <c r="M1663">
        <f t="shared" si="156"/>
        <v>2.5915944881889765</v>
      </c>
      <c r="N1663">
        <f t="shared" si="157"/>
        <v>14.960568181818182</v>
      </c>
      <c r="O1663">
        <f t="shared" si="158"/>
        <v>770.86750000000006</v>
      </c>
      <c r="P1663">
        <f t="shared" si="159"/>
        <v>0.17322834645669291</v>
      </c>
      <c r="Q1663" t="s">
        <v>4139</v>
      </c>
      <c r="R1663" t="s">
        <v>4142</v>
      </c>
      <c r="S1663">
        <f>YEAR(marketing_data[[#This Row],[Start_date]])</f>
        <v>2023</v>
      </c>
      <c r="T1663" t="str">
        <f>TEXT(marketing_data[[#This Row],[Start_date]],"ddd")</f>
        <v>Tue</v>
      </c>
      <c r="U1663">
        <f>marketing_data[[#This Row],[Cleaned End_date]]-marketing_data[[#This Row],[Start_date]]</f>
        <v>12</v>
      </c>
    </row>
    <row r="1664" spans="1:21" x14ac:dyDescent="0.2">
      <c r="A1664" t="s">
        <v>3432</v>
      </c>
      <c r="B1664" t="s">
        <v>3433</v>
      </c>
      <c r="C1664" s="2">
        <v>45215</v>
      </c>
      <c r="D1664" t="str">
        <f t="shared" si="154"/>
        <v>Oct</v>
      </c>
      <c r="E1664" s="2">
        <v>45234</v>
      </c>
      <c r="F1664" t="s">
        <v>19</v>
      </c>
      <c r="G1664">
        <v>85386</v>
      </c>
      <c r="H1664">
        <v>4137</v>
      </c>
      <c r="I1664">
        <v>704</v>
      </c>
      <c r="J1664" t="b">
        <v>1</v>
      </c>
      <c r="K1664" s="10">
        <v>3631.7599999999998</v>
      </c>
      <c r="L1664" s="6">
        <f t="shared" si="155"/>
        <v>4.8450565666502708E-2</v>
      </c>
      <c r="M1664">
        <f t="shared" si="156"/>
        <v>0.87787285472564658</v>
      </c>
      <c r="N1664">
        <f t="shared" si="157"/>
        <v>5.1587499999999995</v>
      </c>
      <c r="O1664">
        <f t="shared" si="158"/>
        <v>31568.240000000002</v>
      </c>
      <c r="P1664">
        <f t="shared" si="159"/>
        <v>0.17017162194827171</v>
      </c>
      <c r="Q1664" t="s">
        <v>4136</v>
      </c>
      <c r="R1664" t="s">
        <v>4138</v>
      </c>
      <c r="S1664">
        <f>YEAR(marketing_data[[#This Row],[Start_date]])</f>
        <v>2023</v>
      </c>
      <c r="T1664" t="str">
        <f>TEXT(marketing_data[[#This Row],[Start_date]],"ddd")</f>
        <v>Mon</v>
      </c>
      <c r="U1664">
        <f>marketing_data[[#This Row],[Cleaned End_date]]-marketing_data[[#This Row],[Start_date]]</f>
        <v>19</v>
      </c>
    </row>
    <row r="1665" spans="1:21" x14ac:dyDescent="0.2">
      <c r="A1665" t="s">
        <v>3434</v>
      </c>
      <c r="B1665" t="s">
        <v>3435</v>
      </c>
      <c r="C1665" s="2">
        <v>45200</v>
      </c>
      <c r="D1665" t="str">
        <f t="shared" si="154"/>
        <v>Oct</v>
      </c>
      <c r="E1665" s="2">
        <v>45226</v>
      </c>
      <c r="F1665" t="s">
        <v>14</v>
      </c>
      <c r="G1665">
        <v>26425</v>
      </c>
      <c r="H1665">
        <v>1019</v>
      </c>
      <c r="I1665">
        <v>104</v>
      </c>
      <c r="J1665" t="b">
        <v>1</v>
      </c>
      <c r="K1665" s="10">
        <v>982.44</v>
      </c>
      <c r="L1665" s="6">
        <f t="shared" si="155"/>
        <v>3.8561967833491015E-2</v>
      </c>
      <c r="M1665">
        <f t="shared" si="156"/>
        <v>0.9641216879293425</v>
      </c>
      <c r="N1665">
        <f t="shared" si="157"/>
        <v>9.4465384615384629</v>
      </c>
      <c r="O1665">
        <f t="shared" si="158"/>
        <v>4217.5599999999995</v>
      </c>
      <c r="P1665">
        <f t="shared" si="159"/>
        <v>0.10206084396467124</v>
      </c>
      <c r="Q1665" t="s">
        <v>4136</v>
      </c>
      <c r="R1665" t="s">
        <v>4138</v>
      </c>
      <c r="S1665">
        <f>YEAR(marketing_data[[#This Row],[Start_date]])</f>
        <v>2023</v>
      </c>
      <c r="T1665" t="str">
        <f>TEXT(marketing_data[[#This Row],[Start_date]],"ddd")</f>
        <v>Sun</v>
      </c>
      <c r="U1665">
        <f>marketing_data[[#This Row],[Cleaned End_date]]-marketing_data[[#This Row],[Start_date]]</f>
        <v>26</v>
      </c>
    </row>
    <row r="1666" spans="1:21" x14ac:dyDescent="0.2">
      <c r="A1666" t="s">
        <v>3436</v>
      </c>
      <c r="B1666" t="s">
        <v>3437</v>
      </c>
      <c r="C1666" s="2">
        <v>45203</v>
      </c>
      <c r="D1666" t="str">
        <f t="shared" si="154"/>
        <v>Oct</v>
      </c>
      <c r="E1666" s="2">
        <v>45233</v>
      </c>
      <c r="F1666" t="s">
        <v>19</v>
      </c>
      <c r="G1666">
        <v>27685</v>
      </c>
      <c r="H1666">
        <v>1331</v>
      </c>
      <c r="I1666">
        <v>205</v>
      </c>
      <c r="J1666" t="b">
        <v>0</v>
      </c>
      <c r="K1666" s="10">
        <v>2535.67</v>
      </c>
      <c r="L1666" s="6">
        <f t="shared" si="155"/>
        <v>4.8076575763048579E-2</v>
      </c>
      <c r="M1666">
        <f t="shared" si="156"/>
        <v>1.9050864012021038</v>
      </c>
      <c r="N1666">
        <f t="shared" si="157"/>
        <v>12.369121951219512</v>
      </c>
      <c r="O1666">
        <f t="shared" si="158"/>
        <v>7714.33</v>
      </c>
      <c r="P1666">
        <f t="shared" si="159"/>
        <v>0.15401953418482345</v>
      </c>
      <c r="Q1666" t="s">
        <v>4136</v>
      </c>
      <c r="R1666" t="s">
        <v>4139</v>
      </c>
      <c r="S1666">
        <f>YEAR(marketing_data[[#This Row],[Start_date]])</f>
        <v>2023</v>
      </c>
      <c r="T1666" t="str">
        <f>TEXT(marketing_data[[#This Row],[Start_date]],"ddd")</f>
        <v>Wed</v>
      </c>
      <c r="U1666">
        <f>marketing_data[[#This Row],[Cleaned End_date]]-marketing_data[[#This Row],[Start_date]]</f>
        <v>30</v>
      </c>
    </row>
    <row r="1667" spans="1:21" x14ac:dyDescent="0.2">
      <c r="A1667" t="s">
        <v>3438</v>
      </c>
      <c r="B1667" t="s">
        <v>3439</v>
      </c>
      <c r="C1667" s="2">
        <v>45084</v>
      </c>
      <c r="D1667" t="str">
        <f t="shared" ref="D1667:D1730" si="160">TEXT(C1667,"mmm")</f>
        <v>Jun</v>
      </c>
      <c r="E1667" s="2">
        <v>45099</v>
      </c>
      <c r="F1667" t="s">
        <v>23</v>
      </c>
      <c r="G1667">
        <v>25578</v>
      </c>
      <c r="H1667">
        <v>487</v>
      </c>
      <c r="I1667">
        <v>36</v>
      </c>
      <c r="J1667" t="b">
        <v>1</v>
      </c>
      <c r="K1667" s="10">
        <v>620.20000000000005</v>
      </c>
      <c r="L1667" s="6">
        <f t="shared" ref="L1667:L1730" si="161">H1667/G1667</f>
        <v>1.9039799827977169E-2</v>
      </c>
      <c r="M1667">
        <f t="shared" ref="M1667:M1730" si="162">K1667/H1667</f>
        <v>1.273511293634497</v>
      </c>
      <c r="N1667">
        <f t="shared" ref="N1667:N1730" si="163">IFERROR(K1667/I1667,0)</f>
        <v>17.227777777777778</v>
      </c>
      <c r="O1667">
        <f t="shared" ref="O1667:O1730" si="164">(50*I1667)-K1667</f>
        <v>1179.8</v>
      </c>
      <c r="P1667">
        <f t="shared" ref="P1667:P1730" si="165">I1667/H1667</f>
        <v>7.3921971252566734E-2</v>
      </c>
      <c r="Q1667" t="s">
        <v>4139</v>
      </c>
      <c r="R1667" t="s">
        <v>4142</v>
      </c>
      <c r="S1667">
        <f>YEAR(marketing_data[[#This Row],[Start_date]])</f>
        <v>2023</v>
      </c>
      <c r="T1667" t="str">
        <f>TEXT(marketing_data[[#This Row],[Start_date]],"ddd")</f>
        <v>Wed</v>
      </c>
      <c r="U1667">
        <f>marketing_data[[#This Row],[Cleaned End_date]]-marketing_data[[#This Row],[Start_date]]</f>
        <v>15</v>
      </c>
    </row>
    <row r="1668" spans="1:21" x14ac:dyDescent="0.2">
      <c r="A1668" t="s">
        <v>3440</v>
      </c>
      <c r="B1668" t="s">
        <v>3441</v>
      </c>
      <c r="C1668" s="2">
        <v>45052</v>
      </c>
      <c r="D1668" t="str">
        <f t="shared" si="160"/>
        <v>May</v>
      </c>
      <c r="E1668" s="2">
        <v>45082</v>
      </c>
      <c r="F1668" t="s">
        <v>23</v>
      </c>
      <c r="G1668">
        <v>29831</v>
      </c>
      <c r="H1668">
        <v>1347</v>
      </c>
      <c r="I1668">
        <v>248</v>
      </c>
      <c r="J1668" t="b">
        <v>1</v>
      </c>
      <c r="K1668" s="10">
        <v>1678.2</v>
      </c>
      <c r="L1668" s="6">
        <f t="shared" si="161"/>
        <v>4.5154369615500657E-2</v>
      </c>
      <c r="M1668">
        <f t="shared" si="162"/>
        <v>1.2458797327394209</v>
      </c>
      <c r="N1668">
        <f t="shared" si="163"/>
        <v>6.7669354838709683</v>
      </c>
      <c r="O1668">
        <f t="shared" si="164"/>
        <v>10721.8</v>
      </c>
      <c r="P1668">
        <f t="shared" si="165"/>
        <v>0.18411284335560504</v>
      </c>
      <c r="Q1668" t="s">
        <v>4137</v>
      </c>
      <c r="R1668" t="s">
        <v>4138</v>
      </c>
      <c r="S1668">
        <f>YEAR(marketing_data[[#This Row],[Start_date]])</f>
        <v>2023</v>
      </c>
      <c r="T1668" t="str">
        <f>TEXT(marketing_data[[#This Row],[Start_date]],"ddd")</f>
        <v>Sat</v>
      </c>
      <c r="U1668">
        <f>marketing_data[[#This Row],[Cleaned End_date]]-marketing_data[[#This Row],[Start_date]]</f>
        <v>30</v>
      </c>
    </row>
    <row r="1669" spans="1:21" x14ac:dyDescent="0.2">
      <c r="A1669" t="s">
        <v>3442</v>
      </c>
      <c r="B1669" t="s">
        <v>3443</v>
      </c>
      <c r="C1669" s="2">
        <v>45194</v>
      </c>
      <c r="D1669" t="str">
        <f t="shared" si="160"/>
        <v>Sep</v>
      </c>
      <c r="E1669" s="2">
        <v>45209</v>
      </c>
      <c r="F1669" t="s">
        <v>33</v>
      </c>
      <c r="G1669">
        <v>8906</v>
      </c>
      <c r="H1669">
        <v>377</v>
      </c>
      <c r="I1669">
        <v>41</v>
      </c>
      <c r="J1669" t="b">
        <v>0</v>
      </c>
      <c r="K1669" s="10">
        <v>329.13249999999999</v>
      </c>
      <c r="L1669" s="6">
        <f t="shared" si="161"/>
        <v>4.2331012800359308E-2</v>
      </c>
      <c r="M1669">
        <f t="shared" si="162"/>
        <v>0.87303050397877979</v>
      </c>
      <c r="N1669">
        <f t="shared" si="163"/>
        <v>8.0276219512195119</v>
      </c>
      <c r="O1669">
        <f t="shared" si="164"/>
        <v>1720.8675000000001</v>
      </c>
      <c r="P1669">
        <f t="shared" si="165"/>
        <v>0.10875331564986737</v>
      </c>
      <c r="Q1669" t="s">
        <v>4136</v>
      </c>
      <c r="R1669" t="s">
        <v>4138</v>
      </c>
      <c r="S1669">
        <f>YEAR(marketing_data[[#This Row],[Start_date]])</f>
        <v>2023</v>
      </c>
      <c r="T1669" t="str">
        <f>TEXT(marketing_data[[#This Row],[Start_date]],"ddd")</f>
        <v>Mon</v>
      </c>
      <c r="U1669">
        <f>marketing_data[[#This Row],[Cleaned End_date]]-marketing_data[[#This Row],[Start_date]]</f>
        <v>15</v>
      </c>
    </row>
    <row r="1670" spans="1:21" x14ac:dyDescent="0.2">
      <c r="A1670" t="s">
        <v>3444</v>
      </c>
      <c r="B1670" t="s">
        <v>3445</v>
      </c>
      <c r="C1670" s="2">
        <v>45103</v>
      </c>
      <c r="D1670" t="str">
        <f t="shared" si="160"/>
        <v>Jun</v>
      </c>
      <c r="E1670" s="2">
        <v>45109</v>
      </c>
      <c r="F1670" t="s">
        <v>14</v>
      </c>
      <c r="G1670">
        <v>62413</v>
      </c>
      <c r="H1670">
        <v>2314</v>
      </c>
      <c r="I1670">
        <v>273</v>
      </c>
      <c r="J1670" t="b">
        <v>1</v>
      </c>
      <c r="K1670" s="10">
        <v>1532.41</v>
      </c>
      <c r="L1670" s="6">
        <f t="shared" si="161"/>
        <v>3.7075609248073321E-2</v>
      </c>
      <c r="M1670">
        <f t="shared" si="162"/>
        <v>0.66223422644770968</v>
      </c>
      <c r="N1670">
        <f t="shared" si="163"/>
        <v>5.6132234432234434</v>
      </c>
      <c r="O1670">
        <f t="shared" si="164"/>
        <v>12117.59</v>
      </c>
      <c r="P1670">
        <f t="shared" si="165"/>
        <v>0.11797752808988764</v>
      </c>
      <c r="Q1670" t="s">
        <v>4139</v>
      </c>
      <c r="R1670" t="s">
        <v>4142</v>
      </c>
      <c r="S1670">
        <f>YEAR(marketing_data[[#This Row],[Start_date]])</f>
        <v>2023</v>
      </c>
      <c r="T1670" t="str">
        <f>TEXT(marketing_data[[#This Row],[Start_date]],"ddd")</f>
        <v>Mon</v>
      </c>
      <c r="U1670">
        <f>marketing_data[[#This Row],[Cleaned End_date]]-marketing_data[[#This Row],[Start_date]]</f>
        <v>6</v>
      </c>
    </row>
    <row r="1671" spans="1:21" x14ac:dyDescent="0.2">
      <c r="A1671" t="s">
        <v>3446</v>
      </c>
      <c r="B1671" t="s">
        <v>3447</v>
      </c>
      <c r="C1671" s="2">
        <v>45279</v>
      </c>
      <c r="D1671" t="str">
        <f t="shared" si="160"/>
        <v>Dec</v>
      </c>
      <c r="E1671" s="2">
        <v>45302</v>
      </c>
      <c r="F1671" t="s">
        <v>19</v>
      </c>
      <c r="G1671">
        <v>55028</v>
      </c>
      <c r="H1671">
        <v>1926</v>
      </c>
      <c r="I1671">
        <v>300</v>
      </c>
      <c r="J1671" t="b">
        <v>0</v>
      </c>
      <c r="K1671" s="10">
        <v>3395.85</v>
      </c>
      <c r="L1671" s="6">
        <f t="shared" si="161"/>
        <v>3.5000363451333866E-2</v>
      </c>
      <c r="M1671">
        <f t="shared" si="162"/>
        <v>1.7631619937694702</v>
      </c>
      <c r="N1671">
        <f t="shared" si="163"/>
        <v>11.3195</v>
      </c>
      <c r="O1671">
        <f t="shared" si="164"/>
        <v>11604.15</v>
      </c>
      <c r="P1671">
        <f t="shared" si="165"/>
        <v>0.1557632398753894</v>
      </c>
      <c r="Q1671" t="s">
        <v>4138</v>
      </c>
      <c r="R1671" t="s">
        <v>4141</v>
      </c>
      <c r="S1671">
        <f>YEAR(marketing_data[[#This Row],[Start_date]])</f>
        <v>2023</v>
      </c>
      <c r="T1671" t="str">
        <f>TEXT(marketing_data[[#This Row],[Start_date]],"ddd")</f>
        <v>Tue</v>
      </c>
      <c r="U1671">
        <f>marketing_data[[#This Row],[Cleaned End_date]]-marketing_data[[#This Row],[Start_date]]</f>
        <v>23</v>
      </c>
    </row>
    <row r="1672" spans="1:21" x14ac:dyDescent="0.2">
      <c r="A1672" t="s">
        <v>3448</v>
      </c>
      <c r="B1672" t="s">
        <v>3449</v>
      </c>
      <c r="C1672" s="2">
        <v>45171</v>
      </c>
      <c r="D1672" t="str">
        <f t="shared" si="160"/>
        <v>Sep</v>
      </c>
      <c r="E1672" s="2">
        <v>45175</v>
      </c>
      <c r="F1672" t="s">
        <v>14</v>
      </c>
      <c r="G1672">
        <v>8287</v>
      </c>
      <c r="H1672">
        <v>187</v>
      </c>
      <c r="I1672">
        <v>32</v>
      </c>
      <c r="J1672" t="b">
        <v>0</v>
      </c>
      <c r="K1672" s="10">
        <v>329.13249999999999</v>
      </c>
      <c r="L1672" s="6">
        <f t="shared" si="161"/>
        <v>2.2565463979727283E-2</v>
      </c>
      <c r="M1672">
        <f t="shared" si="162"/>
        <v>1.760066844919786</v>
      </c>
      <c r="N1672">
        <f t="shared" si="163"/>
        <v>10.285390625</v>
      </c>
      <c r="O1672">
        <f t="shared" si="164"/>
        <v>1270.8675000000001</v>
      </c>
      <c r="P1672">
        <f t="shared" si="165"/>
        <v>0.17112299465240641</v>
      </c>
      <c r="Q1672" t="s">
        <v>4136</v>
      </c>
      <c r="R1672" t="s">
        <v>4141</v>
      </c>
      <c r="S1672">
        <f>YEAR(marketing_data[[#This Row],[Start_date]])</f>
        <v>2023</v>
      </c>
      <c r="T1672" t="str">
        <f>TEXT(marketing_data[[#This Row],[Start_date]],"ddd")</f>
        <v>Sat</v>
      </c>
      <c r="U1672">
        <f>marketing_data[[#This Row],[Cleaned End_date]]-marketing_data[[#This Row],[Start_date]]</f>
        <v>4</v>
      </c>
    </row>
    <row r="1673" spans="1:21" x14ac:dyDescent="0.2">
      <c r="A1673" t="s">
        <v>3450</v>
      </c>
      <c r="B1673" t="s">
        <v>3451</v>
      </c>
      <c r="C1673" s="2">
        <v>45076</v>
      </c>
      <c r="D1673" t="str">
        <f t="shared" si="160"/>
        <v>May</v>
      </c>
      <c r="E1673" s="2">
        <v>45099</v>
      </c>
      <c r="F1673" t="s">
        <v>23</v>
      </c>
      <c r="G1673">
        <v>34660</v>
      </c>
      <c r="H1673">
        <v>1478</v>
      </c>
      <c r="I1673">
        <v>126</v>
      </c>
      <c r="J1673" t="b">
        <v>0</v>
      </c>
      <c r="K1673" s="10">
        <v>1461.35</v>
      </c>
      <c r="L1673" s="6">
        <f t="shared" si="161"/>
        <v>4.2642815926139645E-2</v>
      </c>
      <c r="M1673">
        <f t="shared" si="162"/>
        <v>0.98873477672530441</v>
      </c>
      <c r="N1673">
        <f t="shared" si="163"/>
        <v>11.598015873015873</v>
      </c>
      <c r="O1673">
        <f t="shared" si="164"/>
        <v>4838.6499999999996</v>
      </c>
      <c r="P1673">
        <f t="shared" si="165"/>
        <v>8.5250338294993233E-2</v>
      </c>
      <c r="Q1673" t="s">
        <v>4137</v>
      </c>
      <c r="R1673" t="s">
        <v>4139</v>
      </c>
      <c r="S1673">
        <f>YEAR(marketing_data[[#This Row],[Start_date]])</f>
        <v>2023</v>
      </c>
      <c r="T1673" t="str">
        <f>TEXT(marketing_data[[#This Row],[Start_date]],"ddd")</f>
        <v>Tue</v>
      </c>
      <c r="U1673">
        <f>marketing_data[[#This Row],[Cleaned End_date]]-marketing_data[[#This Row],[Start_date]]</f>
        <v>23</v>
      </c>
    </row>
    <row r="1674" spans="1:21" x14ac:dyDescent="0.2">
      <c r="A1674" t="s">
        <v>3452</v>
      </c>
      <c r="B1674" t="s">
        <v>3453</v>
      </c>
      <c r="C1674" s="2">
        <v>45207</v>
      </c>
      <c r="D1674" t="str">
        <f t="shared" si="160"/>
        <v>Oct</v>
      </c>
      <c r="E1674" s="2">
        <v>45215</v>
      </c>
      <c r="F1674" t="s">
        <v>14</v>
      </c>
      <c r="G1674">
        <v>76758</v>
      </c>
      <c r="H1674">
        <v>2307</v>
      </c>
      <c r="I1674">
        <v>344</v>
      </c>
      <c r="J1674" t="b">
        <v>1</v>
      </c>
      <c r="K1674" s="10">
        <v>1817</v>
      </c>
      <c r="L1674" s="6">
        <f t="shared" si="161"/>
        <v>3.0055499101070898E-2</v>
      </c>
      <c r="M1674">
        <f t="shared" si="162"/>
        <v>0.78760294755093196</v>
      </c>
      <c r="N1674">
        <f t="shared" si="163"/>
        <v>5.2819767441860463</v>
      </c>
      <c r="O1674">
        <f t="shared" si="164"/>
        <v>15383</v>
      </c>
      <c r="P1674">
        <f t="shared" si="165"/>
        <v>0.14911140008669269</v>
      </c>
      <c r="Q1674" t="s">
        <v>4136</v>
      </c>
      <c r="R1674" t="s">
        <v>4139</v>
      </c>
      <c r="S1674">
        <f>YEAR(marketing_data[[#This Row],[Start_date]])</f>
        <v>2023</v>
      </c>
      <c r="T1674" t="str">
        <f>TEXT(marketing_data[[#This Row],[Start_date]],"ddd")</f>
        <v>Sun</v>
      </c>
      <c r="U1674">
        <f>marketing_data[[#This Row],[Cleaned End_date]]-marketing_data[[#This Row],[Start_date]]</f>
        <v>8</v>
      </c>
    </row>
    <row r="1675" spans="1:21" x14ac:dyDescent="0.2">
      <c r="A1675" t="s">
        <v>3454</v>
      </c>
      <c r="B1675" t="s">
        <v>3455</v>
      </c>
      <c r="C1675" s="2">
        <v>45214</v>
      </c>
      <c r="D1675" t="str">
        <f t="shared" si="160"/>
        <v>Oct</v>
      </c>
      <c r="E1675" s="2">
        <v>45220</v>
      </c>
      <c r="F1675" t="s">
        <v>19</v>
      </c>
      <c r="G1675">
        <v>61504</v>
      </c>
      <c r="H1675">
        <v>789</v>
      </c>
      <c r="I1675">
        <v>85</v>
      </c>
      <c r="J1675" t="b">
        <v>1</v>
      </c>
      <c r="K1675" s="10">
        <v>1051.93</v>
      </c>
      <c r="L1675" s="6">
        <f t="shared" si="161"/>
        <v>1.2828433922996879E-2</v>
      </c>
      <c r="M1675">
        <f t="shared" si="162"/>
        <v>1.3332446134347276</v>
      </c>
      <c r="N1675">
        <f t="shared" si="163"/>
        <v>12.37564705882353</v>
      </c>
      <c r="O1675">
        <f t="shared" si="164"/>
        <v>3198.0699999999997</v>
      </c>
      <c r="P1675">
        <f t="shared" si="165"/>
        <v>0.10773130544993663</v>
      </c>
      <c r="Q1675" t="s">
        <v>4136</v>
      </c>
      <c r="R1675" t="s">
        <v>4139</v>
      </c>
      <c r="S1675">
        <f>YEAR(marketing_data[[#This Row],[Start_date]])</f>
        <v>2023</v>
      </c>
      <c r="T1675" t="str">
        <f>TEXT(marketing_data[[#This Row],[Start_date]],"ddd")</f>
        <v>Sun</v>
      </c>
      <c r="U1675">
        <f>marketing_data[[#This Row],[Cleaned End_date]]-marketing_data[[#This Row],[Start_date]]</f>
        <v>6</v>
      </c>
    </row>
    <row r="1676" spans="1:21" x14ac:dyDescent="0.2">
      <c r="A1676" t="s">
        <v>3456</v>
      </c>
      <c r="B1676" t="s">
        <v>3457</v>
      </c>
      <c r="C1676" s="2">
        <v>45257</v>
      </c>
      <c r="D1676" t="str">
        <f t="shared" si="160"/>
        <v>Nov</v>
      </c>
      <c r="E1676" s="2">
        <v>45278</v>
      </c>
      <c r="F1676" t="s">
        <v>14</v>
      </c>
      <c r="G1676">
        <v>60720</v>
      </c>
      <c r="H1676">
        <v>1367</v>
      </c>
      <c r="I1676">
        <v>143</v>
      </c>
      <c r="J1676" t="b">
        <v>1</v>
      </c>
      <c r="K1676" s="10">
        <v>1880.83</v>
      </c>
      <c r="L1676" s="6">
        <f t="shared" si="161"/>
        <v>2.2513175230566534E-2</v>
      </c>
      <c r="M1676">
        <f t="shared" si="162"/>
        <v>1.3758814923189466</v>
      </c>
      <c r="N1676">
        <f t="shared" si="163"/>
        <v>13.152657342657342</v>
      </c>
      <c r="O1676">
        <f t="shared" si="164"/>
        <v>5269.17</v>
      </c>
      <c r="P1676">
        <f t="shared" si="165"/>
        <v>0.10460863204096561</v>
      </c>
      <c r="Q1676" t="s">
        <v>4136</v>
      </c>
      <c r="R1676" t="s">
        <v>4141</v>
      </c>
      <c r="S1676">
        <f>YEAR(marketing_data[[#This Row],[Start_date]])</f>
        <v>2023</v>
      </c>
      <c r="T1676" t="str">
        <f>TEXT(marketing_data[[#This Row],[Start_date]],"ddd")</f>
        <v>Mon</v>
      </c>
      <c r="U1676">
        <f>marketing_data[[#This Row],[Cleaned End_date]]-marketing_data[[#This Row],[Start_date]]</f>
        <v>21</v>
      </c>
    </row>
    <row r="1677" spans="1:21" x14ac:dyDescent="0.2">
      <c r="A1677" t="s">
        <v>3458</v>
      </c>
      <c r="B1677" t="s">
        <v>3459</v>
      </c>
      <c r="C1677" s="2">
        <v>45061</v>
      </c>
      <c r="D1677" t="str">
        <f t="shared" si="160"/>
        <v>May</v>
      </c>
      <c r="E1677" s="2">
        <v>45081</v>
      </c>
      <c r="F1677" t="s">
        <v>14</v>
      </c>
      <c r="G1677">
        <v>35701</v>
      </c>
      <c r="H1677">
        <v>1692</v>
      </c>
      <c r="I1677">
        <v>259</v>
      </c>
      <c r="J1677" t="b">
        <v>1</v>
      </c>
      <c r="K1677" s="10">
        <v>1371.35</v>
      </c>
      <c r="L1677" s="6">
        <f t="shared" si="161"/>
        <v>4.7393630430520153E-2</v>
      </c>
      <c r="M1677">
        <f t="shared" si="162"/>
        <v>0.81049054373522456</v>
      </c>
      <c r="N1677">
        <f t="shared" si="163"/>
        <v>5.2947876447876441</v>
      </c>
      <c r="O1677">
        <f t="shared" si="164"/>
        <v>11578.65</v>
      </c>
      <c r="P1677">
        <f t="shared" si="165"/>
        <v>0.15307328605200946</v>
      </c>
      <c r="Q1677" t="s">
        <v>4137</v>
      </c>
      <c r="R1677" t="s">
        <v>4139</v>
      </c>
      <c r="S1677">
        <f>YEAR(marketing_data[[#This Row],[Start_date]])</f>
        <v>2023</v>
      </c>
      <c r="T1677" t="str">
        <f>TEXT(marketing_data[[#This Row],[Start_date]],"ddd")</f>
        <v>Mon</v>
      </c>
      <c r="U1677">
        <f>marketing_data[[#This Row],[Cleaned End_date]]-marketing_data[[#This Row],[Start_date]]</f>
        <v>20</v>
      </c>
    </row>
    <row r="1678" spans="1:21" x14ac:dyDescent="0.2">
      <c r="A1678" t="s">
        <v>3461</v>
      </c>
      <c r="B1678" t="s">
        <v>3462</v>
      </c>
      <c r="C1678" s="2">
        <v>45247</v>
      </c>
      <c r="D1678" t="str">
        <f t="shared" si="160"/>
        <v>Nov</v>
      </c>
      <c r="E1678" s="2">
        <v>45272</v>
      </c>
      <c r="F1678" t="s">
        <v>19</v>
      </c>
      <c r="G1678">
        <v>84300</v>
      </c>
      <c r="H1678">
        <v>3711</v>
      </c>
      <c r="I1678">
        <v>401</v>
      </c>
      <c r="J1678" t="b">
        <v>1</v>
      </c>
      <c r="K1678" s="10">
        <v>3631.7599999999998</v>
      </c>
      <c r="L1678" s="6">
        <f t="shared" si="161"/>
        <v>4.4021352313167263E-2</v>
      </c>
      <c r="M1678">
        <f t="shared" si="162"/>
        <v>0.97864726488817022</v>
      </c>
      <c r="N1678">
        <f t="shared" si="163"/>
        <v>9.0567581047381545</v>
      </c>
      <c r="O1678">
        <f t="shared" si="164"/>
        <v>16418.240000000002</v>
      </c>
      <c r="P1678">
        <f t="shared" si="165"/>
        <v>0.10805712745890596</v>
      </c>
      <c r="Q1678" t="s">
        <v>4136</v>
      </c>
      <c r="R1678" t="s">
        <v>4139</v>
      </c>
      <c r="S1678">
        <f>YEAR(marketing_data[[#This Row],[Start_date]])</f>
        <v>2023</v>
      </c>
      <c r="T1678" t="str">
        <f>TEXT(marketing_data[[#This Row],[Start_date]],"ddd")</f>
        <v>Fri</v>
      </c>
      <c r="U1678">
        <f>marketing_data[[#This Row],[Cleaned End_date]]-marketing_data[[#This Row],[Start_date]]</f>
        <v>25</v>
      </c>
    </row>
    <row r="1679" spans="1:21" x14ac:dyDescent="0.2">
      <c r="A1679" t="s">
        <v>3463</v>
      </c>
      <c r="B1679" t="s">
        <v>3464</v>
      </c>
      <c r="C1679" s="2">
        <v>45240</v>
      </c>
      <c r="D1679" t="str">
        <f t="shared" si="160"/>
        <v>Nov</v>
      </c>
      <c r="E1679" s="2">
        <v>45242</v>
      </c>
      <c r="F1679" t="s">
        <v>19</v>
      </c>
      <c r="G1679">
        <v>18674</v>
      </c>
      <c r="H1679">
        <v>920</v>
      </c>
      <c r="I1679">
        <v>93</v>
      </c>
      <c r="J1679" t="b">
        <v>0</v>
      </c>
      <c r="K1679" s="10">
        <v>576.28</v>
      </c>
      <c r="L1679" s="6">
        <f t="shared" si="161"/>
        <v>4.9266359644425405E-2</v>
      </c>
      <c r="M1679">
        <f t="shared" si="162"/>
        <v>0.62639130434782608</v>
      </c>
      <c r="N1679">
        <f t="shared" si="163"/>
        <v>6.196559139784946</v>
      </c>
      <c r="O1679">
        <f t="shared" si="164"/>
        <v>4073.7200000000003</v>
      </c>
      <c r="P1679">
        <f t="shared" si="165"/>
        <v>0.10108695652173913</v>
      </c>
      <c r="Q1679" t="s">
        <v>4136</v>
      </c>
      <c r="R1679" t="s">
        <v>4142</v>
      </c>
      <c r="S1679">
        <f>YEAR(marketing_data[[#This Row],[Start_date]])</f>
        <v>2023</v>
      </c>
      <c r="T1679" t="str">
        <f>TEXT(marketing_data[[#This Row],[Start_date]],"ddd")</f>
        <v>Fri</v>
      </c>
      <c r="U1679">
        <f>marketing_data[[#This Row],[Cleaned End_date]]-marketing_data[[#This Row],[Start_date]]</f>
        <v>2</v>
      </c>
    </row>
    <row r="1680" spans="1:21" x14ac:dyDescent="0.2">
      <c r="A1680" t="s">
        <v>3465</v>
      </c>
      <c r="B1680" t="s">
        <v>3466</v>
      </c>
      <c r="C1680" s="2">
        <v>45072</v>
      </c>
      <c r="D1680" t="str">
        <f t="shared" si="160"/>
        <v>May</v>
      </c>
      <c r="E1680" s="2">
        <v>45075</v>
      </c>
      <c r="F1680" t="s">
        <v>23</v>
      </c>
      <c r="G1680">
        <v>84560</v>
      </c>
      <c r="H1680">
        <v>2969</v>
      </c>
      <c r="I1680">
        <v>520</v>
      </c>
      <c r="J1680" t="b">
        <v>0</v>
      </c>
      <c r="K1680" s="10">
        <v>3070.36</v>
      </c>
      <c r="L1680" s="6">
        <f t="shared" si="161"/>
        <v>3.5111163670766318E-2</v>
      </c>
      <c r="M1680">
        <f t="shared" si="162"/>
        <v>1.0341394408891884</v>
      </c>
      <c r="N1680">
        <f t="shared" si="163"/>
        <v>5.9045384615384622</v>
      </c>
      <c r="O1680">
        <f t="shared" si="164"/>
        <v>22929.64</v>
      </c>
      <c r="P1680">
        <f t="shared" si="165"/>
        <v>0.17514314584035029</v>
      </c>
      <c r="Q1680" t="s">
        <v>4137</v>
      </c>
      <c r="R1680" t="s">
        <v>4141</v>
      </c>
      <c r="S1680">
        <f>YEAR(marketing_data[[#This Row],[Start_date]])</f>
        <v>2023</v>
      </c>
      <c r="T1680" t="str">
        <f>TEXT(marketing_data[[#This Row],[Start_date]],"ddd")</f>
        <v>Fri</v>
      </c>
      <c r="U1680">
        <f>marketing_data[[#This Row],[Cleaned End_date]]-marketing_data[[#This Row],[Start_date]]</f>
        <v>3</v>
      </c>
    </row>
    <row r="1681" spans="1:21" x14ac:dyDescent="0.2">
      <c r="A1681" t="s">
        <v>3467</v>
      </c>
      <c r="B1681" t="s">
        <v>3468</v>
      </c>
      <c r="C1681" s="2">
        <v>45064</v>
      </c>
      <c r="D1681" t="str">
        <f t="shared" si="160"/>
        <v>May</v>
      </c>
      <c r="E1681" s="2">
        <v>45077</v>
      </c>
      <c r="F1681" t="s">
        <v>23</v>
      </c>
      <c r="G1681">
        <v>24874</v>
      </c>
      <c r="H1681">
        <v>495</v>
      </c>
      <c r="I1681">
        <v>32</v>
      </c>
      <c r="J1681" t="b">
        <v>1</v>
      </c>
      <c r="K1681" s="10">
        <v>752.69</v>
      </c>
      <c r="L1681" s="6">
        <f t="shared" si="161"/>
        <v>1.9900297499396962E-2</v>
      </c>
      <c r="M1681">
        <f t="shared" si="162"/>
        <v>1.5205858585858587</v>
      </c>
      <c r="N1681">
        <f t="shared" si="163"/>
        <v>23.521562500000002</v>
      </c>
      <c r="O1681">
        <f t="shared" si="164"/>
        <v>847.31</v>
      </c>
      <c r="P1681">
        <f t="shared" si="165"/>
        <v>6.4646464646464646E-2</v>
      </c>
      <c r="Q1681" t="s">
        <v>4137</v>
      </c>
      <c r="R1681" t="s">
        <v>4138</v>
      </c>
      <c r="S1681">
        <f>YEAR(marketing_data[[#This Row],[Start_date]])</f>
        <v>2023</v>
      </c>
      <c r="T1681" t="str">
        <f>TEXT(marketing_data[[#This Row],[Start_date]],"ddd")</f>
        <v>Thu</v>
      </c>
      <c r="U1681">
        <f>marketing_data[[#This Row],[Cleaned End_date]]-marketing_data[[#This Row],[Start_date]]</f>
        <v>13</v>
      </c>
    </row>
    <row r="1682" spans="1:21" x14ac:dyDescent="0.2">
      <c r="A1682" t="s">
        <v>3469</v>
      </c>
      <c r="B1682" t="s">
        <v>3470</v>
      </c>
      <c r="C1682" s="2">
        <v>45020</v>
      </c>
      <c r="D1682" t="str">
        <f t="shared" si="160"/>
        <v>Apr</v>
      </c>
      <c r="E1682" s="2">
        <v>45025</v>
      </c>
      <c r="F1682" t="s">
        <v>23</v>
      </c>
      <c r="G1682">
        <v>44642</v>
      </c>
      <c r="H1682">
        <v>737</v>
      </c>
      <c r="I1682">
        <v>111</v>
      </c>
      <c r="J1682" t="b">
        <v>1</v>
      </c>
      <c r="K1682" s="10">
        <v>671.54</v>
      </c>
      <c r="L1682" s="6">
        <f t="shared" si="161"/>
        <v>1.650911697504592E-2</v>
      </c>
      <c r="M1682">
        <f t="shared" si="162"/>
        <v>0.91118046132971497</v>
      </c>
      <c r="N1682">
        <f t="shared" si="163"/>
        <v>6.0499099099099096</v>
      </c>
      <c r="O1682">
        <f t="shared" si="164"/>
        <v>4878.46</v>
      </c>
      <c r="P1682">
        <f t="shared" si="165"/>
        <v>0.15061058344640435</v>
      </c>
      <c r="Q1682" t="s">
        <v>4137</v>
      </c>
      <c r="R1682" t="s">
        <v>4138</v>
      </c>
      <c r="S1682">
        <f>YEAR(marketing_data[[#This Row],[Start_date]])</f>
        <v>2023</v>
      </c>
      <c r="T1682" t="str">
        <f>TEXT(marketing_data[[#This Row],[Start_date]],"ddd")</f>
        <v>Tue</v>
      </c>
      <c r="U1682">
        <f>marketing_data[[#This Row],[Cleaned End_date]]-marketing_data[[#This Row],[Start_date]]</f>
        <v>5</v>
      </c>
    </row>
    <row r="1683" spans="1:21" x14ac:dyDescent="0.2">
      <c r="A1683" t="s">
        <v>3471</v>
      </c>
      <c r="B1683" t="s">
        <v>3472</v>
      </c>
      <c r="C1683" s="2">
        <v>45160</v>
      </c>
      <c r="D1683" t="str">
        <f t="shared" si="160"/>
        <v>Aug</v>
      </c>
      <c r="E1683" s="2">
        <v>45161</v>
      </c>
      <c r="F1683" t="s">
        <v>19</v>
      </c>
      <c r="G1683">
        <v>98820</v>
      </c>
      <c r="H1683">
        <v>1727</v>
      </c>
      <c r="I1683">
        <v>150</v>
      </c>
      <c r="J1683" t="b">
        <v>0</v>
      </c>
      <c r="K1683" s="10">
        <v>3007.59</v>
      </c>
      <c r="L1683" s="6">
        <f t="shared" si="161"/>
        <v>1.7476219388787694E-2</v>
      </c>
      <c r="M1683">
        <f t="shared" si="162"/>
        <v>1.7415112912565143</v>
      </c>
      <c r="N1683">
        <f t="shared" si="163"/>
        <v>20.050599999999999</v>
      </c>
      <c r="O1683">
        <f t="shared" si="164"/>
        <v>4492.41</v>
      </c>
      <c r="P1683">
        <f t="shared" si="165"/>
        <v>8.6855819339895779E-2</v>
      </c>
      <c r="Q1683" t="s">
        <v>4139</v>
      </c>
      <c r="R1683" t="s">
        <v>4142</v>
      </c>
      <c r="S1683">
        <f>YEAR(marketing_data[[#This Row],[Start_date]])</f>
        <v>2023</v>
      </c>
      <c r="T1683" t="str">
        <f>TEXT(marketing_data[[#This Row],[Start_date]],"ddd")</f>
        <v>Tue</v>
      </c>
      <c r="U1683">
        <f>marketing_data[[#This Row],[Cleaned End_date]]-marketing_data[[#This Row],[Start_date]]</f>
        <v>1</v>
      </c>
    </row>
    <row r="1684" spans="1:21" x14ac:dyDescent="0.2">
      <c r="A1684" t="s">
        <v>3473</v>
      </c>
      <c r="B1684" t="s">
        <v>3474</v>
      </c>
      <c r="C1684" s="2">
        <v>45245</v>
      </c>
      <c r="D1684" t="str">
        <f t="shared" si="160"/>
        <v>Nov</v>
      </c>
      <c r="E1684" s="2">
        <v>45255</v>
      </c>
      <c r="F1684" t="s">
        <v>33</v>
      </c>
      <c r="G1684">
        <v>66160</v>
      </c>
      <c r="H1684">
        <v>713</v>
      </c>
      <c r="I1684">
        <v>37</v>
      </c>
      <c r="J1684" t="b">
        <v>1</v>
      </c>
      <c r="K1684" s="10">
        <v>1147.79</v>
      </c>
      <c r="L1684" s="6">
        <f t="shared" si="161"/>
        <v>1.0776904474002418E-2</v>
      </c>
      <c r="M1684">
        <f t="shared" si="162"/>
        <v>1.6098036465638148</v>
      </c>
      <c r="N1684">
        <f t="shared" si="163"/>
        <v>31.021351351351349</v>
      </c>
      <c r="O1684">
        <f t="shared" si="164"/>
        <v>702.21</v>
      </c>
      <c r="P1684">
        <f t="shared" si="165"/>
        <v>5.1893408134642355E-2</v>
      </c>
      <c r="Q1684" t="s">
        <v>4136</v>
      </c>
      <c r="R1684" t="s">
        <v>4142</v>
      </c>
      <c r="S1684">
        <f>YEAR(marketing_data[[#This Row],[Start_date]])</f>
        <v>2023</v>
      </c>
      <c r="T1684" t="str">
        <f>TEXT(marketing_data[[#This Row],[Start_date]],"ddd")</f>
        <v>Wed</v>
      </c>
      <c r="U1684">
        <f>marketing_data[[#This Row],[Cleaned End_date]]-marketing_data[[#This Row],[Start_date]]</f>
        <v>10</v>
      </c>
    </row>
    <row r="1685" spans="1:21" x14ac:dyDescent="0.2">
      <c r="A1685" t="s">
        <v>3475</v>
      </c>
      <c r="B1685" t="s">
        <v>3476</v>
      </c>
      <c r="C1685" s="2">
        <v>45004</v>
      </c>
      <c r="D1685" t="str">
        <f t="shared" si="160"/>
        <v>Mar</v>
      </c>
      <c r="E1685" s="2">
        <v>45019</v>
      </c>
      <c r="F1685" t="s">
        <v>14</v>
      </c>
      <c r="G1685">
        <v>18602</v>
      </c>
      <c r="H1685">
        <v>476</v>
      </c>
      <c r="I1685">
        <v>35</v>
      </c>
      <c r="J1685" t="b">
        <v>0</v>
      </c>
      <c r="K1685" s="10">
        <v>801.36</v>
      </c>
      <c r="L1685" s="6">
        <f t="shared" si="161"/>
        <v>2.5588646382109451E-2</v>
      </c>
      <c r="M1685">
        <f t="shared" si="162"/>
        <v>1.6835294117647059</v>
      </c>
      <c r="N1685">
        <f t="shared" si="163"/>
        <v>22.896000000000001</v>
      </c>
      <c r="O1685">
        <f t="shared" si="164"/>
        <v>948.64</v>
      </c>
      <c r="P1685">
        <f t="shared" si="165"/>
        <v>7.3529411764705885E-2</v>
      </c>
      <c r="Q1685" t="s">
        <v>4137</v>
      </c>
      <c r="R1685" t="s">
        <v>4141</v>
      </c>
      <c r="S1685">
        <f>YEAR(marketing_data[[#This Row],[Start_date]])</f>
        <v>2023</v>
      </c>
      <c r="T1685" t="str">
        <f>TEXT(marketing_data[[#This Row],[Start_date]],"ddd")</f>
        <v>Sun</v>
      </c>
      <c r="U1685">
        <f>marketing_data[[#This Row],[Cleaned End_date]]-marketing_data[[#This Row],[Start_date]]</f>
        <v>15</v>
      </c>
    </row>
    <row r="1686" spans="1:21" x14ac:dyDescent="0.2">
      <c r="A1686" t="s">
        <v>3477</v>
      </c>
      <c r="B1686" t="s">
        <v>3478</v>
      </c>
      <c r="C1686" s="2">
        <v>44936</v>
      </c>
      <c r="D1686" t="str">
        <f t="shared" si="160"/>
        <v>Jan</v>
      </c>
      <c r="E1686" s="2">
        <v>45217</v>
      </c>
      <c r="F1686" t="s">
        <v>33</v>
      </c>
      <c r="G1686">
        <v>89801</v>
      </c>
      <c r="H1686">
        <v>1585</v>
      </c>
      <c r="I1686">
        <v>223</v>
      </c>
      <c r="J1686" t="b">
        <v>1</v>
      </c>
      <c r="K1686" s="10">
        <v>1075.68</v>
      </c>
      <c r="L1686" s="6">
        <f t="shared" si="161"/>
        <v>1.765013752630817E-2</v>
      </c>
      <c r="M1686">
        <f t="shared" si="162"/>
        <v>0.67866246056782342</v>
      </c>
      <c r="N1686">
        <f t="shared" si="163"/>
        <v>4.8236771300448433</v>
      </c>
      <c r="O1686">
        <f t="shared" si="164"/>
        <v>10074.32</v>
      </c>
      <c r="P1686">
        <f t="shared" si="165"/>
        <v>0.14069400630914827</v>
      </c>
      <c r="Q1686" t="s">
        <v>4138</v>
      </c>
      <c r="R1686" t="s">
        <v>4142</v>
      </c>
      <c r="S1686">
        <f>YEAR(marketing_data[[#This Row],[Start_date]])</f>
        <v>2023</v>
      </c>
      <c r="T1686" t="str">
        <f>TEXT(marketing_data[[#This Row],[Start_date]],"ddd")</f>
        <v>Tue</v>
      </c>
      <c r="U1686">
        <f>marketing_data[[#This Row],[Cleaned End_date]]-marketing_data[[#This Row],[Start_date]]</f>
        <v>281</v>
      </c>
    </row>
    <row r="1687" spans="1:21" x14ac:dyDescent="0.2">
      <c r="A1687" t="s">
        <v>3479</v>
      </c>
      <c r="B1687" t="s">
        <v>3480</v>
      </c>
      <c r="C1687" s="2">
        <v>44979</v>
      </c>
      <c r="D1687" t="str">
        <f t="shared" si="160"/>
        <v>Feb</v>
      </c>
      <c r="E1687" s="2">
        <v>45005</v>
      </c>
      <c r="F1687" t="s">
        <v>19</v>
      </c>
      <c r="G1687">
        <v>26931</v>
      </c>
      <c r="H1687">
        <v>712</v>
      </c>
      <c r="J1687" t="b">
        <v>0</v>
      </c>
      <c r="K1687" s="10">
        <v>506.1</v>
      </c>
      <c r="L1687" s="6">
        <f t="shared" si="161"/>
        <v>2.643793397942891E-2</v>
      </c>
      <c r="M1687">
        <f t="shared" si="162"/>
        <v>0.71081460674157304</v>
      </c>
      <c r="N1687">
        <f t="shared" si="163"/>
        <v>0</v>
      </c>
      <c r="O1687">
        <f t="shared" si="164"/>
        <v>-506.1</v>
      </c>
      <c r="P1687">
        <f t="shared" si="165"/>
        <v>0</v>
      </c>
      <c r="Q1687" t="s">
        <v>4138</v>
      </c>
      <c r="R1687" t="s">
        <v>4139</v>
      </c>
      <c r="S1687">
        <f>YEAR(marketing_data[[#This Row],[Start_date]])</f>
        <v>2023</v>
      </c>
      <c r="T1687" t="str">
        <f>TEXT(marketing_data[[#This Row],[Start_date]],"ddd")</f>
        <v>Wed</v>
      </c>
      <c r="U1687">
        <f>marketing_data[[#This Row],[Cleaned End_date]]-marketing_data[[#This Row],[Start_date]]</f>
        <v>26</v>
      </c>
    </row>
    <row r="1688" spans="1:21" x14ac:dyDescent="0.2">
      <c r="A1688" t="s">
        <v>3481</v>
      </c>
      <c r="B1688" t="s">
        <v>3482</v>
      </c>
      <c r="C1688" s="2">
        <v>45151</v>
      </c>
      <c r="D1688" t="str">
        <f t="shared" si="160"/>
        <v>Aug</v>
      </c>
      <c r="E1688" s="2">
        <v>45167</v>
      </c>
      <c r="F1688" t="s">
        <v>23</v>
      </c>
      <c r="G1688">
        <v>95377</v>
      </c>
      <c r="H1688">
        <v>4520</v>
      </c>
      <c r="I1688">
        <v>240</v>
      </c>
      <c r="J1688" t="b">
        <v>1</v>
      </c>
      <c r="K1688" s="10">
        <v>3631.7599999999998</v>
      </c>
      <c r="L1688" s="6">
        <f t="shared" si="161"/>
        <v>4.7390880400935233E-2</v>
      </c>
      <c r="M1688">
        <f t="shared" si="162"/>
        <v>0.80348672566371682</v>
      </c>
      <c r="N1688">
        <f t="shared" si="163"/>
        <v>15.132333333333332</v>
      </c>
      <c r="O1688">
        <f t="shared" si="164"/>
        <v>8368.24</v>
      </c>
      <c r="P1688">
        <f t="shared" si="165"/>
        <v>5.3097345132743362E-2</v>
      </c>
      <c r="Q1688" t="s">
        <v>4139</v>
      </c>
      <c r="R1688" t="s">
        <v>4139</v>
      </c>
      <c r="S1688">
        <f>YEAR(marketing_data[[#This Row],[Start_date]])</f>
        <v>2023</v>
      </c>
      <c r="T1688" t="str">
        <f>TEXT(marketing_data[[#This Row],[Start_date]],"ddd")</f>
        <v>Sun</v>
      </c>
      <c r="U1688">
        <f>marketing_data[[#This Row],[Cleaned End_date]]-marketing_data[[#This Row],[Start_date]]</f>
        <v>16</v>
      </c>
    </row>
    <row r="1689" spans="1:21" x14ac:dyDescent="0.2">
      <c r="A1689" t="s">
        <v>3483</v>
      </c>
      <c r="B1689" t="s">
        <v>3484</v>
      </c>
      <c r="C1689" s="2">
        <v>45004</v>
      </c>
      <c r="D1689" t="str">
        <f t="shared" si="160"/>
        <v>Mar</v>
      </c>
      <c r="E1689" s="2">
        <v>45026</v>
      </c>
      <c r="F1689" t="s">
        <v>19</v>
      </c>
      <c r="G1689">
        <v>30192</v>
      </c>
      <c r="H1689">
        <v>821</v>
      </c>
      <c r="I1689">
        <v>45</v>
      </c>
      <c r="J1689" t="b">
        <v>1</v>
      </c>
      <c r="K1689" s="10">
        <v>1048.51</v>
      </c>
      <c r="L1689" s="6">
        <f t="shared" si="161"/>
        <v>2.7192633810280867E-2</v>
      </c>
      <c r="M1689">
        <f t="shared" si="162"/>
        <v>1.2771132764920827</v>
      </c>
      <c r="N1689">
        <f t="shared" si="163"/>
        <v>23.300222222222221</v>
      </c>
      <c r="O1689">
        <f t="shared" si="164"/>
        <v>1201.49</v>
      </c>
      <c r="P1689">
        <f t="shared" si="165"/>
        <v>5.4811205846528627E-2</v>
      </c>
      <c r="Q1689" t="s">
        <v>4137</v>
      </c>
      <c r="R1689" t="s">
        <v>4139</v>
      </c>
      <c r="S1689">
        <f>YEAR(marketing_data[[#This Row],[Start_date]])</f>
        <v>2023</v>
      </c>
      <c r="T1689" t="str">
        <f>TEXT(marketing_data[[#This Row],[Start_date]],"ddd")</f>
        <v>Sun</v>
      </c>
      <c r="U1689">
        <f>marketing_data[[#This Row],[Cleaned End_date]]-marketing_data[[#This Row],[Start_date]]</f>
        <v>22</v>
      </c>
    </row>
    <row r="1690" spans="1:21" x14ac:dyDescent="0.2">
      <c r="A1690" t="s">
        <v>3485</v>
      </c>
      <c r="B1690" t="s">
        <v>3486</v>
      </c>
      <c r="C1690" s="2">
        <v>45038</v>
      </c>
      <c r="D1690" t="str">
        <f t="shared" si="160"/>
        <v>Apr</v>
      </c>
      <c r="E1690" s="2">
        <v>45063</v>
      </c>
      <c r="F1690" t="s">
        <v>23</v>
      </c>
      <c r="G1690">
        <v>47542</v>
      </c>
      <c r="H1690">
        <v>2145</v>
      </c>
      <c r="I1690">
        <v>397</v>
      </c>
      <c r="J1690" t="b">
        <v>1</v>
      </c>
      <c r="K1690" s="10">
        <v>3479.24</v>
      </c>
      <c r="L1690" s="6">
        <f t="shared" si="161"/>
        <v>4.5118000925497455E-2</v>
      </c>
      <c r="M1690">
        <f t="shared" si="162"/>
        <v>1.6220233100233099</v>
      </c>
      <c r="N1690">
        <f t="shared" si="163"/>
        <v>8.7638287153652392</v>
      </c>
      <c r="O1690">
        <f t="shared" si="164"/>
        <v>16370.76</v>
      </c>
      <c r="P1690">
        <f t="shared" si="165"/>
        <v>0.18508158508158509</v>
      </c>
      <c r="Q1690" t="s">
        <v>4137</v>
      </c>
      <c r="R1690" t="s">
        <v>4138</v>
      </c>
      <c r="S1690">
        <f>YEAR(marketing_data[[#This Row],[Start_date]])</f>
        <v>2023</v>
      </c>
      <c r="T1690" t="str">
        <f>TEXT(marketing_data[[#This Row],[Start_date]],"ddd")</f>
        <v>Sat</v>
      </c>
      <c r="U1690">
        <f>marketing_data[[#This Row],[Cleaned End_date]]-marketing_data[[#This Row],[Start_date]]</f>
        <v>25</v>
      </c>
    </row>
    <row r="1691" spans="1:21" x14ac:dyDescent="0.2">
      <c r="A1691" t="s">
        <v>3487</v>
      </c>
      <c r="B1691" t="s">
        <v>3488</v>
      </c>
      <c r="C1691" s="2">
        <v>45182</v>
      </c>
      <c r="D1691" t="str">
        <f t="shared" si="160"/>
        <v>Sep</v>
      </c>
      <c r="E1691" s="2">
        <v>45195</v>
      </c>
      <c r="F1691" t="s">
        <v>23</v>
      </c>
      <c r="G1691">
        <v>43520</v>
      </c>
      <c r="H1691">
        <v>1489</v>
      </c>
      <c r="I1691">
        <v>90</v>
      </c>
      <c r="J1691" t="b">
        <v>1</v>
      </c>
      <c r="K1691" s="10">
        <v>2612.89</v>
      </c>
      <c r="L1691" s="6">
        <f t="shared" si="161"/>
        <v>3.4214154411764709E-2</v>
      </c>
      <c r="M1691">
        <f t="shared" si="162"/>
        <v>1.7547951645399595</v>
      </c>
      <c r="N1691">
        <f t="shared" si="163"/>
        <v>29.03211111111111</v>
      </c>
      <c r="O1691">
        <f t="shared" si="164"/>
        <v>1887.1100000000001</v>
      </c>
      <c r="P1691">
        <f t="shared" si="165"/>
        <v>6.0443250503693757E-2</v>
      </c>
      <c r="Q1691" t="s">
        <v>4136</v>
      </c>
      <c r="R1691" t="s">
        <v>4138</v>
      </c>
      <c r="S1691">
        <f>YEAR(marketing_data[[#This Row],[Start_date]])</f>
        <v>2023</v>
      </c>
      <c r="T1691" t="str">
        <f>TEXT(marketing_data[[#This Row],[Start_date]],"ddd")</f>
        <v>Wed</v>
      </c>
      <c r="U1691">
        <f>marketing_data[[#This Row],[Cleaned End_date]]-marketing_data[[#This Row],[Start_date]]</f>
        <v>13</v>
      </c>
    </row>
    <row r="1692" spans="1:21" x14ac:dyDescent="0.2">
      <c r="A1692" t="s">
        <v>3489</v>
      </c>
      <c r="B1692" t="s">
        <v>3490</v>
      </c>
      <c r="C1692" s="2">
        <v>44943</v>
      </c>
      <c r="D1692" t="str">
        <f t="shared" si="160"/>
        <v>Jan</v>
      </c>
      <c r="E1692" s="2">
        <v>44961</v>
      </c>
      <c r="F1692" t="s">
        <v>23</v>
      </c>
      <c r="G1692">
        <v>65772</v>
      </c>
      <c r="H1692">
        <v>1307</v>
      </c>
      <c r="I1692">
        <v>240</v>
      </c>
      <c r="J1692" t="b">
        <v>1</v>
      </c>
      <c r="K1692" s="10">
        <v>2034.35</v>
      </c>
      <c r="L1692" s="6">
        <f t="shared" si="161"/>
        <v>1.9871677917654929E-2</v>
      </c>
      <c r="M1692">
        <f t="shared" si="162"/>
        <v>1.5565034429992348</v>
      </c>
      <c r="N1692">
        <f t="shared" si="163"/>
        <v>8.4764583333333334</v>
      </c>
      <c r="O1692">
        <f t="shared" si="164"/>
        <v>9965.65</v>
      </c>
      <c r="P1692">
        <f t="shared" si="165"/>
        <v>0.18362662586074982</v>
      </c>
      <c r="Q1692" t="s">
        <v>4138</v>
      </c>
      <c r="R1692" t="s">
        <v>4138</v>
      </c>
      <c r="S1692">
        <f>YEAR(marketing_data[[#This Row],[Start_date]])</f>
        <v>2023</v>
      </c>
      <c r="T1692" t="str">
        <f>TEXT(marketing_data[[#This Row],[Start_date]],"ddd")</f>
        <v>Tue</v>
      </c>
      <c r="U1692">
        <f>marketing_data[[#This Row],[Cleaned End_date]]-marketing_data[[#This Row],[Start_date]]</f>
        <v>18</v>
      </c>
    </row>
    <row r="1693" spans="1:21" x14ac:dyDescent="0.2">
      <c r="A1693" t="s">
        <v>3491</v>
      </c>
      <c r="B1693" t="s">
        <v>3492</v>
      </c>
      <c r="C1693" s="2">
        <v>45001</v>
      </c>
      <c r="D1693" t="str">
        <f t="shared" si="160"/>
        <v>Mar</v>
      </c>
      <c r="E1693" s="2">
        <v>45019</v>
      </c>
      <c r="F1693" t="s">
        <v>23</v>
      </c>
      <c r="G1693">
        <v>59762</v>
      </c>
      <c r="H1693">
        <v>1448</v>
      </c>
      <c r="J1693" t="b">
        <v>1</v>
      </c>
      <c r="K1693" s="10">
        <v>2740.91</v>
      </c>
      <c r="L1693" s="6">
        <f t="shared" si="161"/>
        <v>2.4229443459054249E-2</v>
      </c>
      <c r="M1693">
        <f t="shared" si="162"/>
        <v>1.8928936464088397</v>
      </c>
      <c r="N1693">
        <f t="shared" si="163"/>
        <v>0</v>
      </c>
      <c r="O1693">
        <f t="shared" si="164"/>
        <v>-2740.91</v>
      </c>
      <c r="P1693">
        <f t="shared" si="165"/>
        <v>0</v>
      </c>
      <c r="Q1693" t="s">
        <v>4137</v>
      </c>
      <c r="R1693" t="s">
        <v>4141</v>
      </c>
      <c r="S1693">
        <f>YEAR(marketing_data[[#This Row],[Start_date]])</f>
        <v>2023</v>
      </c>
      <c r="T1693" t="str">
        <f>TEXT(marketing_data[[#This Row],[Start_date]],"ddd")</f>
        <v>Thu</v>
      </c>
      <c r="U1693">
        <f>marketing_data[[#This Row],[Cleaned End_date]]-marketing_data[[#This Row],[Start_date]]</f>
        <v>18</v>
      </c>
    </row>
    <row r="1694" spans="1:21" x14ac:dyDescent="0.2">
      <c r="A1694" t="s">
        <v>3493</v>
      </c>
      <c r="B1694" t="s">
        <v>3494</v>
      </c>
      <c r="C1694" s="2">
        <v>45127</v>
      </c>
      <c r="D1694" t="str">
        <f t="shared" si="160"/>
        <v>Jul</v>
      </c>
      <c r="E1694" s="2">
        <v>45151</v>
      </c>
      <c r="F1694" t="s">
        <v>19</v>
      </c>
      <c r="G1694">
        <v>51106</v>
      </c>
      <c r="H1694">
        <v>682</v>
      </c>
      <c r="I1694">
        <v>109</v>
      </c>
      <c r="J1694" t="b">
        <v>1</v>
      </c>
      <c r="K1694" s="10">
        <v>1096.73</v>
      </c>
      <c r="L1694" s="6">
        <f t="shared" si="161"/>
        <v>1.334481274214378E-2</v>
      </c>
      <c r="M1694">
        <f t="shared" si="162"/>
        <v>1.608108504398827</v>
      </c>
      <c r="N1694">
        <f t="shared" si="163"/>
        <v>10.061743119266055</v>
      </c>
      <c r="O1694">
        <f t="shared" si="164"/>
        <v>4353.2700000000004</v>
      </c>
      <c r="P1694">
        <f t="shared" si="165"/>
        <v>0.15982404692082111</v>
      </c>
      <c r="Q1694" t="s">
        <v>4139</v>
      </c>
      <c r="R1694" t="s">
        <v>4142</v>
      </c>
      <c r="S1694">
        <f>YEAR(marketing_data[[#This Row],[Start_date]])</f>
        <v>2023</v>
      </c>
      <c r="T1694" t="str">
        <f>TEXT(marketing_data[[#This Row],[Start_date]],"ddd")</f>
        <v>Thu</v>
      </c>
      <c r="U1694">
        <f>marketing_data[[#This Row],[Cleaned End_date]]-marketing_data[[#This Row],[Start_date]]</f>
        <v>24</v>
      </c>
    </row>
    <row r="1695" spans="1:21" x14ac:dyDescent="0.2">
      <c r="A1695" t="s">
        <v>3496</v>
      </c>
      <c r="B1695" t="s">
        <v>3497</v>
      </c>
      <c r="C1695" s="2">
        <v>45167</v>
      </c>
      <c r="D1695" t="str">
        <f t="shared" si="160"/>
        <v>Aug</v>
      </c>
      <c r="E1695" s="2">
        <v>45180</v>
      </c>
      <c r="F1695" t="s">
        <v>33</v>
      </c>
      <c r="G1695">
        <v>82121</v>
      </c>
      <c r="H1695">
        <v>1916</v>
      </c>
      <c r="I1695">
        <v>184</v>
      </c>
      <c r="J1695" t="b">
        <v>0</v>
      </c>
      <c r="K1695" s="10">
        <v>1838.21</v>
      </c>
      <c r="L1695" s="6">
        <f t="shared" si="161"/>
        <v>2.3331425579328064E-2</v>
      </c>
      <c r="M1695">
        <f t="shared" si="162"/>
        <v>0.9593997912317328</v>
      </c>
      <c r="N1695">
        <f t="shared" si="163"/>
        <v>9.990271739130435</v>
      </c>
      <c r="O1695">
        <f t="shared" si="164"/>
        <v>7361.79</v>
      </c>
      <c r="P1695">
        <f t="shared" si="165"/>
        <v>9.6033402922755737E-2</v>
      </c>
      <c r="Q1695" t="s">
        <v>4139</v>
      </c>
      <c r="R1695" t="s">
        <v>4139</v>
      </c>
      <c r="S1695">
        <f>YEAR(marketing_data[[#This Row],[Start_date]])</f>
        <v>2023</v>
      </c>
      <c r="T1695" t="str">
        <f>TEXT(marketing_data[[#This Row],[Start_date]],"ddd")</f>
        <v>Tue</v>
      </c>
      <c r="U1695">
        <f>marketing_data[[#This Row],[Cleaned End_date]]-marketing_data[[#This Row],[Start_date]]</f>
        <v>13</v>
      </c>
    </row>
    <row r="1696" spans="1:21" x14ac:dyDescent="0.2">
      <c r="A1696" t="s">
        <v>3498</v>
      </c>
      <c r="B1696" t="s">
        <v>3499</v>
      </c>
      <c r="C1696" s="2">
        <v>45055</v>
      </c>
      <c r="D1696" t="str">
        <f t="shared" si="160"/>
        <v>May</v>
      </c>
      <c r="E1696" s="2">
        <v>45084</v>
      </c>
      <c r="F1696" t="s">
        <v>19</v>
      </c>
      <c r="G1696">
        <v>26559</v>
      </c>
      <c r="H1696">
        <v>985</v>
      </c>
      <c r="I1696">
        <v>176</v>
      </c>
      <c r="J1696" t="b">
        <v>1</v>
      </c>
      <c r="K1696" s="10">
        <v>884.16</v>
      </c>
      <c r="L1696" s="6">
        <f t="shared" si="161"/>
        <v>3.7087239730411538E-2</v>
      </c>
      <c r="M1696">
        <f t="shared" si="162"/>
        <v>0.89762436548223346</v>
      </c>
      <c r="N1696">
        <f t="shared" si="163"/>
        <v>5.0236363636363635</v>
      </c>
      <c r="O1696">
        <f t="shared" si="164"/>
        <v>7915.84</v>
      </c>
      <c r="P1696">
        <f t="shared" si="165"/>
        <v>0.17868020304568527</v>
      </c>
      <c r="Q1696" t="s">
        <v>4137</v>
      </c>
      <c r="R1696" t="s">
        <v>4141</v>
      </c>
      <c r="S1696">
        <f>YEAR(marketing_data[[#This Row],[Start_date]])</f>
        <v>2023</v>
      </c>
      <c r="T1696" t="str">
        <f>TEXT(marketing_data[[#This Row],[Start_date]],"ddd")</f>
        <v>Tue</v>
      </c>
      <c r="U1696">
        <f>marketing_data[[#This Row],[Cleaned End_date]]-marketing_data[[#This Row],[Start_date]]</f>
        <v>29</v>
      </c>
    </row>
    <row r="1697" spans="1:21" x14ac:dyDescent="0.2">
      <c r="A1697" t="s">
        <v>3500</v>
      </c>
      <c r="B1697" t="s">
        <v>3501</v>
      </c>
      <c r="C1697" s="2">
        <v>44989</v>
      </c>
      <c r="D1697" t="str">
        <f t="shared" si="160"/>
        <v>Mar</v>
      </c>
      <c r="E1697" s="2">
        <v>45006</v>
      </c>
      <c r="F1697" t="s">
        <v>23</v>
      </c>
      <c r="G1697">
        <v>34742</v>
      </c>
      <c r="H1697">
        <v>447</v>
      </c>
      <c r="I1697">
        <v>69</v>
      </c>
      <c r="J1697" t="b">
        <v>1</v>
      </c>
      <c r="K1697" s="10">
        <v>690.3</v>
      </c>
      <c r="L1697" s="6">
        <f t="shared" si="161"/>
        <v>1.2866271371826608E-2</v>
      </c>
      <c r="M1697">
        <f t="shared" si="162"/>
        <v>1.5442953020134227</v>
      </c>
      <c r="N1697">
        <f t="shared" si="163"/>
        <v>10.004347826086956</v>
      </c>
      <c r="O1697">
        <f t="shared" si="164"/>
        <v>2759.7</v>
      </c>
      <c r="P1697">
        <f t="shared" si="165"/>
        <v>0.15436241610738255</v>
      </c>
      <c r="Q1697" t="s">
        <v>4137</v>
      </c>
      <c r="R1697" t="s">
        <v>4141</v>
      </c>
      <c r="S1697">
        <f>YEAR(marketing_data[[#This Row],[Start_date]])</f>
        <v>2023</v>
      </c>
      <c r="T1697" t="str">
        <f>TEXT(marketing_data[[#This Row],[Start_date]],"ddd")</f>
        <v>Sat</v>
      </c>
      <c r="U1697">
        <f>marketing_data[[#This Row],[Cleaned End_date]]-marketing_data[[#This Row],[Start_date]]</f>
        <v>17</v>
      </c>
    </row>
    <row r="1698" spans="1:21" x14ac:dyDescent="0.2">
      <c r="A1698" t="s">
        <v>3502</v>
      </c>
      <c r="B1698" t="s">
        <v>3503</v>
      </c>
      <c r="C1698" s="2">
        <v>45124</v>
      </c>
      <c r="D1698" t="str">
        <f t="shared" si="160"/>
        <v>Jul</v>
      </c>
      <c r="E1698" s="2">
        <v>45139</v>
      </c>
      <c r="F1698" t="s">
        <v>19</v>
      </c>
      <c r="G1698">
        <v>70669</v>
      </c>
      <c r="H1698">
        <v>1287</v>
      </c>
      <c r="I1698">
        <v>141</v>
      </c>
      <c r="J1698" t="b">
        <v>0</v>
      </c>
      <c r="K1698" s="10">
        <v>1015.84</v>
      </c>
      <c r="L1698" s="6">
        <f t="shared" si="161"/>
        <v>1.8211662822453976E-2</v>
      </c>
      <c r="M1698">
        <f t="shared" si="162"/>
        <v>0.78930846930846932</v>
      </c>
      <c r="N1698">
        <f t="shared" si="163"/>
        <v>7.2045390070921984</v>
      </c>
      <c r="O1698">
        <f t="shared" si="164"/>
        <v>6034.16</v>
      </c>
      <c r="P1698">
        <f t="shared" si="165"/>
        <v>0.10955710955710955</v>
      </c>
      <c r="Q1698" t="s">
        <v>4139</v>
      </c>
      <c r="R1698" t="s">
        <v>4138</v>
      </c>
      <c r="S1698">
        <f>YEAR(marketing_data[[#This Row],[Start_date]])</f>
        <v>2023</v>
      </c>
      <c r="T1698" t="str">
        <f>TEXT(marketing_data[[#This Row],[Start_date]],"ddd")</f>
        <v>Mon</v>
      </c>
      <c r="U1698">
        <f>marketing_data[[#This Row],[Cleaned End_date]]-marketing_data[[#This Row],[Start_date]]</f>
        <v>15</v>
      </c>
    </row>
    <row r="1699" spans="1:21" x14ac:dyDescent="0.2">
      <c r="A1699" t="s">
        <v>3504</v>
      </c>
      <c r="B1699" t="s">
        <v>3505</v>
      </c>
      <c r="C1699" s="2">
        <v>44944</v>
      </c>
      <c r="D1699" t="str">
        <f t="shared" si="160"/>
        <v>Jan</v>
      </c>
      <c r="E1699" s="2">
        <v>44965</v>
      </c>
      <c r="F1699" t="s">
        <v>41</v>
      </c>
      <c r="G1699">
        <v>81199</v>
      </c>
      <c r="H1699">
        <v>2050</v>
      </c>
      <c r="I1699">
        <v>125</v>
      </c>
      <c r="J1699" t="b">
        <v>0</v>
      </c>
      <c r="K1699" s="10">
        <v>1310.0999999999999</v>
      </c>
      <c r="L1699" s="6">
        <f t="shared" si="161"/>
        <v>2.5246616337639628E-2</v>
      </c>
      <c r="M1699">
        <f t="shared" si="162"/>
        <v>0.63907317073170722</v>
      </c>
      <c r="N1699">
        <f t="shared" si="163"/>
        <v>10.480799999999999</v>
      </c>
      <c r="O1699">
        <f t="shared" si="164"/>
        <v>4939.8999999999996</v>
      </c>
      <c r="P1699">
        <f t="shared" si="165"/>
        <v>6.097560975609756E-2</v>
      </c>
      <c r="Q1699" t="s">
        <v>4138</v>
      </c>
      <c r="R1699" t="s">
        <v>4138</v>
      </c>
      <c r="S1699">
        <f>YEAR(marketing_data[[#This Row],[Start_date]])</f>
        <v>2023</v>
      </c>
      <c r="T1699" t="str">
        <f>TEXT(marketing_data[[#This Row],[Start_date]],"ddd")</f>
        <v>Wed</v>
      </c>
      <c r="U1699">
        <f>marketing_data[[#This Row],[Cleaned End_date]]-marketing_data[[#This Row],[Start_date]]</f>
        <v>21</v>
      </c>
    </row>
    <row r="1700" spans="1:21" x14ac:dyDescent="0.2">
      <c r="A1700" t="s">
        <v>3506</v>
      </c>
      <c r="B1700" t="s">
        <v>3507</v>
      </c>
      <c r="C1700" s="2">
        <v>44975</v>
      </c>
      <c r="D1700" t="str">
        <f t="shared" si="160"/>
        <v>Feb</v>
      </c>
      <c r="E1700" s="2">
        <v>44992</v>
      </c>
      <c r="F1700" t="s">
        <v>33</v>
      </c>
      <c r="G1700">
        <v>22754</v>
      </c>
      <c r="H1700">
        <v>1121</v>
      </c>
      <c r="I1700">
        <v>179</v>
      </c>
      <c r="J1700" t="b">
        <v>0</v>
      </c>
      <c r="K1700" s="10">
        <v>1455.43</v>
      </c>
      <c r="L1700" s="6">
        <f t="shared" si="161"/>
        <v>4.9266063109782897E-2</v>
      </c>
      <c r="M1700">
        <f t="shared" si="162"/>
        <v>1.2983318465655664</v>
      </c>
      <c r="N1700">
        <f t="shared" si="163"/>
        <v>8.1308938547486029</v>
      </c>
      <c r="O1700">
        <f t="shared" si="164"/>
        <v>7494.57</v>
      </c>
      <c r="P1700">
        <f t="shared" si="165"/>
        <v>0.15967885816235505</v>
      </c>
      <c r="Q1700" t="s">
        <v>4138</v>
      </c>
      <c r="R1700" t="s">
        <v>4142</v>
      </c>
      <c r="S1700">
        <f>YEAR(marketing_data[[#This Row],[Start_date]])</f>
        <v>2023</v>
      </c>
      <c r="T1700" t="str">
        <f>TEXT(marketing_data[[#This Row],[Start_date]],"ddd")</f>
        <v>Sat</v>
      </c>
      <c r="U1700">
        <f>marketing_data[[#This Row],[Cleaned End_date]]-marketing_data[[#This Row],[Start_date]]</f>
        <v>17</v>
      </c>
    </row>
    <row r="1701" spans="1:21" x14ac:dyDescent="0.2">
      <c r="A1701" t="s">
        <v>3508</v>
      </c>
      <c r="B1701" t="s">
        <v>3509</v>
      </c>
      <c r="C1701" s="2">
        <v>45169</v>
      </c>
      <c r="D1701" t="str">
        <f t="shared" si="160"/>
        <v>Aug</v>
      </c>
      <c r="E1701" s="2">
        <v>45181</v>
      </c>
      <c r="F1701" t="s">
        <v>33</v>
      </c>
      <c r="G1701">
        <v>4972</v>
      </c>
      <c r="H1701">
        <v>205</v>
      </c>
      <c r="I1701">
        <v>29</v>
      </c>
      <c r="J1701" t="b">
        <v>1</v>
      </c>
      <c r="K1701" s="10">
        <v>355.15</v>
      </c>
      <c r="L1701" s="6">
        <f t="shared" si="161"/>
        <v>4.1230893000804507E-2</v>
      </c>
      <c r="M1701">
        <f t="shared" si="162"/>
        <v>1.7324390243902439</v>
      </c>
      <c r="N1701">
        <f t="shared" si="163"/>
        <v>12.24655172413793</v>
      </c>
      <c r="O1701">
        <f t="shared" si="164"/>
        <v>1094.8499999999999</v>
      </c>
      <c r="P1701">
        <f t="shared" si="165"/>
        <v>0.14146341463414633</v>
      </c>
      <c r="Q1701" t="s">
        <v>4139</v>
      </c>
      <c r="R1701" t="s">
        <v>4138</v>
      </c>
      <c r="S1701">
        <f>YEAR(marketing_data[[#This Row],[Start_date]])</f>
        <v>2023</v>
      </c>
      <c r="T1701" t="str">
        <f>TEXT(marketing_data[[#This Row],[Start_date]],"ddd")</f>
        <v>Thu</v>
      </c>
      <c r="U1701">
        <f>marketing_data[[#This Row],[Cleaned End_date]]-marketing_data[[#This Row],[Start_date]]</f>
        <v>12</v>
      </c>
    </row>
    <row r="1702" spans="1:21" x14ac:dyDescent="0.2">
      <c r="A1702" t="s">
        <v>3510</v>
      </c>
      <c r="B1702" t="s">
        <v>3511</v>
      </c>
      <c r="C1702" s="2">
        <v>45092</v>
      </c>
      <c r="D1702" t="str">
        <f t="shared" si="160"/>
        <v>Jun</v>
      </c>
      <c r="E1702" s="2">
        <v>45118</v>
      </c>
      <c r="F1702" t="s">
        <v>41</v>
      </c>
      <c r="G1702">
        <v>71831</v>
      </c>
      <c r="H1702">
        <v>2825</v>
      </c>
      <c r="I1702">
        <v>142</v>
      </c>
      <c r="J1702" t="b">
        <v>1</v>
      </c>
      <c r="K1702" s="10">
        <v>1842.1</v>
      </c>
      <c r="L1702" s="6">
        <f t="shared" si="161"/>
        <v>3.9328423661093397E-2</v>
      </c>
      <c r="M1702">
        <f t="shared" si="162"/>
        <v>0.65207079646017696</v>
      </c>
      <c r="N1702">
        <f t="shared" si="163"/>
        <v>12.972535211267605</v>
      </c>
      <c r="O1702">
        <f t="shared" si="164"/>
        <v>5257.9</v>
      </c>
      <c r="P1702">
        <f t="shared" si="165"/>
        <v>5.0265486725663715E-2</v>
      </c>
      <c r="Q1702" t="s">
        <v>4139</v>
      </c>
      <c r="R1702" t="s">
        <v>4142</v>
      </c>
      <c r="S1702">
        <f>YEAR(marketing_data[[#This Row],[Start_date]])</f>
        <v>2023</v>
      </c>
      <c r="T1702" t="str">
        <f>TEXT(marketing_data[[#This Row],[Start_date]],"ddd")</f>
        <v>Thu</v>
      </c>
      <c r="U1702">
        <f>marketing_data[[#This Row],[Cleaned End_date]]-marketing_data[[#This Row],[Start_date]]</f>
        <v>26</v>
      </c>
    </row>
    <row r="1703" spans="1:21" x14ac:dyDescent="0.2">
      <c r="A1703" t="s">
        <v>3512</v>
      </c>
      <c r="B1703" t="s">
        <v>3513</v>
      </c>
      <c r="C1703" s="2">
        <v>45208</v>
      </c>
      <c r="D1703" t="str">
        <f t="shared" si="160"/>
        <v>Oct</v>
      </c>
      <c r="E1703" s="2">
        <v>45228</v>
      </c>
      <c r="F1703" t="s">
        <v>19</v>
      </c>
      <c r="G1703">
        <v>42873</v>
      </c>
      <c r="H1703">
        <v>627</v>
      </c>
      <c r="I1703">
        <v>32</v>
      </c>
      <c r="J1703" t="b">
        <v>0</v>
      </c>
      <c r="K1703" s="10">
        <v>1058.27</v>
      </c>
      <c r="L1703" s="6">
        <f t="shared" si="161"/>
        <v>1.462458890210622E-2</v>
      </c>
      <c r="M1703">
        <f t="shared" si="162"/>
        <v>1.6878309409888357</v>
      </c>
      <c r="N1703">
        <f t="shared" si="163"/>
        <v>33.070937499999999</v>
      </c>
      <c r="O1703">
        <f t="shared" si="164"/>
        <v>541.73</v>
      </c>
      <c r="P1703">
        <f t="shared" si="165"/>
        <v>5.1036682615629984E-2</v>
      </c>
      <c r="Q1703" t="s">
        <v>4136</v>
      </c>
      <c r="R1703" t="s">
        <v>4139</v>
      </c>
      <c r="S1703">
        <f>YEAR(marketing_data[[#This Row],[Start_date]])</f>
        <v>2023</v>
      </c>
      <c r="T1703" t="str">
        <f>TEXT(marketing_data[[#This Row],[Start_date]],"ddd")</f>
        <v>Mon</v>
      </c>
      <c r="U1703">
        <f>marketing_data[[#This Row],[Cleaned End_date]]-marketing_data[[#This Row],[Start_date]]</f>
        <v>20</v>
      </c>
    </row>
    <row r="1704" spans="1:21" x14ac:dyDescent="0.2">
      <c r="A1704" t="s">
        <v>3514</v>
      </c>
      <c r="B1704" t="s">
        <v>3515</v>
      </c>
      <c r="C1704" s="2">
        <v>45253</v>
      </c>
      <c r="D1704" t="str">
        <f t="shared" si="160"/>
        <v>Nov</v>
      </c>
      <c r="E1704" s="2">
        <v>45272</v>
      </c>
      <c r="F1704" t="s">
        <v>19</v>
      </c>
      <c r="G1704">
        <v>95661</v>
      </c>
      <c r="H1704">
        <v>3945</v>
      </c>
      <c r="I1704">
        <v>675</v>
      </c>
      <c r="J1704" t="b">
        <v>0</v>
      </c>
      <c r="K1704" s="10">
        <v>3631.7599999999998</v>
      </c>
      <c r="L1704" s="6">
        <f t="shared" si="161"/>
        <v>4.1239376548436665E-2</v>
      </c>
      <c r="M1704">
        <f t="shared" si="162"/>
        <v>0.92059822560202786</v>
      </c>
      <c r="N1704">
        <f t="shared" si="163"/>
        <v>5.3803851851851849</v>
      </c>
      <c r="O1704">
        <f t="shared" si="164"/>
        <v>30118.240000000002</v>
      </c>
      <c r="P1704">
        <f t="shared" si="165"/>
        <v>0.17110266159695817</v>
      </c>
      <c r="Q1704" t="s">
        <v>4136</v>
      </c>
      <c r="R1704" t="s">
        <v>4142</v>
      </c>
      <c r="S1704">
        <f>YEAR(marketing_data[[#This Row],[Start_date]])</f>
        <v>2023</v>
      </c>
      <c r="T1704" t="str">
        <f>TEXT(marketing_data[[#This Row],[Start_date]],"ddd")</f>
        <v>Thu</v>
      </c>
      <c r="U1704">
        <f>marketing_data[[#This Row],[Cleaned End_date]]-marketing_data[[#This Row],[Start_date]]</f>
        <v>19</v>
      </c>
    </row>
    <row r="1705" spans="1:21" x14ac:dyDescent="0.2">
      <c r="A1705" t="s">
        <v>3516</v>
      </c>
      <c r="B1705" t="s">
        <v>3517</v>
      </c>
      <c r="C1705" s="2">
        <v>44953</v>
      </c>
      <c r="D1705" t="str">
        <f t="shared" si="160"/>
        <v>Jan</v>
      </c>
      <c r="E1705" s="2">
        <v>44976</v>
      </c>
      <c r="F1705" t="s">
        <v>41</v>
      </c>
      <c r="G1705">
        <v>10903</v>
      </c>
      <c r="H1705">
        <v>451</v>
      </c>
      <c r="I1705">
        <v>40</v>
      </c>
      <c r="J1705" t="b">
        <v>1</v>
      </c>
      <c r="K1705" s="10">
        <v>551.76</v>
      </c>
      <c r="L1705" s="6">
        <f t="shared" si="161"/>
        <v>4.136476199211226E-2</v>
      </c>
      <c r="M1705">
        <f t="shared" si="162"/>
        <v>1.2234146341463414</v>
      </c>
      <c r="N1705">
        <f t="shared" si="163"/>
        <v>13.794</v>
      </c>
      <c r="O1705">
        <f t="shared" si="164"/>
        <v>1448.24</v>
      </c>
      <c r="P1705">
        <f t="shared" si="165"/>
        <v>8.8691796008869186E-2</v>
      </c>
      <c r="Q1705" t="s">
        <v>4138</v>
      </c>
      <c r="R1705" t="s">
        <v>4138</v>
      </c>
      <c r="S1705">
        <f>YEAR(marketing_data[[#This Row],[Start_date]])</f>
        <v>2023</v>
      </c>
      <c r="T1705" t="str">
        <f>TEXT(marketing_data[[#This Row],[Start_date]],"ddd")</f>
        <v>Fri</v>
      </c>
      <c r="U1705">
        <f>marketing_data[[#This Row],[Cleaned End_date]]-marketing_data[[#This Row],[Start_date]]</f>
        <v>23</v>
      </c>
    </row>
    <row r="1706" spans="1:21" x14ac:dyDescent="0.2">
      <c r="A1706" t="s">
        <v>3518</v>
      </c>
      <c r="B1706" t="s">
        <v>3519</v>
      </c>
      <c r="C1706" s="2">
        <v>44984</v>
      </c>
      <c r="D1706" t="str">
        <f t="shared" si="160"/>
        <v>Feb</v>
      </c>
      <c r="E1706" s="2">
        <v>45011</v>
      </c>
      <c r="F1706" t="s">
        <v>33</v>
      </c>
      <c r="G1706">
        <v>4020</v>
      </c>
      <c r="H1706">
        <v>136</v>
      </c>
      <c r="I1706">
        <v>19</v>
      </c>
      <c r="J1706" t="b">
        <v>0</v>
      </c>
      <c r="K1706" s="10">
        <v>329.13249999999999</v>
      </c>
      <c r="L1706" s="6">
        <f t="shared" si="161"/>
        <v>3.3830845771144279E-2</v>
      </c>
      <c r="M1706">
        <f t="shared" si="162"/>
        <v>2.4200919117647057</v>
      </c>
      <c r="N1706">
        <f t="shared" si="163"/>
        <v>17.322763157894737</v>
      </c>
      <c r="O1706">
        <f t="shared" si="164"/>
        <v>620.86750000000006</v>
      </c>
      <c r="P1706">
        <f t="shared" si="165"/>
        <v>0.13970588235294118</v>
      </c>
      <c r="Q1706" t="s">
        <v>4138</v>
      </c>
      <c r="R1706" t="s">
        <v>4142</v>
      </c>
      <c r="S1706">
        <f>YEAR(marketing_data[[#This Row],[Start_date]])</f>
        <v>2023</v>
      </c>
      <c r="T1706" t="str">
        <f>TEXT(marketing_data[[#This Row],[Start_date]],"ddd")</f>
        <v>Mon</v>
      </c>
      <c r="U1706">
        <f>marketing_data[[#This Row],[Cleaned End_date]]-marketing_data[[#This Row],[Start_date]]</f>
        <v>27</v>
      </c>
    </row>
    <row r="1707" spans="1:21" x14ac:dyDescent="0.2">
      <c r="A1707" t="s">
        <v>3520</v>
      </c>
      <c r="B1707" t="s">
        <v>3521</v>
      </c>
      <c r="C1707" s="2">
        <v>44934</v>
      </c>
      <c r="D1707" t="str">
        <f t="shared" si="160"/>
        <v>Jan</v>
      </c>
      <c r="E1707" s="2">
        <v>44958</v>
      </c>
      <c r="F1707" t="s">
        <v>19</v>
      </c>
      <c r="G1707">
        <v>42755</v>
      </c>
      <c r="H1707">
        <v>2121</v>
      </c>
      <c r="I1707">
        <v>250</v>
      </c>
      <c r="J1707" t="b">
        <v>0</v>
      </c>
      <c r="K1707" s="10">
        <v>1615.96</v>
      </c>
      <c r="L1707" s="6">
        <f t="shared" si="161"/>
        <v>4.960823295520992E-2</v>
      </c>
      <c r="M1707">
        <f t="shared" si="162"/>
        <v>0.76188590287600189</v>
      </c>
      <c r="N1707">
        <f t="shared" si="163"/>
        <v>6.4638400000000003</v>
      </c>
      <c r="O1707">
        <f t="shared" si="164"/>
        <v>10884.04</v>
      </c>
      <c r="P1707">
        <f t="shared" si="165"/>
        <v>0.11786892975011787</v>
      </c>
      <c r="Q1707" t="s">
        <v>4138</v>
      </c>
      <c r="R1707" t="s">
        <v>4142</v>
      </c>
      <c r="S1707">
        <f>YEAR(marketing_data[[#This Row],[Start_date]])</f>
        <v>2023</v>
      </c>
      <c r="T1707" t="str">
        <f>TEXT(marketing_data[[#This Row],[Start_date]],"ddd")</f>
        <v>Sun</v>
      </c>
      <c r="U1707">
        <f>marketing_data[[#This Row],[Cleaned End_date]]-marketing_data[[#This Row],[Start_date]]</f>
        <v>24</v>
      </c>
    </row>
    <row r="1708" spans="1:21" x14ac:dyDescent="0.2">
      <c r="A1708" t="s">
        <v>3522</v>
      </c>
      <c r="B1708" t="s">
        <v>3523</v>
      </c>
      <c r="C1708" s="2">
        <v>44988</v>
      </c>
      <c r="D1708" t="str">
        <f t="shared" si="160"/>
        <v>Mar</v>
      </c>
      <c r="E1708" s="2">
        <v>45001</v>
      </c>
      <c r="F1708" t="s">
        <v>19</v>
      </c>
      <c r="G1708">
        <v>86956</v>
      </c>
      <c r="H1708">
        <v>2000</v>
      </c>
      <c r="I1708">
        <v>359</v>
      </c>
      <c r="J1708" t="b">
        <v>0</v>
      </c>
      <c r="K1708" s="10">
        <v>3122.28</v>
      </c>
      <c r="L1708" s="6">
        <f t="shared" si="161"/>
        <v>2.3000138000828004E-2</v>
      </c>
      <c r="M1708">
        <f t="shared" si="162"/>
        <v>1.5611400000000002</v>
      </c>
      <c r="N1708">
        <f t="shared" si="163"/>
        <v>8.6971587743732588</v>
      </c>
      <c r="O1708">
        <f t="shared" si="164"/>
        <v>14827.72</v>
      </c>
      <c r="P1708">
        <f t="shared" si="165"/>
        <v>0.17949999999999999</v>
      </c>
      <c r="Q1708" t="s">
        <v>4137</v>
      </c>
      <c r="R1708" t="s">
        <v>4139</v>
      </c>
      <c r="S1708">
        <f>YEAR(marketing_data[[#This Row],[Start_date]])</f>
        <v>2023</v>
      </c>
      <c r="T1708" t="str">
        <f>TEXT(marketing_data[[#This Row],[Start_date]],"ddd")</f>
        <v>Fri</v>
      </c>
      <c r="U1708">
        <f>marketing_data[[#This Row],[Cleaned End_date]]-marketing_data[[#This Row],[Start_date]]</f>
        <v>13</v>
      </c>
    </row>
    <row r="1709" spans="1:21" x14ac:dyDescent="0.2">
      <c r="A1709" t="s">
        <v>3524</v>
      </c>
      <c r="B1709" t="s">
        <v>3525</v>
      </c>
      <c r="C1709" s="2">
        <v>44948</v>
      </c>
      <c r="D1709" t="str">
        <f t="shared" si="160"/>
        <v>Jan</v>
      </c>
      <c r="E1709" s="2">
        <v>44973</v>
      </c>
      <c r="F1709" t="s">
        <v>23</v>
      </c>
      <c r="G1709">
        <v>87988</v>
      </c>
      <c r="H1709">
        <v>4192</v>
      </c>
      <c r="I1709">
        <v>786</v>
      </c>
      <c r="J1709" t="b">
        <v>1</v>
      </c>
      <c r="K1709" s="10">
        <v>3631.7599999999998</v>
      </c>
      <c r="L1709" s="6">
        <f t="shared" si="161"/>
        <v>4.7642860390053186E-2</v>
      </c>
      <c r="M1709">
        <f t="shared" si="162"/>
        <v>0.86635496183206107</v>
      </c>
      <c r="N1709">
        <f t="shared" si="163"/>
        <v>4.620559796437659</v>
      </c>
      <c r="O1709">
        <f t="shared" si="164"/>
        <v>35668.239999999998</v>
      </c>
      <c r="P1709">
        <f t="shared" si="165"/>
        <v>0.1875</v>
      </c>
      <c r="Q1709" t="s">
        <v>4138</v>
      </c>
      <c r="R1709" t="s">
        <v>4139</v>
      </c>
      <c r="S1709">
        <f>YEAR(marketing_data[[#This Row],[Start_date]])</f>
        <v>2023</v>
      </c>
      <c r="T1709" t="str">
        <f>TEXT(marketing_data[[#This Row],[Start_date]],"ddd")</f>
        <v>Sun</v>
      </c>
      <c r="U1709">
        <f>marketing_data[[#This Row],[Cleaned End_date]]-marketing_data[[#This Row],[Start_date]]</f>
        <v>25</v>
      </c>
    </row>
    <row r="1710" spans="1:21" x14ac:dyDescent="0.2">
      <c r="A1710" t="s">
        <v>3526</v>
      </c>
      <c r="B1710" t="s">
        <v>3527</v>
      </c>
      <c r="C1710" s="2">
        <v>45279</v>
      </c>
      <c r="D1710" t="str">
        <f t="shared" si="160"/>
        <v>Dec</v>
      </c>
      <c r="E1710" s="2">
        <v>45288</v>
      </c>
      <c r="F1710" t="s">
        <v>41</v>
      </c>
      <c r="G1710">
        <v>46648</v>
      </c>
      <c r="H1710">
        <v>2173</v>
      </c>
      <c r="I1710">
        <v>433</v>
      </c>
      <c r="J1710" t="b">
        <v>1</v>
      </c>
      <c r="K1710" s="10">
        <v>3631.7599999999998</v>
      </c>
      <c r="L1710" s="6">
        <f t="shared" si="161"/>
        <v>4.658291888183845E-2</v>
      </c>
      <c r="M1710">
        <f t="shared" si="162"/>
        <v>1.6713115508513574</v>
      </c>
      <c r="N1710">
        <f t="shared" si="163"/>
        <v>8.3874364896073903</v>
      </c>
      <c r="O1710">
        <f t="shared" si="164"/>
        <v>18018.240000000002</v>
      </c>
      <c r="P1710">
        <f t="shared" si="165"/>
        <v>0.19926369075011505</v>
      </c>
      <c r="Q1710" t="s">
        <v>4138</v>
      </c>
      <c r="R1710" t="s">
        <v>4139</v>
      </c>
      <c r="S1710">
        <f>YEAR(marketing_data[[#This Row],[Start_date]])</f>
        <v>2023</v>
      </c>
      <c r="T1710" t="str">
        <f>TEXT(marketing_data[[#This Row],[Start_date]],"ddd")</f>
        <v>Tue</v>
      </c>
      <c r="U1710">
        <f>marketing_data[[#This Row],[Cleaned End_date]]-marketing_data[[#This Row],[Start_date]]</f>
        <v>9</v>
      </c>
    </row>
    <row r="1711" spans="1:21" x14ac:dyDescent="0.2">
      <c r="A1711" t="s">
        <v>3528</v>
      </c>
      <c r="B1711" t="s">
        <v>3529</v>
      </c>
      <c r="C1711" s="2">
        <v>44972</v>
      </c>
      <c r="D1711" t="str">
        <f t="shared" si="160"/>
        <v>Feb</v>
      </c>
      <c r="E1711" s="2">
        <v>44989</v>
      </c>
      <c r="F1711" t="s">
        <v>14</v>
      </c>
      <c r="G1711">
        <v>10516</v>
      </c>
      <c r="H1711">
        <v>109</v>
      </c>
      <c r="I1711">
        <v>7</v>
      </c>
      <c r="J1711" t="b">
        <v>1</v>
      </c>
      <c r="K1711" s="10">
        <v>329.13249999999999</v>
      </c>
      <c r="L1711" s="6">
        <f t="shared" si="161"/>
        <v>1.0365157854697604E-2</v>
      </c>
      <c r="M1711">
        <f t="shared" si="162"/>
        <v>3.019564220183486</v>
      </c>
      <c r="N1711">
        <f t="shared" si="163"/>
        <v>47.018928571428567</v>
      </c>
      <c r="O1711">
        <f t="shared" si="164"/>
        <v>20.867500000000007</v>
      </c>
      <c r="P1711">
        <f t="shared" si="165"/>
        <v>6.4220183486238536E-2</v>
      </c>
      <c r="Q1711" t="s">
        <v>4138</v>
      </c>
      <c r="R1711" t="s">
        <v>4139</v>
      </c>
      <c r="S1711">
        <f>YEAR(marketing_data[[#This Row],[Start_date]])</f>
        <v>2023</v>
      </c>
      <c r="T1711" t="str">
        <f>TEXT(marketing_data[[#This Row],[Start_date]],"ddd")</f>
        <v>Wed</v>
      </c>
      <c r="U1711">
        <f>marketing_data[[#This Row],[Cleaned End_date]]-marketing_data[[#This Row],[Start_date]]</f>
        <v>17</v>
      </c>
    </row>
    <row r="1712" spans="1:21" x14ac:dyDescent="0.2">
      <c r="A1712" t="s">
        <v>3530</v>
      </c>
      <c r="B1712" t="s">
        <v>3531</v>
      </c>
      <c r="C1712" s="2">
        <v>45278</v>
      </c>
      <c r="D1712" t="str">
        <f t="shared" si="160"/>
        <v>Dec</v>
      </c>
      <c r="E1712" s="2">
        <v>45308</v>
      </c>
      <c r="F1712" t="s">
        <v>14</v>
      </c>
      <c r="G1712">
        <v>3396</v>
      </c>
      <c r="H1712">
        <v>95</v>
      </c>
      <c r="I1712">
        <v>17</v>
      </c>
      <c r="J1712" t="b">
        <v>1</v>
      </c>
      <c r="K1712" s="10">
        <v>329.13249999999999</v>
      </c>
      <c r="L1712" s="6">
        <f t="shared" si="161"/>
        <v>2.7974087161366314E-2</v>
      </c>
      <c r="M1712">
        <f t="shared" si="162"/>
        <v>3.4645526315789472</v>
      </c>
      <c r="N1712">
        <f t="shared" si="163"/>
        <v>19.360735294117646</v>
      </c>
      <c r="O1712">
        <f t="shared" si="164"/>
        <v>520.86750000000006</v>
      </c>
      <c r="P1712">
        <f t="shared" si="165"/>
        <v>0.17894736842105263</v>
      </c>
      <c r="Q1712" t="s">
        <v>4138</v>
      </c>
      <c r="R1712" t="s">
        <v>4139</v>
      </c>
      <c r="S1712">
        <f>YEAR(marketing_data[[#This Row],[Start_date]])</f>
        <v>2023</v>
      </c>
      <c r="T1712" t="str">
        <f>TEXT(marketing_data[[#This Row],[Start_date]],"ddd")</f>
        <v>Mon</v>
      </c>
      <c r="U1712">
        <f>marketing_data[[#This Row],[Cleaned End_date]]-marketing_data[[#This Row],[Start_date]]</f>
        <v>30</v>
      </c>
    </row>
    <row r="1713" spans="1:21" x14ac:dyDescent="0.2">
      <c r="A1713" t="s">
        <v>3532</v>
      </c>
      <c r="B1713" t="s">
        <v>3533</v>
      </c>
      <c r="C1713" s="2">
        <v>45247</v>
      </c>
      <c r="D1713" t="str">
        <f t="shared" si="160"/>
        <v>Nov</v>
      </c>
      <c r="E1713" s="2">
        <v>45261</v>
      </c>
      <c r="F1713" t="s">
        <v>23</v>
      </c>
      <c r="G1713">
        <v>85082</v>
      </c>
      <c r="H1713">
        <v>4176</v>
      </c>
      <c r="J1713" t="b">
        <v>0</v>
      </c>
      <c r="K1713" s="10">
        <v>2848.54</v>
      </c>
      <c r="L1713" s="6">
        <f t="shared" si="161"/>
        <v>4.9082062010766085E-2</v>
      </c>
      <c r="M1713">
        <f t="shared" si="162"/>
        <v>0.68212164750957849</v>
      </c>
      <c r="N1713">
        <f t="shared" si="163"/>
        <v>0</v>
      </c>
      <c r="O1713">
        <f t="shared" si="164"/>
        <v>-2848.54</v>
      </c>
      <c r="P1713">
        <f t="shared" si="165"/>
        <v>0</v>
      </c>
      <c r="Q1713" t="s">
        <v>4136</v>
      </c>
      <c r="R1713" t="s">
        <v>4139</v>
      </c>
      <c r="S1713">
        <f>YEAR(marketing_data[[#This Row],[Start_date]])</f>
        <v>2023</v>
      </c>
      <c r="T1713" t="str">
        <f>TEXT(marketing_data[[#This Row],[Start_date]],"ddd")</f>
        <v>Fri</v>
      </c>
      <c r="U1713">
        <f>marketing_data[[#This Row],[Cleaned End_date]]-marketing_data[[#This Row],[Start_date]]</f>
        <v>14</v>
      </c>
    </row>
    <row r="1714" spans="1:21" x14ac:dyDescent="0.2">
      <c r="A1714" t="s">
        <v>3534</v>
      </c>
      <c r="B1714" t="s">
        <v>3535</v>
      </c>
      <c r="C1714" s="2">
        <v>45109</v>
      </c>
      <c r="D1714" t="str">
        <f t="shared" si="160"/>
        <v>Jul</v>
      </c>
      <c r="E1714" s="2">
        <v>45115</v>
      </c>
      <c r="F1714" t="s">
        <v>41</v>
      </c>
      <c r="G1714">
        <v>20129</v>
      </c>
      <c r="H1714">
        <v>284</v>
      </c>
      <c r="I1714">
        <v>39</v>
      </c>
      <c r="J1714" t="b">
        <v>0</v>
      </c>
      <c r="K1714" s="10">
        <v>449.2</v>
      </c>
      <c r="L1714" s="6">
        <f t="shared" si="161"/>
        <v>1.4108996969546426E-2</v>
      </c>
      <c r="M1714">
        <f t="shared" si="162"/>
        <v>1.5816901408450703</v>
      </c>
      <c r="N1714">
        <f t="shared" si="163"/>
        <v>11.517948717948718</v>
      </c>
      <c r="O1714">
        <f t="shared" si="164"/>
        <v>1500.8</v>
      </c>
      <c r="P1714">
        <f t="shared" si="165"/>
        <v>0.13732394366197184</v>
      </c>
      <c r="Q1714" t="s">
        <v>4139</v>
      </c>
      <c r="R1714" t="s">
        <v>4141</v>
      </c>
      <c r="S1714">
        <f>YEAR(marketing_data[[#This Row],[Start_date]])</f>
        <v>2023</v>
      </c>
      <c r="T1714" t="str">
        <f>TEXT(marketing_data[[#This Row],[Start_date]],"ddd")</f>
        <v>Sun</v>
      </c>
      <c r="U1714">
        <f>marketing_data[[#This Row],[Cleaned End_date]]-marketing_data[[#This Row],[Start_date]]</f>
        <v>6</v>
      </c>
    </row>
    <row r="1715" spans="1:21" x14ac:dyDescent="0.2">
      <c r="A1715" t="s">
        <v>3536</v>
      </c>
      <c r="B1715" t="s">
        <v>3537</v>
      </c>
      <c r="C1715" s="2">
        <v>44981</v>
      </c>
      <c r="D1715" t="str">
        <f t="shared" si="160"/>
        <v>Feb</v>
      </c>
      <c r="E1715" s="2">
        <v>44998</v>
      </c>
      <c r="F1715" t="s">
        <v>23</v>
      </c>
      <c r="G1715">
        <v>2591</v>
      </c>
      <c r="H1715">
        <v>82</v>
      </c>
      <c r="I1715">
        <v>10</v>
      </c>
      <c r="J1715" t="b">
        <v>1</v>
      </c>
      <c r="K1715" s="10">
        <v>329.13249999999999</v>
      </c>
      <c r="L1715" s="6">
        <f t="shared" si="161"/>
        <v>3.1648012350443844E-2</v>
      </c>
      <c r="M1715">
        <f t="shared" si="162"/>
        <v>4.013810975609756</v>
      </c>
      <c r="N1715">
        <f t="shared" si="163"/>
        <v>32.913249999999998</v>
      </c>
      <c r="O1715">
        <f t="shared" si="164"/>
        <v>170.86750000000001</v>
      </c>
      <c r="P1715">
        <f t="shared" si="165"/>
        <v>0.12195121951219512</v>
      </c>
      <c r="Q1715" t="s">
        <v>4138</v>
      </c>
      <c r="R1715" t="s">
        <v>4139</v>
      </c>
      <c r="S1715">
        <f>YEAR(marketing_data[[#This Row],[Start_date]])</f>
        <v>2023</v>
      </c>
      <c r="T1715" t="str">
        <f>TEXT(marketing_data[[#This Row],[Start_date]],"ddd")</f>
        <v>Fri</v>
      </c>
      <c r="U1715">
        <f>marketing_data[[#This Row],[Cleaned End_date]]-marketing_data[[#This Row],[Start_date]]</f>
        <v>17</v>
      </c>
    </row>
    <row r="1716" spans="1:21" x14ac:dyDescent="0.2">
      <c r="A1716" t="s">
        <v>3538</v>
      </c>
      <c r="B1716" t="s">
        <v>3539</v>
      </c>
      <c r="C1716" s="2">
        <v>45212</v>
      </c>
      <c r="D1716" t="str">
        <f t="shared" si="160"/>
        <v>Oct</v>
      </c>
      <c r="E1716" s="2">
        <v>45240</v>
      </c>
      <c r="F1716" t="s">
        <v>19</v>
      </c>
      <c r="G1716">
        <v>12303</v>
      </c>
      <c r="H1716">
        <v>604</v>
      </c>
      <c r="I1716">
        <v>31</v>
      </c>
      <c r="J1716" t="b">
        <v>1</v>
      </c>
      <c r="K1716" s="10">
        <v>599.52</v>
      </c>
      <c r="L1716" s="6">
        <f t="shared" si="161"/>
        <v>4.9093716979598474E-2</v>
      </c>
      <c r="M1716">
        <f t="shared" si="162"/>
        <v>0.99258278145695367</v>
      </c>
      <c r="N1716">
        <f t="shared" si="163"/>
        <v>19.339354838709678</v>
      </c>
      <c r="O1716">
        <f t="shared" si="164"/>
        <v>950.48</v>
      </c>
      <c r="P1716">
        <f t="shared" si="165"/>
        <v>5.1324503311258277E-2</v>
      </c>
      <c r="Q1716" t="s">
        <v>4136</v>
      </c>
      <c r="R1716" t="s">
        <v>4139</v>
      </c>
      <c r="S1716">
        <f>YEAR(marketing_data[[#This Row],[Start_date]])</f>
        <v>2023</v>
      </c>
      <c r="T1716" t="str">
        <f>TEXT(marketing_data[[#This Row],[Start_date]],"ddd")</f>
        <v>Fri</v>
      </c>
      <c r="U1716">
        <f>marketing_data[[#This Row],[Cleaned End_date]]-marketing_data[[#This Row],[Start_date]]</f>
        <v>28</v>
      </c>
    </row>
    <row r="1717" spans="1:21" x14ac:dyDescent="0.2">
      <c r="A1717" t="s">
        <v>3540</v>
      </c>
      <c r="B1717" t="s">
        <v>3541</v>
      </c>
      <c r="C1717" s="2">
        <v>45151</v>
      </c>
      <c r="D1717" t="str">
        <f t="shared" si="160"/>
        <v>Aug</v>
      </c>
      <c r="E1717" s="2">
        <v>45167</v>
      </c>
      <c r="F1717" t="s">
        <v>19</v>
      </c>
      <c r="G1717">
        <v>31561</v>
      </c>
      <c r="H1717">
        <v>1016</v>
      </c>
      <c r="J1717" t="b">
        <v>0</v>
      </c>
      <c r="K1717" s="10">
        <v>1250.51</v>
      </c>
      <c r="L1717" s="6">
        <f t="shared" si="161"/>
        <v>3.2191628909096673E-2</v>
      </c>
      <c r="M1717">
        <f t="shared" si="162"/>
        <v>1.2308169291338582</v>
      </c>
      <c r="N1717">
        <f t="shared" si="163"/>
        <v>0</v>
      </c>
      <c r="O1717">
        <f t="shared" si="164"/>
        <v>-1250.51</v>
      </c>
      <c r="P1717">
        <f t="shared" si="165"/>
        <v>0</v>
      </c>
      <c r="Q1717" t="s">
        <v>4139</v>
      </c>
      <c r="R1717" t="s">
        <v>4138</v>
      </c>
      <c r="S1717">
        <f>YEAR(marketing_data[[#This Row],[Start_date]])</f>
        <v>2023</v>
      </c>
      <c r="T1717" t="str">
        <f>TEXT(marketing_data[[#This Row],[Start_date]],"ddd")</f>
        <v>Sun</v>
      </c>
      <c r="U1717">
        <f>marketing_data[[#This Row],[Cleaned End_date]]-marketing_data[[#This Row],[Start_date]]</f>
        <v>16</v>
      </c>
    </row>
    <row r="1718" spans="1:21" x14ac:dyDescent="0.2">
      <c r="A1718" t="s">
        <v>3542</v>
      </c>
      <c r="B1718" t="s">
        <v>3543</v>
      </c>
      <c r="C1718" s="2">
        <v>45120</v>
      </c>
      <c r="D1718" t="str">
        <f t="shared" si="160"/>
        <v>Jul</v>
      </c>
      <c r="E1718" s="2">
        <v>45125</v>
      </c>
      <c r="F1718" t="s">
        <v>33</v>
      </c>
      <c r="G1718">
        <v>72719</v>
      </c>
      <c r="H1718">
        <v>1279</v>
      </c>
      <c r="I1718">
        <v>78</v>
      </c>
      <c r="J1718" t="b">
        <v>1</v>
      </c>
      <c r="K1718" s="10">
        <v>687.01</v>
      </c>
      <c r="L1718" s="6">
        <f t="shared" si="161"/>
        <v>1.7588250663512973E-2</v>
      </c>
      <c r="M1718">
        <f t="shared" si="162"/>
        <v>0.53714620797498047</v>
      </c>
      <c r="N1718">
        <f t="shared" si="163"/>
        <v>8.8078205128205127</v>
      </c>
      <c r="O1718">
        <f t="shared" si="164"/>
        <v>3212.99</v>
      </c>
      <c r="P1718">
        <f t="shared" si="165"/>
        <v>6.0985144644253322E-2</v>
      </c>
      <c r="Q1718" t="s">
        <v>4139</v>
      </c>
      <c r="R1718" t="s">
        <v>4138</v>
      </c>
      <c r="S1718">
        <f>YEAR(marketing_data[[#This Row],[Start_date]])</f>
        <v>2023</v>
      </c>
      <c r="T1718" t="str">
        <f>TEXT(marketing_data[[#This Row],[Start_date]],"ddd")</f>
        <v>Thu</v>
      </c>
      <c r="U1718">
        <f>marketing_data[[#This Row],[Cleaned End_date]]-marketing_data[[#This Row],[Start_date]]</f>
        <v>5</v>
      </c>
    </row>
    <row r="1719" spans="1:21" x14ac:dyDescent="0.2">
      <c r="A1719" t="s">
        <v>3544</v>
      </c>
      <c r="B1719" t="s">
        <v>3545</v>
      </c>
      <c r="C1719" s="2">
        <v>44947</v>
      </c>
      <c r="D1719" t="str">
        <f t="shared" si="160"/>
        <v>Jan</v>
      </c>
      <c r="E1719" s="2">
        <v>44973</v>
      </c>
      <c r="F1719" t="s">
        <v>33</v>
      </c>
      <c r="G1719">
        <v>93108</v>
      </c>
      <c r="H1719">
        <v>3099</v>
      </c>
      <c r="I1719">
        <v>474</v>
      </c>
      <c r="J1719" t="b">
        <v>1</v>
      </c>
      <c r="K1719" s="10">
        <v>2706.14</v>
      </c>
      <c r="L1719" s="6">
        <f t="shared" si="161"/>
        <v>3.3283928341281091E-2</v>
      </c>
      <c r="M1719">
        <f t="shared" si="162"/>
        <v>0.87323007421748944</v>
      </c>
      <c r="N1719">
        <f t="shared" si="163"/>
        <v>5.7091561181434596</v>
      </c>
      <c r="O1719">
        <f t="shared" si="164"/>
        <v>20993.86</v>
      </c>
      <c r="P1719">
        <f t="shared" si="165"/>
        <v>0.15295256534365925</v>
      </c>
      <c r="Q1719" t="s">
        <v>4138</v>
      </c>
      <c r="R1719" t="s">
        <v>4142</v>
      </c>
      <c r="S1719">
        <f>YEAR(marketing_data[[#This Row],[Start_date]])</f>
        <v>2023</v>
      </c>
      <c r="T1719" t="str">
        <f>TEXT(marketing_data[[#This Row],[Start_date]],"ddd")</f>
        <v>Sat</v>
      </c>
      <c r="U1719">
        <f>marketing_data[[#This Row],[Cleaned End_date]]-marketing_data[[#This Row],[Start_date]]</f>
        <v>26</v>
      </c>
    </row>
    <row r="1720" spans="1:21" x14ac:dyDescent="0.2">
      <c r="A1720" t="s">
        <v>3546</v>
      </c>
      <c r="B1720" t="s">
        <v>3547</v>
      </c>
      <c r="C1720" s="2">
        <v>45077</v>
      </c>
      <c r="D1720" t="str">
        <f t="shared" si="160"/>
        <v>May</v>
      </c>
      <c r="E1720" s="2">
        <v>45079</v>
      </c>
      <c r="F1720" t="s">
        <v>23</v>
      </c>
      <c r="G1720">
        <v>87231</v>
      </c>
      <c r="H1720">
        <v>1585</v>
      </c>
      <c r="I1720">
        <v>265</v>
      </c>
      <c r="J1720" t="b">
        <v>0</v>
      </c>
      <c r="K1720" s="10">
        <v>3631.7599999999998</v>
      </c>
      <c r="L1720" s="6">
        <f t="shared" si="161"/>
        <v>1.8170145934358197E-2</v>
      </c>
      <c r="M1720">
        <f t="shared" si="162"/>
        <v>2.2913312302839115</v>
      </c>
      <c r="N1720">
        <f t="shared" si="163"/>
        <v>13.704754716981132</v>
      </c>
      <c r="O1720">
        <f t="shared" si="164"/>
        <v>9618.24</v>
      </c>
      <c r="P1720">
        <f t="shared" si="165"/>
        <v>0.16719242902208201</v>
      </c>
      <c r="Q1720" t="s">
        <v>4137</v>
      </c>
      <c r="R1720" t="s">
        <v>4138</v>
      </c>
      <c r="S1720">
        <f>YEAR(marketing_data[[#This Row],[Start_date]])</f>
        <v>2023</v>
      </c>
      <c r="T1720" t="str">
        <f>TEXT(marketing_data[[#This Row],[Start_date]],"ddd")</f>
        <v>Wed</v>
      </c>
      <c r="U1720">
        <f>marketing_data[[#This Row],[Cleaned End_date]]-marketing_data[[#This Row],[Start_date]]</f>
        <v>2</v>
      </c>
    </row>
    <row r="1721" spans="1:21" x14ac:dyDescent="0.2">
      <c r="A1721" t="s">
        <v>3548</v>
      </c>
      <c r="B1721" t="s">
        <v>3549</v>
      </c>
      <c r="C1721" s="2">
        <v>45217</v>
      </c>
      <c r="D1721" t="str">
        <f t="shared" si="160"/>
        <v>Oct</v>
      </c>
      <c r="E1721" s="2">
        <v>45224</v>
      </c>
      <c r="F1721" t="s">
        <v>23</v>
      </c>
      <c r="G1721">
        <v>8314</v>
      </c>
      <c r="H1721">
        <v>255</v>
      </c>
      <c r="I1721">
        <v>43</v>
      </c>
      <c r="J1721" t="b">
        <v>0</v>
      </c>
      <c r="K1721" s="10">
        <v>329.13249999999999</v>
      </c>
      <c r="L1721" s="6">
        <f t="shared" si="161"/>
        <v>3.067115708443589E-2</v>
      </c>
      <c r="M1721">
        <f t="shared" si="162"/>
        <v>1.2907156862745097</v>
      </c>
      <c r="N1721">
        <f t="shared" si="163"/>
        <v>7.6542441860465118</v>
      </c>
      <c r="O1721">
        <f t="shared" si="164"/>
        <v>1820.8675000000001</v>
      </c>
      <c r="P1721">
        <f t="shared" si="165"/>
        <v>0.16862745098039217</v>
      </c>
      <c r="Q1721" t="s">
        <v>4136</v>
      </c>
      <c r="R1721" t="s">
        <v>4138</v>
      </c>
      <c r="S1721">
        <f>YEAR(marketing_data[[#This Row],[Start_date]])</f>
        <v>2023</v>
      </c>
      <c r="T1721" t="str">
        <f>TEXT(marketing_data[[#This Row],[Start_date]],"ddd")</f>
        <v>Wed</v>
      </c>
      <c r="U1721">
        <f>marketing_data[[#This Row],[Cleaned End_date]]-marketing_data[[#This Row],[Start_date]]</f>
        <v>7</v>
      </c>
    </row>
    <row r="1722" spans="1:21" x14ac:dyDescent="0.2">
      <c r="A1722" t="s">
        <v>3550</v>
      </c>
      <c r="B1722" t="s">
        <v>3551</v>
      </c>
      <c r="C1722" s="2">
        <v>45166</v>
      </c>
      <c r="D1722" t="str">
        <f t="shared" si="160"/>
        <v>Aug</v>
      </c>
      <c r="E1722" s="2">
        <v>45169</v>
      </c>
      <c r="F1722" t="s">
        <v>33</v>
      </c>
      <c r="G1722">
        <v>20623</v>
      </c>
      <c r="H1722">
        <v>267</v>
      </c>
      <c r="I1722">
        <v>18</v>
      </c>
      <c r="J1722" t="b">
        <v>1</v>
      </c>
      <c r="K1722" s="10">
        <v>329.13249999999999</v>
      </c>
      <c r="L1722" s="6">
        <f t="shared" si="161"/>
        <v>1.2946709983998448E-2</v>
      </c>
      <c r="M1722">
        <f t="shared" si="162"/>
        <v>1.2327059925093633</v>
      </c>
      <c r="N1722">
        <f t="shared" si="163"/>
        <v>18.285138888888888</v>
      </c>
      <c r="O1722">
        <f t="shared" si="164"/>
        <v>570.86750000000006</v>
      </c>
      <c r="P1722">
        <f t="shared" si="165"/>
        <v>6.741573033707865E-2</v>
      </c>
      <c r="Q1722" t="s">
        <v>4139</v>
      </c>
      <c r="R1722" t="s">
        <v>4138</v>
      </c>
      <c r="S1722">
        <f>YEAR(marketing_data[[#This Row],[Start_date]])</f>
        <v>2023</v>
      </c>
      <c r="T1722" t="str">
        <f>TEXT(marketing_data[[#This Row],[Start_date]],"ddd")</f>
        <v>Mon</v>
      </c>
      <c r="U1722">
        <f>marketing_data[[#This Row],[Cleaned End_date]]-marketing_data[[#This Row],[Start_date]]</f>
        <v>3</v>
      </c>
    </row>
    <row r="1723" spans="1:21" x14ac:dyDescent="0.2">
      <c r="A1723" t="s">
        <v>3552</v>
      </c>
      <c r="B1723" t="s">
        <v>3553</v>
      </c>
      <c r="C1723" s="2">
        <v>45210</v>
      </c>
      <c r="D1723" t="str">
        <f t="shared" si="160"/>
        <v>Oct</v>
      </c>
      <c r="E1723" s="2">
        <v>45230</v>
      </c>
      <c r="F1723" t="s">
        <v>14</v>
      </c>
      <c r="G1723">
        <v>68675</v>
      </c>
      <c r="H1723">
        <v>2350</v>
      </c>
      <c r="I1723">
        <v>275</v>
      </c>
      <c r="J1723" t="b">
        <v>0</v>
      </c>
      <c r="K1723" s="10">
        <v>3631.7599999999998</v>
      </c>
      <c r="L1723" s="6">
        <f t="shared" si="161"/>
        <v>3.4219148161630873E-2</v>
      </c>
      <c r="M1723">
        <f t="shared" si="162"/>
        <v>1.5454297872340426</v>
      </c>
      <c r="N1723">
        <f t="shared" si="163"/>
        <v>13.206399999999999</v>
      </c>
      <c r="O1723">
        <f t="shared" si="164"/>
        <v>10118.24</v>
      </c>
      <c r="P1723">
        <f t="shared" si="165"/>
        <v>0.11702127659574468</v>
      </c>
      <c r="Q1723" t="s">
        <v>4136</v>
      </c>
      <c r="R1723" t="s">
        <v>4141</v>
      </c>
      <c r="S1723">
        <f>YEAR(marketing_data[[#This Row],[Start_date]])</f>
        <v>2023</v>
      </c>
      <c r="T1723" t="str">
        <f>TEXT(marketing_data[[#This Row],[Start_date]],"ddd")</f>
        <v>Wed</v>
      </c>
      <c r="U1723">
        <f>marketing_data[[#This Row],[Cleaned End_date]]-marketing_data[[#This Row],[Start_date]]</f>
        <v>20</v>
      </c>
    </row>
    <row r="1724" spans="1:21" x14ac:dyDescent="0.2">
      <c r="A1724" t="s">
        <v>3554</v>
      </c>
      <c r="B1724" t="s">
        <v>3555</v>
      </c>
      <c r="C1724" s="2">
        <v>45157</v>
      </c>
      <c r="D1724" t="str">
        <f t="shared" si="160"/>
        <v>Aug</v>
      </c>
      <c r="E1724" s="2">
        <v>45169</v>
      </c>
      <c r="F1724" t="s">
        <v>41</v>
      </c>
      <c r="G1724">
        <v>97826</v>
      </c>
      <c r="H1724">
        <v>3000</v>
      </c>
      <c r="I1724">
        <v>523</v>
      </c>
      <c r="J1724" t="b">
        <v>0</v>
      </c>
      <c r="K1724" s="10">
        <v>3631.7599999999998</v>
      </c>
      <c r="L1724" s="6">
        <f t="shared" si="161"/>
        <v>3.0666693925950155E-2</v>
      </c>
      <c r="M1724">
        <f t="shared" si="162"/>
        <v>1.2105866666666665</v>
      </c>
      <c r="N1724">
        <f t="shared" si="163"/>
        <v>6.9440917782026768</v>
      </c>
      <c r="O1724">
        <f t="shared" si="164"/>
        <v>22518.240000000002</v>
      </c>
      <c r="P1724">
        <f t="shared" si="165"/>
        <v>0.17433333333333334</v>
      </c>
      <c r="Q1724" t="s">
        <v>4139</v>
      </c>
      <c r="R1724" t="s">
        <v>4139</v>
      </c>
      <c r="S1724">
        <f>YEAR(marketing_data[[#This Row],[Start_date]])</f>
        <v>2023</v>
      </c>
      <c r="T1724" t="str">
        <f>TEXT(marketing_data[[#This Row],[Start_date]],"ddd")</f>
        <v>Sat</v>
      </c>
      <c r="U1724">
        <f>marketing_data[[#This Row],[Cleaned End_date]]-marketing_data[[#This Row],[Start_date]]</f>
        <v>12</v>
      </c>
    </row>
    <row r="1725" spans="1:21" x14ac:dyDescent="0.2">
      <c r="A1725" t="s">
        <v>3556</v>
      </c>
      <c r="B1725" t="s">
        <v>3557</v>
      </c>
      <c r="C1725" s="2">
        <v>45114</v>
      </c>
      <c r="D1725" t="str">
        <f t="shared" si="160"/>
        <v>Jul</v>
      </c>
      <c r="E1725" s="2">
        <v>45141</v>
      </c>
      <c r="F1725" t="s">
        <v>33</v>
      </c>
      <c r="G1725">
        <v>66082</v>
      </c>
      <c r="H1725">
        <v>2617</v>
      </c>
      <c r="I1725">
        <v>249</v>
      </c>
      <c r="J1725" t="b">
        <v>1</v>
      </c>
      <c r="K1725" s="10">
        <v>2319.23</v>
      </c>
      <c r="L1725" s="6">
        <f t="shared" si="161"/>
        <v>3.9602312278684063E-2</v>
      </c>
      <c r="M1725">
        <f t="shared" si="162"/>
        <v>0.88621704241497901</v>
      </c>
      <c r="N1725">
        <f t="shared" si="163"/>
        <v>9.3141767068273094</v>
      </c>
      <c r="O1725">
        <f t="shared" si="164"/>
        <v>10130.77</v>
      </c>
      <c r="P1725">
        <f t="shared" si="165"/>
        <v>9.5147115017195263E-2</v>
      </c>
      <c r="Q1725" t="s">
        <v>4139</v>
      </c>
      <c r="R1725" t="s">
        <v>4142</v>
      </c>
      <c r="S1725">
        <f>YEAR(marketing_data[[#This Row],[Start_date]])</f>
        <v>2023</v>
      </c>
      <c r="T1725" t="str">
        <f>TEXT(marketing_data[[#This Row],[Start_date]],"ddd")</f>
        <v>Fri</v>
      </c>
      <c r="U1725">
        <f>marketing_data[[#This Row],[Cleaned End_date]]-marketing_data[[#This Row],[Start_date]]</f>
        <v>27</v>
      </c>
    </row>
    <row r="1726" spans="1:21" x14ac:dyDescent="0.2">
      <c r="A1726" t="s">
        <v>3558</v>
      </c>
      <c r="B1726" t="s">
        <v>3559</v>
      </c>
      <c r="C1726" s="2">
        <v>45186</v>
      </c>
      <c r="D1726" t="str">
        <f t="shared" si="160"/>
        <v>Sep</v>
      </c>
      <c r="E1726" s="2">
        <v>45196</v>
      </c>
      <c r="F1726" t="s">
        <v>19</v>
      </c>
      <c r="G1726">
        <v>84624</v>
      </c>
      <c r="H1726">
        <v>2981</v>
      </c>
      <c r="I1726">
        <v>358</v>
      </c>
      <c r="J1726" t="b">
        <v>0</v>
      </c>
      <c r="K1726" s="10">
        <v>3631.7599999999998</v>
      </c>
      <c r="L1726" s="6">
        <f t="shared" si="161"/>
        <v>3.5226413310644737E-2</v>
      </c>
      <c r="M1726">
        <f t="shared" si="162"/>
        <v>1.2183025830258303</v>
      </c>
      <c r="N1726">
        <f t="shared" si="163"/>
        <v>10.144581005586591</v>
      </c>
      <c r="O1726">
        <f t="shared" si="164"/>
        <v>14268.24</v>
      </c>
      <c r="P1726">
        <f t="shared" si="165"/>
        <v>0.1200939282120094</v>
      </c>
      <c r="Q1726" t="s">
        <v>4136</v>
      </c>
      <c r="R1726" t="s">
        <v>4139</v>
      </c>
      <c r="S1726">
        <f>YEAR(marketing_data[[#This Row],[Start_date]])</f>
        <v>2023</v>
      </c>
      <c r="T1726" t="str">
        <f>TEXT(marketing_data[[#This Row],[Start_date]],"ddd")</f>
        <v>Sun</v>
      </c>
      <c r="U1726">
        <f>marketing_data[[#This Row],[Cleaned End_date]]-marketing_data[[#This Row],[Start_date]]</f>
        <v>10</v>
      </c>
    </row>
    <row r="1727" spans="1:21" x14ac:dyDescent="0.2">
      <c r="A1727" t="s">
        <v>3560</v>
      </c>
      <c r="B1727" t="s">
        <v>3561</v>
      </c>
      <c r="C1727" s="2">
        <v>44936</v>
      </c>
      <c r="D1727" t="str">
        <f t="shared" si="160"/>
        <v>Jan</v>
      </c>
      <c r="E1727" s="2">
        <v>44940</v>
      </c>
      <c r="F1727" t="s">
        <v>14</v>
      </c>
      <c r="G1727">
        <v>34130</v>
      </c>
      <c r="H1727">
        <v>1091</v>
      </c>
      <c r="I1727">
        <v>99</v>
      </c>
      <c r="J1727" t="b">
        <v>0</v>
      </c>
      <c r="K1727" s="10">
        <v>1176.46</v>
      </c>
      <c r="L1727" s="6">
        <f t="shared" si="161"/>
        <v>3.1966012305889246E-2</v>
      </c>
      <c r="M1727">
        <f t="shared" si="162"/>
        <v>1.0783318056828597</v>
      </c>
      <c r="N1727">
        <f t="shared" si="163"/>
        <v>11.883434343434343</v>
      </c>
      <c r="O1727">
        <f t="shared" si="164"/>
        <v>3773.54</v>
      </c>
      <c r="P1727">
        <f t="shared" si="165"/>
        <v>9.0742438130155825E-2</v>
      </c>
      <c r="Q1727" t="s">
        <v>4138</v>
      </c>
      <c r="R1727" t="s">
        <v>4138</v>
      </c>
      <c r="S1727">
        <f>YEAR(marketing_data[[#This Row],[Start_date]])</f>
        <v>2023</v>
      </c>
      <c r="T1727" t="str">
        <f>TEXT(marketing_data[[#This Row],[Start_date]],"ddd")</f>
        <v>Tue</v>
      </c>
      <c r="U1727">
        <f>marketing_data[[#This Row],[Cleaned End_date]]-marketing_data[[#This Row],[Start_date]]</f>
        <v>4</v>
      </c>
    </row>
    <row r="1728" spans="1:21" x14ac:dyDescent="0.2">
      <c r="A1728" t="s">
        <v>3562</v>
      </c>
      <c r="B1728" t="s">
        <v>3563</v>
      </c>
      <c r="C1728" s="2">
        <v>45244</v>
      </c>
      <c r="D1728" t="str">
        <f t="shared" si="160"/>
        <v>Nov</v>
      </c>
      <c r="E1728" s="2">
        <v>45264</v>
      </c>
      <c r="F1728" t="s">
        <v>33</v>
      </c>
      <c r="G1728">
        <v>52756</v>
      </c>
      <c r="H1728">
        <v>1983</v>
      </c>
      <c r="I1728">
        <v>237</v>
      </c>
      <c r="J1728" t="b">
        <v>1</v>
      </c>
      <c r="K1728" s="10">
        <v>2498.64</v>
      </c>
      <c r="L1728" s="6">
        <f t="shared" si="161"/>
        <v>3.7588141633179167E-2</v>
      </c>
      <c r="M1728">
        <f t="shared" si="162"/>
        <v>1.2600302571860815</v>
      </c>
      <c r="N1728">
        <f t="shared" si="163"/>
        <v>10.542784810126582</v>
      </c>
      <c r="O1728">
        <f t="shared" si="164"/>
        <v>9351.36</v>
      </c>
      <c r="P1728">
        <f t="shared" si="165"/>
        <v>0.11951588502269289</v>
      </c>
      <c r="Q1728" t="s">
        <v>4136</v>
      </c>
      <c r="R1728" t="s">
        <v>4139</v>
      </c>
      <c r="S1728">
        <f>YEAR(marketing_data[[#This Row],[Start_date]])</f>
        <v>2023</v>
      </c>
      <c r="T1728" t="str">
        <f>TEXT(marketing_data[[#This Row],[Start_date]],"ddd")</f>
        <v>Tue</v>
      </c>
      <c r="U1728">
        <f>marketing_data[[#This Row],[Cleaned End_date]]-marketing_data[[#This Row],[Start_date]]</f>
        <v>20</v>
      </c>
    </row>
    <row r="1729" spans="1:21" x14ac:dyDescent="0.2">
      <c r="A1729" t="s">
        <v>3564</v>
      </c>
      <c r="B1729" t="s">
        <v>3565</v>
      </c>
      <c r="C1729" s="2">
        <v>45264</v>
      </c>
      <c r="D1729" t="str">
        <f t="shared" si="160"/>
        <v>Dec</v>
      </c>
      <c r="E1729" s="2">
        <v>45293</v>
      </c>
      <c r="F1729" t="s">
        <v>19</v>
      </c>
      <c r="G1729">
        <v>98624</v>
      </c>
      <c r="H1729">
        <v>1554</v>
      </c>
      <c r="I1729">
        <v>284</v>
      </c>
      <c r="J1729" t="b">
        <v>0</v>
      </c>
      <c r="K1729" s="10">
        <v>2772.34</v>
      </c>
      <c r="L1729" s="6">
        <f t="shared" si="161"/>
        <v>1.5756813757300453E-2</v>
      </c>
      <c r="M1729">
        <f t="shared" si="162"/>
        <v>1.784002574002574</v>
      </c>
      <c r="N1729">
        <f t="shared" si="163"/>
        <v>9.7617605633802818</v>
      </c>
      <c r="O1729">
        <f t="shared" si="164"/>
        <v>11427.66</v>
      </c>
      <c r="P1729">
        <f t="shared" si="165"/>
        <v>0.18275418275418276</v>
      </c>
      <c r="Q1729" t="s">
        <v>4138</v>
      </c>
      <c r="R1729" t="s">
        <v>4138</v>
      </c>
      <c r="S1729">
        <f>YEAR(marketing_data[[#This Row],[Start_date]])</f>
        <v>2023</v>
      </c>
      <c r="T1729" t="str">
        <f>TEXT(marketing_data[[#This Row],[Start_date]],"ddd")</f>
        <v>Mon</v>
      </c>
      <c r="U1729">
        <f>marketing_data[[#This Row],[Cleaned End_date]]-marketing_data[[#This Row],[Start_date]]</f>
        <v>29</v>
      </c>
    </row>
    <row r="1730" spans="1:21" x14ac:dyDescent="0.2">
      <c r="A1730" t="s">
        <v>3566</v>
      </c>
      <c r="B1730" t="s">
        <v>3567</v>
      </c>
      <c r="C1730" s="2">
        <v>45024</v>
      </c>
      <c r="D1730" t="str">
        <f t="shared" si="160"/>
        <v>Apr</v>
      </c>
      <c r="E1730" s="2">
        <v>45038</v>
      </c>
      <c r="F1730" t="s">
        <v>41</v>
      </c>
      <c r="G1730">
        <v>27292</v>
      </c>
      <c r="H1730">
        <v>922</v>
      </c>
      <c r="I1730">
        <v>109</v>
      </c>
      <c r="J1730" t="b">
        <v>1</v>
      </c>
      <c r="K1730" s="10">
        <v>1498.19</v>
      </c>
      <c r="L1730" s="6">
        <f t="shared" si="161"/>
        <v>3.3782793492598565E-2</v>
      </c>
      <c r="M1730">
        <f t="shared" si="162"/>
        <v>1.6249349240780913</v>
      </c>
      <c r="N1730">
        <f t="shared" si="163"/>
        <v>13.744862385321101</v>
      </c>
      <c r="O1730">
        <f t="shared" si="164"/>
        <v>3951.81</v>
      </c>
      <c r="P1730">
        <f t="shared" si="165"/>
        <v>0.11822125813449023</v>
      </c>
      <c r="Q1730" t="s">
        <v>4137</v>
      </c>
      <c r="R1730" t="s">
        <v>4142</v>
      </c>
      <c r="S1730">
        <f>YEAR(marketing_data[[#This Row],[Start_date]])</f>
        <v>2023</v>
      </c>
      <c r="T1730" t="str">
        <f>TEXT(marketing_data[[#This Row],[Start_date]],"ddd")</f>
        <v>Sat</v>
      </c>
      <c r="U1730">
        <f>marketing_data[[#This Row],[Cleaned End_date]]-marketing_data[[#This Row],[Start_date]]</f>
        <v>14</v>
      </c>
    </row>
    <row r="1731" spans="1:21" x14ac:dyDescent="0.2">
      <c r="A1731" t="s">
        <v>3568</v>
      </c>
      <c r="B1731" t="s">
        <v>3569</v>
      </c>
      <c r="C1731" s="2">
        <v>45209</v>
      </c>
      <c r="D1731" t="str">
        <f t="shared" ref="D1731:D1794" si="166">TEXT(C1731,"mmm")</f>
        <v>Oct</v>
      </c>
      <c r="E1731" s="2">
        <v>45222</v>
      </c>
      <c r="F1731" t="s">
        <v>33</v>
      </c>
      <c r="G1731">
        <v>87206</v>
      </c>
      <c r="H1731">
        <v>1472</v>
      </c>
      <c r="I1731">
        <v>196</v>
      </c>
      <c r="J1731" t="b">
        <v>0</v>
      </c>
      <c r="K1731" s="10">
        <v>2513.6999999999998</v>
      </c>
      <c r="L1731" s="6">
        <f t="shared" ref="L1731:L1794" si="167">H1731/G1731</f>
        <v>1.6879572506478913E-2</v>
      </c>
      <c r="M1731">
        <f t="shared" ref="M1731:M1794" si="168">K1731/H1731</f>
        <v>1.7076766304347826</v>
      </c>
      <c r="N1731">
        <f t="shared" ref="N1731:N1794" si="169">IFERROR(K1731/I1731,0)</f>
        <v>12.824999999999999</v>
      </c>
      <c r="O1731">
        <f t="shared" ref="O1731:O1794" si="170">(50*I1731)-K1731</f>
        <v>7286.3</v>
      </c>
      <c r="P1731">
        <f t="shared" ref="P1731:P1794" si="171">I1731/H1731</f>
        <v>0.13315217391304349</v>
      </c>
      <c r="Q1731" t="s">
        <v>4136</v>
      </c>
      <c r="R1731" t="s">
        <v>4141</v>
      </c>
      <c r="S1731">
        <f>YEAR(marketing_data[[#This Row],[Start_date]])</f>
        <v>2023</v>
      </c>
      <c r="T1731" t="str">
        <f>TEXT(marketing_data[[#This Row],[Start_date]],"ddd")</f>
        <v>Tue</v>
      </c>
      <c r="U1731">
        <f>marketing_data[[#This Row],[Cleaned End_date]]-marketing_data[[#This Row],[Start_date]]</f>
        <v>13</v>
      </c>
    </row>
    <row r="1732" spans="1:21" x14ac:dyDescent="0.2">
      <c r="A1732" t="s">
        <v>3570</v>
      </c>
      <c r="B1732" t="s">
        <v>3571</v>
      </c>
      <c r="C1732" s="2">
        <v>45136</v>
      </c>
      <c r="D1732" t="str">
        <f t="shared" si="166"/>
        <v>Jul</v>
      </c>
      <c r="E1732" s="2">
        <v>45149</v>
      </c>
      <c r="F1732" t="s">
        <v>23</v>
      </c>
      <c r="G1732">
        <v>70274</v>
      </c>
      <c r="H1732">
        <v>3304</v>
      </c>
      <c r="I1732">
        <v>365</v>
      </c>
      <c r="J1732" t="b">
        <v>1</v>
      </c>
      <c r="K1732" s="10">
        <v>2330.1999999999998</v>
      </c>
      <c r="L1732" s="6">
        <f t="shared" si="167"/>
        <v>4.7015966075646752E-2</v>
      </c>
      <c r="M1732">
        <f t="shared" si="168"/>
        <v>0.70526634382566578</v>
      </c>
      <c r="N1732">
        <f t="shared" si="169"/>
        <v>6.3841095890410955</v>
      </c>
      <c r="O1732">
        <f t="shared" si="170"/>
        <v>15919.8</v>
      </c>
      <c r="P1732">
        <f t="shared" si="171"/>
        <v>0.11047215496368039</v>
      </c>
      <c r="Q1732" t="s">
        <v>4139</v>
      </c>
      <c r="R1732" t="s">
        <v>4139</v>
      </c>
      <c r="S1732">
        <f>YEAR(marketing_data[[#This Row],[Start_date]])</f>
        <v>2023</v>
      </c>
      <c r="T1732" t="str">
        <f>TEXT(marketing_data[[#This Row],[Start_date]],"ddd")</f>
        <v>Sat</v>
      </c>
      <c r="U1732">
        <f>marketing_data[[#This Row],[Cleaned End_date]]-marketing_data[[#This Row],[Start_date]]</f>
        <v>13</v>
      </c>
    </row>
    <row r="1733" spans="1:21" x14ac:dyDescent="0.2">
      <c r="A1733" t="s">
        <v>3572</v>
      </c>
      <c r="B1733" t="s">
        <v>3573</v>
      </c>
      <c r="C1733" s="2">
        <v>45194</v>
      </c>
      <c r="D1733" t="str">
        <f t="shared" si="166"/>
        <v>Sep</v>
      </c>
      <c r="E1733" s="2">
        <v>45204</v>
      </c>
      <c r="F1733" t="s">
        <v>23</v>
      </c>
      <c r="G1733">
        <v>3469</v>
      </c>
      <c r="H1733">
        <v>44</v>
      </c>
      <c r="I1733">
        <v>5</v>
      </c>
      <c r="J1733" t="b">
        <v>0</v>
      </c>
      <c r="K1733" s="10">
        <v>329.13249999999999</v>
      </c>
      <c r="L1733" s="6">
        <f t="shared" si="167"/>
        <v>1.2683770539060248E-2</v>
      </c>
      <c r="M1733">
        <f t="shared" si="168"/>
        <v>7.4802840909090911</v>
      </c>
      <c r="N1733">
        <f t="shared" si="169"/>
        <v>65.826499999999996</v>
      </c>
      <c r="O1733">
        <f t="shared" si="170"/>
        <v>-79.132499999999993</v>
      </c>
      <c r="P1733">
        <f t="shared" si="171"/>
        <v>0.11363636363636363</v>
      </c>
      <c r="Q1733" t="s">
        <v>4136</v>
      </c>
      <c r="R1733" t="s">
        <v>4142</v>
      </c>
      <c r="S1733">
        <f>YEAR(marketing_data[[#This Row],[Start_date]])</f>
        <v>2023</v>
      </c>
      <c r="T1733" t="str">
        <f>TEXT(marketing_data[[#This Row],[Start_date]],"ddd")</f>
        <v>Mon</v>
      </c>
      <c r="U1733">
        <f>marketing_data[[#This Row],[Cleaned End_date]]-marketing_data[[#This Row],[Start_date]]</f>
        <v>10</v>
      </c>
    </row>
    <row r="1734" spans="1:21" x14ac:dyDescent="0.2">
      <c r="A1734" t="s">
        <v>3574</v>
      </c>
      <c r="B1734" t="s">
        <v>3575</v>
      </c>
      <c r="C1734" s="2">
        <v>44993</v>
      </c>
      <c r="D1734" t="str">
        <f t="shared" si="166"/>
        <v>Mar</v>
      </c>
      <c r="E1734" s="2">
        <v>45153</v>
      </c>
      <c r="F1734" t="s">
        <v>14</v>
      </c>
      <c r="G1734">
        <v>54947</v>
      </c>
      <c r="H1734">
        <v>1495</v>
      </c>
      <c r="I1734">
        <v>78</v>
      </c>
      <c r="J1734" t="b">
        <v>1</v>
      </c>
      <c r="K1734" s="10">
        <v>2750.96</v>
      </c>
      <c r="L1734" s="6">
        <f t="shared" si="167"/>
        <v>2.7208036835496024E-2</v>
      </c>
      <c r="M1734">
        <f t="shared" si="168"/>
        <v>1.8401070234113712</v>
      </c>
      <c r="N1734">
        <f t="shared" si="169"/>
        <v>35.268717948717949</v>
      </c>
      <c r="O1734">
        <f t="shared" si="170"/>
        <v>1149.04</v>
      </c>
      <c r="P1734">
        <f t="shared" si="171"/>
        <v>5.2173913043478258E-2</v>
      </c>
      <c r="Q1734" t="s">
        <v>4137</v>
      </c>
      <c r="R1734" t="s">
        <v>4142</v>
      </c>
      <c r="S1734">
        <f>YEAR(marketing_data[[#This Row],[Start_date]])</f>
        <v>2023</v>
      </c>
      <c r="T1734" t="str">
        <f>TEXT(marketing_data[[#This Row],[Start_date]],"ddd")</f>
        <v>Wed</v>
      </c>
      <c r="U1734">
        <f>marketing_data[[#This Row],[Cleaned End_date]]-marketing_data[[#This Row],[Start_date]]</f>
        <v>160</v>
      </c>
    </row>
    <row r="1735" spans="1:21" x14ac:dyDescent="0.2">
      <c r="A1735" t="s">
        <v>3576</v>
      </c>
      <c r="B1735" t="s">
        <v>3577</v>
      </c>
      <c r="C1735" s="2">
        <v>44981</v>
      </c>
      <c r="D1735" t="str">
        <f t="shared" si="166"/>
        <v>Feb</v>
      </c>
      <c r="E1735" s="2">
        <v>44982</v>
      </c>
      <c r="F1735" t="s">
        <v>41</v>
      </c>
      <c r="G1735">
        <v>23534</v>
      </c>
      <c r="H1735">
        <v>890</v>
      </c>
      <c r="I1735">
        <v>82</v>
      </c>
      <c r="J1735" t="b">
        <v>1</v>
      </c>
      <c r="K1735" s="10">
        <v>962.76</v>
      </c>
      <c r="L1735" s="6">
        <f t="shared" si="167"/>
        <v>3.7817625563015211E-2</v>
      </c>
      <c r="M1735">
        <f t="shared" si="168"/>
        <v>1.081752808988764</v>
      </c>
      <c r="N1735">
        <f t="shared" si="169"/>
        <v>11.740975609756097</v>
      </c>
      <c r="O1735">
        <f t="shared" si="170"/>
        <v>3137.24</v>
      </c>
      <c r="P1735">
        <f t="shared" si="171"/>
        <v>9.2134831460674152E-2</v>
      </c>
      <c r="Q1735" t="s">
        <v>4138</v>
      </c>
      <c r="R1735" t="s">
        <v>4138</v>
      </c>
      <c r="S1735">
        <f>YEAR(marketing_data[[#This Row],[Start_date]])</f>
        <v>2023</v>
      </c>
      <c r="T1735" t="str">
        <f>TEXT(marketing_data[[#This Row],[Start_date]],"ddd")</f>
        <v>Fri</v>
      </c>
      <c r="U1735">
        <f>marketing_data[[#This Row],[Cleaned End_date]]-marketing_data[[#This Row],[Start_date]]</f>
        <v>1</v>
      </c>
    </row>
    <row r="1736" spans="1:21" x14ac:dyDescent="0.2">
      <c r="A1736" t="s">
        <v>3578</v>
      </c>
      <c r="B1736" t="s">
        <v>3579</v>
      </c>
      <c r="C1736" s="2">
        <v>45219</v>
      </c>
      <c r="D1736" t="str">
        <f t="shared" si="166"/>
        <v>Oct</v>
      </c>
      <c r="E1736" s="2">
        <v>45230</v>
      </c>
      <c r="F1736" t="s">
        <v>14</v>
      </c>
      <c r="G1736">
        <v>64620</v>
      </c>
      <c r="H1736">
        <v>1830</v>
      </c>
      <c r="I1736">
        <v>211</v>
      </c>
      <c r="J1736" t="b">
        <v>0</v>
      </c>
      <c r="K1736" s="10">
        <v>1705.23</v>
      </c>
      <c r="L1736" s="6">
        <f t="shared" si="167"/>
        <v>2.8319405756731662E-2</v>
      </c>
      <c r="M1736">
        <f t="shared" si="168"/>
        <v>0.93181967213114758</v>
      </c>
      <c r="N1736">
        <f t="shared" si="169"/>
        <v>8.0816587677725114</v>
      </c>
      <c r="O1736">
        <f t="shared" si="170"/>
        <v>8844.77</v>
      </c>
      <c r="P1736">
        <f t="shared" si="171"/>
        <v>0.11530054644808743</v>
      </c>
      <c r="Q1736" t="s">
        <v>4136</v>
      </c>
      <c r="R1736" t="s">
        <v>4138</v>
      </c>
      <c r="S1736">
        <f>YEAR(marketing_data[[#This Row],[Start_date]])</f>
        <v>2023</v>
      </c>
      <c r="T1736" t="str">
        <f>TEXT(marketing_data[[#This Row],[Start_date]],"ddd")</f>
        <v>Fri</v>
      </c>
      <c r="U1736">
        <f>marketing_data[[#This Row],[Cleaned End_date]]-marketing_data[[#This Row],[Start_date]]</f>
        <v>11</v>
      </c>
    </row>
    <row r="1737" spans="1:21" x14ac:dyDescent="0.2">
      <c r="A1737" t="s">
        <v>3580</v>
      </c>
      <c r="B1737" t="s">
        <v>3581</v>
      </c>
      <c r="C1737" s="2">
        <v>45177</v>
      </c>
      <c r="D1737" t="str">
        <f t="shared" si="166"/>
        <v>Sep</v>
      </c>
      <c r="E1737" s="2">
        <v>45193</v>
      </c>
      <c r="F1737" t="s">
        <v>23</v>
      </c>
      <c r="G1737">
        <v>49874</v>
      </c>
      <c r="H1737">
        <v>682</v>
      </c>
      <c r="I1737">
        <v>98</v>
      </c>
      <c r="J1737" t="b">
        <v>1</v>
      </c>
      <c r="K1737" s="10">
        <v>1082.3599999999999</v>
      </c>
      <c r="L1737" s="6">
        <f t="shared" si="167"/>
        <v>1.3674459638288486E-2</v>
      </c>
      <c r="M1737">
        <f t="shared" si="168"/>
        <v>1.5870381231671553</v>
      </c>
      <c r="N1737">
        <f t="shared" si="169"/>
        <v>11.044489795918366</v>
      </c>
      <c r="O1737">
        <f t="shared" si="170"/>
        <v>3817.6400000000003</v>
      </c>
      <c r="P1737">
        <f t="shared" si="171"/>
        <v>0.14369501466275661</v>
      </c>
      <c r="Q1737" t="s">
        <v>4136</v>
      </c>
      <c r="R1737" t="s">
        <v>4139</v>
      </c>
      <c r="S1737">
        <f>YEAR(marketing_data[[#This Row],[Start_date]])</f>
        <v>2023</v>
      </c>
      <c r="T1737" t="str">
        <f>TEXT(marketing_data[[#This Row],[Start_date]],"ddd")</f>
        <v>Fri</v>
      </c>
      <c r="U1737">
        <f>marketing_data[[#This Row],[Cleaned End_date]]-marketing_data[[#This Row],[Start_date]]</f>
        <v>16</v>
      </c>
    </row>
    <row r="1738" spans="1:21" x14ac:dyDescent="0.2">
      <c r="A1738" t="s">
        <v>3582</v>
      </c>
      <c r="B1738" t="s">
        <v>3583</v>
      </c>
      <c r="C1738" s="2">
        <v>45265</v>
      </c>
      <c r="D1738" t="str">
        <f t="shared" si="166"/>
        <v>Dec</v>
      </c>
      <c r="E1738" s="2">
        <v>45295</v>
      </c>
      <c r="F1738" t="s">
        <v>41</v>
      </c>
      <c r="G1738">
        <v>50708</v>
      </c>
      <c r="H1738">
        <v>1629</v>
      </c>
      <c r="I1738">
        <v>191</v>
      </c>
      <c r="J1738" t="b">
        <v>0</v>
      </c>
      <c r="K1738" s="10">
        <v>2858.28</v>
      </c>
      <c r="L1738" s="6">
        <f t="shared" si="167"/>
        <v>3.2125108464147671E-2</v>
      </c>
      <c r="M1738">
        <f t="shared" si="168"/>
        <v>1.7546224677716391</v>
      </c>
      <c r="N1738">
        <f t="shared" si="169"/>
        <v>14.964816753926703</v>
      </c>
      <c r="O1738">
        <f t="shared" si="170"/>
        <v>6691.7199999999993</v>
      </c>
      <c r="P1738">
        <f t="shared" si="171"/>
        <v>0.11724984653161449</v>
      </c>
      <c r="Q1738" t="s">
        <v>4138</v>
      </c>
      <c r="R1738" t="s">
        <v>4139</v>
      </c>
      <c r="S1738">
        <f>YEAR(marketing_data[[#This Row],[Start_date]])</f>
        <v>2023</v>
      </c>
      <c r="T1738" t="str">
        <f>TEXT(marketing_data[[#This Row],[Start_date]],"ddd")</f>
        <v>Tue</v>
      </c>
      <c r="U1738">
        <f>marketing_data[[#This Row],[Cleaned End_date]]-marketing_data[[#This Row],[Start_date]]</f>
        <v>30</v>
      </c>
    </row>
    <row r="1739" spans="1:21" x14ac:dyDescent="0.2">
      <c r="A1739" t="s">
        <v>3584</v>
      </c>
      <c r="B1739" t="s">
        <v>3585</v>
      </c>
      <c r="C1739" s="2">
        <v>45040</v>
      </c>
      <c r="D1739" t="str">
        <f t="shared" si="166"/>
        <v>Apr</v>
      </c>
      <c r="E1739" s="2">
        <v>45065</v>
      </c>
      <c r="F1739" t="s">
        <v>19</v>
      </c>
      <c r="G1739">
        <v>75553</v>
      </c>
      <c r="H1739">
        <v>2694</v>
      </c>
      <c r="I1739">
        <v>271</v>
      </c>
      <c r="J1739" t="b">
        <v>1</v>
      </c>
      <c r="K1739" s="10">
        <v>3631.7599999999998</v>
      </c>
      <c r="L1739" s="6">
        <f t="shared" si="167"/>
        <v>3.565708840151946E-2</v>
      </c>
      <c r="M1739">
        <f t="shared" si="168"/>
        <v>1.3480920564216776</v>
      </c>
      <c r="N1739">
        <f t="shared" si="169"/>
        <v>13.401328413284132</v>
      </c>
      <c r="O1739">
        <f t="shared" si="170"/>
        <v>9918.24</v>
      </c>
      <c r="P1739">
        <f t="shared" si="171"/>
        <v>0.1005939123979213</v>
      </c>
      <c r="Q1739" t="s">
        <v>4137</v>
      </c>
      <c r="R1739" t="s">
        <v>4139</v>
      </c>
      <c r="S1739">
        <f>YEAR(marketing_data[[#This Row],[Start_date]])</f>
        <v>2023</v>
      </c>
      <c r="T1739" t="str">
        <f>TEXT(marketing_data[[#This Row],[Start_date]],"ddd")</f>
        <v>Mon</v>
      </c>
      <c r="U1739">
        <f>marketing_data[[#This Row],[Cleaned End_date]]-marketing_data[[#This Row],[Start_date]]</f>
        <v>25</v>
      </c>
    </row>
    <row r="1740" spans="1:21" x14ac:dyDescent="0.2">
      <c r="A1740" t="s">
        <v>3586</v>
      </c>
      <c r="B1740" t="s">
        <v>3587</v>
      </c>
      <c r="C1740" s="2">
        <v>45033</v>
      </c>
      <c r="D1740" t="str">
        <f t="shared" si="166"/>
        <v>Apr</v>
      </c>
      <c r="E1740" s="2">
        <v>45034</v>
      </c>
      <c r="F1740" t="s">
        <v>14</v>
      </c>
      <c r="G1740">
        <v>69344</v>
      </c>
      <c r="H1740">
        <v>2645</v>
      </c>
      <c r="I1740">
        <v>286</v>
      </c>
      <c r="J1740" t="b">
        <v>1</v>
      </c>
      <c r="K1740" s="10">
        <v>2576.2199999999998</v>
      </c>
      <c r="L1740" s="6">
        <f t="shared" si="167"/>
        <v>3.8143170281495158E-2</v>
      </c>
      <c r="M1740">
        <f t="shared" si="168"/>
        <v>0.97399621928166347</v>
      </c>
      <c r="N1740">
        <f t="shared" si="169"/>
        <v>9.0077622377622379</v>
      </c>
      <c r="O1740">
        <f t="shared" si="170"/>
        <v>11723.78</v>
      </c>
      <c r="P1740">
        <f t="shared" si="171"/>
        <v>0.10812854442344046</v>
      </c>
      <c r="Q1740" t="s">
        <v>4137</v>
      </c>
      <c r="R1740" t="s">
        <v>4142</v>
      </c>
      <c r="S1740">
        <f>YEAR(marketing_data[[#This Row],[Start_date]])</f>
        <v>2023</v>
      </c>
      <c r="T1740" t="str">
        <f>TEXT(marketing_data[[#This Row],[Start_date]],"ddd")</f>
        <v>Mon</v>
      </c>
      <c r="U1740">
        <f>marketing_data[[#This Row],[Cleaned End_date]]-marketing_data[[#This Row],[Start_date]]</f>
        <v>1</v>
      </c>
    </row>
    <row r="1741" spans="1:21" x14ac:dyDescent="0.2">
      <c r="A1741" t="s">
        <v>3588</v>
      </c>
      <c r="B1741" t="s">
        <v>3589</v>
      </c>
      <c r="C1741" s="2">
        <v>44967</v>
      </c>
      <c r="D1741" t="str">
        <f t="shared" si="166"/>
        <v>Feb</v>
      </c>
      <c r="E1741" s="2">
        <v>44974</v>
      </c>
      <c r="F1741" t="s">
        <v>19</v>
      </c>
      <c r="G1741">
        <v>50138</v>
      </c>
      <c r="H1741">
        <v>1249</v>
      </c>
      <c r="I1741">
        <v>107</v>
      </c>
      <c r="J1741" t="b">
        <v>0</v>
      </c>
      <c r="K1741" s="10">
        <v>2221.12</v>
      </c>
      <c r="L1741" s="6">
        <f t="shared" si="167"/>
        <v>2.4911244963899636E-2</v>
      </c>
      <c r="M1741">
        <f t="shared" si="168"/>
        <v>1.7783186549239391</v>
      </c>
      <c r="N1741">
        <f t="shared" si="169"/>
        <v>20.758130841121496</v>
      </c>
      <c r="O1741">
        <f t="shared" si="170"/>
        <v>3128.88</v>
      </c>
      <c r="P1741">
        <f t="shared" si="171"/>
        <v>8.5668534827862283E-2</v>
      </c>
      <c r="Q1741" t="s">
        <v>4138</v>
      </c>
      <c r="R1741" t="s">
        <v>4138</v>
      </c>
      <c r="S1741">
        <f>YEAR(marketing_data[[#This Row],[Start_date]])</f>
        <v>2023</v>
      </c>
      <c r="T1741" t="str">
        <f>TEXT(marketing_data[[#This Row],[Start_date]],"ddd")</f>
        <v>Fri</v>
      </c>
      <c r="U1741">
        <f>marketing_data[[#This Row],[Cleaned End_date]]-marketing_data[[#This Row],[Start_date]]</f>
        <v>7</v>
      </c>
    </row>
    <row r="1742" spans="1:21" x14ac:dyDescent="0.2">
      <c r="A1742" t="s">
        <v>3590</v>
      </c>
      <c r="B1742" t="s">
        <v>3591</v>
      </c>
      <c r="C1742" s="2">
        <v>45111</v>
      </c>
      <c r="D1742" t="str">
        <f t="shared" si="166"/>
        <v>Jul</v>
      </c>
      <c r="E1742" s="2">
        <v>45125</v>
      </c>
      <c r="F1742" t="str">
        <f>F1741</f>
        <v>Facebook</v>
      </c>
      <c r="G1742">
        <v>55302</v>
      </c>
      <c r="H1742">
        <v>1799</v>
      </c>
      <c r="I1742">
        <v>339</v>
      </c>
      <c r="J1742" t="b">
        <v>1</v>
      </c>
      <c r="K1742" s="10">
        <v>1009.96</v>
      </c>
      <c r="L1742" s="6">
        <f t="shared" si="167"/>
        <v>3.253046906079346E-2</v>
      </c>
      <c r="M1742">
        <f t="shared" si="168"/>
        <v>0.5614007782101168</v>
      </c>
      <c r="N1742">
        <f t="shared" si="169"/>
        <v>2.9792330383480827</v>
      </c>
      <c r="O1742">
        <f t="shared" si="170"/>
        <v>15940.04</v>
      </c>
      <c r="P1742">
        <f t="shared" si="171"/>
        <v>0.18843802112284602</v>
      </c>
      <c r="Q1742" t="s">
        <v>4139</v>
      </c>
      <c r="R1742" t="s">
        <v>4142</v>
      </c>
      <c r="S1742">
        <f>YEAR(marketing_data[[#This Row],[Start_date]])</f>
        <v>2023</v>
      </c>
      <c r="T1742" t="str">
        <f>TEXT(marketing_data[[#This Row],[Start_date]],"ddd")</f>
        <v>Tue</v>
      </c>
      <c r="U1742">
        <f>marketing_data[[#This Row],[Cleaned End_date]]-marketing_data[[#This Row],[Start_date]]</f>
        <v>14</v>
      </c>
    </row>
    <row r="1743" spans="1:21" x14ac:dyDescent="0.2">
      <c r="A1743" t="s">
        <v>3592</v>
      </c>
      <c r="B1743" t="s">
        <v>3593</v>
      </c>
      <c r="C1743" s="2">
        <v>45139</v>
      </c>
      <c r="D1743" t="str">
        <f t="shared" si="166"/>
        <v>Aug</v>
      </c>
      <c r="E1743" s="2">
        <v>45164</v>
      </c>
      <c r="F1743" t="s">
        <v>33</v>
      </c>
      <c r="G1743">
        <v>48638</v>
      </c>
      <c r="H1743">
        <v>1363</v>
      </c>
      <c r="J1743" t="b">
        <v>0</v>
      </c>
      <c r="K1743" s="10">
        <v>783.03</v>
      </c>
      <c r="L1743" s="6">
        <f t="shared" si="167"/>
        <v>2.8023356223528927E-2</v>
      </c>
      <c r="M1743">
        <f t="shared" si="168"/>
        <v>0.57449009537784301</v>
      </c>
      <c r="N1743">
        <f t="shared" si="169"/>
        <v>0</v>
      </c>
      <c r="O1743">
        <f t="shared" si="170"/>
        <v>-783.03</v>
      </c>
      <c r="P1743">
        <f t="shared" si="171"/>
        <v>0</v>
      </c>
      <c r="Q1743" t="s">
        <v>4139</v>
      </c>
      <c r="R1743" t="s">
        <v>4141</v>
      </c>
      <c r="S1743">
        <f>YEAR(marketing_data[[#This Row],[Start_date]])</f>
        <v>2023</v>
      </c>
      <c r="T1743" t="str">
        <f>TEXT(marketing_data[[#This Row],[Start_date]],"ddd")</f>
        <v>Tue</v>
      </c>
      <c r="U1743">
        <f>marketing_data[[#This Row],[Cleaned End_date]]-marketing_data[[#This Row],[Start_date]]</f>
        <v>25</v>
      </c>
    </row>
    <row r="1744" spans="1:21" x14ac:dyDescent="0.2">
      <c r="A1744" t="s">
        <v>3594</v>
      </c>
      <c r="B1744" t="s">
        <v>3595</v>
      </c>
      <c r="C1744" s="2">
        <v>44956</v>
      </c>
      <c r="D1744" t="str">
        <f t="shared" si="166"/>
        <v>Jan</v>
      </c>
      <c r="E1744" s="2">
        <v>44977</v>
      </c>
      <c r="F1744" t="s">
        <v>33</v>
      </c>
      <c r="G1744">
        <v>79249</v>
      </c>
      <c r="H1744">
        <v>2922</v>
      </c>
      <c r="I1744">
        <v>151</v>
      </c>
      <c r="J1744" t="b">
        <v>1</v>
      </c>
      <c r="K1744" s="10">
        <v>3631.7599999999998</v>
      </c>
      <c r="L1744" s="6">
        <f t="shared" si="167"/>
        <v>3.6871127711390679E-2</v>
      </c>
      <c r="M1744">
        <f t="shared" si="168"/>
        <v>1.2429021218343599</v>
      </c>
      <c r="N1744">
        <f t="shared" si="169"/>
        <v>24.051390728476818</v>
      </c>
      <c r="O1744">
        <f t="shared" si="170"/>
        <v>3918.2400000000002</v>
      </c>
      <c r="P1744">
        <f t="shared" si="171"/>
        <v>5.1676933607118412E-2</v>
      </c>
      <c r="Q1744" t="s">
        <v>4138</v>
      </c>
      <c r="R1744" t="s">
        <v>4142</v>
      </c>
      <c r="S1744">
        <f>YEAR(marketing_data[[#This Row],[Start_date]])</f>
        <v>2023</v>
      </c>
      <c r="T1744" t="str">
        <f>TEXT(marketing_data[[#This Row],[Start_date]],"ddd")</f>
        <v>Mon</v>
      </c>
      <c r="U1744">
        <f>marketing_data[[#This Row],[Cleaned End_date]]-marketing_data[[#This Row],[Start_date]]</f>
        <v>21</v>
      </c>
    </row>
    <row r="1745" spans="1:21" x14ac:dyDescent="0.2">
      <c r="A1745" t="s">
        <v>3596</v>
      </c>
      <c r="B1745" t="s">
        <v>3597</v>
      </c>
      <c r="C1745" s="2">
        <v>44947</v>
      </c>
      <c r="D1745" t="str">
        <f t="shared" si="166"/>
        <v>Jan</v>
      </c>
      <c r="E1745" s="2">
        <v>44972</v>
      </c>
      <c r="F1745" t="s">
        <v>19</v>
      </c>
      <c r="G1745">
        <v>3719</v>
      </c>
      <c r="H1745">
        <v>123</v>
      </c>
      <c r="I1745">
        <v>6</v>
      </c>
      <c r="J1745" t="b">
        <v>0</v>
      </c>
      <c r="K1745" s="10">
        <v>329.13249999999999</v>
      </c>
      <c r="L1745" s="6">
        <f t="shared" si="167"/>
        <v>3.3073406829792956E-2</v>
      </c>
      <c r="M1745">
        <f t="shared" si="168"/>
        <v>2.6758739837398373</v>
      </c>
      <c r="N1745">
        <f t="shared" si="169"/>
        <v>54.855416666666663</v>
      </c>
      <c r="O1745">
        <f t="shared" si="170"/>
        <v>-29.132499999999993</v>
      </c>
      <c r="P1745">
        <f t="shared" si="171"/>
        <v>4.878048780487805E-2</v>
      </c>
      <c r="Q1745" t="s">
        <v>4138</v>
      </c>
      <c r="R1745" t="s">
        <v>4141</v>
      </c>
      <c r="S1745">
        <f>YEAR(marketing_data[[#This Row],[Start_date]])</f>
        <v>2023</v>
      </c>
      <c r="T1745" t="str">
        <f>TEXT(marketing_data[[#This Row],[Start_date]],"ddd")</f>
        <v>Sat</v>
      </c>
      <c r="U1745">
        <f>marketing_data[[#This Row],[Cleaned End_date]]-marketing_data[[#This Row],[Start_date]]</f>
        <v>25</v>
      </c>
    </row>
    <row r="1746" spans="1:21" x14ac:dyDescent="0.2">
      <c r="A1746" t="s">
        <v>3598</v>
      </c>
      <c r="B1746" t="s">
        <v>3599</v>
      </c>
      <c r="C1746" s="2">
        <v>44966</v>
      </c>
      <c r="D1746" t="str">
        <f t="shared" si="166"/>
        <v>Feb</v>
      </c>
      <c r="E1746" s="2">
        <v>44971</v>
      </c>
      <c r="F1746" t="str">
        <f>F1745</f>
        <v>Facebook</v>
      </c>
      <c r="G1746">
        <v>23890</v>
      </c>
      <c r="H1746">
        <v>741</v>
      </c>
      <c r="I1746">
        <v>145</v>
      </c>
      <c r="J1746" t="b">
        <v>1</v>
      </c>
      <c r="K1746" s="10">
        <v>731.3</v>
      </c>
      <c r="L1746" s="6">
        <f t="shared" si="167"/>
        <v>3.1017161992465465E-2</v>
      </c>
      <c r="M1746">
        <f t="shared" si="168"/>
        <v>0.98690958164642373</v>
      </c>
      <c r="N1746">
        <f t="shared" si="169"/>
        <v>5.0434482758620689</v>
      </c>
      <c r="O1746">
        <f t="shared" si="170"/>
        <v>6518.7</v>
      </c>
      <c r="P1746">
        <f t="shared" si="171"/>
        <v>0.19568151147098514</v>
      </c>
      <c r="Q1746" t="s">
        <v>4138</v>
      </c>
      <c r="R1746" t="s">
        <v>4141</v>
      </c>
      <c r="S1746">
        <f>YEAR(marketing_data[[#This Row],[Start_date]])</f>
        <v>2023</v>
      </c>
      <c r="T1746" t="str">
        <f>TEXT(marketing_data[[#This Row],[Start_date]],"ddd")</f>
        <v>Thu</v>
      </c>
      <c r="U1746">
        <f>marketing_data[[#This Row],[Cleaned End_date]]-marketing_data[[#This Row],[Start_date]]</f>
        <v>5</v>
      </c>
    </row>
    <row r="1747" spans="1:21" x14ac:dyDescent="0.2">
      <c r="A1747" t="s">
        <v>3600</v>
      </c>
      <c r="B1747" t="s">
        <v>3601</v>
      </c>
      <c r="C1747" s="2">
        <v>44976</v>
      </c>
      <c r="D1747" t="str">
        <f t="shared" si="166"/>
        <v>Feb</v>
      </c>
      <c r="E1747" s="2">
        <v>44991</v>
      </c>
      <c r="F1747" t="s">
        <v>19</v>
      </c>
      <c r="G1747">
        <v>78236</v>
      </c>
      <c r="H1747">
        <v>1563</v>
      </c>
      <c r="I1747">
        <v>130</v>
      </c>
      <c r="J1747" t="b">
        <v>0</v>
      </c>
      <c r="K1747" s="10">
        <v>2358.7800000000002</v>
      </c>
      <c r="L1747" s="6">
        <f t="shared" si="167"/>
        <v>1.9978015235952759E-2</v>
      </c>
      <c r="M1747">
        <f t="shared" si="168"/>
        <v>1.5091362763915548</v>
      </c>
      <c r="N1747">
        <f t="shared" si="169"/>
        <v>18.144461538461542</v>
      </c>
      <c r="O1747">
        <f t="shared" si="170"/>
        <v>4141.2199999999993</v>
      </c>
      <c r="P1747">
        <f t="shared" si="171"/>
        <v>8.3173384516954579E-2</v>
      </c>
      <c r="Q1747" t="s">
        <v>4138</v>
      </c>
      <c r="R1747" t="s">
        <v>4141</v>
      </c>
      <c r="S1747">
        <f>YEAR(marketing_data[[#This Row],[Start_date]])</f>
        <v>2023</v>
      </c>
      <c r="T1747" t="str">
        <f>TEXT(marketing_data[[#This Row],[Start_date]],"ddd")</f>
        <v>Sun</v>
      </c>
      <c r="U1747">
        <f>marketing_data[[#This Row],[Cleaned End_date]]-marketing_data[[#This Row],[Start_date]]</f>
        <v>15</v>
      </c>
    </row>
    <row r="1748" spans="1:21" x14ac:dyDescent="0.2">
      <c r="A1748" t="s">
        <v>3602</v>
      </c>
      <c r="B1748" t="s">
        <v>3603</v>
      </c>
      <c r="C1748" s="2">
        <v>45124</v>
      </c>
      <c r="D1748" t="str">
        <f t="shared" si="166"/>
        <v>Jul</v>
      </c>
      <c r="E1748" s="2">
        <v>45152</v>
      </c>
      <c r="F1748" t="s">
        <v>19</v>
      </c>
      <c r="G1748">
        <v>37509</v>
      </c>
      <c r="H1748">
        <v>378</v>
      </c>
      <c r="I1748">
        <v>64</v>
      </c>
      <c r="J1748" t="b">
        <v>1</v>
      </c>
      <c r="K1748" s="10">
        <v>380.23</v>
      </c>
      <c r="L1748" s="6">
        <f t="shared" si="167"/>
        <v>1.0077581380468688E-2</v>
      </c>
      <c r="M1748">
        <f t="shared" si="168"/>
        <v>1.0058994708994708</v>
      </c>
      <c r="N1748">
        <f t="shared" si="169"/>
        <v>5.9410937500000003</v>
      </c>
      <c r="O1748">
        <f t="shared" si="170"/>
        <v>2819.77</v>
      </c>
      <c r="P1748">
        <f t="shared" si="171"/>
        <v>0.1693121693121693</v>
      </c>
      <c r="Q1748" t="s">
        <v>4139</v>
      </c>
      <c r="R1748" t="s">
        <v>4141</v>
      </c>
      <c r="S1748">
        <f>YEAR(marketing_data[[#This Row],[Start_date]])</f>
        <v>2023</v>
      </c>
      <c r="T1748" t="str">
        <f>TEXT(marketing_data[[#This Row],[Start_date]],"ddd")</f>
        <v>Mon</v>
      </c>
      <c r="U1748">
        <f>marketing_data[[#This Row],[Cleaned End_date]]-marketing_data[[#This Row],[Start_date]]</f>
        <v>28</v>
      </c>
    </row>
    <row r="1749" spans="1:21" x14ac:dyDescent="0.2">
      <c r="A1749" t="s">
        <v>3604</v>
      </c>
      <c r="B1749" t="s">
        <v>3605</v>
      </c>
      <c r="C1749" s="2">
        <v>45054</v>
      </c>
      <c r="D1749" t="str">
        <f t="shared" si="166"/>
        <v>May</v>
      </c>
      <c r="E1749" s="2">
        <v>45073</v>
      </c>
      <c r="F1749" t="s">
        <v>41</v>
      </c>
      <c r="G1749">
        <v>43534</v>
      </c>
      <c r="H1749">
        <v>738</v>
      </c>
      <c r="I1749">
        <v>43</v>
      </c>
      <c r="J1749" t="b">
        <v>1</v>
      </c>
      <c r="K1749" s="10">
        <v>567.82000000000005</v>
      </c>
      <c r="L1749" s="6">
        <f t="shared" si="167"/>
        <v>1.6952267193457986E-2</v>
      </c>
      <c r="M1749">
        <f t="shared" si="168"/>
        <v>0.76940379403794046</v>
      </c>
      <c r="N1749">
        <f t="shared" si="169"/>
        <v>13.205116279069768</v>
      </c>
      <c r="O1749">
        <f t="shared" si="170"/>
        <v>1582.1799999999998</v>
      </c>
      <c r="P1749">
        <f t="shared" si="171"/>
        <v>5.8265582655826556E-2</v>
      </c>
      <c r="Q1749" t="s">
        <v>4137</v>
      </c>
      <c r="R1749" t="s">
        <v>4142</v>
      </c>
      <c r="S1749">
        <f>YEAR(marketing_data[[#This Row],[Start_date]])</f>
        <v>2023</v>
      </c>
      <c r="T1749" t="str">
        <f>TEXT(marketing_data[[#This Row],[Start_date]],"ddd")</f>
        <v>Mon</v>
      </c>
      <c r="U1749">
        <f>marketing_data[[#This Row],[Cleaned End_date]]-marketing_data[[#This Row],[Start_date]]</f>
        <v>19</v>
      </c>
    </row>
    <row r="1750" spans="1:21" x14ac:dyDescent="0.2">
      <c r="A1750" t="s">
        <v>3606</v>
      </c>
      <c r="B1750" t="s">
        <v>3607</v>
      </c>
      <c r="C1750" s="2">
        <v>45212</v>
      </c>
      <c r="D1750" t="str">
        <f t="shared" si="166"/>
        <v>Oct</v>
      </c>
      <c r="E1750" s="2">
        <v>45238</v>
      </c>
      <c r="F1750" t="s">
        <v>14</v>
      </c>
      <c r="G1750">
        <v>93241</v>
      </c>
      <c r="H1750">
        <v>1369</v>
      </c>
      <c r="I1750">
        <v>257</v>
      </c>
      <c r="J1750" t="b">
        <v>1</v>
      </c>
      <c r="K1750" s="10">
        <v>1262.25</v>
      </c>
      <c r="L1750" s="6">
        <f t="shared" si="167"/>
        <v>1.4682382213832971E-2</v>
      </c>
      <c r="M1750">
        <f t="shared" si="168"/>
        <v>0.92202337472607743</v>
      </c>
      <c r="N1750">
        <f t="shared" si="169"/>
        <v>4.9114785992217902</v>
      </c>
      <c r="O1750">
        <f t="shared" si="170"/>
        <v>11587.75</v>
      </c>
      <c r="P1750">
        <f t="shared" si="171"/>
        <v>0.1877282688093499</v>
      </c>
      <c r="Q1750" t="s">
        <v>4136</v>
      </c>
      <c r="R1750" t="s">
        <v>4141</v>
      </c>
      <c r="S1750">
        <f>YEAR(marketing_data[[#This Row],[Start_date]])</f>
        <v>2023</v>
      </c>
      <c r="T1750" t="str">
        <f>TEXT(marketing_data[[#This Row],[Start_date]],"ddd")</f>
        <v>Fri</v>
      </c>
      <c r="U1750">
        <f>marketing_data[[#This Row],[Cleaned End_date]]-marketing_data[[#This Row],[Start_date]]</f>
        <v>26</v>
      </c>
    </row>
    <row r="1751" spans="1:21" x14ac:dyDescent="0.2">
      <c r="A1751" t="s">
        <v>3608</v>
      </c>
      <c r="B1751" t="s">
        <v>3609</v>
      </c>
      <c r="C1751" s="2">
        <v>44981</v>
      </c>
      <c r="D1751" t="str">
        <f t="shared" si="166"/>
        <v>Feb</v>
      </c>
      <c r="E1751" s="2">
        <v>45006</v>
      </c>
      <c r="F1751" t="s">
        <v>41</v>
      </c>
      <c r="G1751">
        <v>19787</v>
      </c>
      <c r="H1751">
        <v>553</v>
      </c>
      <c r="I1751">
        <v>100</v>
      </c>
      <c r="J1751" t="b">
        <v>1</v>
      </c>
      <c r="K1751" s="10">
        <v>656.06</v>
      </c>
      <c r="L1751" s="6">
        <f t="shared" si="167"/>
        <v>2.7947642391469147E-2</v>
      </c>
      <c r="M1751">
        <f t="shared" si="168"/>
        <v>1.1863652802893307</v>
      </c>
      <c r="N1751">
        <f t="shared" si="169"/>
        <v>6.5605999999999991</v>
      </c>
      <c r="O1751">
        <f t="shared" si="170"/>
        <v>4343.9400000000005</v>
      </c>
      <c r="P1751">
        <f t="shared" si="171"/>
        <v>0.18083182640144665</v>
      </c>
      <c r="Q1751" t="s">
        <v>4138</v>
      </c>
      <c r="R1751" t="s">
        <v>4141</v>
      </c>
      <c r="S1751">
        <f>YEAR(marketing_data[[#This Row],[Start_date]])</f>
        <v>2023</v>
      </c>
      <c r="T1751" t="str">
        <f>TEXT(marketing_data[[#This Row],[Start_date]],"ddd")</f>
        <v>Fri</v>
      </c>
      <c r="U1751">
        <f>marketing_data[[#This Row],[Cleaned End_date]]-marketing_data[[#This Row],[Start_date]]</f>
        <v>25</v>
      </c>
    </row>
    <row r="1752" spans="1:21" x14ac:dyDescent="0.2">
      <c r="A1752" t="s">
        <v>3610</v>
      </c>
      <c r="B1752" t="s">
        <v>3611</v>
      </c>
      <c r="C1752" s="2">
        <v>45272</v>
      </c>
      <c r="D1752" t="str">
        <f t="shared" si="166"/>
        <v>Dec</v>
      </c>
      <c r="E1752" s="2">
        <v>45296</v>
      </c>
      <c r="F1752" t="s">
        <v>41</v>
      </c>
      <c r="G1752">
        <v>49845</v>
      </c>
      <c r="H1752">
        <v>1719</v>
      </c>
      <c r="J1752" t="b">
        <v>1</v>
      </c>
      <c r="K1752" s="10">
        <v>2085.2800000000002</v>
      </c>
      <c r="L1752" s="6">
        <f t="shared" si="167"/>
        <v>3.4486909419199518E-2</v>
      </c>
      <c r="M1752">
        <f t="shared" si="168"/>
        <v>1.2130773705642817</v>
      </c>
      <c r="N1752">
        <f t="shared" si="169"/>
        <v>0</v>
      </c>
      <c r="O1752">
        <f t="shared" si="170"/>
        <v>-2085.2800000000002</v>
      </c>
      <c r="P1752">
        <f t="shared" si="171"/>
        <v>0</v>
      </c>
      <c r="Q1752" t="s">
        <v>4138</v>
      </c>
      <c r="R1752" t="s">
        <v>4139</v>
      </c>
      <c r="S1752">
        <f>YEAR(marketing_data[[#This Row],[Start_date]])</f>
        <v>2023</v>
      </c>
      <c r="T1752" t="str">
        <f>TEXT(marketing_data[[#This Row],[Start_date]],"ddd")</f>
        <v>Tue</v>
      </c>
      <c r="U1752">
        <f>marketing_data[[#This Row],[Cleaned End_date]]-marketing_data[[#This Row],[Start_date]]</f>
        <v>24</v>
      </c>
    </row>
    <row r="1753" spans="1:21" x14ac:dyDescent="0.2">
      <c r="A1753" t="s">
        <v>3612</v>
      </c>
      <c r="B1753" t="s">
        <v>3613</v>
      </c>
      <c r="C1753" s="2">
        <v>44980</v>
      </c>
      <c r="D1753" t="str">
        <f t="shared" si="166"/>
        <v>Feb</v>
      </c>
      <c r="E1753" s="2">
        <v>44985</v>
      </c>
      <c r="F1753" t="s">
        <v>23</v>
      </c>
      <c r="G1753">
        <v>58932</v>
      </c>
      <c r="H1753">
        <v>1091</v>
      </c>
      <c r="I1753">
        <v>56</v>
      </c>
      <c r="J1753" t="b">
        <v>1</v>
      </c>
      <c r="K1753" s="10">
        <v>1826.88</v>
      </c>
      <c r="L1753" s="6">
        <f t="shared" si="167"/>
        <v>1.8512862281952081E-2</v>
      </c>
      <c r="M1753">
        <f t="shared" si="168"/>
        <v>1.6745004582951422</v>
      </c>
      <c r="N1753">
        <f t="shared" si="169"/>
        <v>32.622857142857143</v>
      </c>
      <c r="O1753">
        <f t="shared" si="170"/>
        <v>973.11999999999989</v>
      </c>
      <c r="P1753">
        <f t="shared" si="171"/>
        <v>5.1329055912007336E-2</v>
      </c>
      <c r="Q1753" t="s">
        <v>4138</v>
      </c>
      <c r="R1753" t="s">
        <v>4138</v>
      </c>
      <c r="S1753">
        <f>YEAR(marketing_data[[#This Row],[Start_date]])</f>
        <v>2023</v>
      </c>
      <c r="T1753" t="str">
        <f>TEXT(marketing_data[[#This Row],[Start_date]],"ddd")</f>
        <v>Thu</v>
      </c>
      <c r="U1753">
        <f>marketing_data[[#This Row],[Cleaned End_date]]-marketing_data[[#This Row],[Start_date]]</f>
        <v>5</v>
      </c>
    </row>
    <row r="1754" spans="1:21" x14ac:dyDescent="0.2">
      <c r="A1754" t="s">
        <v>3614</v>
      </c>
      <c r="B1754" t="s">
        <v>3615</v>
      </c>
      <c r="C1754" s="2">
        <v>45132</v>
      </c>
      <c r="D1754" t="str">
        <f t="shared" si="166"/>
        <v>Jul</v>
      </c>
      <c r="E1754" s="2">
        <v>45153</v>
      </c>
      <c r="F1754" t="s">
        <v>19</v>
      </c>
      <c r="G1754">
        <v>93124</v>
      </c>
      <c r="H1754">
        <v>4429</v>
      </c>
      <c r="J1754" t="b">
        <v>0</v>
      </c>
      <c r="K1754" s="10">
        <v>3631.7599999999998</v>
      </c>
      <c r="L1754" s="6">
        <f t="shared" si="167"/>
        <v>4.7560242257634978E-2</v>
      </c>
      <c r="M1754">
        <f t="shared" si="168"/>
        <v>0.81999548430797009</v>
      </c>
      <c r="N1754">
        <f t="shared" si="169"/>
        <v>0</v>
      </c>
      <c r="O1754">
        <f t="shared" si="170"/>
        <v>-3631.7599999999998</v>
      </c>
      <c r="P1754">
        <f t="shared" si="171"/>
        <v>0</v>
      </c>
      <c r="Q1754" t="s">
        <v>4139</v>
      </c>
      <c r="R1754" t="s">
        <v>4142</v>
      </c>
      <c r="S1754">
        <f>YEAR(marketing_data[[#This Row],[Start_date]])</f>
        <v>2023</v>
      </c>
      <c r="T1754" t="str">
        <f>TEXT(marketing_data[[#This Row],[Start_date]],"ddd")</f>
        <v>Tue</v>
      </c>
      <c r="U1754">
        <f>marketing_data[[#This Row],[Cleaned End_date]]-marketing_data[[#This Row],[Start_date]]</f>
        <v>21</v>
      </c>
    </row>
    <row r="1755" spans="1:21" x14ac:dyDescent="0.2">
      <c r="A1755" t="s">
        <v>3616</v>
      </c>
      <c r="B1755" t="s">
        <v>3617</v>
      </c>
      <c r="C1755" s="2">
        <v>45200</v>
      </c>
      <c r="D1755" t="str">
        <f t="shared" si="166"/>
        <v>Oct</v>
      </c>
      <c r="E1755" s="2">
        <v>45226</v>
      </c>
      <c r="F1755" t="s">
        <v>14</v>
      </c>
      <c r="G1755">
        <v>92659</v>
      </c>
      <c r="H1755">
        <v>951</v>
      </c>
      <c r="I1755">
        <v>105</v>
      </c>
      <c r="J1755" t="b">
        <v>0</v>
      </c>
      <c r="K1755" s="10">
        <v>1127.1500000000001</v>
      </c>
      <c r="L1755" s="6">
        <f t="shared" si="167"/>
        <v>1.0263439061505088E-2</v>
      </c>
      <c r="M1755">
        <f t="shared" si="168"/>
        <v>1.1852260778128287</v>
      </c>
      <c r="N1755">
        <f t="shared" si="169"/>
        <v>10.734761904761905</v>
      </c>
      <c r="O1755">
        <f t="shared" si="170"/>
        <v>4122.8500000000004</v>
      </c>
      <c r="P1755">
        <f t="shared" si="171"/>
        <v>0.11041009463722397</v>
      </c>
      <c r="Q1755" t="s">
        <v>4136</v>
      </c>
      <c r="R1755" t="s">
        <v>4142</v>
      </c>
      <c r="S1755">
        <f>YEAR(marketing_data[[#This Row],[Start_date]])</f>
        <v>2023</v>
      </c>
      <c r="T1755" t="str">
        <f>TEXT(marketing_data[[#This Row],[Start_date]],"ddd")</f>
        <v>Sun</v>
      </c>
      <c r="U1755">
        <f>marketing_data[[#This Row],[Cleaned End_date]]-marketing_data[[#This Row],[Start_date]]</f>
        <v>26</v>
      </c>
    </row>
    <row r="1756" spans="1:21" x14ac:dyDescent="0.2">
      <c r="A1756" t="s">
        <v>3618</v>
      </c>
      <c r="B1756" t="s">
        <v>3619</v>
      </c>
      <c r="C1756" s="2">
        <v>45107</v>
      </c>
      <c r="D1756" t="str">
        <f t="shared" si="166"/>
        <v>Jun</v>
      </c>
      <c r="E1756" s="2">
        <v>45117</v>
      </c>
      <c r="F1756" t="s">
        <v>23</v>
      </c>
      <c r="G1756">
        <v>34062</v>
      </c>
      <c r="H1756">
        <v>1392</v>
      </c>
      <c r="I1756">
        <v>165</v>
      </c>
      <c r="J1756" t="b">
        <v>0</v>
      </c>
      <c r="K1756" s="10">
        <v>3631.7599999999998</v>
      </c>
      <c r="L1756" s="6">
        <f t="shared" si="167"/>
        <v>4.0866654923375025E-2</v>
      </c>
      <c r="M1756">
        <f t="shared" si="168"/>
        <v>2.609022988505747</v>
      </c>
      <c r="N1756">
        <f t="shared" si="169"/>
        <v>22.010666666666665</v>
      </c>
      <c r="O1756">
        <f t="shared" si="170"/>
        <v>4618.24</v>
      </c>
      <c r="P1756">
        <f t="shared" si="171"/>
        <v>0.11853448275862069</v>
      </c>
      <c r="Q1756" t="s">
        <v>4139</v>
      </c>
      <c r="R1756" t="s">
        <v>4139</v>
      </c>
      <c r="S1756">
        <f>YEAR(marketing_data[[#This Row],[Start_date]])</f>
        <v>2023</v>
      </c>
      <c r="T1756" t="str">
        <f>TEXT(marketing_data[[#This Row],[Start_date]],"ddd")</f>
        <v>Fri</v>
      </c>
      <c r="U1756">
        <f>marketing_data[[#This Row],[Cleaned End_date]]-marketing_data[[#This Row],[Start_date]]</f>
        <v>10</v>
      </c>
    </row>
    <row r="1757" spans="1:21" x14ac:dyDescent="0.2">
      <c r="A1757" t="s">
        <v>3620</v>
      </c>
      <c r="B1757" t="s">
        <v>3621</v>
      </c>
      <c r="C1757" s="2">
        <v>45093</v>
      </c>
      <c r="D1757" t="str">
        <f t="shared" si="166"/>
        <v>Jun</v>
      </c>
      <c r="E1757" s="2">
        <v>45106</v>
      </c>
      <c r="F1757" t="s">
        <v>14</v>
      </c>
      <c r="G1757">
        <v>76713</v>
      </c>
      <c r="H1757">
        <v>2685</v>
      </c>
      <c r="I1757">
        <v>254</v>
      </c>
      <c r="J1757" t="b">
        <v>0</v>
      </c>
      <c r="K1757" s="10">
        <v>1802.59</v>
      </c>
      <c r="L1757" s="6">
        <f t="shared" si="167"/>
        <v>3.5000586602010088E-2</v>
      </c>
      <c r="M1757">
        <f t="shared" si="168"/>
        <v>0.67135567970204835</v>
      </c>
      <c r="N1757">
        <f t="shared" si="169"/>
        <v>7.0968110236220472</v>
      </c>
      <c r="O1757">
        <f t="shared" si="170"/>
        <v>10897.41</v>
      </c>
      <c r="P1757">
        <f t="shared" si="171"/>
        <v>9.4599627560521413E-2</v>
      </c>
      <c r="Q1757" t="s">
        <v>4139</v>
      </c>
      <c r="R1757" t="s">
        <v>4142</v>
      </c>
      <c r="S1757">
        <f>YEAR(marketing_data[[#This Row],[Start_date]])</f>
        <v>2023</v>
      </c>
      <c r="T1757" t="str">
        <f>TEXT(marketing_data[[#This Row],[Start_date]],"ddd")</f>
        <v>Fri</v>
      </c>
      <c r="U1757">
        <f>marketing_data[[#This Row],[Cleaned End_date]]-marketing_data[[#This Row],[Start_date]]</f>
        <v>13</v>
      </c>
    </row>
    <row r="1758" spans="1:21" x14ac:dyDescent="0.2">
      <c r="A1758" t="s">
        <v>3622</v>
      </c>
      <c r="B1758" t="s">
        <v>3623</v>
      </c>
      <c r="C1758" s="2">
        <v>45251</v>
      </c>
      <c r="D1758" t="str">
        <f t="shared" si="166"/>
        <v>Nov</v>
      </c>
      <c r="E1758" s="2">
        <v>45259</v>
      </c>
      <c r="F1758" t="s">
        <v>33</v>
      </c>
      <c r="G1758">
        <v>88263</v>
      </c>
      <c r="H1758">
        <v>2201</v>
      </c>
      <c r="J1758" t="b">
        <v>0</v>
      </c>
      <c r="K1758" s="10">
        <v>1943.55</v>
      </c>
      <c r="L1758" s="6">
        <f t="shared" si="167"/>
        <v>2.4936836500005666E-2</v>
      </c>
      <c r="M1758">
        <f t="shared" si="168"/>
        <v>0.88303044070876868</v>
      </c>
      <c r="N1758">
        <f t="shared" si="169"/>
        <v>0</v>
      </c>
      <c r="O1758">
        <f t="shared" si="170"/>
        <v>-1943.55</v>
      </c>
      <c r="P1758">
        <f t="shared" si="171"/>
        <v>0</v>
      </c>
      <c r="Q1758" t="s">
        <v>4136</v>
      </c>
      <c r="R1758" t="s">
        <v>4138</v>
      </c>
      <c r="S1758">
        <f>YEAR(marketing_data[[#This Row],[Start_date]])</f>
        <v>2023</v>
      </c>
      <c r="T1758" t="str">
        <f>TEXT(marketing_data[[#This Row],[Start_date]],"ddd")</f>
        <v>Tue</v>
      </c>
      <c r="U1758">
        <f>marketing_data[[#This Row],[Cleaned End_date]]-marketing_data[[#This Row],[Start_date]]</f>
        <v>8</v>
      </c>
    </row>
    <row r="1759" spans="1:21" x14ac:dyDescent="0.2">
      <c r="A1759" t="s">
        <v>3624</v>
      </c>
      <c r="B1759" t="s">
        <v>3625</v>
      </c>
      <c r="C1759" s="2">
        <v>45238</v>
      </c>
      <c r="D1759" t="str">
        <f t="shared" si="166"/>
        <v>Nov</v>
      </c>
      <c r="E1759" s="2">
        <v>45243</v>
      </c>
      <c r="F1759" t="s">
        <v>23</v>
      </c>
      <c r="G1759">
        <v>96756</v>
      </c>
      <c r="H1759">
        <v>1162</v>
      </c>
      <c r="I1759">
        <v>160</v>
      </c>
      <c r="J1759" t="b">
        <v>1</v>
      </c>
      <c r="K1759" s="10">
        <v>2024.16</v>
      </c>
      <c r="L1759" s="6">
        <f t="shared" si="167"/>
        <v>1.2009591136466989E-2</v>
      </c>
      <c r="M1759">
        <f t="shared" si="168"/>
        <v>1.741962134251291</v>
      </c>
      <c r="N1759">
        <f t="shared" si="169"/>
        <v>12.651</v>
      </c>
      <c r="O1759">
        <f t="shared" si="170"/>
        <v>5975.84</v>
      </c>
      <c r="P1759">
        <f t="shared" si="171"/>
        <v>0.13769363166953527</v>
      </c>
      <c r="Q1759" t="s">
        <v>4136</v>
      </c>
      <c r="R1759" t="s">
        <v>4139</v>
      </c>
      <c r="S1759">
        <f>YEAR(marketing_data[[#This Row],[Start_date]])</f>
        <v>2023</v>
      </c>
      <c r="T1759" t="str">
        <f>TEXT(marketing_data[[#This Row],[Start_date]],"ddd")</f>
        <v>Wed</v>
      </c>
      <c r="U1759">
        <f>marketing_data[[#This Row],[Cleaned End_date]]-marketing_data[[#This Row],[Start_date]]</f>
        <v>5</v>
      </c>
    </row>
    <row r="1760" spans="1:21" x14ac:dyDescent="0.2">
      <c r="A1760" t="s">
        <v>3626</v>
      </c>
      <c r="B1760" t="s">
        <v>3627</v>
      </c>
      <c r="C1760" s="2">
        <v>45119</v>
      </c>
      <c r="D1760" t="str">
        <f t="shared" si="166"/>
        <v>Jul</v>
      </c>
      <c r="E1760" s="2">
        <v>45120</v>
      </c>
      <c r="F1760" t="s">
        <v>33</v>
      </c>
      <c r="G1760">
        <v>61461</v>
      </c>
      <c r="H1760">
        <v>2157</v>
      </c>
      <c r="J1760" t="b">
        <v>0</v>
      </c>
      <c r="K1760" s="10">
        <v>2301.5</v>
      </c>
      <c r="L1760" s="6">
        <f t="shared" si="167"/>
        <v>3.5095426367940642E-2</v>
      </c>
      <c r="M1760">
        <f t="shared" si="168"/>
        <v>1.0669911914696337</v>
      </c>
      <c r="N1760">
        <f t="shared" si="169"/>
        <v>0</v>
      </c>
      <c r="O1760">
        <f t="shared" si="170"/>
        <v>-2301.5</v>
      </c>
      <c r="P1760">
        <f t="shared" si="171"/>
        <v>0</v>
      </c>
      <c r="Q1760" t="s">
        <v>4139</v>
      </c>
      <c r="R1760" t="s">
        <v>4138</v>
      </c>
      <c r="S1760">
        <f>YEAR(marketing_data[[#This Row],[Start_date]])</f>
        <v>2023</v>
      </c>
      <c r="T1760" t="str">
        <f>TEXT(marketing_data[[#This Row],[Start_date]],"ddd")</f>
        <v>Wed</v>
      </c>
      <c r="U1760">
        <f>marketing_data[[#This Row],[Cleaned End_date]]-marketing_data[[#This Row],[Start_date]]</f>
        <v>1</v>
      </c>
    </row>
    <row r="1761" spans="1:21" x14ac:dyDescent="0.2">
      <c r="A1761" t="s">
        <v>3628</v>
      </c>
      <c r="B1761" t="s">
        <v>3629</v>
      </c>
      <c r="C1761" s="2">
        <v>45057</v>
      </c>
      <c r="D1761" t="str">
        <f t="shared" si="166"/>
        <v>May</v>
      </c>
      <c r="E1761" s="2">
        <v>45087</v>
      </c>
      <c r="F1761" t="s">
        <v>23</v>
      </c>
      <c r="G1761">
        <v>76418</v>
      </c>
      <c r="H1761">
        <v>1942</v>
      </c>
      <c r="I1761">
        <v>179</v>
      </c>
      <c r="J1761" t="b">
        <v>1</v>
      </c>
      <c r="K1761" s="10">
        <v>3631.7599999999998</v>
      </c>
      <c r="L1761" s="6">
        <f t="shared" si="167"/>
        <v>2.5412860844303699E-2</v>
      </c>
      <c r="M1761">
        <f t="shared" si="168"/>
        <v>1.8701132852729143</v>
      </c>
      <c r="N1761">
        <f t="shared" si="169"/>
        <v>20.289162011173183</v>
      </c>
      <c r="O1761">
        <f t="shared" si="170"/>
        <v>5318.24</v>
      </c>
      <c r="P1761">
        <f t="shared" si="171"/>
        <v>9.2173017507723998E-2</v>
      </c>
      <c r="Q1761" t="s">
        <v>4137</v>
      </c>
      <c r="R1761" t="s">
        <v>4139</v>
      </c>
      <c r="S1761">
        <f>YEAR(marketing_data[[#This Row],[Start_date]])</f>
        <v>2023</v>
      </c>
      <c r="T1761" t="str">
        <f>TEXT(marketing_data[[#This Row],[Start_date]],"ddd")</f>
        <v>Thu</v>
      </c>
      <c r="U1761">
        <f>marketing_data[[#This Row],[Cleaned End_date]]-marketing_data[[#This Row],[Start_date]]</f>
        <v>30</v>
      </c>
    </row>
    <row r="1762" spans="1:21" x14ac:dyDescent="0.2">
      <c r="A1762" t="s">
        <v>3630</v>
      </c>
      <c r="B1762" t="s">
        <v>3631</v>
      </c>
      <c r="C1762" s="2">
        <v>45130</v>
      </c>
      <c r="D1762" t="str">
        <f t="shared" si="166"/>
        <v>Jul</v>
      </c>
      <c r="E1762" s="2">
        <v>45138</v>
      </c>
      <c r="F1762" t="s">
        <v>19</v>
      </c>
      <c r="G1762">
        <v>67672</v>
      </c>
      <c r="H1762">
        <v>3211</v>
      </c>
      <c r="I1762">
        <v>178</v>
      </c>
      <c r="J1762" t="b">
        <v>1</v>
      </c>
      <c r="K1762" s="10">
        <v>3631.7599999999998</v>
      </c>
      <c r="L1762" s="6">
        <f t="shared" si="167"/>
        <v>4.7449462111360682E-2</v>
      </c>
      <c r="M1762">
        <f t="shared" si="168"/>
        <v>1.1310370601058859</v>
      </c>
      <c r="N1762">
        <f t="shared" si="169"/>
        <v>20.403146067415729</v>
      </c>
      <c r="O1762">
        <f t="shared" si="170"/>
        <v>5268.24</v>
      </c>
      <c r="P1762">
        <f t="shared" si="171"/>
        <v>5.5434444098411709E-2</v>
      </c>
      <c r="Q1762" t="s">
        <v>4139</v>
      </c>
      <c r="R1762" t="s">
        <v>4139</v>
      </c>
      <c r="S1762">
        <f>YEAR(marketing_data[[#This Row],[Start_date]])</f>
        <v>2023</v>
      </c>
      <c r="T1762" t="str">
        <f>TEXT(marketing_data[[#This Row],[Start_date]],"ddd")</f>
        <v>Sun</v>
      </c>
      <c r="U1762">
        <f>marketing_data[[#This Row],[Cleaned End_date]]-marketing_data[[#This Row],[Start_date]]</f>
        <v>8</v>
      </c>
    </row>
    <row r="1763" spans="1:21" x14ac:dyDescent="0.2">
      <c r="A1763" t="s">
        <v>3632</v>
      </c>
      <c r="B1763" t="s">
        <v>3633</v>
      </c>
      <c r="C1763" s="2">
        <v>44944</v>
      </c>
      <c r="D1763" t="str">
        <f t="shared" si="166"/>
        <v>Jan</v>
      </c>
      <c r="E1763" s="2">
        <v>44973</v>
      </c>
      <c r="F1763" t="s">
        <v>41</v>
      </c>
      <c r="G1763">
        <v>35832</v>
      </c>
      <c r="H1763">
        <v>1135</v>
      </c>
      <c r="I1763">
        <v>226</v>
      </c>
      <c r="J1763" t="b">
        <v>0</v>
      </c>
      <c r="K1763" s="10">
        <v>1915.77</v>
      </c>
      <c r="L1763" s="6">
        <f t="shared" si="167"/>
        <v>3.1675597231524896E-2</v>
      </c>
      <c r="M1763">
        <f t="shared" si="168"/>
        <v>1.6879030837004405</v>
      </c>
      <c r="N1763">
        <f t="shared" si="169"/>
        <v>8.4768584070796464</v>
      </c>
      <c r="O1763">
        <f t="shared" si="170"/>
        <v>9384.23</v>
      </c>
      <c r="P1763">
        <f t="shared" si="171"/>
        <v>0.19911894273127753</v>
      </c>
      <c r="Q1763" t="s">
        <v>4138</v>
      </c>
      <c r="R1763" t="s">
        <v>4138</v>
      </c>
      <c r="S1763">
        <f>YEAR(marketing_data[[#This Row],[Start_date]])</f>
        <v>2023</v>
      </c>
      <c r="T1763" t="str">
        <f>TEXT(marketing_data[[#This Row],[Start_date]],"ddd")</f>
        <v>Wed</v>
      </c>
      <c r="U1763">
        <f>marketing_data[[#This Row],[Cleaned End_date]]-marketing_data[[#This Row],[Start_date]]</f>
        <v>29</v>
      </c>
    </row>
    <row r="1764" spans="1:21" x14ac:dyDescent="0.2">
      <c r="A1764" t="s">
        <v>3634</v>
      </c>
      <c r="B1764" t="s">
        <v>3635</v>
      </c>
      <c r="C1764" s="2">
        <v>45192</v>
      </c>
      <c r="D1764" t="str">
        <f t="shared" si="166"/>
        <v>Sep</v>
      </c>
      <c r="E1764" s="2">
        <v>45207</v>
      </c>
      <c r="F1764" t="s">
        <v>33</v>
      </c>
      <c r="G1764">
        <v>32966</v>
      </c>
      <c r="H1764">
        <v>1568</v>
      </c>
      <c r="I1764">
        <v>191</v>
      </c>
      <c r="J1764" t="b">
        <v>0</v>
      </c>
      <c r="K1764" s="10">
        <v>1730.23</v>
      </c>
      <c r="L1764" s="6">
        <f t="shared" si="167"/>
        <v>4.7564157010252989E-2</v>
      </c>
      <c r="M1764">
        <f t="shared" si="168"/>
        <v>1.1034630102040817</v>
      </c>
      <c r="N1764">
        <f t="shared" si="169"/>
        <v>9.0587958115183245</v>
      </c>
      <c r="O1764">
        <f t="shared" si="170"/>
        <v>7819.77</v>
      </c>
      <c r="P1764">
        <f t="shared" si="171"/>
        <v>0.12181122448979592</v>
      </c>
      <c r="Q1764" t="s">
        <v>4136</v>
      </c>
      <c r="R1764" t="s">
        <v>4142</v>
      </c>
      <c r="S1764">
        <f>YEAR(marketing_data[[#This Row],[Start_date]])</f>
        <v>2023</v>
      </c>
      <c r="T1764" t="str">
        <f>TEXT(marketing_data[[#This Row],[Start_date]],"ddd")</f>
        <v>Sat</v>
      </c>
      <c r="U1764">
        <f>marketing_data[[#This Row],[Cleaned End_date]]-marketing_data[[#This Row],[Start_date]]</f>
        <v>15</v>
      </c>
    </row>
    <row r="1765" spans="1:21" x14ac:dyDescent="0.2">
      <c r="A1765" t="s">
        <v>3636</v>
      </c>
      <c r="B1765" t="s">
        <v>3637</v>
      </c>
      <c r="C1765" s="2">
        <v>44930</v>
      </c>
      <c r="D1765" t="str">
        <f t="shared" si="166"/>
        <v>Jan</v>
      </c>
      <c r="E1765" s="2">
        <v>44939</v>
      </c>
      <c r="F1765" t="s">
        <v>14</v>
      </c>
      <c r="G1765">
        <v>73545</v>
      </c>
      <c r="H1765">
        <v>1384</v>
      </c>
      <c r="I1765">
        <v>226</v>
      </c>
      <c r="J1765" t="b">
        <v>1</v>
      </c>
      <c r="K1765" s="10">
        <v>1574.2</v>
      </c>
      <c r="L1765" s="6">
        <f t="shared" si="167"/>
        <v>1.8818410496974643E-2</v>
      </c>
      <c r="M1765">
        <f t="shared" si="168"/>
        <v>1.1374277456647399</v>
      </c>
      <c r="N1765">
        <f t="shared" si="169"/>
        <v>6.965486725663717</v>
      </c>
      <c r="O1765">
        <f t="shared" si="170"/>
        <v>9725.7999999999993</v>
      </c>
      <c r="P1765">
        <f t="shared" si="171"/>
        <v>0.16329479768786126</v>
      </c>
      <c r="Q1765" t="s">
        <v>4138</v>
      </c>
      <c r="R1765" t="s">
        <v>4138</v>
      </c>
      <c r="S1765">
        <f>YEAR(marketing_data[[#This Row],[Start_date]])</f>
        <v>2023</v>
      </c>
      <c r="T1765" t="str">
        <f>TEXT(marketing_data[[#This Row],[Start_date]],"ddd")</f>
        <v>Wed</v>
      </c>
      <c r="U1765">
        <f>marketing_data[[#This Row],[Cleaned End_date]]-marketing_data[[#This Row],[Start_date]]</f>
        <v>9</v>
      </c>
    </row>
    <row r="1766" spans="1:21" x14ac:dyDescent="0.2">
      <c r="A1766" t="s">
        <v>3638</v>
      </c>
      <c r="B1766" t="s">
        <v>3639</v>
      </c>
      <c r="C1766" s="2">
        <v>45236</v>
      </c>
      <c r="D1766" t="str">
        <f t="shared" si="166"/>
        <v>Nov</v>
      </c>
      <c r="E1766" s="2">
        <v>45266</v>
      </c>
      <c r="F1766" t="s">
        <v>33</v>
      </c>
      <c r="G1766">
        <v>13987</v>
      </c>
      <c r="H1766">
        <v>545</v>
      </c>
      <c r="I1766">
        <v>64</v>
      </c>
      <c r="J1766" t="b">
        <v>0</v>
      </c>
      <c r="K1766" s="10">
        <v>585.51</v>
      </c>
      <c r="L1766" s="6">
        <f t="shared" si="167"/>
        <v>3.8964752984914565E-2</v>
      </c>
      <c r="M1766">
        <f t="shared" si="168"/>
        <v>1.0743302752293578</v>
      </c>
      <c r="N1766">
        <f t="shared" si="169"/>
        <v>9.1485937499999999</v>
      </c>
      <c r="O1766">
        <f t="shared" si="170"/>
        <v>2614.4899999999998</v>
      </c>
      <c r="P1766">
        <f t="shared" si="171"/>
        <v>0.11743119266055047</v>
      </c>
      <c r="Q1766" t="s">
        <v>4136</v>
      </c>
      <c r="R1766" t="s">
        <v>4138</v>
      </c>
      <c r="S1766">
        <f>YEAR(marketing_data[[#This Row],[Start_date]])</f>
        <v>2023</v>
      </c>
      <c r="T1766" t="str">
        <f>TEXT(marketing_data[[#This Row],[Start_date]],"ddd")</f>
        <v>Mon</v>
      </c>
      <c r="U1766">
        <f>marketing_data[[#This Row],[Cleaned End_date]]-marketing_data[[#This Row],[Start_date]]</f>
        <v>30</v>
      </c>
    </row>
    <row r="1767" spans="1:21" x14ac:dyDescent="0.2">
      <c r="A1767" t="s">
        <v>3640</v>
      </c>
      <c r="B1767" t="s">
        <v>3641</v>
      </c>
      <c r="C1767" s="2">
        <v>45280</v>
      </c>
      <c r="D1767" t="str">
        <f t="shared" si="166"/>
        <v>Dec</v>
      </c>
      <c r="E1767" s="2">
        <v>45293</v>
      </c>
      <c r="F1767" t="s">
        <v>41</v>
      </c>
      <c r="G1767">
        <v>38311</v>
      </c>
      <c r="H1767">
        <v>1329</v>
      </c>
      <c r="I1767">
        <v>75</v>
      </c>
      <c r="J1767" t="b">
        <v>1</v>
      </c>
      <c r="K1767" s="10">
        <v>2097.98</v>
      </c>
      <c r="L1767" s="6">
        <f t="shared" si="167"/>
        <v>3.4689775782412363E-2</v>
      </c>
      <c r="M1767">
        <f t="shared" si="168"/>
        <v>1.5786155003762228</v>
      </c>
      <c r="N1767">
        <f t="shared" si="169"/>
        <v>27.973066666666668</v>
      </c>
      <c r="O1767">
        <f t="shared" si="170"/>
        <v>1652.02</v>
      </c>
      <c r="P1767">
        <f t="shared" si="171"/>
        <v>5.6433408577878104E-2</v>
      </c>
      <c r="Q1767" t="s">
        <v>4138</v>
      </c>
      <c r="R1767" t="s">
        <v>4139</v>
      </c>
      <c r="S1767">
        <f>YEAR(marketing_data[[#This Row],[Start_date]])</f>
        <v>2023</v>
      </c>
      <c r="T1767" t="str">
        <f>TEXT(marketing_data[[#This Row],[Start_date]],"ddd")</f>
        <v>Wed</v>
      </c>
      <c r="U1767">
        <f>marketing_data[[#This Row],[Cleaned End_date]]-marketing_data[[#This Row],[Start_date]]</f>
        <v>13</v>
      </c>
    </row>
    <row r="1768" spans="1:21" x14ac:dyDescent="0.2">
      <c r="A1768" t="s">
        <v>3642</v>
      </c>
      <c r="B1768" t="s">
        <v>3643</v>
      </c>
      <c r="C1768" s="2">
        <v>45188</v>
      </c>
      <c r="D1768" t="str">
        <f t="shared" si="166"/>
        <v>Sep</v>
      </c>
      <c r="E1768" s="2">
        <v>45203</v>
      </c>
      <c r="F1768" t="s">
        <v>23</v>
      </c>
      <c r="G1768">
        <v>32575</v>
      </c>
      <c r="H1768">
        <v>1289</v>
      </c>
      <c r="I1768">
        <v>124</v>
      </c>
      <c r="J1768" t="b">
        <v>1</v>
      </c>
      <c r="K1768" s="10">
        <v>1703.13</v>
      </c>
      <c r="L1768" s="6">
        <f t="shared" si="167"/>
        <v>3.9570222563315424E-2</v>
      </c>
      <c r="M1768">
        <f t="shared" si="168"/>
        <v>1.3212800620636154</v>
      </c>
      <c r="N1768">
        <f t="shared" si="169"/>
        <v>13.734919354838711</v>
      </c>
      <c r="O1768">
        <f t="shared" si="170"/>
        <v>4496.87</v>
      </c>
      <c r="P1768">
        <f t="shared" si="171"/>
        <v>9.6198603568657878E-2</v>
      </c>
      <c r="Q1768" t="s">
        <v>4136</v>
      </c>
      <c r="R1768" t="s">
        <v>4138</v>
      </c>
      <c r="S1768">
        <f>YEAR(marketing_data[[#This Row],[Start_date]])</f>
        <v>2023</v>
      </c>
      <c r="T1768" t="str">
        <f>TEXT(marketing_data[[#This Row],[Start_date]],"ddd")</f>
        <v>Tue</v>
      </c>
      <c r="U1768">
        <f>marketing_data[[#This Row],[Cleaned End_date]]-marketing_data[[#This Row],[Start_date]]</f>
        <v>15</v>
      </c>
    </row>
    <row r="1769" spans="1:21" x14ac:dyDescent="0.2">
      <c r="A1769" t="s">
        <v>3644</v>
      </c>
      <c r="B1769" t="s">
        <v>3645</v>
      </c>
      <c r="C1769" s="2">
        <v>45006</v>
      </c>
      <c r="D1769" t="str">
        <f t="shared" si="166"/>
        <v>Mar</v>
      </c>
      <c r="E1769" s="2">
        <v>45036</v>
      </c>
      <c r="F1769" t="s">
        <v>14</v>
      </c>
      <c r="G1769">
        <v>64852</v>
      </c>
      <c r="H1769">
        <v>1205</v>
      </c>
      <c r="I1769">
        <v>118</v>
      </c>
      <c r="J1769" t="b">
        <v>1</v>
      </c>
      <c r="K1769" s="10">
        <v>2308.38</v>
      </c>
      <c r="L1769" s="6">
        <f t="shared" si="167"/>
        <v>1.8580768519089619E-2</v>
      </c>
      <c r="M1769">
        <f t="shared" si="168"/>
        <v>1.9156680497925311</v>
      </c>
      <c r="N1769">
        <f t="shared" si="169"/>
        <v>19.562542372881357</v>
      </c>
      <c r="O1769">
        <f t="shared" si="170"/>
        <v>3591.62</v>
      </c>
      <c r="P1769">
        <f t="shared" si="171"/>
        <v>9.7925311203319501E-2</v>
      </c>
      <c r="Q1769" t="s">
        <v>4137</v>
      </c>
      <c r="R1769" t="s">
        <v>4142</v>
      </c>
      <c r="S1769">
        <f>YEAR(marketing_data[[#This Row],[Start_date]])</f>
        <v>2023</v>
      </c>
      <c r="T1769" t="str">
        <f>TEXT(marketing_data[[#This Row],[Start_date]],"ddd")</f>
        <v>Tue</v>
      </c>
      <c r="U1769">
        <f>marketing_data[[#This Row],[Cleaned End_date]]-marketing_data[[#This Row],[Start_date]]</f>
        <v>30</v>
      </c>
    </row>
    <row r="1770" spans="1:21" x14ac:dyDescent="0.2">
      <c r="A1770" t="s">
        <v>3646</v>
      </c>
      <c r="B1770" t="s">
        <v>3647</v>
      </c>
      <c r="C1770" s="2">
        <v>45162</v>
      </c>
      <c r="D1770" t="str">
        <f t="shared" si="166"/>
        <v>Aug</v>
      </c>
      <c r="E1770" s="2">
        <v>45177</v>
      </c>
      <c r="F1770" t="s">
        <v>33</v>
      </c>
      <c r="G1770">
        <v>2007</v>
      </c>
      <c r="H1770">
        <v>73</v>
      </c>
      <c r="I1770">
        <v>12</v>
      </c>
      <c r="J1770" t="b">
        <v>0</v>
      </c>
      <c r="K1770" s="10">
        <v>329.13249999999999</v>
      </c>
      <c r="L1770" s="6">
        <f t="shared" si="167"/>
        <v>3.6372695565520675E-2</v>
      </c>
      <c r="M1770">
        <f t="shared" si="168"/>
        <v>4.5086643835616433</v>
      </c>
      <c r="N1770">
        <f t="shared" si="169"/>
        <v>27.427708333333332</v>
      </c>
      <c r="O1770">
        <f t="shared" si="170"/>
        <v>270.86750000000001</v>
      </c>
      <c r="P1770">
        <f t="shared" si="171"/>
        <v>0.16438356164383561</v>
      </c>
      <c r="Q1770" t="s">
        <v>4139</v>
      </c>
      <c r="R1770" t="s">
        <v>4138</v>
      </c>
      <c r="S1770">
        <f>YEAR(marketing_data[[#This Row],[Start_date]])</f>
        <v>2023</v>
      </c>
      <c r="T1770" t="str">
        <f>TEXT(marketing_data[[#This Row],[Start_date]],"ddd")</f>
        <v>Thu</v>
      </c>
      <c r="U1770">
        <f>marketing_data[[#This Row],[Cleaned End_date]]-marketing_data[[#This Row],[Start_date]]</f>
        <v>15</v>
      </c>
    </row>
    <row r="1771" spans="1:21" x14ac:dyDescent="0.2">
      <c r="A1771" t="s">
        <v>3648</v>
      </c>
      <c r="B1771" t="s">
        <v>3649</v>
      </c>
      <c r="C1771" s="2">
        <v>45114</v>
      </c>
      <c r="D1771" t="str">
        <f t="shared" si="166"/>
        <v>Jul</v>
      </c>
      <c r="E1771" s="2">
        <v>45126</v>
      </c>
      <c r="F1771" t="s">
        <v>19</v>
      </c>
      <c r="G1771">
        <v>71981</v>
      </c>
      <c r="H1771">
        <v>2153</v>
      </c>
      <c r="I1771">
        <v>318</v>
      </c>
      <c r="J1771" t="b">
        <v>1</v>
      </c>
      <c r="K1771" s="10">
        <v>1401.27</v>
      </c>
      <c r="L1771" s="6">
        <f t="shared" si="167"/>
        <v>2.9910670871479975E-2</v>
      </c>
      <c r="M1771">
        <f t="shared" si="168"/>
        <v>0.65084533209475148</v>
      </c>
      <c r="N1771">
        <f t="shared" si="169"/>
        <v>4.4065094339622641</v>
      </c>
      <c r="O1771">
        <f t="shared" si="170"/>
        <v>14498.73</v>
      </c>
      <c r="P1771">
        <f t="shared" si="171"/>
        <v>0.14770088248954946</v>
      </c>
      <c r="Q1771" t="s">
        <v>4139</v>
      </c>
      <c r="R1771" t="s">
        <v>4138</v>
      </c>
      <c r="S1771">
        <f>YEAR(marketing_data[[#This Row],[Start_date]])</f>
        <v>2023</v>
      </c>
      <c r="T1771" t="str">
        <f>TEXT(marketing_data[[#This Row],[Start_date]],"ddd")</f>
        <v>Fri</v>
      </c>
      <c r="U1771">
        <f>marketing_data[[#This Row],[Cleaned End_date]]-marketing_data[[#This Row],[Start_date]]</f>
        <v>12</v>
      </c>
    </row>
    <row r="1772" spans="1:21" x14ac:dyDescent="0.2">
      <c r="A1772" t="s">
        <v>3650</v>
      </c>
      <c r="B1772" t="s">
        <v>3651</v>
      </c>
      <c r="C1772" s="2">
        <v>45058</v>
      </c>
      <c r="D1772" t="str">
        <f t="shared" si="166"/>
        <v>May</v>
      </c>
      <c r="E1772" s="2">
        <v>45294</v>
      </c>
      <c r="F1772" t="s">
        <v>14</v>
      </c>
      <c r="G1772">
        <v>77242</v>
      </c>
      <c r="H1772">
        <v>3067</v>
      </c>
      <c r="I1772">
        <v>280</v>
      </c>
      <c r="J1772" t="b">
        <v>1</v>
      </c>
      <c r="K1772" s="10">
        <v>3342.7</v>
      </c>
      <c r="L1772" s="6">
        <f t="shared" si="167"/>
        <v>3.9706377359467644E-2</v>
      </c>
      <c r="M1772">
        <f t="shared" si="168"/>
        <v>1.0898924029996739</v>
      </c>
      <c r="N1772">
        <f t="shared" si="169"/>
        <v>11.938214285714285</v>
      </c>
      <c r="O1772">
        <f t="shared" si="170"/>
        <v>10657.3</v>
      </c>
      <c r="P1772">
        <f t="shared" si="171"/>
        <v>9.1294424519074019E-2</v>
      </c>
      <c r="Q1772" t="s">
        <v>4137</v>
      </c>
      <c r="R1772" t="s">
        <v>4138</v>
      </c>
      <c r="S1772">
        <f>YEAR(marketing_data[[#This Row],[Start_date]])</f>
        <v>2023</v>
      </c>
      <c r="T1772" t="str">
        <f>TEXT(marketing_data[[#This Row],[Start_date]],"ddd")</f>
        <v>Fri</v>
      </c>
      <c r="U1772">
        <f>marketing_data[[#This Row],[Cleaned End_date]]-marketing_data[[#This Row],[Start_date]]</f>
        <v>236</v>
      </c>
    </row>
    <row r="1773" spans="1:21" x14ac:dyDescent="0.2">
      <c r="A1773" t="s">
        <v>3652</v>
      </c>
      <c r="B1773" t="s">
        <v>3653</v>
      </c>
      <c r="C1773" s="2">
        <v>45131</v>
      </c>
      <c r="D1773" t="str">
        <f t="shared" si="166"/>
        <v>Jul</v>
      </c>
      <c r="E1773" s="2">
        <v>45138</v>
      </c>
      <c r="F1773" t="s">
        <v>19</v>
      </c>
      <c r="G1773">
        <v>48517</v>
      </c>
      <c r="H1773">
        <v>1119</v>
      </c>
      <c r="J1773" t="b">
        <v>0</v>
      </c>
      <c r="K1773" s="10">
        <v>1594.65</v>
      </c>
      <c r="L1773" s="6">
        <f t="shared" si="167"/>
        <v>2.3064080631531217E-2</v>
      </c>
      <c r="M1773">
        <f t="shared" si="168"/>
        <v>1.4250670241286865</v>
      </c>
      <c r="N1773">
        <f t="shared" si="169"/>
        <v>0</v>
      </c>
      <c r="O1773">
        <f t="shared" si="170"/>
        <v>-1594.65</v>
      </c>
      <c r="P1773">
        <f t="shared" si="171"/>
        <v>0</v>
      </c>
      <c r="Q1773" t="s">
        <v>4139</v>
      </c>
      <c r="R1773" t="s">
        <v>4141</v>
      </c>
      <c r="S1773">
        <f>YEAR(marketing_data[[#This Row],[Start_date]])</f>
        <v>2023</v>
      </c>
      <c r="T1773" t="str">
        <f>TEXT(marketing_data[[#This Row],[Start_date]],"ddd")</f>
        <v>Mon</v>
      </c>
      <c r="U1773">
        <f>marketing_data[[#This Row],[Cleaned End_date]]-marketing_data[[#This Row],[Start_date]]</f>
        <v>7</v>
      </c>
    </row>
    <row r="1774" spans="1:21" x14ac:dyDescent="0.2">
      <c r="A1774" t="s">
        <v>3654</v>
      </c>
      <c r="B1774" t="s">
        <v>3655</v>
      </c>
      <c r="C1774" s="2">
        <v>44966</v>
      </c>
      <c r="D1774" t="str">
        <f t="shared" si="166"/>
        <v>Feb</v>
      </c>
      <c r="E1774" s="2">
        <v>44981</v>
      </c>
      <c r="F1774" t="s">
        <v>19</v>
      </c>
      <c r="G1774">
        <v>30257</v>
      </c>
      <c r="H1774">
        <v>1379</v>
      </c>
      <c r="J1774" t="b">
        <v>1</v>
      </c>
      <c r="K1774" s="10">
        <v>2470.06</v>
      </c>
      <c r="L1774" s="6">
        <f t="shared" si="167"/>
        <v>4.5576230293816307E-2</v>
      </c>
      <c r="M1774">
        <f t="shared" si="168"/>
        <v>1.7911965192168238</v>
      </c>
      <c r="N1774">
        <f t="shared" si="169"/>
        <v>0</v>
      </c>
      <c r="O1774">
        <f t="shared" si="170"/>
        <v>-2470.06</v>
      </c>
      <c r="P1774">
        <f t="shared" si="171"/>
        <v>0</v>
      </c>
      <c r="Q1774" t="s">
        <v>4138</v>
      </c>
      <c r="R1774" t="s">
        <v>4138</v>
      </c>
      <c r="S1774">
        <f>YEAR(marketing_data[[#This Row],[Start_date]])</f>
        <v>2023</v>
      </c>
      <c r="T1774" t="str">
        <f>TEXT(marketing_data[[#This Row],[Start_date]],"ddd")</f>
        <v>Thu</v>
      </c>
      <c r="U1774">
        <f>marketing_data[[#This Row],[Cleaned End_date]]-marketing_data[[#This Row],[Start_date]]</f>
        <v>15</v>
      </c>
    </row>
    <row r="1775" spans="1:21" x14ac:dyDescent="0.2">
      <c r="A1775" t="s">
        <v>3656</v>
      </c>
      <c r="B1775" t="s">
        <v>3657</v>
      </c>
      <c r="C1775" s="2">
        <v>45015</v>
      </c>
      <c r="D1775" t="str">
        <f t="shared" si="166"/>
        <v>Mar</v>
      </c>
      <c r="E1775" s="2">
        <v>45020</v>
      </c>
      <c r="F1775" t="s">
        <v>19</v>
      </c>
      <c r="G1775">
        <v>88272</v>
      </c>
      <c r="H1775">
        <v>1180</v>
      </c>
      <c r="I1775">
        <v>235</v>
      </c>
      <c r="J1775" t="b">
        <v>1</v>
      </c>
      <c r="K1775" s="10">
        <v>1202.77</v>
      </c>
      <c r="L1775" s="6">
        <f t="shared" si="167"/>
        <v>1.3367772340039876E-2</v>
      </c>
      <c r="M1775">
        <f t="shared" si="168"/>
        <v>1.0192966101694916</v>
      </c>
      <c r="N1775">
        <f t="shared" si="169"/>
        <v>5.118170212765957</v>
      </c>
      <c r="O1775">
        <f t="shared" si="170"/>
        <v>10547.23</v>
      </c>
      <c r="P1775">
        <f t="shared" si="171"/>
        <v>0.19915254237288135</v>
      </c>
      <c r="Q1775" t="s">
        <v>4137</v>
      </c>
      <c r="R1775" t="s">
        <v>4138</v>
      </c>
      <c r="S1775">
        <f>YEAR(marketing_data[[#This Row],[Start_date]])</f>
        <v>2023</v>
      </c>
      <c r="T1775" t="str">
        <f>TEXT(marketing_data[[#This Row],[Start_date]],"ddd")</f>
        <v>Thu</v>
      </c>
      <c r="U1775">
        <f>marketing_data[[#This Row],[Cleaned End_date]]-marketing_data[[#This Row],[Start_date]]</f>
        <v>5</v>
      </c>
    </row>
    <row r="1776" spans="1:21" x14ac:dyDescent="0.2">
      <c r="A1776" t="s">
        <v>3658</v>
      </c>
      <c r="B1776" t="s">
        <v>3659</v>
      </c>
      <c r="C1776" s="2">
        <v>45286</v>
      </c>
      <c r="D1776" t="str">
        <f t="shared" si="166"/>
        <v>Dec</v>
      </c>
      <c r="E1776" s="2">
        <v>45300</v>
      </c>
      <c r="F1776" t="s">
        <v>19</v>
      </c>
      <c r="G1776">
        <v>43207</v>
      </c>
      <c r="H1776">
        <v>1827</v>
      </c>
      <c r="I1776">
        <v>364</v>
      </c>
      <c r="J1776" t="b">
        <v>1</v>
      </c>
      <c r="K1776" s="10">
        <v>2705.2</v>
      </c>
      <c r="L1776" s="6">
        <f t="shared" si="167"/>
        <v>4.2284814960538798E-2</v>
      </c>
      <c r="M1776">
        <f t="shared" si="168"/>
        <v>1.4806787082649151</v>
      </c>
      <c r="N1776">
        <f t="shared" si="169"/>
        <v>7.4318681318681312</v>
      </c>
      <c r="O1776">
        <f t="shared" si="170"/>
        <v>15494.8</v>
      </c>
      <c r="P1776">
        <f t="shared" si="171"/>
        <v>0.19923371647509577</v>
      </c>
      <c r="Q1776" t="s">
        <v>4138</v>
      </c>
      <c r="R1776" t="s">
        <v>4141</v>
      </c>
      <c r="S1776">
        <f>YEAR(marketing_data[[#This Row],[Start_date]])</f>
        <v>2023</v>
      </c>
      <c r="T1776" t="str">
        <f>TEXT(marketing_data[[#This Row],[Start_date]],"ddd")</f>
        <v>Tue</v>
      </c>
      <c r="U1776">
        <f>marketing_data[[#This Row],[Cleaned End_date]]-marketing_data[[#This Row],[Start_date]]</f>
        <v>14</v>
      </c>
    </row>
    <row r="1777" spans="1:21" x14ac:dyDescent="0.2">
      <c r="A1777" t="s">
        <v>3660</v>
      </c>
      <c r="B1777" t="s">
        <v>3661</v>
      </c>
      <c r="C1777" s="2">
        <v>45231</v>
      </c>
      <c r="D1777" t="str">
        <f t="shared" si="166"/>
        <v>Nov</v>
      </c>
      <c r="E1777" s="2">
        <v>45261</v>
      </c>
      <c r="F1777" t="s">
        <v>41</v>
      </c>
      <c r="G1777">
        <v>14281</v>
      </c>
      <c r="H1777">
        <v>634</v>
      </c>
      <c r="I1777">
        <v>49</v>
      </c>
      <c r="J1777" t="b">
        <v>1</v>
      </c>
      <c r="K1777" s="10">
        <v>650.04</v>
      </c>
      <c r="L1777" s="6">
        <f t="shared" si="167"/>
        <v>4.4394650234577414E-2</v>
      </c>
      <c r="M1777">
        <f t="shared" si="168"/>
        <v>1.0252996845425868</v>
      </c>
      <c r="N1777">
        <f t="shared" si="169"/>
        <v>13.266122448979591</v>
      </c>
      <c r="O1777">
        <f t="shared" si="170"/>
        <v>1799.96</v>
      </c>
      <c r="P1777">
        <f t="shared" si="171"/>
        <v>7.7287066246056788E-2</v>
      </c>
      <c r="Q1777" t="s">
        <v>4136</v>
      </c>
      <c r="R1777" t="s">
        <v>4138</v>
      </c>
      <c r="S1777">
        <f>YEAR(marketing_data[[#This Row],[Start_date]])</f>
        <v>2023</v>
      </c>
      <c r="T1777" t="str">
        <f>TEXT(marketing_data[[#This Row],[Start_date]],"ddd")</f>
        <v>Wed</v>
      </c>
      <c r="U1777">
        <f>marketing_data[[#This Row],[Cleaned End_date]]-marketing_data[[#This Row],[Start_date]]</f>
        <v>30</v>
      </c>
    </row>
    <row r="1778" spans="1:21" x14ac:dyDescent="0.2">
      <c r="A1778" t="s">
        <v>3662</v>
      </c>
      <c r="B1778" t="s">
        <v>3663</v>
      </c>
      <c r="C1778" s="2">
        <v>45222</v>
      </c>
      <c r="D1778" t="str">
        <f t="shared" si="166"/>
        <v>Oct</v>
      </c>
      <c r="E1778" s="2">
        <v>45230</v>
      </c>
      <c r="F1778" t="s">
        <v>14</v>
      </c>
      <c r="G1778">
        <v>62246</v>
      </c>
      <c r="H1778">
        <v>2657</v>
      </c>
      <c r="I1778">
        <v>257</v>
      </c>
      <c r="J1778" t="b">
        <v>0</v>
      </c>
      <c r="K1778" s="10">
        <v>3631.7599999999998</v>
      </c>
      <c r="L1778" s="6">
        <f t="shared" si="167"/>
        <v>4.2685473765382516E-2</v>
      </c>
      <c r="M1778">
        <f t="shared" si="168"/>
        <v>1.3668648852088821</v>
      </c>
      <c r="N1778">
        <f t="shared" si="169"/>
        <v>14.13136186770428</v>
      </c>
      <c r="O1778">
        <f t="shared" si="170"/>
        <v>9218.24</v>
      </c>
      <c r="P1778">
        <f t="shared" si="171"/>
        <v>9.6725630410237115E-2</v>
      </c>
      <c r="Q1778" t="s">
        <v>4136</v>
      </c>
      <c r="R1778" t="s">
        <v>4141</v>
      </c>
      <c r="S1778">
        <f>YEAR(marketing_data[[#This Row],[Start_date]])</f>
        <v>2023</v>
      </c>
      <c r="T1778" t="str">
        <f>TEXT(marketing_data[[#This Row],[Start_date]],"ddd")</f>
        <v>Mon</v>
      </c>
      <c r="U1778">
        <f>marketing_data[[#This Row],[Cleaned End_date]]-marketing_data[[#This Row],[Start_date]]</f>
        <v>8</v>
      </c>
    </row>
    <row r="1779" spans="1:21" x14ac:dyDescent="0.2">
      <c r="A1779" t="s">
        <v>3664</v>
      </c>
      <c r="B1779" t="s">
        <v>3665</v>
      </c>
      <c r="C1779" s="2">
        <v>45098</v>
      </c>
      <c r="D1779" t="str">
        <f t="shared" si="166"/>
        <v>Jun</v>
      </c>
      <c r="E1779" s="2">
        <v>45103</v>
      </c>
      <c r="F1779" t="s">
        <v>19</v>
      </c>
      <c r="G1779">
        <v>2435</v>
      </c>
      <c r="H1779">
        <v>74</v>
      </c>
      <c r="I1779">
        <v>9</v>
      </c>
      <c r="J1779" t="b">
        <v>0</v>
      </c>
      <c r="K1779" s="10">
        <v>329.13249999999999</v>
      </c>
      <c r="L1779" s="6">
        <f t="shared" si="167"/>
        <v>3.0390143737166326E-2</v>
      </c>
      <c r="M1779">
        <f t="shared" si="168"/>
        <v>4.4477364864864866</v>
      </c>
      <c r="N1779">
        <f t="shared" si="169"/>
        <v>36.570277777777775</v>
      </c>
      <c r="O1779">
        <f t="shared" si="170"/>
        <v>120.86750000000001</v>
      </c>
      <c r="P1779">
        <f t="shared" si="171"/>
        <v>0.12162162162162163</v>
      </c>
      <c r="Q1779" t="s">
        <v>4139</v>
      </c>
      <c r="R1779" t="s">
        <v>4141</v>
      </c>
      <c r="S1779">
        <f>YEAR(marketing_data[[#This Row],[Start_date]])</f>
        <v>2023</v>
      </c>
      <c r="T1779" t="str">
        <f>TEXT(marketing_data[[#This Row],[Start_date]],"ddd")</f>
        <v>Wed</v>
      </c>
      <c r="U1779">
        <f>marketing_data[[#This Row],[Cleaned End_date]]-marketing_data[[#This Row],[Start_date]]</f>
        <v>5</v>
      </c>
    </row>
    <row r="1780" spans="1:21" x14ac:dyDescent="0.2">
      <c r="A1780" t="s">
        <v>3666</v>
      </c>
      <c r="B1780" t="s">
        <v>3667</v>
      </c>
      <c r="C1780" s="2">
        <v>45140</v>
      </c>
      <c r="D1780" t="str">
        <f t="shared" si="166"/>
        <v>Aug</v>
      </c>
      <c r="E1780" s="2">
        <v>45169</v>
      </c>
      <c r="F1780" t="s">
        <v>14</v>
      </c>
      <c r="G1780">
        <v>99875</v>
      </c>
      <c r="H1780">
        <v>2750</v>
      </c>
      <c r="J1780" t="b">
        <v>1</v>
      </c>
      <c r="K1780" s="10">
        <v>2329.35</v>
      </c>
      <c r="L1780" s="6">
        <f t="shared" si="167"/>
        <v>2.7534418022528161E-2</v>
      </c>
      <c r="M1780">
        <f t="shared" si="168"/>
        <v>0.84703636363636359</v>
      </c>
      <c r="N1780">
        <f t="shared" si="169"/>
        <v>0</v>
      </c>
      <c r="O1780">
        <f t="shared" si="170"/>
        <v>-2329.35</v>
      </c>
      <c r="P1780">
        <f t="shared" si="171"/>
        <v>0</v>
      </c>
      <c r="Q1780" t="s">
        <v>4139</v>
      </c>
      <c r="R1780" t="s">
        <v>4141</v>
      </c>
      <c r="S1780">
        <f>YEAR(marketing_data[[#This Row],[Start_date]])</f>
        <v>2023</v>
      </c>
      <c r="T1780" t="str">
        <f>TEXT(marketing_data[[#This Row],[Start_date]],"ddd")</f>
        <v>Wed</v>
      </c>
      <c r="U1780">
        <f>marketing_data[[#This Row],[Cleaned End_date]]-marketing_data[[#This Row],[Start_date]]</f>
        <v>29</v>
      </c>
    </row>
    <row r="1781" spans="1:21" x14ac:dyDescent="0.2">
      <c r="A1781" t="s">
        <v>3668</v>
      </c>
      <c r="B1781" t="s">
        <v>3669</v>
      </c>
      <c r="C1781" s="2">
        <v>45043</v>
      </c>
      <c r="D1781" t="str">
        <f t="shared" si="166"/>
        <v>Apr</v>
      </c>
      <c r="E1781" s="2">
        <v>45064</v>
      </c>
      <c r="F1781" t="str">
        <f>F1780</f>
        <v>TikTok</v>
      </c>
      <c r="G1781">
        <v>92357</v>
      </c>
      <c r="H1781">
        <v>4604</v>
      </c>
      <c r="I1781">
        <v>594</v>
      </c>
      <c r="J1781" t="b">
        <v>1</v>
      </c>
      <c r="K1781" s="10">
        <v>3631.7599999999998</v>
      </c>
      <c r="L1781" s="6">
        <f t="shared" si="167"/>
        <v>4.9850038437801142E-2</v>
      </c>
      <c r="M1781">
        <f t="shared" si="168"/>
        <v>0.78882710686359681</v>
      </c>
      <c r="N1781">
        <f t="shared" si="169"/>
        <v>6.1140740740740736</v>
      </c>
      <c r="O1781">
        <f t="shared" si="170"/>
        <v>26068.240000000002</v>
      </c>
      <c r="P1781">
        <f t="shared" si="171"/>
        <v>0.12901824500434406</v>
      </c>
      <c r="Q1781" t="s">
        <v>4137</v>
      </c>
      <c r="R1781" t="s">
        <v>4138</v>
      </c>
      <c r="S1781">
        <f>YEAR(marketing_data[[#This Row],[Start_date]])</f>
        <v>2023</v>
      </c>
      <c r="T1781" t="str">
        <f>TEXT(marketing_data[[#This Row],[Start_date]],"ddd")</f>
        <v>Thu</v>
      </c>
      <c r="U1781">
        <f>marketing_data[[#This Row],[Cleaned End_date]]-marketing_data[[#This Row],[Start_date]]</f>
        <v>21</v>
      </c>
    </row>
    <row r="1782" spans="1:21" x14ac:dyDescent="0.2">
      <c r="A1782" t="s">
        <v>3670</v>
      </c>
      <c r="B1782" t="s">
        <v>3671</v>
      </c>
      <c r="C1782" s="2">
        <v>44932</v>
      </c>
      <c r="D1782" t="str">
        <f t="shared" si="166"/>
        <v>Jan</v>
      </c>
      <c r="E1782" s="2">
        <v>44962</v>
      </c>
      <c r="F1782" t="s">
        <v>23</v>
      </c>
      <c r="G1782">
        <v>27660</v>
      </c>
      <c r="H1782">
        <v>530</v>
      </c>
      <c r="I1782">
        <v>103</v>
      </c>
      <c r="J1782" t="b">
        <v>0</v>
      </c>
      <c r="K1782" s="10">
        <v>1054.6500000000001</v>
      </c>
      <c r="L1782" s="6">
        <f t="shared" si="167"/>
        <v>1.9161243673174257E-2</v>
      </c>
      <c r="M1782">
        <f t="shared" si="168"/>
        <v>1.9899056603773586</v>
      </c>
      <c r="N1782">
        <f t="shared" si="169"/>
        <v>10.239320388349515</v>
      </c>
      <c r="O1782">
        <f t="shared" si="170"/>
        <v>4095.35</v>
      </c>
      <c r="P1782">
        <f t="shared" si="171"/>
        <v>0.19433962264150945</v>
      </c>
      <c r="Q1782" t="s">
        <v>4138</v>
      </c>
      <c r="R1782" t="s">
        <v>4142</v>
      </c>
      <c r="S1782">
        <f>YEAR(marketing_data[[#This Row],[Start_date]])</f>
        <v>2023</v>
      </c>
      <c r="T1782" t="str">
        <f>TEXT(marketing_data[[#This Row],[Start_date]],"ddd")</f>
        <v>Fri</v>
      </c>
      <c r="U1782">
        <f>marketing_data[[#This Row],[Cleaned End_date]]-marketing_data[[#This Row],[Start_date]]</f>
        <v>30</v>
      </c>
    </row>
    <row r="1783" spans="1:21" x14ac:dyDescent="0.2">
      <c r="A1783" t="s">
        <v>3672</v>
      </c>
      <c r="B1783" t="s">
        <v>3673</v>
      </c>
      <c r="C1783" s="2">
        <v>44954</v>
      </c>
      <c r="D1783" t="str">
        <f t="shared" si="166"/>
        <v>Jan</v>
      </c>
      <c r="E1783" s="2">
        <v>44958</v>
      </c>
      <c r="F1783" t="s">
        <v>23</v>
      </c>
      <c r="G1783">
        <v>6084</v>
      </c>
      <c r="H1783">
        <v>193</v>
      </c>
      <c r="J1783" t="b">
        <v>0</v>
      </c>
      <c r="K1783" s="10">
        <v>3631.7599999999998</v>
      </c>
      <c r="L1783" s="6">
        <f t="shared" si="167"/>
        <v>3.1722550953320182E-2</v>
      </c>
      <c r="M1783">
        <f t="shared" si="168"/>
        <v>18.817409326424869</v>
      </c>
      <c r="N1783">
        <f t="shared" si="169"/>
        <v>0</v>
      </c>
      <c r="O1783">
        <f t="shared" si="170"/>
        <v>-3631.7599999999998</v>
      </c>
      <c r="P1783">
        <f t="shared" si="171"/>
        <v>0</v>
      </c>
      <c r="Q1783" t="s">
        <v>4138</v>
      </c>
      <c r="R1783" t="s">
        <v>4141</v>
      </c>
      <c r="S1783">
        <f>YEAR(marketing_data[[#This Row],[Start_date]])</f>
        <v>2023</v>
      </c>
      <c r="T1783" t="str">
        <f>TEXT(marketing_data[[#This Row],[Start_date]],"ddd")</f>
        <v>Sat</v>
      </c>
      <c r="U1783">
        <f>marketing_data[[#This Row],[Cleaned End_date]]-marketing_data[[#This Row],[Start_date]]</f>
        <v>4</v>
      </c>
    </row>
    <row r="1784" spans="1:21" x14ac:dyDescent="0.2">
      <c r="A1784" t="s">
        <v>3674</v>
      </c>
      <c r="B1784" t="s">
        <v>3675</v>
      </c>
      <c r="C1784" s="2">
        <v>45203</v>
      </c>
      <c r="D1784" t="str">
        <f t="shared" si="166"/>
        <v>Oct</v>
      </c>
      <c r="E1784" s="2">
        <v>45213</v>
      </c>
      <c r="F1784" t="s">
        <v>14</v>
      </c>
      <c r="G1784">
        <v>83197</v>
      </c>
      <c r="H1784">
        <v>3063</v>
      </c>
      <c r="I1784">
        <v>250</v>
      </c>
      <c r="J1784" t="b">
        <v>0</v>
      </c>
      <c r="K1784" s="10">
        <v>3631.7599999999998</v>
      </c>
      <c r="L1784" s="6">
        <f t="shared" si="167"/>
        <v>3.6816231354495958E-2</v>
      </c>
      <c r="M1784">
        <f t="shared" si="168"/>
        <v>1.1856872347371856</v>
      </c>
      <c r="N1784">
        <f t="shared" si="169"/>
        <v>14.52704</v>
      </c>
      <c r="O1784">
        <f t="shared" si="170"/>
        <v>8868.24</v>
      </c>
      <c r="P1784">
        <f t="shared" si="171"/>
        <v>8.1619327456741761E-2</v>
      </c>
      <c r="Q1784" t="s">
        <v>4136</v>
      </c>
      <c r="R1784" t="s">
        <v>4141</v>
      </c>
      <c r="S1784">
        <f>YEAR(marketing_data[[#This Row],[Start_date]])</f>
        <v>2023</v>
      </c>
      <c r="T1784" t="str">
        <f>TEXT(marketing_data[[#This Row],[Start_date]],"ddd")</f>
        <v>Wed</v>
      </c>
      <c r="U1784">
        <f>marketing_data[[#This Row],[Cleaned End_date]]-marketing_data[[#This Row],[Start_date]]</f>
        <v>10</v>
      </c>
    </row>
    <row r="1785" spans="1:21" x14ac:dyDescent="0.2">
      <c r="A1785" t="s">
        <v>3676</v>
      </c>
      <c r="B1785" t="s">
        <v>3677</v>
      </c>
      <c r="C1785" s="2">
        <v>45284</v>
      </c>
      <c r="D1785" t="str">
        <f t="shared" si="166"/>
        <v>Dec</v>
      </c>
      <c r="E1785" s="2">
        <v>45296</v>
      </c>
      <c r="F1785" t="s">
        <v>33</v>
      </c>
      <c r="G1785">
        <v>14507</v>
      </c>
      <c r="H1785">
        <v>551</v>
      </c>
      <c r="I1785">
        <v>36</v>
      </c>
      <c r="J1785" t="b">
        <v>1</v>
      </c>
      <c r="K1785" s="10">
        <v>702.49</v>
      </c>
      <c r="L1785" s="6">
        <f t="shared" si="167"/>
        <v>3.7981664024264152E-2</v>
      </c>
      <c r="M1785">
        <f t="shared" si="168"/>
        <v>1.2749364791288567</v>
      </c>
      <c r="N1785">
        <f t="shared" si="169"/>
        <v>19.513611111111111</v>
      </c>
      <c r="O1785">
        <f t="shared" si="170"/>
        <v>1097.51</v>
      </c>
      <c r="P1785">
        <f t="shared" si="171"/>
        <v>6.5335753176043551E-2</v>
      </c>
      <c r="Q1785" t="s">
        <v>4138</v>
      </c>
      <c r="R1785" t="s">
        <v>4138</v>
      </c>
      <c r="S1785">
        <f>YEAR(marketing_data[[#This Row],[Start_date]])</f>
        <v>2023</v>
      </c>
      <c r="T1785" t="str">
        <f>TEXT(marketing_data[[#This Row],[Start_date]],"ddd")</f>
        <v>Sun</v>
      </c>
      <c r="U1785">
        <f>marketing_data[[#This Row],[Cleaned End_date]]-marketing_data[[#This Row],[Start_date]]</f>
        <v>12</v>
      </c>
    </row>
    <row r="1786" spans="1:21" x14ac:dyDescent="0.2">
      <c r="A1786" t="s">
        <v>3678</v>
      </c>
      <c r="B1786" t="s">
        <v>3679</v>
      </c>
      <c r="C1786" s="2">
        <v>45128</v>
      </c>
      <c r="D1786" t="str">
        <f t="shared" si="166"/>
        <v>Jul</v>
      </c>
      <c r="E1786" s="2">
        <v>45130</v>
      </c>
      <c r="F1786" t="s">
        <v>19</v>
      </c>
      <c r="G1786">
        <v>73595</v>
      </c>
      <c r="H1786">
        <v>1336</v>
      </c>
      <c r="I1786">
        <v>204</v>
      </c>
      <c r="J1786" t="b">
        <v>0</v>
      </c>
      <c r="K1786" s="10">
        <v>1238.3399999999999</v>
      </c>
      <c r="L1786" s="6">
        <f t="shared" si="167"/>
        <v>1.8153407160812554E-2</v>
      </c>
      <c r="M1786">
        <f t="shared" si="168"/>
        <v>0.92690119760479039</v>
      </c>
      <c r="N1786">
        <f t="shared" si="169"/>
        <v>6.0702941176470588</v>
      </c>
      <c r="O1786">
        <f t="shared" si="170"/>
        <v>8961.66</v>
      </c>
      <c r="P1786">
        <f t="shared" si="171"/>
        <v>0.15269461077844312</v>
      </c>
      <c r="Q1786" t="s">
        <v>4139</v>
      </c>
      <c r="R1786" t="s">
        <v>4139</v>
      </c>
      <c r="S1786">
        <f>YEAR(marketing_data[[#This Row],[Start_date]])</f>
        <v>2023</v>
      </c>
      <c r="T1786" t="str">
        <f>TEXT(marketing_data[[#This Row],[Start_date]],"ddd")</f>
        <v>Fri</v>
      </c>
      <c r="U1786">
        <f>marketing_data[[#This Row],[Cleaned End_date]]-marketing_data[[#This Row],[Start_date]]</f>
        <v>2</v>
      </c>
    </row>
    <row r="1787" spans="1:21" x14ac:dyDescent="0.2">
      <c r="A1787" t="s">
        <v>3680</v>
      </c>
      <c r="B1787" t="s">
        <v>3681</v>
      </c>
      <c r="C1787" s="2">
        <v>45221</v>
      </c>
      <c r="D1787" t="str">
        <f t="shared" si="166"/>
        <v>Oct</v>
      </c>
      <c r="E1787" s="2">
        <v>45233</v>
      </c>
      <c r="F1787" t="s">
        <v>23</v>
      </c>
      <c r="G1787">
        <v>84807</v>
      </c>
      <c r="H1787">
        <v>3066</v>
      </c>
      <c r="I1787">
        <v>226</v>
      </c>
      <c r="J1787" t="b">
        <v>0</v>
      </c>
      <c r="K1787" s="10">
        <v>3631.7599999999998</v>
      </c>
      <c r="L1787" s="6">
        <f t="shared" si="167"/>
        <v>3.6152676076267286E-2</v>
      </c>
      <c r="M1787">
        <f t="shared" si="168"/>
        <v>1.1845270711024134</v>
      </c>
      <c r="N1787">
        <f t="shared" si="169"/>
        <v>16.069734513274334</v>
      </c>
      <c r="O1787">
        <f t="shared" si="170"/>
        <v>7668.24</v>
      </c>
      <c r="P1787">
        <f t="shared" si="171"/>
        <v>7.3711676451402475E-2</v>
      </c>
      <c r="Q1787" t="s">
        <v>4136</v>
      </c>
      <c r="R1787" t="s">
        <v>4138</v>
      </c>
      <c r="S1787">
        <f>YEAR(marketing_data[[#This Row],[Start_date]])</f>
        <v>2023</v>
      </c>
      <c r="T1787" t="str">
        <f>TEXT(marketing_data[[#This Row],[Start_date]],"ddd")</f>
        <v>Sun</v>
      </c>
      <c r="U1787">
        <f>marketing_data[[#This Row],[Cleaned End_date]]-marketing_data[[#This Row],[Start_date]]</f>
        <v>12</v>
      </c>
    </row>
    <row r="1788" spans="1:21" x14ac:dyDescent="0.2">
      <c r="A1788" t="s">
        <v>3682</v>
      </c>
      <c r="B1788" t="s">
        <v>3683</v>
      </c>
      <c r="C1788" s="2">
        <v>45075</v>
      </c>
      <c r="D1788" t="str">
        <f t="shared" si="166"/>
        <v>May</v>
      </c>
      <c r="E1788" s="2">
        <v>45090</v>
      </c>
      <c r="F1788" t="s">
        <v>33</v>
      </c>
      <c r="G1788">
        <v>46539</v>
      </c>
      <c r="H1788">
        <v>1988</v>
      </c>
      <c r="I1788">
        <v>334</v>
      </c>
      <c r="J1788" t="b">
        <v>1</v>
      </c>
      <c r="K1788" s="10">
        <v>3523.28</v>
      </c>
      <c r="L1788" s="6">
        <f t="shared" si="167"/>
        <v>4.2716861127226627E-2</v>
      </c>
      <c r="M1788">
        <f t="shared" si="168"/>
        <v>1.7722736418511067</v>
      </c>
      <c r="N1788">
        <f t="shared" si="169"/>
        <v>10.54874251497006</v>
      </c>
      <c r="O1788">
        <f t="shared" si="170"/>
        <v>13176.72</v>
      </c>
      <c r="P1788">
        <f t="shared" si="171"/>
        <v>0.16800804828973842</v>
      </c>
      <c r="Q1788" t="s">
        <v>4137</v>
      </c>
      <c r="R1788" t="s">
        <v>4139</v>
      </c>
      <c r="S1788">
        <f>YEAR(marketing_data[[#This Row],[Start_date]])</f>
        <v>2023</v>
      </c>
      <c r="T1788" t="str">
        <f>TEXT(marketing_data[[#This Row],[Start_date]],"ddd")</f>
        <v>Mon</v>
      </c>
      <c r="U1788">
        <f>marketing_data[[#This Row],[Cleaned End_date]]-marketing_data[[#This Row],[Start_date]]</f>
        <v>15</v>
      </c>
    </row>
    <row r="1789" spans="1:21" x14ac:dyDescent="0.2">
      <c r="A1789" t="s">
        <v>3684</v>
      </c>
      <c r="B1789" t="s">
        <v>3685</v>
      </c>
      <c r="C1789" s="2">
        <v>45099</v>
      </c>
      <c r="D1789" t="str">
        <f t="shared" si="166"/>
        <v>Jun</v>
      </c>
      <c r="E1789" s="2">
        <v>45129</v>
      </c>
      <c r="F1789" t="s">
        <v>23</v>
      </c>
      <c r="G1789">
        <v>8491</v>
      </c>
      <c r="H1789">
        <v>101</v>
      </c>
      <c r="I1789">
        <v>9</v>
      </c>
      <c r="J1789" t="b">
        <v>1</v>
      </c>
      <c r="K1789" s="10">
        <v>329.13249999999999</v>
      </c>
      <c r="L1789" s="6">
        <f t="shared" si="167"/>
        <v>1.1894947591567543E-2</v>
      </c>
      <c r="M1789">
        <f t="shared" si="168"/>
        <v>3.258737623762376</v>
      </c>
      <c r="N1789">
        <f t="shared" si="169"/>
        <v>36.570277777777775</v>
      </c>
      <c r="O1789">
        <f t="shared" si="170"/>
        <v>120.86750000000001</v>
      </c>
      <c r="P1789">
        <f t="shared" si="171"/>
        <v>8.9108910891089105E-2</v>
      </c>
      <c r="Q1789" t="s">
        <v>4139</v>
      </c>
      <c r="R1789" t="s">
        <v>4142</v>
      </c>
      <c r="S1789">
        <f>YEAR(marketing_data[[#This Row],[Start_date]])</f>
        <v>2023</v>
      </c>
      <c r="T1789" t="str">
        <f>TEXT(marketing_data[[#This Row],[Start_date]],"ddd")</f>
        <v>Thu</v>
      </c>
      <c r="U1789">
        <f>marketing_data[[#This Row],[Cleaned End_date]]-marketing_data[[#This Row],[Start_date]]</f>
        <v>30</v>
      </c>
    </row>
    <row r="1790" spans="1:21" x14ac:dyDescent="0.2">
      <c r="A1790" t="s">
        <v>3686</v>
      </c>
      <c r="B1790" t="s">
        <v>3687</v>
      </c>
      <c r="C1790" s="2">
        <v>45219</v>
      </c>
      <c r="D1790" t="str">
        <f t="shared" si="166"/>
        <v>Oct</v>
      </c>
      <c r="E1790" s="2">
        <v>45232</v>
      </c>
      <c r="F1790" t="s">
        <v>19</v>
      </c>
      <c r="G1790">
        <v>51192</v>
      </c>
      <c r="H1790">
        <v>2378</v>
      </c>
      <c r="I1790">
        <v>235</v>
      </c>
      <c r="J1790" t="b">
        <v>0</v>
      </c>
      <c r="K1790" s="10">
        <v>2223.59</v>
      </c>
      <c r="L1790" s="6">
        <f t="shared" si="167"/>
        <v>4.6452570714174087E-2</v>
      </c>
      <c r="M1790">
        <f t="shared" si="168"/>
        <v>0.93506728343145507</v>
      </c>
      <c r="N1790">
        <f t="shared" si="169"/>
        <v>9.4620851063829789</v>
      </c>
      <c r="O1790">
        <f t="shared" si="170"/>
        <v>9526.41</v>
      </c>
      <c r="P1790">
        <f t="shared" si="171"/>
        <v>9.8822539949537422E-2</v>
      </c>
      <c r="Q1790" t="s">
        <v>4136</v>
      </c>
      <c r="R1790" t="s">
        <v>4142</v>
      </c>
      <c r="S1790">
        <f>YEAR(marketing_data[[#This Row],[Start_date]])</f>
        <v>2023</v>
      </c>
      <c r="T1790" t="str">
        <f>TEXT(marketing_data[[#This Row],[Start_date]],"ddd")</f>
        <v>Fri</v>
      </c>
      <c r="U1790">
        <f>marketing_data[[#This Row],[Cleaned End_date]]-marketing_data[[#This Row],[Start_date]]</f>
        <v>13</v>
      </c>
    </row>
    <row r="1791" spans="1:21" x14ac:dyDescent="0.2">
      <c r="A1791" t="s">
        <v>3688</v>
      </c>
      <c r="B1791" t="s">
        <v>3689</v>
      </c>
      <c r="C1791" s="2">
        <v>45061</v>
      </c>
      <c r="D1791" t="str">
        <f t="shared" si="166"/>
        <v>May</v>
      </c>
      <c r="E1791" s="2">
        <v>45090</v>
      </c>
      <c r="F1791" t="s">
        <v>33</v>
      </c>
      <c r="G1791">
        <v>81395</v>
      </c>
      <c r="H1791">
        <v>910</v>
      </c>
      <c r="I1791">
        <v>46</v>
      </c>
      <c r="J1791" t="b">
        <v>1</v>
      </c>
      <c r="K1791" s="10">
        <v>730</v>
      </c>
      <c r="L1791" s="6">
        <f t="shared" si="167"/>
        <v>1.1180047914491061E-2</v>
      </c>
      <c r="M1791">
        <f t="shared" si="168"/>
        <v>0.80219780219780223</v>
      </c>
      <c r="N1791">
        <f t="shared" si="169"/>
        <v>15.869565217391305</v>
      </c>
      <c r="O1791">
        <f t="shared" si="170"/>
        <v>1570</v>
      </c>
      <c r="P1791">
        <f t="shared" si="171"/>
        <v>5.054945054945055E-2</v>
      </c>
      <c r="Q1791" t="s">
        <v>4137</v>
      </c>
      <c r="R1791" t="s">
        <v>4142</v>
      </c>
      <c r="S1791">
        <f>YEAR(marketing_data[[#This Row],[Start_date]])</f>
        <v>2023</v>
      </c>
      <c r="T1791" t="str">
        <f>TEXT(marketing_data[[#This Row],[Start_date]],"ddd")</f>
        <v>Mon</v>
      </c>
      <c r="U1791">
        <f>marketing_data[[#This Row],[Cleaned End_date]]-marketing_data[[#This Row],[Start_date]]</f>
        <v>29</v>
      </c>
    </row>
    <row r="1792" spans="1:21" x14ac:dyDescent="0.2">
      <c r="A1792" t="s">
        <v>3690</v>
      </c>
      <c r="B1792" t="s">
        <v>3691</v>
      </c>
      <c r="C1792" s="2">
        <v>45183</v>
      </c>
      <c r="D1792" t="str">
        <f t="shared" si="166"/>
        <v>Sep</v>
      </c>
      <c r="E1792" s="2">
        <v>45204</v>
      </c>
      <c r="F1792" t="s">
        <v>23</v>
      </c>
      <c r="G1792">
        <v>64888</v>
      </c>
      <c r="H1792">
        <v>1572</v>
      </c>
      <c r="I1792">
        <v>243</v>
      </c>
      <c r="J1792" t="b">
        <v>1</v>
      </c>
      <c r="K1792" s="10">
        <v>1411.36</v>
      </c>
      <c r="L1792" s="6">
        <f t="shared" si="167"/>
        <v>2.4226359265195414E-2</v>
      </c>
      <c r="M1792">
        <f t="shared" si="168"/>
        <v>0.89781170483460548</v>
      </c>
      <c r="N1792">
        <f t="shared" si="169"/>
        <v>5.8080658436213985</v>
      </c>
      <c r="O1792">
        <f t="shared" si="170"/>
        <v>10738.64</v>
      </c>
      <c r="P1792">
        <f t="shared" si="171"/>
        <v>0.15458015267175573</v>
      </c>
      <c r="Q1792" t="s">
        <v>4136</v>
      </c>
      <c r="R1792" t="s">
        <v>4142</v>
      </c>
      <c r="S1792">
        <f>YEAR(marketing_data[[#This Row],[Start_date]])</f>
        <v>2023</v>
      </c>
      <c r="T1792" t="str">
        <f>TEXT(marketing_data[[#This Row],[Start_date]],"ddd")</f>
        <v>Thu</v>
      </c>
      <c r="U1792">
        <f>marketing_data[[#This Row],[Cleaned End_date]]-marketing_data[[#This Row],[Start_date]]</f>
        <v>21</v>
      </c>
    </row>
    <row r="1793" spans="1:21" x14ac:dyDescent="0.2">
      <c r="A1793" t="s">
        <v>3692</v>
      </c>
      <c r="B1793" t="s">
        <v>3693</v>
      </c>
      <c r="C1793" s="2">
        <v>44996</v>
      </c>
      <c r="D1793" t="str">
        <f t="shared" si="166"/>
        <v>Mar</v>
      </c>
      <c r="E1793" s="2">
        <v>45024</v>
      </c>
      <c r="F1793" t="s">
        <v>33</v>
      </c>
      <c r="G1793">
        <v>74609</v>
      </c>
      <c r="H1793">
        <v>793</v>
      </c>
      <c r="I1793">
        <v>53</v>
      </c>
      <c r="J1793" t="b">
        <v>1</v>
      </c>
      <c r="K1793" s="10">
        <v>598.42999999999995</v>
      </c>
      <c r="L1793" s="6">
        <f t="shared" si="167"/>
        <v>1.0628744521438433E-2</v>
      </c>
      <c r="M1793">
        <f t="shared" si="168"/>
        <v>0.75464060529634291</v>
      </c>
      <c r="N1793">
        <f t="shared" si="169"/>
        <v>11.291132075471698</v>
      </c>
      <c r="O1793">
        <f t="shared" si="170"/>
        <v>2051.5700000000002</v>
      </c>
      <c r="P1793">
        <f t="shared" si="171"/>
        <v>6.683480453972257E-2</v>
      </c>
      <c r="Q1793" t="s">
        <v>4137</v>
      </c>
      <c r="R1793" t="s">
        <v>4139</v>
      </c>
      <c r="S1793">
        <f>YEAR(marketing_data[[#This Row],[Start_date]])</f>
        <v>2023</v>
      </c>
      <c r="T1793" t="str">
        <f>TEXT(marketing_data[[#This Row],[Start_date]],"ddd")</f>
        <v>Sat</v>
      </c>
      <c r="U1793">
        <f>marketing_data[[#This Row],[Cleaned End_date]]-marketing_data[[#This Row],[Start_date]]</f>
        <v>28</v>
      </c>
    </row>
    <row r="1794" spans="1:21" x14ac:dyDescent="0.2">
      <c r="A1794" t="s">
        <v>3694</v>
      </c>
      <c r="B1794" t="s">
        <v>3695</v>
      </c>
      <c r="C1794" s="2">
        <v>45129</v>
      </c>
      <c r="D1794" t="str">
        <f t="shared" si="166"/>
        <v>Jul</v>
      </c>
      <c r="E1794" s="2">
        <v>45143</v>
      </c>
      <c r="F1794" t="str">
        <f>F1793</f>
        <v>Instagram</v>
      </c>
      <c r="G1794">
        <v>10077</v>
      </c>
      <c r="H1794">
        <v>131</v>
      </c>
      <c r="I1794">
        <v>21</v>
      </c>
      <c r="J1794" t="b">
        <v>0</v>
      </c>
      <c r="K1794" s="10">
        <v>329.13249999999999</v>
      </c>
      <c r="L1794" s="6">
        <f t="shared" si="167"/>
        <v>1.2999900764116305E-2</v>
      </c>
      <c r="M1794">
        <f t="shared" si="168"/>
        <v>2.5124618320610685</v>
      </c>
      <c r="N1794">
        <f t="shared" si="169"/>
        <v>15.67297619047619</v>
      </c>
      <c r="O1794">
        <f t="shared" si="170"/>
        <v>720.86750000000006</v>
      </c>
      <c r="P1794">
        <f t="shared" si="171"/>
        <v>0.16030534351145037</v>
      </c>
      <c r="Q1794" t="s">
        <v>4139</v>
      </c>
      <c r="R1794" t="s">
        <v>4141</v>
      </c>
      <c r="S1794">
        <f>YEAR(marketing_data[[#This Row],[Start_date]])</f>
        <v>2023</v>
      </c>
      <c r="T1794" t="str">
        <f>TEXT(marketing_data[[#This Row],[Start_date]],"ddd")</f>
        <v>Sat</v>
      </c>
      <c r="U1794">
        <f>marketing_data[[#This Row],[Cleaned End_date]]-marketing_data[[#This Row],[Start_date]]</f>
        <v>14</v>
      </c>
    </row>
    <row r="1795" spans="1:21" x14ac:dyDescent="0.2">
      <c r="A1795" t="s">
        <v>3696</v>
      </c>
      <c r="B1795" t="s">
        <v>3697</v>
      </c>
      <c r="C1795" s="2">
        <v>45242</v>
      </c>
      <c r="D1795" t="str">
        <f t="shared" ref="D1795:D1858" si="172">TEXT(C1795,"mmm")</f>
        <v>Nov</v>
      </c>
      <c r="E1795" s="2">
        <v>45245</v>
      </c>
      <c r="F1795" t="s">
        <v>19</v>
      </c>
      <c r="G1795">
        <v>21953</v>
      </c>
      <c r="H1795">
        <v>1019</v>
      </c>
      <c r="I1795">
        <v>126</v>
      </c>
      <c r="J1795" t="b">
        <v>1</v>
      </c>
      <c r="K1795" s="10">
        <v>1150.1500000000001</v>
      </c>
      <c r="L1795" s="6">
        <f t="shared" ref="L1795:L1858" si="173">H1795/G1795</f>
        <v>4.6417346148590173E-2</v>
      </c>
      <c r="M1795">
        <f t="shared" ref="M1795:M1858" si="174">K1795/H1795</f>
        <v>1.1287046123650639</v>
      </c>
      <c r="N1795">
        <f t="shared" ref="N1795:N1858" si="175">IFERROR(K1795/I1795,0)</f>
        <v>9.1281746031746032</v>
      </c>
      <c r="O1795">
        <f t="shared" ref="O1795:O1858" si="176">(50*I1795)-K1795</f>
        <v>5149.8500000000004</v>
      </c>
      <c r="P1795">
        <f t="shared" ref="P1795:P1858" si="177">I1795/H1795</f>
        <v>0.12365063788027478</v>
      </c>
      <c r="Q1795" t="s">
        <v>4136</v>
      </c>
      <c r="R1795" t="s">
        <v>4139</v>
      </c>
      <c r="S1795">
        <f>YEAR(marketing_data[[#This Row],[Start_date]])</f>
        <v>2023</v>
      </c>
      <c r="T1795" t="str">
        <f>TEXT(marketing_data[[#This Row],[Start_date]],"ddd")</f>
        <v>Sun</v>
      </c>
      <c r="U1795">
        <f>marketing_data[[#This Row],[Cleaned End_date]]-marketing_data[[#This Row],[Start_date]]</f>
        <v>3</v>
      </c>
    </row>
    <row r="1796" spans="1:21" x14ac:dyDescent="0.2">
      <c r="A1796" t="s">
        <v>3698</v>
      </c>
      <c r="B1796" t="s">
        <v>3699</v>
      </c>
      <c r="C1796" s="2">
        <v>45051</v>
      </c>
      <c r="D1796" t="str">
        <f t="shared" si="172"/>
        <v>May</v>
      </c>
      <c r="E1796" s="2">
        <v>45071</v>
      </c>
      <c r="F1796" t="s">
        <v>14</v>
      </c>
      <c r="G1796">
        <v>77919</v>
      </c>
      <c r="H1796">
        <v>1885</v>
      </c>
      <c r="I1796">
        <v>316</v>
      </c>
      <c r="J1796" t="b">
        <v>1</v>
      </c>
      <c r="K1796" s="10">
        <v>1262.8499999999999</v>
      </c>
      <c r="L1796" s="6">
        <f t="shared" si="173"/>
        <v>2.4191788908995239E-2</v>
      </c>
      <c r="M1796">
        <f t="shared" si="174"/>
        <v>0.66994694960212198</v>
      </c>
      <c r="N1796">
        <f t="shared" si="175"/>
        <v>3.9963607594936708</v>
      </c>
      <c r="O1796">
        <f t="shared" si="176"/>
        <v>14537.15</v>
      </c>
      <c r="P1796">
        <f t="shared" si="177"/>
        <v>0.16763925729442972</v>
      </c>
      <c r="Q1796" t="s">
        <v>4137</v>
      </c>
      <c r="R1796" t="s">
        <v>4138</v>
      </c>
      <c r="S1796">
        <f>YEAR(marketing_data[[#This Row],[Start_date]])</f>
        <v>2023</v>
      </c>
      <c r="T1796" t="str">
        <f>TEXT(marketing_data[[#This Row],[Start_date]],"ddd")</f>
        <v>Fri</v>
      </c>
      <c r="U1796">
        <f>marketing_data[[#This Row],[Cleaned End_date]]-marketing_data[[#This Row],[Start_date]]</f>
        <v>20</v>
      </c>
    </row>
    <row r="1797" spans="1:21" x14ac:dyDescent="0.2">
      <c r="A1797" t="s">
        <v>3700</v>
      </c>
      <c r="B1797" t="s">
        <v>3701</v>
      </c>
      <c r="C1797" s="2">
        <v>45147</v>
      </c>
      <c r="D1797" t="str">
        <f t="shared" si="172"/>
        <v>Aug</v>
      </c>
      <c r="E1797" s="2">
        <v>45157</v>
      </c>
      <c r="F1797" t="s">
        <v>19</v>
      </c>
      <c r="G1797">
        <v>68889</v>
      </c>
      <c r="H1797">
        <v>1859</v>
      </c>
      <c r="I1797">
        <v>255</v>
      </c>
      <c r="J1797" t="b">
        <v>0</v>
      </c>
      <c r="K1797" s="10">
        <v>1408.88</v>
      </c>
      <c r="L1797" s="6">
        <f t="shared" si="173"/>
        <v>2.6985440346063958E-2</v>
      </c>
      <c r="M1797">
        <f t="shared" si="174"/>
        <v>0.75786982248520718</v>
      </c>
      <c r="N1797">
        <f t="shared" si="175"/>
        <v>5.5250196078431379</v>
      </c>
      <c r="O1797">
        <f t="shared" si="176"/>
        <v>11341.119999999999</v>
      </c>
      <c r="P1797">
        <f t="shared" si="177"/>
        <v>0.13717052178590641</v>
      </c>
      <c r="Q1797" t="s">
        <v>4139</v>
      </c>
      <c r="R1797" t="s">
        <v>4139</v>
      </c>
      <c r="S1797">
        <f>YEAR(marketing_data[[#This Row],[Start_date]])</f>
        <v>2023</v>
      </c>
      <c r="T1797" t="str">
        <f>TEXT(marketing_data[[#This Row],[Start_date]],"ddd")</f>
        <v>Wed</v>
      </c>
      <c r="U1797">
        <f>marketing_data[[#This Row],[Cleaned End_date]]-marketing_data[[#This Row],[Start_date]]</f>
        <v>10</v>
      </c>
    </row>
    <row r="1798" spans="1:21" x14ac:dyDescent="0.2">
      <c r="A1798" t="s">
        <v>3702</v>
      </c>
      <c r="B1798" t="s">
        <v>3703</v>
      </c>
      <c r="C1798" s="2">
        <v>44972</v>
      </c>
      <c r="D1798" t="str">
        <f t="shared" si="172"/>
        <v>Feb</v>
      </c>
      <c r="E1798" s="2">
        <v>44984</v>
      </c>
      <c r="F1798" t="s">
        <v>33</v>
      </c>
      <c r="G1798">
        <v>24821</v>
      </c>
      <c r="H1798">
        <v>462</v>
      </c>
      <c r="J1798" t="b">
        <v>1</v>
      </c>
      <c r="K1798" s="10">
        <v>610.29999999999995</v>
      </c>
      <c r="L1798" s="6">
        <f t="shared" si="173"/>
        <v>1.861327102050683E-2</v>
      </c>
      <c r="M1798">
        <f t="shared" si="174"/>
        <v>1.3209956709956709</v>
      </c>
      <c r="N1798">
        <f t="shared" si="175"/>
        <v>0</v>
      </c>
      <c r="O1798">
        <f t="shared" si="176"/>
        <v>-610.29999999999995</v>
      </c>
      <c r="P1798">
        <f t="shared" si="177"/>
        <v>0</v>
      </c>
      <c r="Q1798" t="s">
        <v>4138</v>
      </c>
      <c r="R1798" t="s">
        <v>4141</v>
      </c>
      <c r="S1798">
        <f>YEAR(marketing_data[[#This Row],[Start_date]])</f>
        <v>2023</v>
      </c>
      <c r="T1798" t="str">
        <f>TEXT(marketing_data[[#This Row],[Start_date]],"ddd")</f>
        <v>Wed</v>
      </c>
      <c r="U1798">
        <f>marketing_data[[#This Row],[Cleaned End_date]]-marketing_data[[#This Row],[Start_date]]</f>
        <v>12</v>
      </c>
    </row>
    <row r="1799" spans="1:21" x14ac:dyDescent="0.2">
      <c r="A1799" t="s">
        <v>3704</v>
      </c>
      <c r="B1799" t="s">
        <v>3705</v>
      </c>
      <c r="C1799" s="2">
        <v>45114</v>
      </c>
      <c r="D1799" t="str">
        <f t="shared" si="172"/>
        <v>Jul</v>
      </c>
      <c r="E1799" s="2">
        <v>45141</v>
      </c>
      <c r="F1799" t="s">
        <v>19</v>
      </c>
      <c r="G1799">
        <v>38567</v>
      </c>
      <c r="H1799">
        <v>1306</v>
      </c>
      <c r="I1799">
        <v>215</v>
      </c>
      <c r="J1799" t="b">
        <v>1</v>
      </c>
      <c r="K1799" s="10">
        <v>975.45</v>
      </c>
      <c r="L1799" s="6">
        <f t="shared" si="173"/>
        <v>3.3863147250239839E-2</v>
      </c>
      <c r="M1799">
        <f t="shared" si="174"/>
        <v>0.74689892802450231</v>
      </c>
      <c r="N1799">
        <f t="shared" si="175"/>
        <v>4.5369767441860471</v>
      </c>
      <c r="O1799">
        <f t="shared" si="176"/>
        <v>9774.5499999999993</v>
      </c>
      <c r="P1799">
        <f t="shared" si="177"/>
        <v>0.16462480857580397</v>
      </c>
      <c r="Q1799" t="s">
        <v>4139</v>
      </c>
      <c r="R1799" t="s">
        <v>4139</v>
      </c>
      <c r="S1799">
        <f>YEAR(marketing_data[[#This Row],[Start_date]])</f>
        <v>2023</v>
      </c>
      <c r="T1799" t="str">
        <f>TEXT(marketing_data[[#This Row],[Start_date]],"ddd")</f>
        <v>Fri</v>
      </c>
      <c r="U1799">
        <f>marketing_data[[#This Row],[Cleaned End_date]]-marketing_data[[#This Row],[Start_date]]</f>
        <v>27</v>
      </c>
    </row>
    <row r="1800" spans="1:21" x14ac:dyDescent="0.2">
      <c r="A1800" t="s">
        <v>3706</v>
      </c>
      <c r="B1800" t="s">
        <v>3707</v>
      </c>
      <c r="C1800" s="2">
        <v>45231</v>
      </c>
      <c r="D1800" t="str">
        <f t="shared" si="172"/>
        <v>Nov</v>
      </c>
      <c r="E1800" s="2">
        <v>45248</v>
      </c>
      <c r="F1800" t="s">
        <v>14</v>
      </c>
      <c r="G1800">
        <v>25860</v>
      </c>
      <c r="H1800">
        <v>873</v>
      </c>
      <c r="I1800">
        <v>52</v>
      </c>
      <c r="J1800" t="b">
        <v>1</v>
      </c>
      <c r="K1800" s="10">
        <v>520.15</v>
      </c>
      <c r="L1800" s="6">
        <f t="shared" si="173"/>
        <v>3.3758700696055688E-2</v>
      </c>
      <c r="M1800">
        <f t="shared" si="174"/>
        <v>0.59581901489117983</v>
      </c>
      <c r="N1800">
        <f t="shared" si="175"/>
        <v>10.002884615384614</v>
      </c>
      <c r="O1800">
        <f t="shared" si="176"/>
        <v>2079.85</v>
      </c>
      <c r="P1800">
        <f t="shared" si="177"/>
        <v>5.9564719358533788E-2</v>
      </c>
      <c r="Q1800" t="s">
        <v>4136</v>
      </c>
      <c r="R1800" t="s">
        <v>4139</v>
      </c>
      <c r="S1800">
        <f>YEAR(marketing_data[[#This Row],[Start_date]])</f>
        <v>2023</v>
      </c>
      <c r="T1800" t="str">
        <f>TEXT(marketing_data[[#This Row],[Start_date]],"ddd")</f>
        <v>Wed</v>
      </c>
      <c r="U1800">
        <f>marketing_data[[#This Row],[Cleaned End_date]]-marketing_data[[#This Row],[Start_date]]</f>
        <v>17</v>
      </c>
    </row>
    <row r="1801" spans="1:21" x14ac:dyDescent="0.2">
      <c r="A1801" t="s">
        <v>3708</v>
      </c>
      <c r="B1801" t="s">
        <v>3709</v>
      </c>
      <c r="C1801" s="2">
        <v>45013</v>
      </c>
      <c r="D1801" t="str">
        <f t="shared" si="172"/>
        <v>Mar</v>
      </c>
      <c r="E1801" s="2">
        <v>45031</v>
      </c>
      <c r="F1801" t="s">
        <v>33</v>
      </c>
      <c r="G1801">
        <v>22195</v>
      </c>
      <c r="H1801">
        <v>552</v>
      </c>
      <c r="J1801" t="b">
        <v>1</v>
      </c>
      <c r="K1801" s="10">
        <v>538.79999999999995</v>
      </c>
      <c r="L1801" s="6">
        <f t="shared" si="173"/>
        <v>2.4870466321243522E-2</v>
      </c>
      <c r="M1801">
        <f t="shared" si="174"/>
        <v>0.97608695652173905</v>
      </c>
      <c r="N1801">
        <f t="shared" si="175"/>
        <v>0</v>
      </c>
      <c r="O1801">
        <f t="shared" si="176"/>
        <v>-538.79999999999995</v>
      </c>
      <c r="P1801">
        <f t="shared" si="177"/>
        <v>0</v>
      </c>
      <c r="Q1801" t="s">
        <v>4137</v>
      </c>
      <c r="R1801" t="s">
        <v>4138</v>
      </c>
      <c r="S1801">
        <f>YEAR(marketing_data[[#This Row],[Start_date]])</f>
        <v>2023</v>
      </c>
      <c r="T1801" t="str">
        <f>TEXT(marketing_data[[#This Row],[Start_date]],"ddd")</f>
        <v>Tue</v>
      </c>
      <c r="U1801">
        <f>marketing_data[[#This Row],[Cleaned End_date]]-marketing_data[[#This Row],[Start_date]]</f>
        <v>18</v>
      </c>
    </row>
    <row r="1802" spans="1:21" x14ac:dyDescent="0.2">
      <c r="A1802" t="s">
        <v>3710</v>
      </c>
      <c r="B1802" t="s">
        <v>3711</v>
      </c>
      <c r="C1802" s="2">
        <v>45153</v>
      </c>
      <c r="D1802" t="str">
        <f t="shared" si="172"/>
        <v>Aug</v>
      </c>
      <c r="E1802" s="2">
        <v>45169</v>
      </c>
      <c r="F1802" t="s">
        <v>23</v>
      </c>
      <c r="G1802">
        <v>78475</v>
      </c>
      <c r="H1802">
        <v>1830</v>
      </c>
      <c r="I1802">
        <v>138</v>
      </c>
      <c r="J1802" t="b">
        <v>1</v>
      </c>
      <c r="K1802" s="10">
        <v>1519.78</v>
      </c>
      <c r="L1802" s="6">
        <f t="shared" si="173"/>
        <v>2.3319528512265052E-2</v>
      </c>
      <c r="M1802">
        <f t="shared" si="174"/>
        <v>0.83048087431693984</v>
      </c>
      <c r="N1802">
        <f t="shared" si="175"/>
        <v>11.012898550724637</v>
      </c>
      <c r="O1802">
        <f t="shared" si="176"/>
        <v>5380.22</v>
      </c>
      <c r="P1802">
        <f t="shared" si="177"/>
        <v>7.5409836065573776E-2</v>
      </c>
      <c r="Q1802" t="s">
        <v>4139</v>
      </c>
      <c r="R1802" t="s">
        <v>4139</v>
      </c>
      <c r="S1802">
        <f>YEAR(marketing_data[[#This Row],[Start_date]])</f>
        <v>2023</v>
      </c>
      <c r="T1802" t="str">
        <f>TEXT(marketing_data[[#This Row],[Start_date]],"ddd")</f>
        <v>Tue</v>
      </c>
      <c r="U1802">
        <f>marketing_data[[#This Row],[Cleaned End_date]]-marketing_data[[#This Row],[Start_date]]</f>
        <v>16</v>
      </c>
    </row>
    <row r="1803" spans="1:21" x14ac:dyDescent="0.2">
      <c r="A1803" t="s">
        <v>3712</v>
      </c>
      <c r="B1803" t="s">
        <v>3713</v>
      </c>
      <c r="C1803" s="2">
        <v>45046</v>
      </c>
      <c r="D1803" t="str">
        <f t="shared" si="172"/>
        <v>Apr</v>
      </c>
      <c r="E1803" s="2">
        <v>45076</v>
      </c>
      <c r="F1803" t="s">
        <v>41</v>
      </c>
      <c r="G1803">
        <v>91874</v>
      </c>
      <c r="H1803">
        <v>4170</v>
      </c>
      <c r="I1803">
        <v>679</v>
      </c>
      <c r="J1803" t="b">
        <v>0</v>
      </c>
      <c r="K1803" s="10">
        <v>3631.7599999999998</v>
      </c>
      <c r="L1803" s="6">
        <f t="shared" si="173"/>
        <v>4.538824912379999E-2</v>
      </c>
      <c r="M1803">
        <f t="shared" si="174"/>
        <v>0.87092565947242195</v>
      </c>
      <c r="N1803">
        <f t="shared" si="175"/>
        <v>5.3486892488954343</v>
      </c>
      <c r="O1803">
        <f t="shared" si="176"/>
        <v>30318.240000000002</v>
      </c>
      <c r="P1803">
        <f t="shared" si="177"/>
        <v>0.16282973621103117</v>
      </c>
      <c r="Q1803" t="s">
        <v>4137</v>
      </c>
      <c r="R1803" t="s">
        <v>4141</v>
      </c>
      <c r="S1803">
        <f>YEAR(marketing_data[[#This Row],[Start_date]])</f>
        <v>2023</v>
      </c>
      <c r="T1803" t="str">
        <f>TEXT(marketing_data[[#This Row],[Start_date]],"ddd")</f>
        <v>Sun</v>
      </c>
      <c r="U1803">
        <f>marketing_data[[#This Row],[Cleaned End_date]]-marketing_data[[#This Row],[Start_date]]</f>
        <v>30</v>
      </c>
    </row>
    <row r="1804" spans="1:21" x14ac:dyDescent="0.2">
      <c r="A1804" t="s">
        <v>3714</v>
      </c>
      <c r="B1804" t="s">
        <v>3715</v>
      </c>
      <c r="C1804" s="2">
        <v>44970</v>
      </c>
      <c r="D1804" t="str">
        <f t="shared" si="172"/>
        <v>Feb</v>
      </c>
      <c r="E1804" s="2">
        <v>45000</v>
      </c>
      <c r="F1804" t="s">
        <v>23</v>
      </c>
      <c r="G1804">
        <v>88266</v>
      </c>
      <c r="H1804">
        <v>2235</v>
      </c>
      <c r="I1804">
        <v>417</v>
      </c>
      <c r="J1804" t="b">
        <v>1</v>
      </c>
      <c r="K1804" s="10">
        <v>1460.69</v>
      </c>
      <c r="L1804" s="6">
        <f t="shared" si="173"/>
        <v>2.532118822649718E-2</v>
      </c>
      <c r="M1804">
        <f t="shared" si="174"/>
        <v>0.65355257270693512</v>
      </c>
      <c r="N1804">
        <f t="shared" si="175"/>
        <v>3.5028537170263792</v>
      </c>
      <c r="O1804">
        <f t="shared" si="176"/>
        <v>19389.310000000001</v>
      </c>
      <c r="P1804">
        <f t="shared" si="177"/>
        <v>0.18657718120805369</v>
      </c>
      <c r="Q1804" t="s">
        <v>4138</v>
      </c>
      <c r="R1804" t="s">
        <v>4141</v>
      </c>
      <c r="S1804">
        <f>YEAR(marketing_data[[#This Row],[Start_date]])</f>
        <v>2023</v>
      </c>
      <c r="T1804" t="str">
        <f>TEXT(marketing_data[[#This Row],[Start_date]],"ddd")</f>
        <v>Mon</v>
      </c>
      <c r="U1804">
        <f>marketing_data[[#This Row],[Cleaned End_date]]-marketing_data[[#This Row],[Start_date]]</f>
        <v>30</v>
      </c>
    </row>
    <row r="1805" spans="1:21" x14ac:dyDescent="0.2">
      <c r="A1805" t="s">
        <v>3716</v>
      </c>
      <c r="B1805" t="s">
        <v>3717</v>
      </c>
      <c r="C1805" s="2">
        <v>45244</v>
      </c>
      <c r="D1805" t="str">
        <f t="shared" si="172"/>
        <v>Nov</v>
      </c>
      <c r="E1805" s="2">
        <v>45272</v>
      </c>
      <c r="F1805" t="s">
        <v>19</v>
      </c>
      <c r="G1805">
        <v>22427</v>
      </c>
      <c r="H1805">
        <v>666</v>
      </c>
      <c r="I1805">
        <v>88</v>
      </c>
      <c r="J1805" t="b">
        <v>1</v>
      </c>
      <c r="K1805" s="10">
        <v>1084.02</v>
      </c>
      <c r="L1805" s="6">
        <f t="shared" si="173"/>
        <v>2.9696348151781335E-2</v>
      </c>
      <c r="M1805">
        <f t="shared" si="174"/>
        <v>1.6276576576576576</v>
      </c>
      <c r="N1805">
        <f t="shared" si="175"/>
        <v>12.318409090909091</v>
      </c>
      <c r="O1805">
        <f t="shared" si="176"/>
        <v>3315.98</v>
      </c>
      <c r="P1805">
        <f t="shared" si="177"/>
        <v>0.13213213213213212</v>
      </c>
      <c r="Q1805" t="s">
        <v>4136</v>
      </c>
      <c r="R1805" t="s">
        <v>4141</v>
      </c>
      <c r="S1805">
        <f>YEAR(marketing_data[[#This Row],[Start_date]])</f>
        <v>2023</v>
      </c>
      <c r="T1805" t="str">
        <f>TEXT(marketing_data[[#This Row],[Start_date]],"ddd")</f>
        <v>Tue</v>
      </c>
      <c r="U1805">
        <f>marketing_data[[#This Row],[Cleaned End_date]]-marketing_data[[#This Row],[Start_date]]</f>
        <v>28</v>
      </c>
    </row>
    <row r="1806" spans="1:21" x14ac:dyDescent="0.2">
      <c r="A1806" t="s">
        <v>3718</v>
      </c>
      <c r="B1806" t="s">
        <v>3719</v>
      </c>
      <c r="C1806" s="2">
        <v>45074</v>
      </c>
      <c r="D1806" t="str">
        <f t="shared" si="172"/>
        <v>May</v>
      </c>
      <c r="E1806" s="2">
        <v>45102</v>
      </c>
      <c r="F1806" t="s">
        <v>23</v>
      </c>
      <c r="G1806">
        <v>28083</v>
      </c>
      <c r="H1806">
        <v>599</v>
      </c>
      <c r="I1806">
        <v>77</v>
      </c>
      <c r="J1806" t="b">
        <v>1</v>
      </c>
      <c r="K1806" s="10">
        <v>1113.75</v>
      </c>
      <c r="L1806" s="6">
        <f t="shared" si="173"/>
        <v>2.1329630025282199E-2</v>
      </c>
      <c r="M1806">
        <f t="shared" si="174"/>
        <v>1.8593489148580968</v>
      </c>
      <c r="N1806">
        <f t="shared" si="175"/>
        <v>14.464285714285714</v>
      </c>
      <c r="O1806">
        <f t="shared" si="176"/>
        <v>2736.25</v>
      </c>
      <c r="P1806">
        <f t="shared" si="177"/>
        <v>0.1285475792988314</v>
      </c>
      <c r="Q1806" t="s">
        <v>4137</v>
      </c>
      <c r="R1806" t="s">
        <v>4138</v>
      </c>
      <c r="S1806">
        <f>YEAR(marketing_data[[#This Row],[Start_date]])</f>
        <v>2023</v>
      </c>
      <c r="T1806" t="str">
        <f>TEXT(marketing_data[[#This Row],[Start_date]],"ddd")</f>
        <v>Sun</v>
      </c>
      <c r="U1806">
        <f>marketing_data[[#This Row],[Cleaned End_date]]-marketing_data[[#This Row],[Start_date]]</f>
        <v>28</v>
      </c>
    </row>
    <row r="1807" spans="1:21" x14ac:dyDescent="0.2">
      <c r="A1807" t="s">
        <v>3721</v>
      </c>
      <c r="B1807" t="s">
        <v>3722</v>
      </c>
      <c r="C1807" s="2">
        <v>45282</v>
      </c>
      <c r="D1807" t="str">
        <f t="shared" si="172"/>
        <v>Dec</v>
      </c>
      <c r="E1807" s="2">
        <v>45298</v>
      </c>
      <c r="F1807" t="s">
        <v>19</v>
      </c>
      <c r="G1807">
        <v>88046</v>
      </c>
      <c r="H1807">
        <v>3651</v>
      </c>
      <c r="J1807" t="b">
        <v>1</v>
      </c>
      <c r="K1807" s="10">
        <v>3631.7599999999998</v>
      </c>
      <c r="L1807" s="6">
        <f t="shared" si="173"/>
        <v>4.1466960452490743E-2</v>
      </c>
      <c r="M1807">
        <f t="shared" si="174"/>
        <v>0.9947302109011229</v>
      </c>
      <c r="N1807">
        <f t="shared" si="175"/>
        <v>0</v>
      </c>
      <c r="O1807">
        <f t="shared" si="176"/>
        <v>-3631.7599999999998</v>
      </c>
      <c r="P1807">
        <f t="shared" si="177"/>
        <v>0</v>
      </c>
      <c r="Q1807" t="s">
        <v>4138</v>
      </c>
      <c r="R1807" t="s">
        <v>4142</v>
      </c>
      <c r="S1807">
        <f>YEAR(marketing_data[[#This Row],[Start_date]])</f>
        <v>2023</v>
      </c>
      <c r="T1807" t="str">
        <f>TEXT(marketing_data[[#This Row],[Start_date]],"ddd")</f>
        <v>Fri</v>
      </c>
      <c r="U1807">
        <f>marketing_data[[#This Row],[Cleaned End_date]]-marketing_data[[#This Row],[Start_date]]</f>
        <v>16</v>
      </c>
    </row>
    <row r="1808" spans="1:21" x14ac:dyDescent="0.2">
      <c r="A1808" t="s">
        <v>3723</v>
      </c>
      <c r="B1808" t="s">
        <v>3724</v>
      </c>
      <c r="C1808" s="2">
        <v>45168</v>
      </c>
      <c r="D1808" t="str">
        <f t="shared" si="172"/>
        <v>Aug</v>
      </c>
      <c r="E1808" s="2">
        <v>45171</v>
      </c>
      <c r="F1808" t="str">
        <f>F1807</f>
        <v>Facebook</v>
      </c>
      <c r="G1808">
        <v>58372</v>
      </c>
      <c r="H1808">
        <v>1511</v>
      </c>
      <c r="I1808">
        <v>76</v>
      </c>
      <c r="J1808" t="b">
        <v>1</v>
      </c>
      <c r="K1808" s="10">
        <v>1963.15</v>
      </c>
      <c r="L1808" s="6">
        <f t="shared" si="173"/>
        <v>2.5885698622627289E-2</v>
      </c>
      <c r="M1808">
        <f t="shared" si="174"/>
        <v>1.2992389146260754</v>
      </c>
      <c r="N1808">
        <f t="shared" si="175"/>
        <v>25.830921052631581</v>
      </c>
      <c r="O1808">
        <f t="shared" si="176"/>
        <v>1836.85</v>
      </c>
      <c r="P1808">
        <f t="shared" si="177"/>
        <v>5.0297816015883519E-2</v>
      </c>
      <c r="Q1808" t="s">
        <v>4139</v>
      </c>
      <c r="R1808" t="s">
        <v>4139</v>
      </c>
      <c r="S1808">
        <f>YEAR(marketing_data[[#This Row],[Start_date]])</f>
        <v>2023</v>
      </c>
      <c r="T1808" t="str">
        <f>TEXT(marketing_data[[#This Row],[Start_date]],"ddd")</f>
        <v>Wed</v>
      </c>
      <c r="U1808">
        <f>marketing_data[[#This Row],[Cleaned End_date]]-marketing_data[[#This Row],[Start_date]]</f>
        <v>3</v>
      </c>
    </row>
    <row r="1809" spans="1:21" x14ac:dyDescent="0.2">
      <c r="A1809" t="s">
        <v>3726</v>
      </c>
      <c r="B1809" t="s">
        <v>3727</v>
      </c>
      <c r="C1809" s="2">
        <v>45034</v>
      </c>
      <c r="D1809" t="str">
        <f t="shared" si="172"/>
        <v>Apr</v>
      </c>
      <c r="E1809" s="2">
        <v>45046</v>
      </c>
      <c r="F1809" t="s">
        <v>41</v>
      </c>
      <c r="G1809">
        <v>45064</v>
      </c>
      <c r="H1809">
        <v>1376</v>
      </c>
      <c r="I1809">
        <v>258</v>
      </c>
      <c r="J1809" t="b">
        <v>0</v>
      </c>
      <c r="K1809" s="10">
        <v>2464.42</v>
      </c>
      <c r="L1809" s="6">
        <f t="shared" si="173"/>
        <v>3.0534351145038167E-2</v>
      </c>
      <c r="M1809">
        <f t="shared" si="174"/>
        <v>1.7910029069767441</v>
      </c>
      <c r="N1809">
        <f t="shared" si="175"/>
        <v>9.5520155038759693</v>
      </c>
      <c r="O1809">
        <f t="shared" si="176"/>
        <v>10435.58</v>
      </c>
      <c r="P1809">
        <f t="shared" si="177"/>
        <v>0.1875</v>
      </c>
      <c r="Q1809" t="s">
        <v>4137</v>
      </c>
      <c r="R1809" t="s">
        <v>4142</v>
      </c>
      <c r="S1809">
        <f>YEAR(marketing_data[[#This Row],[Start_date]])</f>
        <v>2023</v>
      </c>
      <c r="T1809" t="str">
        <f>TEXT(marketing_data[[#This Row],[Start_date]],"ddd")</f>
        <v>Tue</v>
      </c>
      <c r="U1809">
        <f>marketing_data[[#This Row],[Cleaned End_date]]-marketing_data[[#This Row],[Start_date]]</f>
        <v>12</v>
      </c>
    </row>
    <row r="1810" spans="1:21" x14ac:dyDescent="0.2">
      <c r="A1810" t="s">
        <v>3728</v>
      </c>
      <c r="B1810" t="s">
        <v>3729</v>
      </c>
      <c r="C1810" s="2">
        <v>45206</v>
      </c>
      <c r="D1810" t="str">
        <f t="shared" si="172"/>
        <v>Oct</v>
      </c>
      <c r="E1810" s="2">
        <v>45217</v>
      </c>
      <c r="F1810" t="s">
        <v>19</v>
      </c>
      <c r="G1810">
        <v>8813</v>
      </c>
      <c r="H1810">
        <v>177</v>
      </c>
      <c r="I1810">
        <v>14</v>
      </c>
      <c r="J1810" t="b">
        <v>1</v>
      </c>
      <c r="K1810" s="10">
        <v>329.13249999999999</v>
      </c>
      <c r="L1810" s="6">
        <f t="shared" si="173"/>
        <v>2.0083966867128107E-2</v>
      </c>
      <c r="M1810">
        <f t="shared" si="174"/>
        <v>1.859505649717514</v>
      </c>
      <c r="N1810">
        <f t="shared" si="175"/>
        <v>23.509464285714284</v>
      </c>
      <c r="O1810">
        <f t="shared" si="176"/>
        <v>370.86750000000001</v>
      </c>
      <c r="P1810">
        <f t="shared" si="177"/>
        <v>7.909604519774012E-2</v>
      </c>
      <c r="Q1810" t="s">
        <v>4136</v>
      </c>
      <c r="R1810" t="s">
        <v>4138</v>
      </c>
      <c r="S1810">
        <f>YEAR(marketing_data[[#This Row],[Start_date]])</f>
        <v>2023</v>
      </c>
      <c r="T1810" t="str">
        <f>TEXT(marketing_data[[#This Row],[Start_date]],"ddd")</f>
        <v>Sat</v>
      </c>
      <c r="U1810">
        <f>marketing_data[[#This Row],[Cleaned End_date]]-marketing_data[[#This Row],[Start_date]]</f>
        <v>11</v>
      </c>
    </row>
    <row r="1811" spans="1:21" x14ac:dyDescent="0.2">
      <c r="A1811" t="s">
        <v>3730</v>
      </c>
      <c r="B1811" t="s">
        <v>3731</v>
      </c>
      <c r="C1811" s="2">
        <v>45174</v>
      </c>
      <c r="D1811" t="str">
        <f t="shared" si="172"/>
        <v>Sep</v>
      </c>
      <c r="E1811" s="2">
        <v>45181</v>
      </c>
      <c r="F1811" t="s">
        <v>33</v>
      </c>
      <c r="G1811">
        <v>32598</v>
      </c>
      <c r="H1811">
        <v>1613</v>
      </c>
      <c r="I1811">
        <v>318</v>
      </c>
      <c r="J1811" t="b">
        <v>1</v>
      </c>
      <c r="K1811" s="10">
        <v>832.03</v>
      </c>
      <c r="L1811" s="6">
        <f t="shared" si="173"/>
        <v>4.9481563286091171E-2</v>
      </c>
      <c r="M1811">
        <f t="shared" si="174"/>
        <v>0.51582765034097955</v>
      </c>
      <c r="N1811">
        <f t="shared" si="175"/>
        <v>2.6164465408805029</v>
      </c>
      <c r="O1811">
        <f t="shared" si="176"/>
        <v>15067.97</v>
      </c>
      <c r="P1811">
        <f t="shared" si="177"/>
        <v>0.19714817110973343</v>
      </c>
      <c r="Q1811" t="s">
        <v>4136</v>
      </c>
      <c r="R1811" t="s">
        <v>4141</v>
      </c>
      <c r="S1811">
        <f>YEAR(marketing_data[[#This Row],[Start_date]])</f>
        <v>2023</v>
      </c>
      <c r="T1811" t="str">
        <f>TEXT(marketing_data[[#This Row],[Start_date]],"ddd")</f>
        <v>Tue</v>
      </c>
      <c r="U1811">
        <f>marketing_data[[#This Row],[Cleaned End_date]]-marketing_data[[#This Row],[Start_date]]</f>
        <v>7</v>
      </c>
    </row>
    <row r="1812" spans="1:21" x14ac:dyDescent="0.2">
      <c r="A1812" t="s">
        <v>3732</v>
      </c>
      <c r="B1812" t="s">
        <v>3733</v>
      </c>
      <c r="C1812" s="2">
        <v>45282</v>
      </c>
      <c r="D1812" t="str">
        <f t="shared" si="172"/>
        <v>Dec</v>
      </c>
      <c r="E1812" s="2">
        <v>45292</v>
      </c>
      <c r="F1812" t="s">
        <v>19</v>
      </c>
      <c r="G1812">
        <v>94106</v>
      </c>
      <c r="H1812">
        <v>2038</v>
      </c>
      <c r="I1812">
        <v>326</v>
      </c>
      <c r="J1812" t="b">
        <v>1</v>
      </c>
      <c r="K1812" s="10">
        <v>2223.73</v>
      </c>
      <c r="L1812" s="6">
        <f t="shared" si="173"/>
        <v>2.1656429983210421E-2</v>
      </c>
      <c r="M1812">
        <f t="shared" si="174"/>
        <v>1.0911334641805692</v>
      </c>
      <c r="N1812">
        <f t="shared" si="175"/>
        <v>6.8212576687116568</v>
      </c>
      <c r="O1812">
        <f t="shared" si="176"/>
        <v>14076.27</v>
      </c>
      <c r="P1812">
        <f t="shared" si="177"/>
        <v>0.15996074582924436</v>
      </c>
      <c r="Q1812" t="s">
        <v>4138</v>
      </c>
      <c r="R1812" t="s">
        <v>4139</v>
      </c>
      <c r="S1812">
        <f>YEAR(marketing_data[[#This Row],[Start_date]])</f>
        <v>2023</v>
      </c>
      <c r="T1812" t="str">
        <f>TEXT(marketing_data[[#This Row],[Start_date]],"ddd")</f>
        <v>Fri</v>
      </c>
      <c r="U1812">
        <f>marketing_data[[#This Row],[Cleaned End_date]]-marketing_data[[#This Row],[Start_date]]</f>
        <v>10</v>
      </c>
    </row>
    <row r="1813" spans="1:21" x14ac:dyDescent="0.2">
      <c r="A1813" t="s">
        <v>3734</v>
      </c>
      <c r="B1813" t="s">
        <v>3735</v>
      </c>
      <c r="C1813" s="2">
        <v>45225</v>
      </c>
      <c r="D1813" t="str">
        <f t="shared" si="172"/>
        <v>Oct</v>
      </c>
      <c r="E1813" s="2">
        <v>45255</v>
      </c>
      <c r="F1813" t="s">
        <v>14</v>
      </c>
      <c r="G1813">
        <v>28082</v>
      </c>
      <c r="H1813">
        <v>1146</v>
      </c>
      <c r="I1813">
        <v>190</v>
      </c>
      <c r="J1813" t="b">
        <v>0</v>
      </c>
      <c r="K1813" s="10">
        <v>2035.79</v>
      </c>
      <c r="L1813" s="6">
        <f t="shared" si="173"/>
        <v>4.0809059183818816E-2</v>
      </c>
      <c r="M1813">
        <f t="shared" si="174"/>
        <v>1.7764310645724257</v>
      </c>
      <c r="N1813">
        <f t="shared" si="175"/>
        <v>10.714684210526316</v>
      </c>
      <c r="O1813">
        <f t="shared" si="176"/>
        <v>7464.21</v>
      </c>
      <c r="P1813">
        <f t="shared" si="177"/>
        <v>0.16579406631762653</v>
      </c>
      <c r="Q1813" t="s">
        <v>4136</v>
      </c>
      <c r="R1813" t="s">
        <v>4141</v>
      </c>
      <c r="S1813">
        <f>YEAR(marketing_data[[#This Row],[Start_date]])</f>
        <v>2023</v>
      </c>
      <c r="T1813" t="str">
        <f>TEXT(marketing_data[[#This Row],[Start_date]],"ddd")</f>
        <v>Thu</v>
      </c>
      <c r="U1813">
        <f>marketing_data[[#This Row],[Cleaned End_date]]-marketing_data[[#This Row],[Start_date]]</f>
        <v>30</v>
      </c>
    </row>
    <row r="1814" spans="1:21" x14ac:dyDescent="0.2">
      <c r="A1814" t="s">
        <v>3736</v>
      </c>
      <c r="B1814" t="s">
        <v>3737</v>
      </c>
      <c r="C1814" s="2">
        <v>45057</v>
      </c>
      <c r="D1814" t="str">
        <f t="shared" si="172"/>
        <v>May</v>
      </c>
      <c r="E1814" s="2">
        <v>45074</v>
      </c>
      <c r="F1814" t="s">
        <v>23</v>
      </c>
      <c r="G1814">
        <v>30241</v>
      </c>
      <c r="H1814">
        <v>819</v>
      </c>
      <c r="I1814">
        <v>121</v>
      </c>
      <c r="J1814" t="b">
        <v>1</v>
      </c>
      <c r="K1814" s="10">
        <v>834.39</v>
      </c>
      <c r="L1814" s="6">
        <f t="shared" si="173"/>
        <v>2.7082437750074403E-2</v>
      </c>
      <c r="M1814">
        <f t="shared" si="174"/>
        <v>1.0187912087912088</v>
      </c>
      <c r="N1814">
        <f t="shared" si="175"/>
        <v>6.8957851239669417</v>
      </c>
      <c r="O1814">
        <f t="shared" si="176"/>
        <v>5215.6099999999997</v>
      </c>
      <c r="P1814">
        <f t="shared" si="177"/>
        <v>0.14774114774114774</v>
      </c>
      <c r="Q1814" t="s">
        <v>4137</v>
      </c>
      <c r="R1814" t="s">
        <v>4142</v>
      </c>
      <c r="S1814">
        <f>YEAR(marketing_data[[#This Row],[Start_date]])</f>
        <v>2023</v>
      </c>
      <c r="T1814" t="str">
        <f>TEXT(marketing_data[[#This Row],[Start_date]],"ddd")</f>
        <v>Thu</v>
      </c>
      <c r="U1814">
        <f>marketing_data[[#This Row],[Cleaned End_date]]-marketing_data[[#This Row],[Start_date]]</f>
        <v>17</v>
      </c>
    </row>
    <row r="1815" spans="1:21" x14ac:dyDescent="0.2">
      <c r="A1815" t="s">
        <v>3738</v>
      </c>
      <c r="B1815" t="s">
        <v>3739</v>
      </c>
      <c r="C1815" s="2">
        <v>45283</v>
      </c>
      <c r="D1815" t="str">
        <f t="shared" si="172"/>
        <v>Dec</v>
      </c>
      <c r="E1815" s="2">
        <v>45289</v>
      </c>
      <c r="F1815" t="s">
        <v>33</v>
      </c>
      <c r="G1815">
        <v>97214</v>
      </c>
      <c r="H1815">
        <v>1774</v>
      </c>
      <c r="I1815">
        <v>214</v>
      </c>
      <c r="J1815" t="b">
        <v>0</v>
      </c>
      <c r="K1815" s="10">
        <v>980.71</v>
      </c>
      <c r="L1815" s="6">
        <f t="shared" si="173"/>
        <v>1.8248400436151172E-2</v>
      </c>
      <c r="M1815">
        <f t="shared" si="174"/>
        <v>0.55282412626832023</v>
      </c>
      <c r="N1815">
        <f t="shared" si="175"/>
        <v>4.5827570093457943</v>
      </c>
      <c r="O1815">
        <f t="shared" si="176"/>
        <v>9719.2900000000009</v>
      </c>
      <c r="P1815">
        <f t="shared" si="177"/>
        <v>0.12063134160090191</v>
      </c>
      <c r="Q1815" t="s">
        <v>4138</v>
      </c>
      <c r="R1815" t="s">
        <v>4138</v>
      </c>
      <c r="S1815">
        <f>YEAR(marketing_data[[#This Row],[Start_date]])</f>
        <v>2023</v>
      </c>
      <c r="T1815" t="str">
        <f>TEXT(marketing_data[[#This Row],[Start_date]],"ddd")</f>
        <v>Sat</v>
      </c>
      <c r="U1815">
        <f>marketing_data[[#This Row],[Cleaned End_date]]-marketing_data[[#This Row],[Start_date]]</f>
        <v>6</v>
      </c>
    </row>
    <row r="1816" spans="1:21" x14ac:dyDescent="0.2">
      <c r="A1816" t="s">
        <v>3740</v>
      </c>
      <c r="B1816" t="s">
        <v>3741</v>
      </c>
      <c r="C1816" s="2">
        <v>45262</v>
      </c>
      <c r="D1816" t="str">
        <f t="shared" si="172"/>
        <v>Dec</v>
      </c>
      <c r="E1816" s="2">
        <v>45292</v>
      </c>
      <c r="F1816" t="s">
        <v>14</v>
      </c>
      <c r="G1816">
        <v>45569</v>
      </c>
      <c r="H1816">
        <v>1913</v>
      </c>
      <c r="I1816">
        <v>259</v>
      </c>
      <c r="J1816" t="b">
        <v>1</v>
      </c>
      <c r="K1816" s="10">
        <v>3097.66</v>
      </c>
      <c r="L1816" s="6">
        <f t="shared" si="173"/>
        <v>4.1980293620663169E-2</v>
      </c>
      <c r="M1816">
        <f t="shared" si="174"/>
        <v>1.6192681651855723</v>
      </c>
      <c r="N1816">
        <f t="shared" si="175"/>
        <v>11.960077220077219</v>
      </c>
      <c r="O1816">
        <f t="shared" si="176"/>
        <v>9852.34</v>
      </c>
      <c r="P1816">
        <f t="shared" si="177"/>
        <v>0.1353894406691061</v>
      </c>
      <c r="Q1816" t="s">
        <v>4138</v>
      </c>
      <c r="R1816" t="s">
        <v>4138</v>
      </c>
      <c r="S1816">
        <f>YEAR(marketing_data[[#This Row],[Start_date]])</f>
        <v>2023</v>
      </c>
      <c r="T1816" t="str">
        <f>TEXT(marketing_data[[#This Row],[Start_date]],"ddd")</f>
        <v>Sat</v>
      </c>
      <c r="U1816">
        <f>marketing_data[[#This Row],[Cleaned End_date]]-marketing_data[[#This Row],[Start_date]]</f>
        <v>30</v>
      </c>
    </row>
    <row r="1817" spans="1:21" x14ac:dyDescent="0.2">
      <c r="A1817" t="s">
        <v>3742</v>
      </c>
      <c r="B1817" t="s">
        <v>3743</v>
      </c>
      <c r="C1817" s="2">
        <v>45265</v>
      </c>
      <c r="D1817" t="str">
        <f t="shared" si="172"/>
        <v>Dec</v>
      </c>
      <c r="E1817" s="2">
        <v>45269</v>
      </c>
      <c r="F1817" t="s">
        <v>41</v>
      </c>
      <c r="G1817">
        <v>12745</v>
      </c>
      <c r="H1817">
        <v>297</v>
      </c>
      <c r="I1817">
        <v>16</v>
      </c>
      <c r="J1817" t="b">
        <v>1</v>
      </c>
      <c r="K1817" s="10">
        <v>505.81</v>
      </c>
      <c r="L1817" s="6">
        <f t="shared" si="173"/>
        <v>2.3303256178893682E-2</v>
      </c>
      <c r="M1817">
        <f t="shared" si="174"/>
        <v>1.7030639730639732</v>
      </c>
      <c r="N1817">
        <f t="shared" si="175"/>
        <v>31.613125</v>
      </c>
      <c r="O1817">
        <f t="shared" si="176"/>
        <v>294.19</v>
      </c>
      <c r="P1817">
        <f t="shared" si="177"/>
        <v>5.387205387205387E-2</v>
      </c>
      <c r="Q1817" t="s">
        <v>4138</v>
      </c>
      <c r="R1817" t="s">
        <v>4141</v>
      </c>
      <c r="S1817">
        <f>YEAR(marketing_data[[#This Row],[Start_date]])</f>
        <v>2023</v>
      </c>
      <c r="T1817" t="str">
        <f>TEXT(marketing_data[[#This Row],[Start_date]],"ddd")</f>
        <v>Tue</v>
      </c>
      <c r="U1817">
        <f>marketing_data[[#This Row],[Cleaned End_date]]-marketing_data[[#This Row],[Start_date]]</f>
        <v>4</v>
      </c>
    </row>
    <row r="1818" spans="1:21" x14ac:dyDescent="0.2">
      <c r="A1818" t="s">
        <v>3744</v>
      </c>
      <c r="B1818" t="s">
        <v>3745</v>
      </c>
      <c r="C1818" s="2">
        <v>45264</v>
      </c>
      <c r="D1818" t="str">
        <f t="shared" si="172"/>
        <v>Dec</v>
      </c>
      <c r="E1818" s="2">
        <v>45269</v>
      </c>
      <c r="F1818" t="s">
        <v>14</v>
      </c>
      <c r="G1818">
        <v>27029</v>
      </c>
      <c r="H1818">
        <v>1205</v>
      </c>
      <c r="I1818">
        <v>173</v>
      </c>
      <c r="J1818" t="b">
        <v>1</v>
      </c>
      <c r="K1818" s="10">
        <v>892.77</v>
      </c>
      <c r="L1818" s="6">
        <f t="shared" si="173"/>
        <v>4.4581745532576121E-2</v>
      </c>
      <c r="M1818">
        <f t="shared" si="174"/>
        <v>0.74088796680497926</v>
      </c>
      <c r="N1818">
        <f t="shared" si="175"/>
        <v>5.1605202312138729</v>
      </c>
      <c r="O1818">
        <f t="shared" si="176"/>
        <v>7757.23</v>
      </c>
      <c r="P1818">
        <f t="shared" si="177"/>
        <v>0.14356846473029045</v>
      </c>
      <c r="Q1818" t="s">
        <v>4138</v>
      </c>
      <c r="R1818" t="s">
        <v>4141</v>
      </c>
      <c r="S1818">
        <f>YEAR(marketing_data[[#This Row],[Start_date]])</f>
        <v>2023</v>
      </c>
      <c r="T1818" t="str">
        <f>TEXT(marketing_data[[#This Row],[Start_date]],"ddd")</f>
        <v>Mon</v>
      </c>
      <c r="U1818">
        <f>marketing_data[[#This Row],[Cleaned End_date]]-marketing_data[[#This Row],[Start_date]]</f>
        <v>5</v>
      </c>
    </row>
    <row r="1819" spans="1:21" x14ac:dyDescent="0.2">
      <c r="A1819" t="s">
        <v>3746</v>
      </c>
      <c r="B1819" t="s">
        <v>3747</v>
      </c>
      <c r="C1819" s="2">
        <v>45076</v>
      </c>
      <c r="D1819" t="str">
        <f t="shared" si="172"/>
        <v>May</v>
      </c>
      <c r="E1819" s="2">
        <v>45100</v>
      </c>
      <c r="F1819" t="s">
        <v>41</v>
      </c>
      <c r="G1819">
        <v>14025</v>
      </c>
      <c r="H1819">
        <v>653</v>
      </c>
      <c r="I1819">
        <v>93</v>
      </c>
      <c r="J1819" t="b">
        <v>0</v>
      </c>
      <c r="K1819" s="10">
        <v>852.83</v>
      </c>
      <c r="L1819" s="6">
        <f t="shared" si="173"/>
        <v>4.6559714795008915E-2</v>
      </c>
      <c r="M1819">
        <f t="shared" si="174"/>
        <v>1.3060183767228177</v>
      </c>
      <c r="N1819">
        <f t="shared" si="175"/>
        <v>9.1702150537634406</v>
      </c>
      <c r="O1819">
        <f t="shared" si="176"/>
        <v>3797.17</v>
      </c>
      <c r="P1819">
        <f t="shared" si="177"/>
        <v>0.14241960183767227</v>
      </c>
      <c r="Q1819" t="s">
        <v>4137</v>
      </c>
      <c r="R1819" t="s">
        <v>4138</v>
      </c>
      <c r="S1819">
        <f>YEAR(marketing_data[[#This Row],[Start_date]])</f>
        <v>2023</v>
      </c>
      <c r="T1819" t="str">
        <f>TEXT(marketing_data[[#This Row],[Start_date]],"ddd")</f>
        <v>Tue</v>
      </c>
      <c r="U1819">
        <f>marketing_data[[#This Row],[Cleaned End_date]]-marketing_data[[#This Row],[Start_date]]</f>
        <v>24</v>
      </c>
    </row>
    <row r="1820" spans="1:21" x14ac:dyDescent="0.2">
      <c r="A1820" t="s">
        <v>3748</v>
      </c>
      <c r="B1820" t="s">
        <v>3749</v>
      </c>
      <c r="C1820" s="2">
        <v>45045</v>
      </c>
      <c r="D1820" t="str">
        <f t="shared" si="172"/>
        <v>Apr</v>
      </c>
      <c r="E1820" s="2">
        <v>45068</v>
      </c>
      <c r="F1820" t="s">
        <v>33</v>
      </c>
      <c r="G1820">
        <v>15288</v>
      </c>
      <c r="H1820">
        <v>678</v>
      </c>
      <c r="I1820">
        <v>124</v>
      </c>
      <c r="J1820" t="b">
        <v>0</v>
      </c>
      <c r="K1820" s="10">
        <v>534.22</v>
      </c>
      <c r="L1820" s="6">
        <f t="shared" si="173"/>
        <v>4.4348508634222919E-2</v>
      </c>
      <c r="M1820">
        <f t="shared" si="174"/>
        <v>0.78793510324483784</v>
      </c>
      <c r="N1820">
        <f t="shared" si="175"/>
        <v>4.3082258064516132</v>
      </c>
      <c r="O1820">
        <f t="shared" si="176"/>
        <v>5665.78</v>
      </c>
      <c r="P1820">
        <f t="shared" si="177"/>
        <v>0.18289085545722714</v>
      </c>
      <c r="Q1820" t="s">
        <v>4137</v>
      </c>
      <c r="R1820" t="s">
        <v>4138</v>
      </c>
      <c r="S1820">
        <f>YEAR(marketing_data[[#This Row],[Start_date]])</f>
        <v>2023</v>
      </c>
      <c r="T1820" t="str">
        <f>TEXT(marketing_data[[#This Row],[Start_date]],"ddd")</f>
        <v>Sat</v>
      </c>
      <c r="U1820">
        <f>marketing_data[[#This Row],[Cleaned End_date]]-marketing_data[[#This Row],[Start_date]]</f>
        <v>23</v>
      </c>
    </row>
    <row r="1821" spans="1:21" x14ac:dyDescent="0.2">
      <c r="A1821" t="s">
        <v>3750</v>
      </c>
      <c r="B1821" t="s">
        <v>3751</v>
      </c>
      <c r="C1821" s="2">
        <v>45290</v>
      </c>
      <c r="D1821" t="str">
        <f t="shared" si="172"/>
        <v>Dec</v>
      </c>
      <c r="E1821" s="2">
        <v>45308</v>
      </c>
      <c r="F1821" t="s">
        <v>41</v>
      </c>
      <c r="G1821">
        <v>90186</v>
      </c>
      <c r="H1821">
        <v>1028</v>
      </c>
      <c r="I1821">
        <v>129</v>
      </c>
      <c r="J1821" t="b">
        <v>0</v>
      </c>
      <c r="K1821" s="10">
        <v>1623.06</v>
      </c>
      <c r="L1821" s="6">
        <f t="shared" si="173"/>
        <v>1.139866498126095E-2</v>
      </c>
      <c r="M1821">
        <f t="shared" si="174"/>
        <v>1.578852140077821</v>
      </c>
      <c r="N1821">
        <f t="shared" si="175"/>
        <v>12.581860465116279</v>
      </c>
      <c r="O1821">
        <f t="shared" si="176"/>
        <v>4826.9400000000005</v>
      </c>
      <c r="P1821">
        <f t="shared" si="177"/>
        <v>0.1254863813229572</v>
      </c>
      <c r="Q1821" t="s">
        <v>4138</v>
      </c>
      <c r="R1821" t="s">
        <v>4142</v>
      </c>
      <c r="S1821">
        <f>YEAR(marketing_data[[#This Row],[Start_date]])</f>
        <v>2023</v>
      </c>
      <c r="T1821" t="str">
        <f>TEXT(marketing_data[[#This Row],[Start_date]],"ddd")</f>
        <v>Sat</v>
      </c>
      <c r="U1821">
        <f>marketing_data[[#This Row],[Cleaned End_date]]-marketing_data[[#This Row],[Start_date]]</f>
        <v>18</v>
      </c>
    </row>
    <row r="1822" spans="1:21" x14ac:dyDescent="0.2">
      <c r="A1822" t="s">
        <v>3753</v>
      </c>
      <c r="B1822" t="s">
        <v>3754</v>
      </c>
      <c r="C1822" s="2">
        <v>45088</v>
      </c>
      <c r="D1822" t="str">
        <f t="shared" si="172"/>
        <v>Jun</v>
      </c>
      <c r="E1822" s="2">
        <v>45097</v>
      </c>
      <c r="F1822" t="s">
        <v>14</v>
      </c>
      <c r="G1822">
        <v>7540</v>
      </c>
      <c r="H1822">
        <v>312</v>
      </c>
      <c r="J1822" t="b">
        <v>1</v>
      </c>
      <c r="K1822" s="10">
        <v>329.13249999999999</v>
      </c>
      <c r="L1822" s="6">
        <f t="shared" si="173"/>
        <v>4.1379310344827586E-2</v>
      </c>
      <c r="M1822">
        <f t="shared" si="174"/>
        <v>1.0549118589743589</v>
      </c>
      <c r="N1822">
        <f t="shared" si="175"/>
        <v>0</v>
      </c>
      <c r="O1822">
        <f t="shared" si="176"/>
        <v>-329.13249999999999</v>
      </c>
      <c r="P1822">
        <f t="shared" si="177"/>
        <v>0</v>
      </c>
      <c r="Q1822" t="s">
        <v>4139</v>
      </c>
      <c r="R1822" t="s">
        <v>4139</v>
      </c>
      <c r="S1822">
        <f>YEAR(marketing_data[[#This Row],[Start_date]])</f>
        <v>2023</v>
      </c>
      <c r="T1822" t="str">
        <f>TEXT(marketing_data[[#This Row],[Start_date]],"ddd")</f>
        <v>Sun</v>
      </c>
      <c r="U1822">
        <f>marketing_data[[#This Row],[Cleaned End_date]]-marketing_data[[#This Row],[Start_date]]</f>
        <v>9</v>
      </c>
    </row>
    <row r="1823" spans="1:21" x14ac:dyDescent="0.2">
      <c r="A1823" t="s">
        <v>3755</v>
      </c>
      <c r="B1823" t="s">
        <v>3756</v>
      </c>
      <c r="C1823" s="2">
        <v>44972</v>
      </c>
      <c r="D1823" t="str">
        <f t="shared" si="172"/>
        <v>Feb</v>
      </c>
      <c r="E1823" s="2">
        <v>44974</v>
      </c>
      <c r="F1823" t="s">
        <v>14</v>
      </c>
      <c r="G1823">
        <v>98768</v>
      </c>
      <c r="H1823">
        <v>2612</v>
      </c>
      <c r="I1823">
        <v>250</v>
      </c>
      <c r="J1823" t="b">
        <v>1</v>
      </c>
      <c r="K1823" s="10">
        <v>2544.9299999999998</v>
      </c>
      <c r="L1823" s="6">
        <f t="shared" si="173"/>
        <v>2.6445812408877369E-2</v>
      </c>
      <c r="M1823">
        <f t="shared" si="174"/>
        <v>0.97432235834609493</v>
      </c>
      <c r="N1823">
        <f t="shared" si="175"/>
        <v>10.17972</v>
      </c>
      <c r="O1823">
        <f t="shared" si="176"/>
        <v>9955.07</v>
      </c>
      <c r="P1823">
        <f t="shared" si="177"/>
        <v>9.5712098009188368E-2</v>
      </c>
      <c r="Q1823" t="s">
        <v>4138</v>
      </c>
      <c r="R1823" t="s">
        <v>4141</v>
      </c>
      <c r="S1823">
        <f>YEAR(marketing_data[[#This Row],[Start_date]])</f>
        <v>2023</v>
      </c>
      <c r="T1823" t="str">
        <f>TEXT(marketing_data[[#This Row],[Start_date]],"ddd")</f>
        <v>Wed</v>
      </c>
      <c r="U1823">
        <f>marketing_data[[#This Row],[Cleaned End_date]]-marketing_data[[#This Row],[Start_date]]</f>
        <v>2</v>
      </c>
    </row>
    <row r="1824" spans="1:21" x14ac:dyDescent="0.2">
      <c r="A1824" t="s">
        <v>3757</v>
      </c>
      <c r="B1824" t="s">
        <v>3758</v>
      </c>
      <c r="C1824" s="2">
        <v>45161</v>
      </c>
      <c r="D1824" t="str">
        <f t="shared" si="172"/>
        <v>Aug</v>
      </c>
      <c r="E1824" s="2">
        <v>45162</v>
      </c>
      <c r="F1824" t="s">
        <v>41</v>
      </c>
      <c r="G1824">
        <v>82958</v>
      </c>
      <c r="H1824">
        <v>3728</v>
      </c>
      <c r="I1824">
        <v>553</v>
      </c>
      <c r="J1824" t="b">
        <v>1</v>
      </c>
      <c r="K1824" s="10">
        <v>3631.7599999999998</v>
      </c>
      <c r="L1824" s="6">
        <f t="shared" si="173"/>
        <v>4.4938402565153454E-2</v>
      </c>
      <c r="M1824">
        <f t="shared" si="174"/>
        <v>0.97418454935622312</v>
      </c>
      <c r="N1824">
        <f t="shared" si="175"/>
        <v>6.5673779385171782</v>
      </c>
      <c r="O1824">
        <f t="shared" si="176"/>
        <v>24018.240000000002</v>
      </c>
      <c r="P1824">
        <f t="shared" si="177"/>
        <v>0.14833690987124465</v>
      </c>
      <c r="Q1824" t="s">
        <v>4139</v>
      </c>
      <c r="R1824" t="s">
        <v>4138</v>
      </c>
      <c r="S1824">
        <f>YEAR(marketing_data[[#This Row],[Start_date]])</f>
        <v>2023</v>
      </c>
      <c r="T1824" t="str">
        <f>TEXT(marketing_data[[#This Row],[Start_date]],"ddd")</f>
        <v>Wed</v>
      </c>
      <c r="U1824">
        <f>marketing_data[[#This Row],[Cleaned End_date]]-marketing_data[[#This Row],[Start_date]]</f>
        <v>1</v>
      </c>
    </row>
    <row r="1825" spans="1:21" x14ac:dyDescent="0.2">
      <c r="A1825" t="s">
        <v>3759</v>
      </c>
      <c r="B1825" t="s">
        <v>3760</v>
      </c>
      <c r="C1825" s="2">
        <v>44947</v>
      </c>
      <c r="D1825" t="str">
        <f t="shared" si="172"/>
        <v>Jan</v>
      </c>
      <c r="E1825" s="2">
        <v>44964</v>
      </c>
      <c r="F1825" t="s">
        <v>19</v>
      </c>
      <c r="G1825">
        <v>69878</v>
      </c>
      <c r="H1825">
        <v>2481</v>
      </c>
      <c r="I1825">
        <v>213</v>
      </c>
      <c r="J1825" t="b">
        <v>1</v>
      </c>
      <c r="K1825" s="10">
        <v>3013.13</v>
      </c>
      <c r="L1825" s="6">
        <f t="shared" si="173"/>
        <v>3.5504736827041417E-2</v>
      </c>
      <c r="M1825">
        <f t="shared" si="174"/>
        <v>1.2144820636839984</v>
      </c>
      <c r="N1825">
        <f t="shared" si="175"/>
        <v>14.146150234741784</v>
      </c>
      <c r="O1825">
        <f t="shared" si="176"/>
        <v>7636.87</v>
      </c>
      <c r="P1825">
        <f t="shared" si="177"/>
        <v>8.5852478839177751E-2</v>
      </c>
      <c r="Q1825" t="s">
        <v>4138</v>
      </c>
      <c r="R1825" t="s">
        <v>4142</v>
      </c>
      <c r="S1825">
        <f>YEAR(marketing_data[[#This Row],[Start_date]])</f>
        <v>2023</v>
      </c>
      <c r="T1825" t="str">
        <f>TEXT(marketing_data[[#This Row],[Start_date]],"ddd")</f>
        <v>Sat</v>
      </c>
      <c r="U1825">
        <f>marketing_data[[#This Row],[Cleaned End_date]]-marketing_data[[#This Row],[Start_date]]</f>
        <v>17</v>
      </c>
    </row>
    <row r="1826" spans="1:21" x14ac:dyDescent="0.2">
      <c r="A1826" t="s">
        <v>3761</v>
      </c>
      <c r="B1826" t="s">
        <v>3762</v>
      </c>
      <c r="C1826" s="2">
        <v>45097</v>
      </c>
      <c r="D1826" t="str">
        <f t="shared" si="172"/>
        <v>Jun</v>
      </c>
      <c r="E1826" s="2">
        <v>45104</v>
      </c>
      <c r="F1826" t="s">
        <v>33</v>
      </c>
      <c r="G1826">
        <v>42846</v>
      </c>
      <c r="H1826">
        <v>1857</v>
      </c>
      <c r="I1826">
        <v>170</v>
      </c>
      <c r="J1826" t="b">
        <v>0</v>
      </c>
      <c r="K1826" s="10">
        <v>2794.1</v>
      </c>
      <c r="L1826" s="6">
        <f t="shared" si="173"/>
        <v>4.3341268729869764E-2</v>
      </c>
      <c r="M1826">
        <f t="shared" si="174"/>
        <v>1.5046311254711899</v>
      </c>
      <c r="N1826">
        <f t="shared" si="175"/>
        <v>16.435882352941174</v>
      </c>
      <c r="O1826">
        <f t="shared" si="176"/>
        <v>5705.9</v>
      </c>
      <c r="P1826">
        <f t="shared" si="177"/>
        <v>9.1545503500269257E-2</v>
      </c>
      <c r="Q1826" t="s">
        <v>4139</v>
      </c>
      <c r="R1826" t="s">
        <v>4138</v>
      </c>
      <c r="S1826">
        <f>YEAR(marketing_data[[#This Row],[Start_date]])</f>
        <v>2023</v>
      </c>
      <c r="T1826" t="str">
        <f>TEXT(marketing_data[[#This Row],[Start_date]],"ddd")</f>
        <v>Tue</v>
      </c>
      <c r="U1826">
        <f>marketing_data[[#This Row],[Cleaned End_date]]-marketing_data[[#This Row],[Start_date]]</f>
        <v>7</v>
      </c>
    </row>
    <row r="1827" spans="1:21" x14ac:dyDescent="0.2">
      <c r="A1827" t="s">
        <v>3763</v>
      </c>
      <c r="B1827" t="s">
        <v>3764</v>
      </c>
      <c r="C1827" s="2">
        <v>44936</v>
      </c>
      <c r="D1827" t="str">
        <f t="shared" si="172"/>
        <v>Jan</v>
      </c>
      <c r="E1827" s="2">
        <v>44957</v>
      </c>
      <c r="F1827" t="s">
        <v>41</v>
      </c>
      <c r="G1827">
        <v>76932</v>
      </c>
      <c r="H1827">
        <v>2306</v>
      </c>
      <c r="I1827">
        <v>399</v>
      </c>
      <c r="J1827" t="b">
        <v>0</v>
      </c>
      <c r="K1827" s="10">
        <v>2544.81</v>
      </c>
      <c r="L1827" s="6">
        <f t="shared" si="173"/>
        <v>2.9974522955337181E-2</v>
      </c>
      <c r="M1827">
        <f t="shared" si="174"/>
        <v>1.1035602775368603</v>
      </c>
      <c r="N1827">
        <f t="shared" si="175"/>
        <v>6.3779699248120298</v>
      </c>
      <c r="O1827">
        <f t="shared" si="176"/>
        <v>17405.189999999999</v>
      </c>
      <c r="P1827">
        <f t="shared" si="177"/>
        <v>0.17302688638334779</v>
      </c>
      <c r="Q1827" t="s">
        <v>4138</v>
      </c>
      <c r="R1827" t="s">
        <v>4138</v>
      </c>
      <c r="S1827">
        <f>YEAR(marketing_data[[#This Row],[Start_date]])</f>
        <v>2023</v>
      </c>
      <c r="T1827" t="str">
        <f>TEXT(marketing_data[[#This Row],[Start_date]],"ddd")</f>
        <v>Tue</v>
      </c>
      <c r="U1827">
        <f>marketing_data[[#This Row],[Cleaned End_date]]-marketing_data[[#This Row],[Start_date]]</f>
        <v>21</v>
      </c>
    </row>
    <row r="1828" spans="1:21" x14ac:dyDescent="0.2">
      <c r="A1828" t="s">
        <v>3765</v>
      </c>
      <c r="B1828" t="s">
        <v>3766</v>
      </c>
      <c r="C1828" s="2">
        <v>45247</v>
      </c>
      <c r="D1828" t="str">
        <f t="shared" si="172"/>
        <v>Nov</v>
      </c>
      <c r="E1828" s="2">
        <v>45264</v>
      </c>
      <c r="F1828" t="s">
        <v>14</v>
      </c>
      <c r="G1828">
        <v>18482</v>
      </c>
      <c r="H1828">
        <v>580</v>
      </c>
      <c r="I1828">
        <v>79</v>
      </c>
      <c r="J1828" t="b">
        <v>1</v>
      </c>
      <c r="K1828" s="10">
        <v>549.27</v>
      </c>
      <c r="L1828" s="6">
        <f t="shared" si="173"/>
        <v>3.1381885077372579E-2</v>
      </c>
      <c r="M1828">
        <f t="shared" si="174"/>
        <v>0.94701724137931031</v>
      </c>
      <c r="N1828">
        <f t="shared" si="175"/>
        <v>6.9527848101265821</v>
      </c>
      <c r="O1828">
        <f t="shared" si="176"/>
        <v>3400.73</v>
      </c>
      <c r="P1828">
        <f t="shared" si="177"/>
        <v>0.13620689655172413</v>
      </c>
      <c r="Q1828" t="s">
        <v>4136</v>
      </c>
      <c r="R1828" t="s">
        <v>4141</v>
      </c>
      <c r="S1828">
        <f>YEAR(marketing_data[[#This Row],[Start_date]])</f>
        <v>2023</v>
      </c>
      <c r="T1828" t="str">
        <f>TEXT(marketing_data[[#This Row],[Start_date]],"ddd")</f>
        <v>Fri</v>
      </c>
      <c r="U1828">
        <f>marketing_data[[#This Row],[Cleaned End_date]]-marketing_data[[#This Row],[Start_date]]</f>
        <v>17</v>
      </c>
    </row>
    <row r="1829" spans="1:21" x14ac:dyDescent="0.2">
      <c r="A1829" t="s">
        <v>3767</v>
      </c>
      <c r="B1829" t="s">
        <v>3768</v>
      </c>
      <c r="C1829" s="2">
        <v>45183</v>
      </c>
      <c r="D1829" t="str">
        <f t="shared" si="172"/>
        <v>Sep</v>
      </c>
      <c r="E1829" s="2">
        <v>45195</v>
      </c>
      <c r="F1829" t="s">
        <v>41</v>
      </c>
      <c r="G1829">
        <v>24411</v>
      </c>
      <c r="H1829">
        <v>385</v>
      </c>
      <c r="I1829">
        <v>48</v>
      </c>
      <c r="J1829" t="b">
        <v>0</v>
      </c>
      <c r="K1829" s="10">
        <v>553.71</v>
      </c>
      <c r="L1829" s="6">
        <f t="shared" si="173"/>
        <v>1.5771578386792839E-2</v>
      </c>
      <c r="M1829">
        <f t="shared" si="174"/>
        <v>1.4382077922077923</v>
      </c>
      <c r="N1829">
        <f t="shared" si="175"/>
        <v>11.535625000000001</v>
      </c>
      <c r="O1829">
        <f t="shared" si="176"/>
        <v>1846.29</v>
      </c>
      <c r="P1829">
        <f t="shared" si="177"/>
        <v>0.12467532467532468</v>
      </c>
      <c r="Q1829" t="s">
        <v>4136</v>
      </c>
      <c r="R1829" t="s">
        <v>4139</v>
      </c>
      <c r="S1829">
        <f>YEAR(marketing_data[[#This Row],[Start_date]])</f>
        <v>2023</v>
      </c>
      <c r="T1829" t="str">
        <f>TEXT(marketing_data[[#This Row],[Start_date]],"ddd")</f>
        <v>Thu</v>
      </c>
      <c r="U1829">
        <f>marketing_data[[#This Row],[Cleaned End_date]]-marketing_data[[#This Row],[Start_date]]</f>
        <v>12</v>
      </c>
    </row>
    <row r="1830" spans="1:21" x14ac:dyDescent="0.2">
      <c r="A1830" t="s">
        <v>3769</v>
      </c>
      <c r="B1830" t="s">
        <v>3770</v>
      </c>
      <c r="C1830" s="2">
        <v>45058</v>
      </c>
      <c r="D1830" t="str">
        <f t="shared" si="172"/>
        <v>May</v>
      </c>
      <c r="E1830" s="2">
        <v>45059</v>
      </c>
      <c r="F1830" t="s">
        <v>33</v>
      </c>
      <c r="G1830">
        <v>51975</v>
      </c>
      <c r="H1830">
        <v>2149</v>
      </c>
      <c r="I1830">
        <v>210</v>
      </c>
      <c r="J1830" t="b">
        <v>0</v>
      </c>
      <c r="K1830" s="10">
        <v>1573.68</v>
      </c>
      <c r="L1830" s="6">
        <f t="shared" si="173"/>
        <v>4.1346801346801347E-2</v>
      </c>
      <c r="M1830">
        <f t="shared" si="174"/>
        <v>0.73228478362028848</v>
      </c>
      <c r="N1830">
        <f t="shared" si="175"/>
        <v>7.4937142857142858</v>
      </c>
      <c r="O1830">
        <f t="shared" si="176"/>
        <v>8926.32</v>
      </c>
      <c r="P1830">
        <f t="shared" si="177"/>
        <v>9.7719869706840393E-2</v>
      </c>
      <c r="Q1830" t="s">
        <v>4137</v>
      </c>
      <c r="R1830" t="s">
        <v>4139</v>
      </c>
      <c r="S1830">
        <f>YEAR(marketing_data[[#This Row],[Start_date]])</f>
        <v>2023</v>
      </c>
      <c r="T1830" t="str">
        <f>TEXT(marketing_data[[#This Row],[Start_date]],"ddd")</f>
        <v>Fri</v>
      </c>
      <c r="U1830">
        <f>marketing_data[[#This Row],[Cleaned End_date]]-marketing_data[[#This Row],[Start_date]]</f>
        <v>1</v>
      </c>
    </row>
    <row r="1831" spans="1:21" x14ac:dyDescent="0.2">
      <c r="A1831" t="s">
        <v>3771</v>
      </c>
      <c r="B1831" t="s">
        <v>3772</v>
      </c>
      <c r="C1831" s="2">
        <v>44942</v>
      </c>
      <c r="D1831" t="str">
        <f t="shared" si="172"/>
        <v>Jan</v>
      </c>
      <c r="E1831" s="2">
        <v>44957</v>
      </c>
      <c r="F1831" t="s">
        <v>14</v>
      </c>
      <c r="G1831">
        <v>61545</v>
      </c>
      <c r="H1831">
        <v>1647</v>
      </c>
      <c r="I1831">
        <v>262</v>
      </c>
      <c r="J1831" t="b">
        <v>1</v>
      </c>
      <c r="K1831" s="10">
        <v>1745</v>
      </c>
      <c r="L1831" s="6">
        <f t="shared" si="173"/>
        <v>2.6760906653668048E-2</v>
      </c>
      <c r="M1831">
        <f t="shared" si="174"/>
        <v>1.0595021250758956</v>
      </c>
      <c r="N1831">
        <f t="shared" si="175"/>
        <v>6.6603053435114505</v>
      </c>
      <c r="O1831">
        <f t="shared" si="176"/>
        <v>11355</v>
      </c>
      <c r="P1831">
        <f t="shared" si="177"/>
        <v>0.15907710989678203</v>
      </c>
      <c r="Q1831" t="s">
        <v>4138</v>
      </c>
      <c r="R1831" t="s">
        <v>4139</v>
      </c>
      <c r="S1831">
        <f>YEAR(marketing_data[[#This Row],[Start_date]])</f>
        <v>2023</v>
      </c>
      <c r="T1831" t="str">
        <f>TEXT(marketing_data[[#This Row],[Start_date]],"ddd")</f>
        <v>Mon</v>
      </c>
      <c r="U1831">
        <f>marketing_data[[#This Row],[Cleaned End_date]]-marketing_data[[#This Row],[Start_date]]</f>
        <v>15</v>
      </c>
    </row>
    <row r="1832" spans="1:21" x14ac:dyDescent="0.2">
      <c r="A1832" t="s">
        <v>3773</v>
      </c>
      <c r="B1832" t="s">
        <v>3774</v>
      </c>
      <c r="C1832" s="2">
        <v>45042</v>
      </c>
      <c r="D1832" t="str">
        <f t="shared" si="172"/>
        <v>Apr</v>
      </c>
      <c r="E1832" s="2">
        <v>45055</v>
      </c>
      <c r="F1832" t="s">
        <v>41</v>
      </c>
      <c r="G1832">
        <v>79797</v>
      </c>
      <c r="H1832">
        <v>2394</v>
      </c>
      <c r="J1832" t="b">
        <v>0</v>
      </c>
      <c r="K1832" s="10">
        <v>1947.65</v>
      </c>
      <c r="L1832" s="6">
        <f t="shared" si="173"/>
        <v>3.0001127861949698E-2</v>
      </c>
      <c r="M1832">
        <f t="shared" si="174"/>
        <v>0.81355472013366759</v>
      </c>
      <c r="N1832">
        <f t="shared" si="175"/>
        <v>0</v>
      </c>
      <c r="O1832">
        <f t="shared" si="176"/>
        <v>-1947.65</v>
      </c>
      <c r="P1832">
        <f t="shared" si="177"/>
        <v>0</v>
      </c>
      <c r="Q1832" t="s">
        <v>4137</v>
      </c>
      <c r="R1832" t="s">
        <v>4139</v>
      </c>
      <c r="S1832">
        <f>YEAR(marketing_data[[#This Row],[Start_date]])</f>
        <v>2023</v>
      </c>
      <c r="T1832" t="str">
        <f>TEXT(marketing_data[[#This Row],[Start_date]],"ddd")</f>
        <v>Wed</v>
      </c>
      <c r="U1832">
        <f>marketing_data[[#This Row],[Cleaned End_date]]-marketing_data[[#This Row],[Start_date]]</f>
        <v>13</v>
      </c>
    </row>
    <row r="1833" spans="1:21" x14ac:dyDescent="0.2">
      <c r="A1833" t="s">
        <v>3775</v>
      </c>
      <c r="B1833" t="s">
        <v>3776</v>
      </c>
      <c r="C1833" s="2">
        <v>45263</v>
      </c>
      <c r="D1833" t="str">
        <f t="shared" si="172"/>
        <v>Dec</v>
      </c>
      <c r="E1833" s="2">
        <v>45274</v>
      </c>
      <c r="F1833" t="s">
        <v>14</v>
      </c>
      <c r="G1833">
        <v>53307</v>
      </c>
      <c r="H1833">
        <v>2207</v>
      </c>
      <c r="I1833">
        <v>354</v>
      </c>
      <c r="J1833" t="b">
        <v>0</v>
      </c>
      <c r="K1833" s="10">
        <v>3406.93</v>
      </c>
      <c r="L1833" s="6">
        <f t="shared" si="173"/>
        <v>4.14016920854672E-2</v>
      </c>
      <c r="M1833">
        <f t="shared" si="174"/>
        <v>1.5436927956502038</v>
      </c>
      <c r="N1833">
        <f t="shared" si="175"/>
        <v>9.6240960451977404</v>
      </c>
      <c r="O1833">
        <f t="shared" si="176"/>
        <v>14293.07</v>
      </c>
      <c r="P1833">
        <f t="shared" si="177"/>
        <v>0.16039873130946986</v>
      </c>
      <c r="Q1833" t="s">
        <v>4138</v>
      </c>
      <c r="R1833" t="s">
        <v>4141</v>
      </c>
      <c r="S1833">
        <f>YEAR(marketing_data[[#This Row],[Start_date]])</f>
        <v>2023</v>
      </c>
      <c r="T1833" t="str">
        <f>TEXT(marketing_data[[#This Row],[Start_date]],"ddd")</f>
        <v>Sun</v>
      </c>
      <c r="U1833">
        <f>marketing_data[[#This Row],[Cleaned End_date]]-marketing_data[[#This Row],[Start_date]]</f>
        <v>11</v>
      </c>
    </row>
    <row r="1834" spans="1:21" x14ac:dyDescent="0.2">
      <c r="A1834" t="s">
        <v>3777</v>
      </c>
      <c r="B1834" t="s">
        <v>3778</v>
      </c>
      <c r="C1834" s="2">
        <v>45193</v>
      </c>
      <c r="D1834" t="str">
        <f t="shared" si="172"/>
        <v>Sep</v>
      </c>
      <c r="E1834" s="2">
        <v>45219</v>
      </c>
      <c r="F1834" t="s">
        <v>33</v>
      </c>
      <c r="G1834">
        <v>4093</v>
      </c>
      <c r="H1834">
        <v>138</v>
      </c>
      <c r="I1834">
        <v>8</v>
      </c>
      <c r="J1834" t="b">
        <v>0</v>
      </c>
      <c r="K1834" s="10">
        <v>329.13249999999999</v>
      </c>
      <c r="L1834" s="6">
        <f t="shared" si="173"/>
        <v>3.3716100659662837E-2</v>
      </c>
      <c r="M1834">
        <f t="shared" si="174"/>
        <v>2.3850181159420289</v>
      </c>
      <c r="N1834">
        <f t="shared" si="175"/>
        <v>41.141562499999999</v>
      </c>
      <c r="O1834">
        <f t="shared" si="176"/>
        <v>70.867500000000007</v>
      </c>
      <c r="P1834">
        <f t="shared" si="177"/>
        <v>5.7971014492753624E-2</v>
      </c>
      <c r="Q1834" t="s">
        <v>4136</v>
      </c>
      <c r="R1834" t="s">
        <v>4141</v>
      </c>
      <c r="S1834">
        <f>YEAR(marketing_data[[#This Row],[Start_date]])</f>
        <v>2023</v>
      </c>
      <c r="T1834" t="str">
        <f>TEXT(marketing_data[[#This Row],[Start_date]],"ddd")</f>
        <v>Sun</v>
      </c>
      <c r="U1834">
        <f>marketing_data[[#This Row],[Cleaned End_date]]-marketing_data[[#This Row],[Start_date]]</f>
        <v>26</v>
      </c>
    </row>
    <row r="1835" spans="1:21" x14ac:dyDescent="0.2">
      <c r="A1835" t="s">
        <v>3779</v>
      </c>
      <c r="B1835" t="s">
        <v>3780</v>
      </c>
      <c r="C1835" s="2">
        <v>45247</v>
      </c>
      <c r="D1835" t="str">
        <f t="shared" si="172"/>
        <v>Nov</v>
      </c>
      <c r="E1835" s="2">
        <v>45267</v>
      </c>
      <c r="F1835" t="s">
        <v>14</v>
      </c>
      <c r="G1835">
        <v>78258</v>
      </c>
      <c r="H1835">
        <v>1412</v>
      </c>
      <c r="I1835">
        <v>253</v>
      </c>
      <c r="J1835" t="b">
        <v>0</v>
      </c>
      <c r="K1835" s="10">
        <v>2814.49</v>
      </c>
      <c r="L1835" s="6">
        <f t="shared" si="173"/>
        <v>1.8042883794628026E-2</v>
      </c>
      <c r="M1835">
        <f t="shared" si="174"/>
        <v>1.9932648725212463</v>
      </c>
      <c r="N1835">
        <f t="shared" si="175"/>
        <v>11.124466403162055</v>
      </c>
      <c r="O1835">
        <f t="shared" si="176"/>
        <v>9835.51</v>
      </c>
      <c r="P1835">
        <f t="shared" si="177"/>
        <v>0.17917847025495751</v>
      </c>
      <c r="Q1835" t="s">
        <v>4136</v>
      </c>
      <c r="R1835" t="s">
        <v>4138</v>
      </c>
      <c r="S1835">
        <f>YEAR(marketing_data[[#This Row],[Start_date]])</f>
        <v>2023</v>
      </c>
      <c r="T1835" t="str">
        <f>TEXT(marketing_data[[#This Row],[Start_date]],"ddd")</f>
        <v>Fri</v>
      </c>
      <c r="U1835">
        <f>marketing_data[[#This Row],[Cleaned End_date]]-marketing_data[[#This Row],[Start_date]]</f>
        <v>20</v>
      </c>
    </row>
    <row r="1836" spans="1:21" x14ac:dyDescent="0.2">
      <c r="A1836" t="s">
        <v>3781</v>
      </c>
      <c r="B1836" t="s">
        <v>3782</v>
      </c>
      <c r="C1836" s="2">
        <v>45220</v>
      </c>
      <c r="D1836" t="str">
        <f t="shared" si="172"/>
        <v>Oct</v>
      </c>
      <c r="E1836" s="2">
        <v>45235</v>
      </c>
      <c r="F1836" t="s">
        <v>14</v>
      </c>
      <c r="G1836">
        <v>23042</v>
      </c>
      <c r="H1836">
        <v>774</v>
      </c>
      <c r="J1836" t="b">
        <v>1</v>
      </c>
      <c r="K1836" s="10">
        <v>909.77</v>
      </c>
      <c r="L1836" s="6">
        <f t="shared" si="173"/>
        <v>3.359083412898186E-2</v>
      </c>
      <c r="M1836">
        <f t="shared" si="174"/>
        <v>1.1754134366925064</v>
      </c>
      <c r="N1836">
        <f t="shared" si="175"/>
        <v>0</v>
      </c>
      <c r="O1836">
        <f t="shared" si="176"/>
        <v>-909.77</v>
      </c>
      <c r="P1836">
        <f t="shared" si="177"/>
        <v>0</v>
      </c>
      <c r="Q1836" t="s">
        <v>4136</v>
      </c>
      <c r="R1836" t="s">
        <v>4142</v>
      </c>
      <c r="S1836">
        <f>YEAR(marketing_data[[#This Row],[Start_date]])</f>
        <v>2023</v>
      </c>
      <c r="T1836" t="str">
        <f>TEXT(marketing_data[[#This Row],[Start_date]],"ddd")</f>
        <v>Sat</v>
      </c>
      <c r="U1836">
        <f>marketing_data[[#This Row],[Cleaned End_date]]-marketing_data[[#This Row],[Start_date]]</f>
        <v>15</v>
      </c>
    </row>
    <row r="1837" spans="1:21" x14ac:dyDescent="0.2">
      <c r="A1837" t="s">
        <v>3783</v>
      </c>
      <c r="B1837" t="s">
        <v>3784</v>
      </c>
      <c r="C1837" s="2">
        <v>45236</v>
      </c>
      <c r="D1837" t="str">
        <f t="shared" si="172"/>
        <v>Nov</v>
      </c>
      <c r="E1837" s="2">
        <v>45248</v>
      </c>
      <c r="F1837" t="s">
        <v>19</v>
      </c>
      <c r="G1837">
        <v>53930</v>
      </c>
      <c r="H1837">
        <v>1418</v>
      </c>
      <c r="I1837">
        <v>164</v>
      </c>
      <c r="J1837" t="b">
        <v>1</v>
      </c>
      <c r="K1837" s="10">
        <v>1246.1300000000001</v>
      </c>
      <c r="L1837" s="6">
        <f t="shared" si="173"/>
        <v>2.6293343222696088E-2</v>
      </c>
      <c r="M1837">
        <f t="shared" si="174"/>
        <v>0.87879407616361083</v>
      </c>
      <c r="N1837">
        <f t="shared" si="175"/>
        <v>7.5983536585365856</v>
      </c>
      <c r="O1837">
        <f t="shared" si="176"/>
        <v>6953.87</v>
      </c>
      <c r="P1837">
        <f t="shared" si="177"/>
        <v>0.1156558533145275</v>
      </c>
      <c r="Q1837" t="s">
        <v>4136</v>
      </c>
      <c r="R1837" t="s">
        <v>4141</v>
      </c>
      <c r="S1837">
        <f>YEAR(marketing_data[[#This Row],[Start_date]])</f>
        <v>2023</v>
      </c>
      <c r="T1837" t="str">
        <f>TEXT(marketing_data[[#This Row],[Start_date]],"ddd")</f>
        <v>Mon</v>
      </c>
      <c r="U1837">
        <f>marketing_data[[#This Row],[Cleaned End_date]]-marketing_data[[#This Row],[Start_date]]</f>
        <v>12</v>
      </c>
    </row>
    <row r="1838" spans="1:21" x14ac:dyDescent="0.2">
      <c r="A1838" t="s">
        <v>3785</v>
      </c>
      <c r="B1838" t="s">
        <v>3786</v>
      </c>
      <c r="C1838" s="2">
        <v>45032</v>
      </c>
      <c r="D1838" t="str">
        <f t="shared" si="172"/>
        <v>Apr</v>
      </c>
      <c r="E1838" s="2">
        <v>45052</v>
      </c>
      <c r="F1838" t="s">
        <v>33</v>
      </c>
      <c r="G1838">
        <v>45413</v>
      </c>
      <c r="H1838">
        <v>1307</v>
      </c>
      <c r="I1838">
        <v>185</v>
      </c>
      <c r="J1838" t="b">
        <v>1</v>
      </c>
      <c r="K1838" s="10">
        <v>1521.67</v>
      </c>
      <c r="L1838" s="6">
        <f t="shared" si="173"/>
        <v>2.8780305198951844E-2</v>
      </c>
      <c r="M1838">
        <f t="shared" si="174"/>
        <v>1.16424636572303</v>
      </c>
      <c r="N1838">
        <f t="shared" si="175"/>
        <v>8.2252432432432432</v>
      </c>
      <c r="O1838">
        <f t="shared" si="176"/>
        <v>7728.33</v>
      </c>
      <c r="P1838">
        <f t="shared" si="177"/>
        <v>0.14154552410099464</v>
      </c>
      <c r="Q1838" t="s">
        <v>4137</v>
      </c>
      <c r="R1838" t="s">
        <v>4138</v>
      </c>
      <c r="S1838">
        <f>YEAR(marketing_data[[#This Row],[Start_date]])</f>
        <v>2023</v>
      </c>
      <c r="T1838" t="str">
        <f>TEXT(marketing_data[[#This Row],[Start_date]],"ddd")</f>
        <v>Sun</v>
      </c>
      <c r="U1838">
        <f>marketing_data[[#This Row],[Cleaned End_date]]-marketing_data[[#This Row],[Start_date]]</f>
        <v>20</v>
      </c>
    </row>
    <row r="1839" spans="1:21" x14ac:dyDescent="0.2">
      <c r="A1839" t="s">
        <v>3787</v>
      </c>
      <c r="B1839" t="s">
        <v>3788</v>
      </c>
      <c r="C1839" s="2">
        <v>45277</v>
      </c>
      <c r="D1839" t="str">
        <f t="shared" si="172"/>
        <v>Dec</v>
      </c>
      <c r="E1839" s="2">
        <v>45288</v>
      </c>
      <c r="F1839" t="s">
        <v>23</v>
      </c>
      <c r="G1839">
        <v>94623</v>
      </c>
      <c r="H1839">
        <v>1053</v>
      </c>
      <c r="I1839">
        <v>151</v>
      </c>
      <c r="J1839" t="b">
        <v>0</v>
      </c>
      <c r="K1839" s="10">
        <v>1864.76</v>
      </c>
      <c r="L1839" s="6">
        <f t="shared" si="173"/>
        <v>1.1128372594400939E-2</v>
      </c>
      <c r="M1839">
        <f t="shared" si="174"/>
        <v>1.7709021842355175</v>
      </c>
      <c r="N1839">
        <f t="shared" si="175"/>
        <v>12.349403973509935</v>
      </c>
      <c r="O1839">
        <f t="shared" si="176"/>
        <v>5685.24</v>
      </c>
      <c r="P1839">
        <f t="shared" si="177"/>
        <v>0.14339981006647673</v>
      </c>
      <c r="Q1839" t="s">
        <v>4138</v>
      </c>
      <c r="R1839" t="s">
        <v>4142</v>
      </c>
      <c r="S1839">
        <f>YEAR(marketing_data[[#This Row],[Start_date]])</f>
        <v>2023</v>
      </c>
      <c r="T1839" t="str">
        <f>TEXT(marketing_data[[#This Row],[Start_date]],"ddd")</f>
        <v>Sun</v>
      </c>
      <c r="U1839">
        <f>marketing_data[[#This Row],[Cleaned End_date]]-marketing_data[[#This Row],[Start_date]]</f>
        <v>11</v>
      </c>
    </row>
    <row r="1840" spans="1:21" x14ac:dyDescent="0.2">
      <c r="A1840" t="s">
        <v>3789</v>
      </c>
      <c r="B1840" t="s">
        <v>3790</v>
      </c>
      <c r="C1840" s="2">
        <v>45085</v>
      </c>
      <c r="D1840" t="str">
        <f t="shared" si="172"/>
        <v>Jun</v>
      </c>
      <c r="E1840" s="2">
        <v>45095</v>
      </c>
      <c r="F1840" t="s">
        <v>33</v>
      </c>
      <c r="G1840">
        <v>98883</v>
      </c>
      <c r="H1840">
        <v>1819</v>
      </c>
      <c r="I1840">
        <v>126</v>
      </c>
      <c r="J1840" t="b">
        <v>1</v>
      </c>
      <c r="K1840" s="10">
        <v>1471.59</v>
      </c>
      <c r="L1840" s="6">
        <f t="shared" si="173"/>
        <v>1.8395477483490588E-2</v>
      </c>
      <c r="M1840">
        <f t="shared" si="174"/>
        <v>0.80901044529961508</v>
      </c>
      <c r="N1840">
        <f t="shared" si="175"/>
        <v>11.679285714285713</v>
      </c>
      <c r="O1840">
        <f t="shared" si="176"/>
        <v>4828.41</v>
      </c>
      <c r="P1840">
        <f t="shared" si="177"/>
        <v>6.9268829026937873E-2</v>
      </c>
      <c r="Q1840" t="s">
        <v>4139</v>
      </c>
      <c r="R1840" t="s">
        <v>4138</v>
      </c>
      <c r="S1840">
        <f>YEAR(marketing_data[[#This Row],[Start_date]])</f>
        <v>2023</v>
      </c>
      <c r="T1840" t="str">
        <f>TEXT(marketing_data[[#This Row],[Start_date]],"ddd")</f>
        <v>Thu</v>
      </c>
      <c r="U1840">
        <f>marketing_data[[#This Row],[Cleaned End_date]]-marketing_data[[#This Row],[Start_date]]</f>
        <v>10</v>
      </c>
    </row>
    <row r="1841" spans="1:21" x14ac:dyDescent="0.2">
      <c r="A1841" t="s">
        <v>3791</v>
      </c>
      <c r="B1841" t="s">
        <v>3792</v>
      </c>
      <c r="C1841" s="2">
        <v>44996</v>
      </c>
      <c r="D1841" t="str">
        <f t="shared" si="172"/>
        <v>Mar</v>
      </c>
      <c r="E1841" s="2">
        <v>45008</v>
      </c>
      <c r="F1841" t="s">
        <v>41</v>
      </c>
      <c r="G1841">
        <v>34756</v>
      </c>
      <c r="H1841">
        <v>738</v>
      </c>
      <c r="I1841">
        <v>120</v>
      </c>
      <c r="J1841" t="b">
        <v>0</v>
      </c>
      <c r="K1841" s="10">
        <v>1422.97</v>
      </c>
      <c r="L1841" s="6">
        <f t="shared" si="173"/>
        <v>2.1233743814017724E-2</v>
      </c>
      <c r="M1841">
        <f t="shared" si="174"/>
        <v>1.9281436314363145</v>
      </c>
      <c r="N1841">
        <f t="shared" si="175"/>
        <v>11.858083333333333</v>
      </c>
      <c r="O1841">
        <f t="shared" si="176"/>
        <v>4577.03</v>
      </c>
      <c r="P1841">
        <f t="shared" si="177"/>
        <v>0.16260162601626016</v>
      </c>
      <c r="Q1841" t="s">
        <v>4137</v>
      </c>
      <c r="R1841" t="s">
        <v>4138</v>
      </c>
      <c r="S1841">
        <f>YEAR(marketing_data[[#This Row],[Start_date]])</f>
        <v>2023</v>
      </c>
      <c r="T1841" t="str">
        <f>TEXT(marketing_data[[#This Row],[Start_date]],"ddd")</f>
        <v>Sat</v>
      </c>
      <c r="U1841">
        <f>marketing_data[[#This Row],[Cleaned End_date]]-marketing_data[[#This Row],[Start_date]]</f>
        <v>12</v>
      </c>
    </row>
    <row r="1842" spans="1:21" x14ac:dyDescent="0.2">
      <c r="A1842" t="s">
        <v>3793</v>
      </c>
      <c r="B1842" t="s">
        <v>3794</v>
      </c>
      <c r="C1842" s="2">
        <v>45001</v>
      </c>
      <c r="D1842" t="str">
        <f t="shared" si="172"/>
        <v>Mar</v>
      </c>
      <c r="E1842" s="2">
        <v>45003</v>
      </c>
      <c r="F1842" t="str">
        <f>F1841</f>
        <v>Google Ads</v>
      </c>
      <c r="G1842">
        <v>54268</v>
      </c>
      <c r="H1842">
        <v>2090</v>
      </c>
      <c r="I1842">
        <v>191</v>
      </c>
      <c r="J1842" t="b">
        <v>1</v>
      </c>
      <c r="K1842" s="10">
        <v>2116.75</v>
      </c>
      <c r="L1842" s="6">
        <f t="shared" si="173"/>
        <v>3.8512567258789709E-2</v>
      </c>
      <c r="M1842">
        <f t="shared" si="174"/>
        <v>1.0127990430622009</v>
      </c>
      <c r="N1842">
        <f t="shared" si="175"/>
        <v>11.082460732984293</v>
      </c>
      <c r="O1842">
        <f t="shared" si="176"/>
        <v>7433.25</v>
      </c>
      <c r="P1842">
        <f t="shared" si="177"/>
        <v>9.1387559808612434E-2</v>
      </c>
      <c r="Q1842" t="s">
        <v>4137</v>
      </c>
      <c r="R1842" t="s">
        <v>4142</v>
      </c>
      <c r="S1842">
        <f>YEAR(marketing_data[[#This Row],[Start_date]])</f>
        <v>2023</v>
      </c>
      <c r="T1842" t="str">
        <f>TEXT(marketing_data[[#This Row],[Start_date]],"ddd")</f>
        <v>Thu</v>
      </c>
      <c r="U1842">
        <f>marketing_data[[#This Row],[Cleaned End_date]]-marketing_data[[#This Row],[Start_date]]</f>
        <v>2</v>
      </c>
    </row>
    <row r="1843" spans="1:21" x14ac:dyDescent="0.2">
      <c r="A1843" t="s">
        <v>3795</v>
      </c>
      <c r="B1843" t="s">
        <v>3796</v>
      </c>
      <c r="C1843" s="2">
        <v>45007</v>
      </c>
      <c r="D1843" t="str">
        <f t="shared" si="172"/>
        <v>Mar</v>
      </c>
      <c r="E1843" s="2">
        <v>45033</v>
      </c>
      <c r="F1843" t="s">
        <v>14</v>
      </c>
      <c r="G1843">
        <v>40214</v>
      </c>
      <c r="H1843">
        <v>420</v>
      </c>
      <c r="I1843">
        <v>78</v>
      </c>
      <c r="J1843" t="b">
        <v>1</v>
      </c>
      <c r="K1843" s="10">
        <v>831.06</v>
      </c>
      <c r="L1843" s="6">
        <f t="shared" si="173"/>
        <v>1.0444123936937385E-2</v>
      </c>
      <c r="M1843">
        <f t="shared" si="174"/>
        <v>1.9787142857142856</v>
      </c>
      <c r="N1843">
        <f t="shared" si="175"/>
        <v>10.654615384615385</v>
      </c>
      <c r="O1843">
        <f t="shared" si="176"/>
        <v>3068.94</v>
      </c>
      <c r="P1843">
        <f t="shared" si="177"/>
        <v>0.18571428571428572</v>
      </c>
      <c r="Q1843" t="s">
        <v>4137</v>
      </c>
      <c r="R1843" t="s">
        <v>4142</v>
      </c>
      <c r="S1843">
        <f>YEAR(marketing_data[[#This Row],[Start_date]])</f>
        <v>2023</v>
      </c>
      <c r="T1843" t="str">
        <f>TEXT(marketing_data[[#This Row],[Start_date]],"ddd")</f>
        <v>Wed</v>
      </c>
      <c r="U1843">
        <f>marketing_data[[#This Row],[Cleaned End_date]]-marketing_data[[#This Row],[Start_date]]</f>
        <v>26</v>
      </c>
    </row>
    <row r="1844" spans="1:21" x14ac:dyDescent="0.2">
      <c r="A1844" t="s">
        <v>3797</v>
      </c>
      <c r="B1844" t="s">
        <v>3798</v>
      </c>
      <c r="C1844" s="2">
        <v>44987</v>
      </c>
      <c r="D1844" t="str">
        <f t="shared" si="172"/>
        <v>Mar</v>
      </c>
      <c r="E1844" s="2">
        <v>45004</v>
      </c>
      <c r="F1844" t="s">
        <v>41</v>
      </c>
      <c r="G1844">
        <v>82871</v>
      </c>
      <c r="H1844">
        <v>2183</v>
      </c>
      <c r="I1844">
        <v>376</v>
      </c>
      <c r="J1844" t="b">
        <v>1</v>
      </c>
      <c r="K1844" s="10">
        <v>3631.7599999999998</v>
      </c>
      <c r="L1844" s="6">
        <f t="shared" si="173"/>
        <v>2.6342146227268888E-2</v>
      </c>
      <c r="M1844">
        <f t="shared" si="174"/>
        <v>1.6636555199267062</v>
      </c>
      <c r="N1844">
        <f t="shared" si="175"/>
        <v>9.6589361702127654</v>
      </c>
      <c r="O1844">
        <f t="shared" si="176"/>
        <v>15168.24</v>
      </c>
      <c r="P1844">
        <f t="shared" si="177"/>
        <v>0.17224003664681631</v>
      </c>
      <c r="Q1844" t="s">
        <v>4137</v>
      </c>
      <c r="R1844" t="s">
        <v>4141</v>
      </c>
      <c r="S1844">
        <f>YEAR(marketing_data[[#This Row],[Start_date]])</f>
        <v>2023</v>
      </c>
      <c r="T1844" t="str">
        <f>TEXT(marketing_data[[#This Row],[Start_date]],"ddd")</f>
        <v>Thu</v>
      </c>
      <c r="U1844">
        <f>marketing_data[[#This Row],[Cleaned End_date]]-marketing_data[[#This Row],[Start_date]]</f>
        <v>17</v>
      </c>
    </row>
    <row r="1845" spans="1:21" x14ac:dyDescent="0.2">
      <c r="A1845" t="s">
        <v>3799</v>
      </c>
      <c r="B1845" t="s">
        <v>3800</v>
      </c>
      <c r="C1845" s="2">
        <v>45001</v>
      </c>
      <c r="D1845" t="str">
        <f t="shared" si="172"/>
        <v>Mar</v>
      </c>
      <c r="E1845" s="2">
        <v>45020</v>
      </c>
      <c r="F1845" t="s">
        <v>14</v>
      </c>
      <c r="G1845">
        <v>29602</v>
      </c>
      <c r="H1845">
        <v>1390</v>
      </c>
      <c r="I1845">
        <v>141</v>
      </c>
      <c r="J1845" t="b">
        <v>0</v>
      </c>
      <c r="K1845" s="10">
        <v>2380.87</v>
      </c>
      <c r="L1845" s="6">
        <f t="shared" si="173"/>
        <v>4.6956286737382606E-2</v>
      </c>
      <c r="M1845">
        <f t="shared" si="174"/>
        <v>1.7128561151079136</v>
      </c>
      <c r="N1845">
        <f t="shared" si="175"/>
        <v>16.885602836879432</v>
      </c>
      <c r="O1845">
        <f t="shared" si="176"/>
        <v>4669.13</v>
      </c>
      <c r="P1845">
        <f t="shared" si="177"/>
        <v>0.10143884892086331</v>
      </c>
      <c r="Q1845" t="s">
        <v>4137</v>
      </c>
      <c r="R1845" t="s">
        <v>4138</v>
      </c>
      <c r="S1845">
        <f>YEAR(marketing_data[[#This Row],[Start_date]])</f>
        <v>2023</v>
      </c>
      <c r="T1845" t="str">
        <f>TEXT(marketing_data[[#This Row],[Start_date]],"ddd")</f>
        <v>Thu</v>
      </c>
      <c r="U1845">
        <f>marketing_data[[#This Row],[Cleaned End_date]]-marketing_data[[#This Row],[Start_date]]</f>
        <v>19</v>
      </c>
    </row>
    <row r="1846" spans="1:21" x14ac:dyDescent="0.2">
      <c r="A1846" t="s">
        <v>3801</v>
      </c>
      <c r="B1846" t="s">
        <v>3802</v>
      </c>
      <c r="C1846" s="2">
        <v>45138</v>
      </c>
      <c r="D1846" t="str">
        <f t="shared" si="172"/>
        <v>Jul</v>
      </c>
      <c r="E1846" s="2">
        <v>45142</v>
      </c>
      <c r="F1846" t="s">
        <v>33</v>
      </c>
      <c r="G1846">
        <v>54331</v>
      </c>
      <c r="H1846">
        <v>786</v>
      </c>
      <c r="I1846">
        <v>134</v>
      </c>
      <c r="J1846" t="b">
        <v>1</v>
      </c>
      <c r="K1846" s="10">
        <v>767.81</v>
      </c>
      <c r="L1846" s="6">
        <f t="shared" si="173"/>
        <v>1.4466878945721596E-2</v>
      </c>
      <c r="M1846">
        <f t="shared" si="174"/>
        <v>0.97685750636132307</v>
      </c>
      <c r="N1846">
        <f t="shared" si="175"/>
        <v>5.7299253731343276</v>
      </c>
      <c r="O1846">
        <f t="shared" si="176"/>
        <v>5932.1900000000005</v>
      </c>
      <c r="P1846">
        <f t="shared" si="177"/>
        <v>0.17048346055979643</v>
      </c>
      <c r="Q1846" t="s">
        <v>4139</v>
      </c>
      <c r="R1846" t="s">
        <v>4141</v>
      </c>
      <c r="S1846">
        <f>YEAR(marketing_data[[#This Row],[Start_date]])</f>
        <v>2023</v>
      </c>
      <c r="T1846" t="str">
        <f>TEXT(marketing_data[[#This Row],[Start_date]],"ddd")</f>
        <v>Mon</v>
      </c>
      <c r="U1846">
        <f>marketing_data[[#This Row],[Cleaned End_date]]-marketing_data[[#This Row],[Start_date]]</f>
        <v>4</v>
      </c>
    </row>
    <row r="1847" spans="1:21" x14ac:dyDescent="0.2">
      <c r="A1847" t="s">
        <v>3803</v>
      </c>
      <c r="B1847" t="s">
        <v>3804</v>
      </c>
      <c r="C1847" s="2">
        <v>45253</v>
      </c>
      <c r="D1847" t="str">
        <f t="shared" si="172"/>
        <v>Nov</v>
      </c>
      <c r="E1847" s="2">
        <v>45282</v>
      </c>
      <c r="F1847" t="s">
        <v>33</v>
      </c>
      <c r="G1847">
        <v>49901</v>
      </c>
      <c r="H1847">
        <v>1529</v>
      </c>
      <c r="I1847">
        <v>158</v>
      </c>
      <c r="J1847" t="b">
        <v>1</v>
      </c>
      <c r="K1847" s="10">
        <v>784.63</v>
      </c>
      <c r="L1847" s="6">
        <f t="shared" si="173"/>
        <v>3.0640668523676879E-2</v>
      </c>
      <c r="M1847">
        <f t="shared" si="174"/>
        <v>0.51316546762589932</v>
      </c>
      <c r="N1847">
        <f t="shared" si="175"/>
        <v>4.9660126582278483</v>
      </c>
      <c r="O1847">
        <f t="shared" si="176"/>
        <v>7115.37</v>
      </c>
      <c r="P1847">
        <f t="shared" si="177"/>
        <v>0.10333551340745585</v>
      </c>
      <c r="Q1847" t="s">
        <v>4136</v>
      </c>
      <c r="R1847" t="s">
        <v>4138</v>
      </c>
      <c r="S1847">
        <f>YEAR(marketing_data[[#This Row],[Start_date]])</f>
        <v>2023</v>
      </c>
      <c r="T1847" t="str">
        <f>TEXT(marketing_data[[#This Row],[Start_date]],"ddd")</f>
        <v>Thu</v>
      </c>
      <c r="U1847">
        <f>marketing_data[[#This Row],[Cleaned End_date]]-marketing_data[[#This Row],[Start_date]]</f>
        <v>29</v>
      </c>
    </row>
    <row r="1848" spans="1:21" x14ac:dyDescent="0.2">
      <c r="A1848" t="s">
        <v>3805</v>
      </c>
      <c r="B1848" t="s">
        <v>3806</v>
      </c>
      <c r="C1848" s="2">
        <v>45023</v>
      </c>
      <c r="D1848" t="str">
        <f t="shared" si="172"/>
        <v>Apr</v>
      </c>
      <c r="E1848" s="2">
        <v>45038</v>
      </c>
      <c r="F1848" t="s">
        <v>19</v>
      </c>
      <c r="G1848">
        <v>64416</v>
      </c>
      <c r="H1848">
        <v>2670</v>
      </c>
      <c r="I1848">
        <v>173</v>
      </c>
      <c r="J1848" t="b">
        <v>0</v>
      </c>
      <c r="K1848" s="10">
        <v>2865.44</v>
      </c>
      <c r="L1848" s="6">
        <f t="shared" si="173"/>
        <v>4.1449329359165427E-2</v>
      </c>
      <c r="M1848">
        <f t="shared" si="174"/>
        <v>1.0731985018726593</v>
      </c>
      <c r="N1848">
        <f t="shared" si="175"/>
        <v>16.563236994219654</v>
      </c>
      <c r="O1848">
        <f t="shared" si="176"/>
        <v>5784.5599999999995</v>
      </c>
      <c r="P1848">
        <f t="shared" si="177"/>
        <v>6.4794007490636699E-2</v>
      </c>
      <c r="Q1848" t="s">
        <v>4137</v>
      </c>
      <c r="R1848" t="s">
        <v>4138</v>
      </c>
      <c r="S1848">
        <f>YEAR(marketing_data[[#This Row],[Start_date]])</f>
        <v>2023</v>
      </c>
      <c r="T1848" t="str">
        <f>TEXT(marketing_data[[#This Row],[Start_date]],"ddd")</f>
        <v>Fri</v>
      </c>
      <c r="U1848">
        <f>marketing_data[[#This Row],[Cleaned End_date]]-marketing_data[[#This Row],[Start_date]]</f>
        <v>15</v>
      </c>
    </row>
    <row r="1849" spans="1:21" x14ac:dyDescent="0.2">
      <c r="A1849" t="s">
        <v>3807</v>
      </c>
      <c r="B1849" t="s">
        <v>3808</v>
      </c>
      <c r="C1849" s="2">
        <v>45240</v>
      </c>
      <c r="D1849" t="str">
        <f t="shared" si="172"/>
        <v>Nov</v>
      </c>
      <c r="E1849" s="2">
        <v>45265</v>
      </c>
      <c r="F1849" t="s">
        <v>33</v>
      </c>
      <c r="G1849">
        <v>33196</v>
      </c>
      <c r="H1849">
        <v>1583</v>
      </c>
      <c r="J1849" t="b">
        <v>0</v>
      </c>
      <c r="K1849" s="10">
        <v>1508.15</v>
      </c>
      <c r="L1849" s="6">
        <f t="shared" si="173"/>
        <v>4.7686468249186646E-2</v>
      </c>
      <c r="M1849">
        <f t="shared" si="174"/>
        <v>0.95271636133922932</v>
      </c>
      <c r="N1849">
        <f t="shared" si="175"/>
        <v>0</v>
      </c>
      <c r="O1849">
        <f t="shared" si="176"/>
        <v>-1508.15</v>
      </c>
      <c r="P1849">
        <f t="shared" si="177"/>
        <v>0</v>
      </c>
      <c r="Q1849" t="s">
        <v>4136</v>
      </c>
      <c r="R1849" t="s">
        <v>4138</v>
      </c>
      <c r="S1849">
        <f>YEAR(marketing_data[[#This Row],[Start_date]])</f>
        <v>2023</v>
      </c>
      <c r="T1849" t="str">
        <f>TEXT(marketing_data[[#This Row],[Start_date]],"ddd")</f>
        <v>Fri</v>
      </c>
      <c r="U1849">
        <f>marketing_data[[#This Row],[Cleaned End_date]]-marketing_data[[#This Row],[Start_date]]</f>
        <v>25</v>
      </c>
    </row>
    <row r="1850" spans="1:21" x14ac:dyDescent="0.2">
      <c r="A1850" t="s">
        <v>3809</v>
      </c>
      <c r="B1850" t="s">
        <v>3810</v>
      </c>
      <c r="C1850" s="2">
        <v>45240</v>
      </c>
      <c r="D1850" t="str">
        <f t="shared" si="172"/>
        <v>Nov</v>
      </c>
      <c r="E1850" s="2">
        <v>45256</v>
      </c>
      <c r="F1850" t="s">
        <v>14</v>
      </c>
      <c r="G1850">
        <v>6626</v>
      </c>
      <c r="H1850">
        <v>264</v>
      </c>
      <c r="I1850">
        <v>39</v>
      </c>
      <c r="J1850" t="b">
        <v>1</v>
      </c>
      <c r="K1850" s="10">
        <v>329.13249999999999</v>
      </c>
      <c r="L1850" s="6">
        <f t="shared" si="173"/>
        <v>3.9843042559613642E-2</v>
      </c>
      <c r="M1850">
        <f t="shared" si="174"/>
        <v>1.246714015151515</v>
      </c>
      <c r="N1850">
        <f t="shared" si="175"/>
        <v>8.4392948717948713</v>
      </c>
      <c r="O1850">
        <f t="shared" si="176"/>
        <v>1620.8675000000001</v>
      </c>
      <c r="P1850">
        <f t="shared" si="177"/>
        <v>0.14772727272727273</v>
      </c>
      <c r="Q1850" t="s">
        <v>4136</v>
      </c>
      <c r="R1850" t="s">
        <v>4141</v>
      </c>
      <c r="S1850">
        <f>YEAR(marketing_data[[#This Row],[Start_date]])</f>
        <v>2023</v>
      </c>
      <c r="T1850" t="str">
        <f>TEXT(marketing_data[[#This Row],[Start_date]],"ddd")</f>
        <v>Fri</v>
      </c>
      <c r="U1850">
        <f>marketing_data[[#This Row],[Cleaned End_date]]-marketing_data[[#This Row],[Start_date]]</f>
        <v>16</v>
      </c>
    </row>
    <row r="1851" spans="1:21" x14ac:dyDescent="0.2">
      <c r="A1851" t="s">
        <v>3811</v>
      </c>
      <c r="B1851" t="s">
        <v>3812</v>
      </c>
      <c r="C1851" s="2">
        <v>45278</v>
      </c>
      <c r="D1851" t="str">
        <f t="shared" si="172"/>
        <v>Dec</v>
      </c>
      <c r="E1851" s="2">
        <v>45292</v>
      </c>
      <c r="F1851" t="s">
        <v>19</v>
      </c>
      <c r="G1851">
        <v>8424</v>
      </c>
      <c r="H1851">
        <v>327</v>
      </c>
      <c r="I1851">
        <v>38</v>
      </c>
      <c r="J1851" t="b">
        <v>0</v>
      </c>
      <c r="K1851" s="10">
        <v>411.38</v>
      </c>
      <c r="L1851" s="6">
        <f t="shared" si="173"/>
        <v>3.8817663817663821E-2</v>
      </c>
      <c r="M1851">
        <f t="shared" si="174"/>
        <v>1.2580428134556574</v>
      </c>
      <c r="N1851">
        <f t="shared" si="175"/>
        <v>10.82578947368421</v>
      </c>
      <c r="O1851">
        <f t="shared" si="176"/>
        <v>1488.62</v>
      </c>
      <c r="P1851">
        <f t="shared" si="177"/>
        <v>0.11620795107033639</v>
      </c>
      <c r="Q1851" t="s">
        <v>4138</v>
      </c>
      <c r="R1851" t="s">
        <v>4141</v>
      </c>
      <c r="S1851">
        <f>YEAR(marketing_data[[#This Row],[Start_date]])</f>
        <v>2023</v>
      </c>
      <c r="T1851" t="str">
        <f>TEXT(marketing_data[[#This Row],[Start_date]],"ddd")</f>
        <v>Mon</v>
      </c>
      <c r="U1851">
        <f>marketing_data[[#This Row],[Cleaned End_date]]-marketing_data[[#This Row],[Start_date]]</f>
        <v>14</v>
      </c>
    </row>
    <row r="1852" spans="1:21" x14ac:dyDescent="0.2">
      <c r="A1852" t="s">
        <v>3814</v>
      </c>
      <c r="B1852" t="s">
        <v>3815</v>
      </c>
      <c r="C1852" s="2">
        <v>44967</v>
      </c>
      <c r="D1852" t="str">
        <f t="shared" si="172"/>
        <v>Feb</v>
      </c>
      <c r="E1852" s="2">
        <v>44992</v>
      </c>
      <c r="F1852" t="s">
        <v>23</v>
      </c>
      <c r="G1852">
        <v>13857</v>
      </c>
      <c r="H1852">
        <v>596</v>
      </c>
      <c r="J1852" t="b">
        <v>1</v>
      </c>
      <c r="K1852" s="10">
        <v>658.31</v>
      </c>
      <c r="L1852" s="6">
        <f t="shared" si="173"/>
        <v>4.3010752688172046E-2</v>
      </c>
      <c r="M1852">
        <f t="shared" si="174"/>
        <v>1.1045469798657717</v>
      </c>
      <c r="N1852">
        <f t="shared" si="175"/>
        <v>0</v>
      </c>
      <c r="O1852">
        <f t="shared" si="176"/>
        <v>-658.31</v>
      </c>
      <c r="P1852">
        <f t="shared" si="177"/>
        <v>0</v>
      </c>
      <c r="Q1852" t="s">
        <v>4138</v>
      </c>
      <c r="R1852" t="s">
        <v>4141</v>
      </c>
      <c r="S1852">
        <f>YEAR(marketing_data[[#This Row],[Start_date]])</f>
        <v>2023</v>
      </c>
      <c r="T1852" t="str">
        <f>TEXT(marketing_data[[#This Row],[Start_date]],"ddd")</f>
        <v>Fri</v>
      </c>
      <c r="U1852">
        <f>marketing_data[[#This Row],[Cleaned End_date]]-marketing_data[[#This Row],[Start_date]]</f>
        <v>25</v>
      </c>
    </row>
    <row r="1853" spans="1:21" x14ac:dyDescent="0.2">
      <c r="A1853" t="s">
        <v>3816</v>
      </c>
      <c r="B1853" t="s">
        <v>3817</v>
      </c>
      <c r="C1853" s="2">
        <v>45184</v>
      </c>
      <c r="D1853" t="str">
        <f t="shared" si="172"/>
        <v>Sep</v>
      </c>
      <c r="E1853" s="2">
        <v>45201</v>
      </c>
      <c r="F1853" t="s">
        <v>33</v>
      </c>
      <c r="G1853">
        <v>20982</v>
      </c>
      <c r="H1853">
        <v>584</v>
      </c>
      <c r="I1853">
        <v>57</v>
      </c>
      <c r="J1853" t="b">
        <v>1</v>
      </c>
      <c r="K1853" s="10">
        <v>847.87</v>
      </c>
      <c r="L1853" s="6">
        <f t="shared" si="173"/>
        <v>2.7833380993232293E-2</v>
      </c>
      <c r="M1853">
        <f t="shared" si="174"/>
        <v>1.4518321917808219</v>
      </c>
      <c r="N1853">
        <f t="shared" si="175"/>
        <v>14.874912280701755</v>
      </c>
      <c r="O1853">
        <f t="shared" si="176"/>
        <v>2002.13</v>
      </c>
      <c r="P1853">
        <f t="shared" si="177"/>
        <v>9.7602739726027399E-2</v>
      </c>
      <c r="Q1853" t="s">
        <v>4136</v>
      </c>
      <c r="R1853" t="s">
        <v>4141</v>
      </c>
      <c r="S1853">
        <f>YEAR(marketing_data[[#This Row],[Start_date]])</f>
        <v>2023</v>
      </c>
      <c r="T1853" t="str">
        <f>TEXT(marketing_data[[#This Row],[Start_date]],"ddd")</f>
        <v>Fri</v>
      </c>
      <c r="U1853">
        <f>marketing_data[[#This Row],[Cleaned End_date]]-marketing_data[[#This Row],[Start_date]]</f>
        <v>17</v>
      </c>
    </row>
    <row r="1854" spans="1:21" x14ac:dyDescent="0.2">
      <c r="A1854" t="s">
        <v>3818</v>
      </c>
      <c r="B1854" t="s">
        <v>3819</v>
      </c>
      <c r="C1854" s="2">
        <v>45259</v>
      </c>
      <c r="D1854" t="str">
        <f t="shared" si="172"/>
        <v>Nov</v>
      </c>
      <c r="E1854" s="2">
        <v>45261</v>
      </c>
      <c r="F1854" t="s">
        <v>23</v>
      </c>
      <c r="G1854">
        <v>77961</v>
      </c>
      <c r="H1854">
        <v>3292</v>
      </c>
      <c r="I1854">
        <v>649</v>
      </c>
      <c r="J1854" t="b">
        <v>1</v>
      </c>
      <c r="K1854" s="10">
        <v>3631.7599999999998</v>
      </c>
      <c r="L1854" s="6">
        <f t="shared" si="173"/>
        <v>4.22262413257911E-2</v>
      </c>
      <c r="M1854">
        <f t="shared" si="174"/>
        <v>1.1032077764277035</v>
      </c>
      <c r="N1854">
        <f t="shared" si="175"/>
        <v>5.5959322033898298</v>
      </c>
      <c r="O1854">
        <f t="shared" si="176"/>
        <v>28818.240000000002</v>
      </c>
      <c r="P1854">
        <f t="shared" si="177"/>
        <v>0.19714459295261239</v>
      </c>
      <c r="Q1854" t="s">
        <v>4136</v>
      </c>
      <c r="R1854" t="s">
        <v>4142</v>
      </c>
      <c r="S1854">
        <f>YEAR(marketing_data[[#This Row],[Start_date]])</f>
        <v>2023</v>
      </c>
      <c r="T1854" t="str">
        <f>TEXT(marketing_data[[#This Row],[Start_date]],"ddd")</f>
        <v>Wed</v>
      </c>
      <c r="U1854">
        <f>marketing_data[[#This Row],[Cleaned End_date]]-marketing_data[[#This Row],[Start_date]]</f>
        <v>2</v>
      </c>
    </row>
    <row r="1855" spans="1:21" x14ac:dyDescent="0.2">
      <c r="A1855" t="s">
        <v>3820</v>
      </c>
      <c r="B1855" t="s">
        <v>3821</v>
      </c>
      <c r="C1855" s="2">
        <v>45178</v>
      </c>
      <c r="D1855" t="str">
        <f t="shared" si="172"/>
        <v>Sep</v>
      </c>
      <c r="E1855" s="2">
        <v>45200</v>
      </c>
      <c r="F1855" t="str">
        <f>F1854</f>
        <v>Email</v>
      </c>
      <c r="G1855">
        <v>2980</v>
      </c>
      <c r="H1855">
        <v>30</v>
      </c>
      <c r="J1855" t="b">
        <v>1</v>
      </c>
      <c r="K1855" s="10">
        <v>329.13249999999999</v>
      </c>
      <c r="L1855" s="6">
        <f t="shared" si="173"/>
        <v>1.0067114093959731E-2</v>
      </c>
      <c r="M1855">
        <f t="shared" si="174"/>
        <v>10.971083333333333</v>
      </c>
      <c r="N1855">
        <f t="shared" si="175"/>
        <v>0</v>
      </c>
      <c r="O1855">
        <f t="shared" si="176"/>
        <v>-329.13249999999999</v>
      </c>
      <c r="P1855">
        <f t="shared" si="177"/>
        <v>0</v>
      </c>
      <c r="Q1855" t="s">
        <v>4136</v>
      </c>
      <c r="R1855" t="s">
        <v>4141</v>
      </c>
      <c r="S1855">
        <f>YEAR(marketing_data[[#This Row],[Start_date]])</f>
        <v>2023</v>
      </c>
      <c r="T1855" t="str">
        <f>TEXT(marketing_data[[#This Row],[Start_date]],"ddd")</f>
        <v>Sat</v>
      </c>
      <c r="U1855">
        <f>marketing_data[[#This Row],[Cleaned End_date]]-marketing_data[[#This Row],[Start_date]]</f>
        <v>22</v>
      </c>
    </row>
    <row r="1856" spans="1:21" x14ac:dyDescent="0.2">
      <c r="A1856" t="s">
        <v>3822</v>
      </c>
      <c r="B1856" t="s">
        <v>3823</v>
      </c>
      <c r="C1856" s="2">
        <v>45042</v>
      </c>
      <c r="D1856" t="str">
        <f t="shared" si="172"/>
        <v>Apr</v>
      </c>
      <c r="E1856" s="2">
        <v>45067</v>
      </c>
      <c r="F1856" t="s">
        <v>33</v>
      </c>
      <c r="G1856">
        <v>49290</v>
      </c>
      <c r="H1856">
        <v>2315</v>
      </c>
      <c r="I1856">
        <v>225</v>
      </c>
      <c r="J1856" t="b">
        <v>1</v>
      </c>
      <c r="K1856" s="10">
        <v>3631.7599999999998</v>
      </c>
      <c r="L1856" s="6">
        <f t="shared" si="173"/>
        <v>4.6966930411848247E-2</v>
      </c>
      <c r="M1856">
        <f t="shared" si="174"/>
        <v>1.5687948164146868</v>
      </c>
      <c r="N1856">
        <f t="shared" si="175"/>
        <v>16.141155555555553</v>
      </c>
      <c r="O1856">
        <f t="shared" si="176"/>
        <v>7618.24</v>
      </c>
      <c r="P1856">
        <f t="shared" si="177"/>
        <v>9.719222462203024E-2</v>
      </c>
      <c r="Q1856" t="s">
        <v>4137</v>
      </c>
      <c r="R1856" t="s">
        <v>4138</v>
      </c>
      <c r="S1856">
        <f>YEAR(marketing_data[[#This Row],[Start_date]])</f>
        <v>2023</v>
      </c>
      <c r="T1856" t="str">
        <f>TEXT(marketing_data[[#This Row],[Start_date]],"ddd")</f>
        <v>Wed</v>
      </c>
      <c r="U1856">
        <f>marketing_data[[#This Row],[Cleaned End_date]]-marketing_data[[#This Row],[Start_date]]</f>
        <v>25</v>
      </c>
    </row>
    <row r="1857" spans="1:21" x14ac:dyDescent="0.2">
      <c r="A1857" t="s">
        <v>3825</v>
      </c>
      <c r="B1857" t="s">
        <v>3826</v>
      </c>
      <c r="C1857" s="2">
        <v>44934</v>
      </c>
      <c r="D1857" t="str">
        <f t="shared" si="172"/>
        <v>Jan</v>
      </c>
      <c r="E1857" s="2">
        <v>44952</v>
      </c>
      <c r="F1857" t="s">
        <v>41</v>
      </c>
      <c r="G1857">
        <v>27431</v>
      </c>
      <c r="H1857">
        <v>760</v>
      </c>
      <c r="I1857">
        <v>93</v>
      </c>
      <c r="J1857" t="b">
        <v>1</v>
      </c>
      <c r="K1857" s="10">
        <v>593.1</v>
      </c>
      <c r="L1857" s="6">
        <f t="shared" si="173"/>
        <v>2.7705880208523204E-2</v>
      </c>
      <c r="M1857">
        <f t="shared" si="174"/>
        <v>0.78039473684210525</v>
      </c>
      <c r="N1857">
        <f t="shared" si="175"/>
        <v>6.3774193548387101</v>
      </c>
      <c r="O1857">
        <f t="shared" si="176"/>
        <v>4056.9</v>
      </c>
      <c r="P1857">
        <f t="shared" si="177"/>
        <v>0.12236842105263158</v>
      </c>
      <c r="Q1857" t="s">
        <v>4138</v>
      </c>
      <c r="R1857" t="s">
        <v>4138</v>
      </c>
      <c r="S1857">
        <f>YEAR(marketing_data[[#This Row],[Start_date]])</f>
        <v>2023</v>
      </c>
      <c r="T1857" t="str">
        <f>TEXT(marketing_data[[#This Row],[Start_date]],"ddd")</f>
        <v>Sun</v>
      </c>
      <c r="U1857">
        <f>marketing_data[[#This Row],[Cleaned End_date]]-marketing_data[[#This Row],[Start_date]]</f>
        <v>18</v>
      </c>
    </row>
    <row r="1858" spans="1:21" x14ac:dyDescent="0.2">
      <c r="A1858" t="s">
        <v>3827</v>
      </c>
      <c r="B1858" t="s">
        <v>3828</v>
      </c>
      <c r="C1858" s="2">
        <v>45040</v>
      </c>
      <c r="D1858" t="str">
        <f t="shared" si="172"/>
        <v>Apr</v>
      </c>
      <c r="E1858" s="2">
        <v>45064</v>
      </c>
      <c r="F1858" t="s">
        <v>33</v>
      </c>
      <c r="G1858">
        <v>85976</v>
      </c>
      <c r="H1858">
        <v>2762</v>
      </c>
      <c r="I1858">
        <v>336</v>
      </c>
      <c r="J1858" t="b">
        <v>0</v>
      </c>
      <c r="K1858" s="10">
        <v>3225.77</v>
      </c>
      <c r="L1858" s="6">
        <f t="shared" si="173"/>
        <v>3.2125244254210476E-2</v>
      </c>
      <c r="M1858">
        <f t="shared" si="174"/>
        <v>1.1679109341057206</v>
      </c>
      <c r="N1858">
        <f t="shared" si="175"/>
        <v>9.6005059523809528</v>
      </c>
      <c r="O1858">
        <f t="shared" si="176"/>
        <v>13574.23</v>
      </c>
      <c r="P1858">
        <f t="shared" si="177"/>
        <v>0.12165097755249819</v>
      </c>
      <c r="Q1858" t="s">
        <v>4137</v>
      </c>
      <c r="R1858" t="s">
        <v>4138</v>
      </c>
      <c r="S1858">
        <f>YEAR(marketing_data[[#This Row],[Start_date]])</f>
        <v>2023</v>
      </c>
      <c r="T1858" t="str">
        <f>TEXT(marketing_data[[#This Row],[Start_date]],"ddd")</f>
        <v>Mon</v>
      </c>
      <c r="U1858">
        <f>marketing_data[[#This Row],[Cleaned End_date]]-marketing_data[[#This Row],[Start_date]]</f>
        <v>24</v>
      </c>
    </row>
    <row r="1859" spans="1:21" x14ac:dyDescent="0.2">
      <c r="A1859" t="s">
        <v>3829</v>
      </c>
      <c r="B1859" t="s">
        <v>3830</v>
      </c>
      <c r="C1859" s="2">
        <v>45031</v>
      </c>
      <c r="D1859" t="str">
        <f t="shared" ref="D1859:D1922" si="178">TEXT(C1859,"mmm")</f>
        <v>Apr</v>
      </c>
      <c r="E1859" s="2">
        <v>45055</v>
      </c>
      <c r="F1859" t="s">
        <v>23</v>
      </c>
      <c r="G1859">
        <v>83711</v>
      </c>
      <c r="H1859">
        <v>1690</v>
      </c>
      <c r="I1859">
        <v>203</v>
      </c>
      <c r="J1859" t="b">
        <v>0</v>
      </c>
      <c r="K1859" s="10">
        <v>2082.38</v>
      </c>
      <c r="L1859" s="6">
        <f t="shared" ref="L1859:L1922" si="179">H1859/G1859</f>
        <v>2.0188505692202936E-2</v>
      </c>
      <c r="M1859">
        <f t="shared" ref="M1859:M1922" si="180">K1859/H1859</f>
        <v>1.2321775147928995</v>
      </c>
      <c r="N1859">
        <f t="shared" ref="N1859:N1922" si="181">IFERROR(K1859/I1859,0)</f>
        <v>10.258029556650246</v>
      </c>
      <c r="O1859">
        <f t="shared" ref="O1859:O1922" si="182">(50*I1859)-K1859</f>
        <v>8067.62</v>
      </c>
      <c r="P1859">
        <f t="shared" ref="P1859:P1922" si="183">I1859/H1859</f>
        <v>0.12011834319526628</v>
      </c>
      <c r="Q1859" t="s">
        <v>4137</v>
      </c>
      <c r="R1859" t="s">
        <v>4141</v>
      </c>
      <c r="S1859">
        <f>YEAR(marketing_data[[#This Row],[Start_date]])</f>
        <v>2023</v>
      </c>
      <c r="T1859" t="str">
        <f>TEXT(marketing_data[[#This Row],[Start_date]],"ddd")</f>
        <v>Sat</v>
      </c>
      <c r="U1859">
        <f>marketing_data[[#This Row],[Cleaned End_date]]-marketing_data[[#This Row],[Start_date]]</f>
        <v>24</v>
      </c>
    </row>
    <row r="1860" spans="1:21" x14ac:dyDescent="0.2">
      <c r="A1860" t="s">
        <v>3832</v>
      </c>
      <c r="B1860" t="s">
        <v>3833</v>
      </c>
      <c r="C1860" s="2">
        <v>45151</v>
      </c>
      <c r="D1860" t="str">
        <f t="shared" si="178"/>
        <v>Aug</v>
      </c>
      <c r="E1860" s="2">
        <v>45170</v>
      </c>
      <c r="F1860" t="s">
        <v>19</v>
      </c>
      <c r="G1860">
        <v>27385</v>
      </c>
      <c r="H1860">
        <v>1087</v>
      </c>
      <c r="I1860">
        <v>83</v>
      </c>
      <c r="J1860" t="b">
        <v>1</v>
      </c>
      <c r="K1860" s="10">
        <v>1869.2</v>
      </c>
      <c r="L1860" s="6">
        <f t="shared" si="179"/>
        <v>3.9693262735073946E-2</v>
      </c>
      <c r="M1860">
        <f t="shared" si="180"/>
        <v>1.7195952161913524</v>
      </c>
      <c r="N1860">
        <f t="shared" si="181"/>
        <v>22.520481927710843</v>
      </c>
      <c r="O1860">
        <f t="shared" si="182"/>
        <v>2280.8000000000002</v>
      </c>
      <c r="P1860">
        <f t="shared" si="183"/>
        <v>7.635694572217111E-2</v>
      </c>
      <c r="Q1860" t="s">
        <v>4139</v>
      </c>
      <c r="R1860" t="s">
        <v>4142</v>
      </c>
      <c r="S1860">
        <f>YEAR(marketing_data[[#This Row],[Start_date]])</f>
        <v>2023</v>
      </c>
      <c r="T1860" t="str">
        <f>TEXT(marketing_data[[#This Row],[Start_date]],"ddd")</f>
        <v>Sun</v>
      </c>
      <c r="U1860">
        <f>marketing_data[[#This Row],[Cleaned End_date]]-marketing_data[[#This Row],[Start_date]]</f>
        <v>19</v>
      </c>
    </row>
    <row r="1861" spans="1:21" x14ac:dyDescent="0.2">
      <c r="A1861" t="s">
        <v>3834</v>
      </c>
      <c r="B1861" t="s">
        <v>3835</v>
      </c>
      <c r="C1861" s="2">
        <v>45093</v>
      </c>
      <c r="D1861" t="str">
        <f t="shared" si="178"/>
        <v>Jun</v>
      </c>
      <c r="E1861" s="2">
        <v>45110</v>
      </c>
      <c r="F1861" t="s">
        <v>23</v>
      </c>
      <c r="G1861">
        <v>39158</v>
      </c>
      <c r="H1861">
        <v>511</v>
      </c>
      <c r="I1861">
        <v>36</v>
      </c>
      <c r="J1861" t="b">
        <v>0</v>
      </c>
      <c r="K1861" s="10">
        <v>331.56</v>
      </c>
      <c r="L1861" s="6">
        <f t="shared" si="179"/>
        <v>1.3049696102967466E-2</v>
      </c>
      <c r="M1861">
        <f t="shared" si="180"/>
        <v>0.64884540117416833</v>
      </c>
      <c r="N1861">
        <f t="shared" si="181"/>
        <v>9.2100000000000009</v>
      </c>
      <c r="O1861">
        <f t="shared" si="182"/>
        <v>1468.44</v>
      </c>
      <c r="P1861">
        <f t="shared" si="183"/>
        <v>7.0450097847358117E-2</v>
      </c>
      <c r="Q1861" t="s">
        <v>4139</v>
      </c>
      <c r="R1861" t="s">
        <v>4138</v>
      </c>
      <c r="S1861">
        <f>YEAR(marketing_data[[#This Row],[Start_date]])</f>
        <v>2023</v>
      </c>
      <c r="T1861" t="str">
        <f>TEXT(marketing_data[[#This Row],[Start_date]],"ddd")</f>
        <v>Fri</v>
      </c>
      <c r="U1861">
        <f>marketing_data[[#This Row],[Cleaned End_date]]-marketing_data[[#This Row],[Start_date]]</f>
        <v>17</v>
      </c>
    </row>
    <row r="1862" spans="1:21" x14ac:dyDescent="0.2">
      <c r="A1862" t="s">
        <v>3836</v>
      </c>
      <c r="B1862" t="s">
        <v>3837</v>
      </c>
      <c r="C1862" s="2">
        <v>45145</v>
      </c>
      <c r="D1862" t="str">
        <f t="shared" si="178"/>
        <v>Aug</v>
      </c>
      <c r="E1862" s="2">
        <v>45175</v>
      </c>
      <c r="F1862" t="s">
        <v>33</v>
      </c>
      <c r="G1862">
        <v>24019</v>
      </c>
      <c r="H1862">
        <v>1078</v>
      </c>
      <c r="I1862">
        <v>95</v>
      </c>
      <c r="J1862" t="b">
        <v>1</v>
      </c>
      <c r="K1862" s="10">
        <v>1232.1199999999999</v>
      </c>
      <c r="L1862" s="6">
        <f t="shared" si="179"/>
        <v>4.4881135767517386E-2</v>
      </c>
      <c r="M1862">
        <f t="shared" si="180"/>
        <v>1.1429684601113173</v>
      </c>
      <c r="N1862">
        <f t="shared" si="181"/>
        <v>12.969684210526315</v>
      </c>
      <c r="O1862">
        <f t="shared" si="182"/>
        <v>3517.88</v>
      </c>
      <c r="P1862">
        <f t="shared" si="183"/>
        <v>8.8126159554730979E-2</v>
      </c>
      <c r="Q1862" t="s">
        <v>4139</v>
      </c>
      <c r="R1862" t="s">
        <v>4138</v>
      </c>
      <c r="S1862">
        <f>YEAR(marketing_data[[#This Row],[Start_date]])</f>
        <v>2023</v>
      </c>
      <c r="T1862" t="str">
        <f>TEXT(marketing_data[[#This Row],[Start_date]],"ddd")</f>
        <v>Mon</v>
      </c>
      <c r="U1862">
        <f>marketing_data[[#This Row],[Cleaned End_date]]-marketing_data[[#This Row],[Start_date]]</f>
        <v>30</v>
      </c>
    </row>
    <row r="1863" spans="1:21" x14ac:dyDescent="0.2">
      <c r="A1863" t="s">
        <v>3838</v>
      </c>
      <c r="B1863" t="s">
        <v>3839</v>
      </c>
      <c r="C1863" s="2">
        <v>45121</v>
      </c>
      <c r="D1863" t="str">
        <f t="shared" si="178"/>
        <v>Jul</v>
      </c>
      <c r="E1863" s="2">
        <v>45126</v>
      </c>
      <c r="F1863" t="s">
        <v>14</v>
      </c>
      <c r="G1863">
        <v>19639</v>
      </c>
      <c r="H1863">
        <v>846</v>
      </c>
      <c r="J1863" t="b">
        <v>1</v>
      </c>
      <c r="K1863" s="10">
        <v>1220.57</v>
      </c>
      <c r="L1863" s="6">
        <f t="shared" si="179"/>
        <v>4.3077549773410051E-2</v>
      </c>
      <c r="M1863">
        <f t="shared" si="180"/>
        <v>1.4427541371158392</v>
      </c>
      <c r="N1863">
        <f t="shared" si="181"/>
        <v>0</v>
      </c>
      <c r="O1863">
        <f t="shared" si="182"/>
        <v>-1220.57</v>
      </c>
      <c r="P1863">
        <f t="shared" si="183"/>
        <v>0</v>
      </c>
      <c r="Q1863" t="s">
        <v>4139</v>
      </c>
      <c r="R1863" t="s">
        <v>4139</v>
      </c>
      <c r="S1863">
        <f>YEAR(marketing_data[[#This Row],[Start_date]])</f>
        <v>2023</v>
      </c>
      <c r="T1863" t="str">
        <f>TEXT(marketing_data[[#This Row],[Start_date]],"ddd")</f>
        <v>Fri</v>
      </c>
      <c r="U1863">
        <f>marketing_data[[#This Row],[Cleaned End_date]]-marketing_data[[#This Row],[Start_date]]</f>
        <v>5</v>
      </c>
    </row>
    <row r="1864" spans="1:21" x14ac:dyDescent="0.2">
      <c r="A1864" t="s">
        <v>3840</v>
      </c>
      <c r="B1864" t="s">
        <v>3841</v>
      </c>
      <c r="C1864" s="2">
        <v>45219</v>
      </c>
      <c r="D1864" t="str">
        <f t="shared" si="178"/>
        <v>Oct</v>
      </c>
      <c r="E1864" s="2">
        <v>45249</v>
      </c>
      <c r="F1864" t="s">
        <v>23</v>
      </c>
      <c r="G1864">
        <v>86530</v>
      </c>
      <c r="H1864">
        <v>1613</v>
      </c>
      <c r="J1864" t="b">
        <v>1</v>
      </c>
      <c r="K1864" s="10">
        <v>1327.07</v>
      </c>
      <c r="L1864" s="6">
        <f t="shared" si="179"/>
        <v>1.864093378019184E-2</v>
      </c>
      <c r="M1864">
        <f t="shared" si="180"/>
        <v>0.82273403595784245</v>
      </c>
      <c r="N1864">
        <f t="shared" si="181"/>
        <v>0</v>
      </c>
      <c r="O1864">
        <f t="shared" si="182"/>
        <v>-1327.07</v>
      </c>
      <c r="P1864">
        <f t="shared" si="183"/>
        <v>0</v>
      </c>
      <c r="Q1864" t="s">
        <v>4136</v>
      </c>
      <c r="R1864" t="s">
        <v>4142</v>
      </c>
      <c r="S1864">
        <f>YEAR(marketing_data[[#This Row],[Start_date]])</f>
        <v>2023</v>
      </c>
      <c r="T1864" t="str">
        <f>TEXT(marketing_data[[#This Row],[Start_date]],"ddd")</f>
        <v>Fri</v>
      </c>
      <c r="U1864">
        <f>marketing_data[[#This Row],[Cleaned End_date]]-marketing_data[[#This Row],[Start_date]]</f>
        <v>30</v>
      </c>
    </row>
    <row r="1865" spans="1:21" x14ac:dyDescent="0.2">
      <c r="A1865" t="s">
        <v>3842</v>
      </c>
      <c r="B1865" t="s">
        <v>3843</v>
      </c>
      <c r="C1865" s="2">
        <v>45287</v>
      </c>
      <c r="D1865" t="str">
        <f t="shared" si="178"/>
        <v>Dec</v>
      </c>
      <c r="E1865" s="2">
        <v>45314</v>
      </c>
      <c r="F1865" t="s">
        <v>19</v>
      </c>
      <c r="G1865">
        <v>22563</v>
      </c>
      <c r="H1865">
        <v>956</v>
      </c>
      <c r="I1865">
        <v>156</v>
      </c>
      <c r="J1865" t="b">
        <v>1</v>
      </c>
      <c r="K1865" s="10">
        <v>1377.79</v>
      </c>
      <c r="L1865" s="6">
        <f t="shared" si="179"/>
        <v>4.237025218277711E-2</v>
      </c>
      <c r="M1865">
        <f t="shared" si="180"/>
        <v>1.4412029288702928</v>
      </c>
      <c r="N1865">
        <f t="shared" si="181"/>
        <v>8.8319871794871787</v>
      </c>
      <c r="O1865">
        <f t="shared" si="182"/>
        <v>6422.21</v>
      </c>
      <c r="P1865">
        <f t="shared" si="183"/>
        <v>0.16317991631799164</v>
      </c>
      <c r="Q1865" t="s">
        <v>4138</v>
      </c>
      <c r="R1865" t="s">
        <v>4139</v>
      </c>
      <c r="S1865">
        <f>YEAR(marketing_data[[#This Row],[Start_date]])</f>
        <v>2023</v>
      </c>
      <c r="T1865" t="str">
        <f>TEXT(marketing_data[[#This Row],[Start_date]],"ddd")</f>
        <v>Wed</v>
      </c>
      <c r="U1865">
        <f>marketing_data[[#This Row],[Cleaned End_date]]-marketing_data[[#This Row],[Start_date]]</f>
        <v>27</v>
      </c>
    </row>
    <row r="1866" spans="1:21" x14ac:dyDescent="0.2">
      <c r="A1866" t="s">
        <v>3844</v>
      </c>
      <c r="B1866" t="s">
        <v>3845</v>
      </c>
      <c r="C1866" s="2">
        <v>45158</v>
      </c>
      <c r="D1866" t="str">
        <f t="shared" si="178"/>
        <v>Aug</v>
      </c>
      <c r="E1866" s="2">
        <v>45171</v>
      </c>
      <c r="F1866" t="s">
        <v>41</v>
      </c>
      <c r="G1866">
        <v>40341</v>
      </c>
      <c r="H1866">
        <v>1672</v>
      </c>
      <c r="I1866">
        <v>273</v>
      </c>
      <c r="J1866" t="b">
        <v>1</v>
      </c>
      <c r="K1866" s="10">
        <v>3152.55</v>
      </c>
      <c r="L1866" s="6">
        <f t="shared" si="179"/>
        <v>4.14466671624402E-2</v>
      </c>
      <c r="M1866">
        <f t="shared" si="180"/>
        <v>1.8854964114832538</v>
      </c>
      <c r="N1866">
        <f t="shared" si="181"/>
        <v>11.547802197802199</v>
      </c>
      <c r="O1866">
        <f t="shared" si="182"/>
        <v>10497.45</v>
      </c>
      <c r="P1866">
        <f t="shared" si="183"/>
        <v>0.16327751196172249</v>
      </c>
      <c r="Q1866" t="s">
        <v>4139</v>
      </c>
      <c r="R1866" t="s">
        <v>4138</v>
      </c>
      <c r="S1866">
        <f>YEAR(marketing_data[[#This Row],[Start_date]])</f>
        <v>2023</v>
      </c>
      <c r="T1866" t="str">
        <f>TEXT(marketing_data[[#This Row],[Start_date]],"ddd")</f>
        <v>Sun</v>
      </c>
      <c r="U1866">
        <f>marketing_data[[#This Row],[Cleaned End_date]]-marketing_data[[#This Row],[Start_date]]</f>
        <v>13</v>
      </c>
    </row>
    <row r="1867" spans="1:21" x14ac:dyDescent="0.2">
      <c r="A1867" t="s">
        <v>3846</v>
      </c>
      <c r="B1867" t="s">
        <v>3847</v>
      </c>
      <c r="C1867" s="2">
        <v>45052</v>
      </c>
      <c r="D1867" t="str">
        <f t="shared" si="178"/>
        <v>May</v>
      </c>
      <c r="E1867" s="2">
        <v>45063</v>
      </c>
      <c r="F1867" t="str">
        <f>F1866</f>
        <v>Google Ads</v>
      </c>
      <c r="G1867">
        <v>6776</v>
      </c>
      <c r="H1867">
        <v>239</v>
      </c>
      <c r="J1867" t="b">
        <v>1</v>
      </c>
      <c r="K1867" s="10">
        <v>477.11</v>
      </c>
      <c r="L1867" s="6">
        <f t="shared" si="179"/>
        <v>3.5271546635182997E-2</v>
      </c>
      <c r="M1867">
        <f t="shared" si="180"/>
        <v>1.9962761506276152</v>
      </c>
      <c r="N1867">
        <f t="shared" si="181"/>
        <v>0</v>
      </c>
      <c r="O1867">
        <f t="shared" si="182"/>
        <v>-477.11</v>
      </c>
      <c r="P1867">
        <f t="shared" si="183"/>
        <v>0</v>
      </c>
      <c r="Q1867" t="s">
        <v>4137</v>
      </c>
      <c r="R1867" t="s">
        <v>4138</v>
      </c>
      <c r="S1867">
        <f>YEAR(marketing_data[[#This Row],[Start_date]])</f>
        <v>2023</v>
      </c>
      <c r="T1867" t="str">
        <f>TEXT(marketing_data[[#This Row],[Start_date]],"ddd")</f>
        <v>Sat</v>
      </c>
      <c r="U1867">
        <f>marketing_data[[#This Row],[Cleaned End_date]]-marketing_data[[#This Row],[Start_date]]</f>
        <v>11</v>
      </c>
    </row>
    <row r="1868" spans="1:21" x14ac:dyDescent="0.2">
      <c r="A1868" t="s">
        <v>3848</v>
      </c>
      <c r="B1868" t="s">
        <v>3849</v>
      </c>
      <c r="C1868" s="2">
        <v>44947</v>
      </c>
      <c r="D1868" t="str">
        <f t="shared" si="178"/>
        <v>Jan</v>
      </c>
      <c r="E1868" s="2">
        <v>44969</v>
      </c>
      <c r="F1868" t="s">
        <v>33</v>
      </c>
      <c r="G1868">
        <v>37444</v>
      </c>
      <c r="H1868">
        <v>933</v>
      </c>
      <c r="I1868">
        <v>170</v>
      </c>
      <c r="J1868" t="b">
        <v>1</v>
      </c>
      <c r="K1868" s="10">
        <v>511.92</v>
      </c>
      <c r="L1868" s="6">
        <f t="shared" si="179"/>
        <v>2.4917209699818397E-2</v>
      </c>
      <c r="M1868">
        <f t="shared" si="180"/>
        <v>0.54868167202572349</v>
      </c>
      <c r="N1868">
        <f t="shared" si="181"/>
        <v>3.0112941176470591</v>
      </c>
      <c r="O1868">
        <f t="shared" si="182"/>
        <v>7988.08</v>
      </c>
      <c r="P1868">
        <f t="shared" si="183"/>
        <v>0.18220793140407288</v>
      </c>
      <c r="Q1868" t="s">
        <v>4138</v>
      </c>
      <c r="R1868" t="s">
        <v>4141</v>
      </c>
      <c r="S1868">
        <f>YEAR(marketing_data[[#This Row],[Start_date]])</f>
        <v>2023</v>
      </c>
      <c r="T1868" t="str">
        <f>TEXT(marketing_data[[#This Row],[Start_date]],"ddd")</f>
        <v>Sat</v>
      </c>
      <c r="U1868">
        <f>marketing_data[[#This Row],[Cleaned End_date]]-marketing_data[[#This Row],[Start_date]]</f>
        <v>22</v>
      </c>
    </row>
    <row r="1869" spans="1:21" x14ac:dyDescent="0.2">
      <c r="A1869" t="s">
        <v>3850</v>
      </c>
      <c r="B1869" t="s">
        <v>3851</v>
      </c>
      <c r="C1869" s="2">
        <v>45249</v>
      </c>
      <c r="D1869" t="str">
        <f t="shared" si="178"/>
        <v>Nov</v>
      </c>
      <c r="E1869" s="2">
        <v>45272</v>
      </c>
      <c r="F1869" t="s">
        <v>19</v>
      </c>
      <c r="G1869">
        <v>69916</v>
      </c>
      <c r="H1869">
        <v>1458</v>
      </c>
      <c r="I1869">
        <v>130</v>
      </c>
      <c r="J1869" t="b">
        <v>0</v>
      </c>
      <c r="K1869" s="10">
        <v>1244.23</v>
      </c>
      <c r="L1869" s="6">
        <f t="shared" si="179"/>
        <v>2.0853595743463585E-2</v>
      </c>
      <c r="M1869">
        <f t="shared" si="180"/>
        <v>0.8533813443072702</v>
      </c>
      <c r="N1869">
        <f t="shared" si="181"/>
        <v>9.5709999999999997</v>
      </c>
      <c r="O1869">
        <f t="shared" si="182"/>
        <v>5255.77</v>
      </c>
      <c r="P1869">
        <f t="shared" si="183"/>
        <v>8.9163237311385465E-2</v>
      </c>
      <c r="Q1869" t="s">
        <v>4136</v>
      </c>
      <c r="R1869" t="s">
        <v>4141</v>
      </c>
      <c r="S1869">
        <f>YEAR(marketing_data[[#This Row],[Start_date]])</f>
        <v>2023</v>
      </c>
      <c r="T1869" t="str">
        <f>TEXT(marketing_data[[#This Row],[Start_date]],"ddd")</f>
        <v>Sun</v>
      </c>
      <c r="U1869">
        <f>marketing_data[[#This Row],[Cleaned End_date]]-marketing_data[[#This Row],[Start_date]]</f>
        <v>23</v>
      </c>
    </row>
    <row r="1870" spans="1:21" x14ac:dyDescent="0.2">
      <c r="A1870" t="s">
        <v>3852</v>
      </c>
      <c r="B1870" t="s">
        <v>3853</v>
      </c>
      <c r="C1870" s="2">
        <v>45152</v>
      </c>
      <c r="D1870" t="str">
        <f t="shared" si="178"/>
        <v>Aug</v>
      </c>
      <c r="E1870" s="2">
        <v>45167</v>
      </c>
      <c r="F1870" t="s">
        <v>19</v>
      </c>
      <c r="G1870">
        <v>9711</v>
      </c>
      <c r="H1870">
        <v>187</v>
      </c>
      <c r="I1870">
        <v>15</v>
      </c>
      <c r="J1870" t="b">
        <v>1</v>
      </c>
      <c r="K1870" s="10">
        <v>329.13249999999999</v>
      </c>
      <c r="L1870" s="6">
        <f t="shared" si="179"/>
        <v>1.9256513232416846E-2</v>
      </c>
      <c r="M1870">
        <f t="shared" si="180"/>
        <v>1.760066844919786</v>
      </c>
      <c r="N1870">
        <f t="shared" si="181"/>
        <v>21.942166666666665</v>
      </c>
      <c r="O1870">
        <f t="shared" si="182"/>
        <v>420.86750000000001</v>
      </c>
      <c r="P1870">
        <f t="shared" si="183"/>
        <v>8.0213903743315509E-2</v>
      </c>
      <c r="Q1870" t="s">
        <v>4139</v>
      </c>
      <c r="R1870" t="s">
        <v>4138</v>
      </c>
      <c r="S1870">
        <f>YEAR(marketing_data[[#This Row],[Start_date]])</f>
        <v>2023</v>
      </c>
      <c r="T1870" t="str">
        <f>TEXT(marketing_data[[#This Row],[Start_date]],"ddd")</f>
        <v>Mon</v>
      </c>
      <c r="U1870">
        <f>marketing_data[[#This Row],[Cleaned End_date]]-marketing_data[[#This Row],[Start_date]]</f>
        <v>15</v>
      </c>
    </row>
    <row r="1871" spans="1:21" x14ac:dyDescent="0.2">
      <c r="A1871" t="s">
        <v>3854</v>
      </c>
      <c r="B1871" t="s">
        <v>3855</v>
      </c>
      <c r="C1871" s="2">
        <v>45073</v>
      </c>
      <c r="D1871" t="str">
        <f t="shared" si="178"/>
        <v>May</v>
      </c>
      <c r="E1871" s="2">
        <v>45097</v>
      </c>
      <c r="F1871" t="s">
        <v>41</v>
      </c>
      <c r="G1871">
        <v>75318</v>
      </c>
      <c r="H1871">
        <v>1713</v>
      </c>
      <c r="J1871" t="b">
        <v>1</v>
      </c>
      <c r="K1871" s="10">
        <v>1882.05</v>
      </c>
      <c r="L1871" s="6">
        <f t="shared" si="179"/>
        <v>2.2743567274755037E-2</v>
      </c>
      <c r="M1871">
        <f t="shared" si="180"/>
        <v>1.0986865148861646</v>
      </c>
      <c r="N1871">
        <f t="shared" si="181"/>
        <v>0</v>
      </c>
      <c r="O1871">
        <f t="shared" si="182"/>
        <v>-1882.05</v>
      </c>
      <c r="P1871">
        <f t="shared" si="183"/>
        <v>0</v>
      </c>
      <c r="Q1871" t="s">
        <v>4137</v>
      </c>
      <c r="R1871" t="s">
        <v>4138</v>
      </c>
      <c r="S1871">
        <f>YEAR(marketing_data[[#This Row],[Start_date]])</f>
        <v>2023</v>
      </c>
      <c r="T1871" t="str">
        <f>TEXT(marketing_data[[#This Row],[Start_date]],"ddd")</f>
        <v>Sat</v>
      </c>
      <c r="U1871">
        <f>marketing_data[[#This Row],[Cleaned End_date]]-marketing_data[[#This Row],[Start_date]]</f>
        <v>24</v>
      </c>
    </row>
    <row r="1872" spans="1:21" x14ac:dyDescent="0.2">
      <c r="A1872" t="s">
        <v>3856</v>
      </c>
      <c r="B1872" t="s">
        <v>3857</v>
      </c>
      <c r="C1872" s="2">
        <v>45240</v>
      </c>
      <c r="D1872" t="str">
        <f t="shared" si="178"/>
        <v>Nov</v>
      </c>
      <c r="E1872" s="2">
        <v>45264</v>
      </c>
      <c r="F1872" t="s">
        <v>14</v>
      </c>
      <c r="G1872">
        <v>83970</v>
      </c>
      <c r="H1872">
        <v>3874</v>
      </c>
      <c r="I1872">
        <v>347</v>
      </c>
      <c r="J1872" t="b">
        <v>0</v>
      </c>
      <c r="K1872" s="10">
        <v>3344.76</v>
      </c>
      <c r="L1872" s="6">
        <f t="shared" si="179"/>
        <v>4.6135524592116235E-2</v>
      </c>
      <c r="M1872">
        <f t="shared" si="180"/>
        <v>0.8633866804336604</v>
      </c>
      <c r="N1872">
        <f t="shared" si="181"/>
        <v>9.6390778097982714</v>
      </c>
      <c r="O1872">
        <f t="shared" si="182"/>
        <v>14005.24</v>
      </c>
      <c r="P1872">
        <f t="shared" si="183"/>
        <v>8.9571502323180174E-2</v>
      </c>
      <c r="Q1872" t="s">
        <v>4136</v>
      </c>
      <c r="R1872" t="s">
        <v>4138</v>
      </c>
      <c r="S1872">
        <f>YEAR(marketing_data[[#This Row],[Start_date]])</f>
        <v>2023</v>
      </c>
      <c r="T1872" t="str">
        <f>TEXT(marketing_data[[#This Row],[Start_date]],"ddd")</f>
        <v>Fri</v>
      </c>
      <c r="U1872">
        <f>marketing_data[[#This Row],[Cleaned End_date]]-marketing_data[[#This Row],[Start_date]]</f>
        <v>24</v>
      </c>
    </row>
    <row r="1873" spans="1:21" x14ac:dyDescent="0.2">
      <c r="A1873" t="s">
        <v>3858</v>
      </c>
      <c r="B1873" t="s">
        <v>3859</v>
      </c>
      <c r="C1873" s="2">
        <v>44999</v>
      </c>
      <c r="D1873" t="str">
        <f t="shared" si="178"/>
        <v>Mar</v>
      </c>
      <c r="E1873" s="2">
        <v>45020</v>
      </c>
      <c r="F1873" t="s">
        <v>23</v>
      </c>
      <c r="G1873">
        <v>86553</v>
      </c>
      <c r="H1873">
        <v>1134</v>
      </c>
      <c r="J1873" t="b">
        <v>1</v>
      </c>
      <c r="K1873" s="10">
        <v>913.13</v>
      </c>
      <c r="L1873" s="6">
        <f t="shared" si="179"/>
        <v>1.3101798897785172E-2</v>
      </c>
      <c r="M1873">
        <f t="shared" si="180"/>
        <v>0.80522927689594359</v>
      </c>
      <c r="N1873">
        <f t="shared" si="181"/>
        <v>0</v>
      </c>
      <c r="O1873">
        <f t="shared" si="182"/>
        <v>-913.13</v>
      </c>
      <c r="P1873">
        <f t="shared" si="183"/>
        <v>0</v>
      </c>
      <c r="Q1873" t="s">
        <v>4137</v>
      </c>
      <c r="R1873" t="s">
        <v>4138</v>
      </c>
      <c r="S1873">
        <f>YEAR(marketing_data[[#This Row],[Start_date]])</f>
        <v>2023</v>
      </c>
      <c r="T1873" t="str">
        <f>TEXT(marketing_data[[#This Row],[Start_date]],"ddd")</f>
        <v>Tue</v>
      </c>
      <c r="U1873">
        <f>marketing_data[[#This Row],[Cleaned End_date]]-marketing_data[[#This Row],[Start_date]]</f>
        <v>21</v>
      </c>
    </row>
    <row r="1874" spans="1:21" x14ac:dyDescent="0.2">
      <c r="A1874" t="s">
        <v>3860</v>
      </c>
      <c r="B1874" t="s">
        <v>3861</v>
      </c>
      <c r="C1874" s="2">
        <v>44973</v>
      </c>
      <c r="D1874" t="str">
        <f t="shared" si="178"/>
        <v>Feb</v>
      </c>
      <c r="E1874" s="2">
        <v>44982</v>
      </c>
      <c r="F1874" t="s">
        <v>33</v>
      </c>
      <c r="G1874">
        <v>31707</v>
      </c>
      <c r="H1874">
        <v>1368</v>
      </c>
      <c r="I1874">
        <v>198</v>
      </c>
      <c r="J1874" t="b">
        <v>1</v>
      </c>
      <c r="K1874" s="10">
        <v>2642.74</v>
      </c>
      <c r="L1874" s="6">
        <f t="shared" si="179"/>
        <v>4.3145046835083738E-2</v>
      </c>
      <c r="M1874">
        <f t="shared" si="180"/>
        <v>1.9318274853801167</v>
      </c>
      <c r="N1874">
        <f t="shared" si="181"/>
        <v>13.347171717171715</v>
      </c>
      <c r="O1874">
        <f t="shared" si="182"/>
        <v>7257.26</v>
      </c>
      <c r="P1874">
        <f t="shared" si="183"/>
        <v>0.14473684210526316</v>
      </c>
      <c r="Q1874" t="s">
        <v>4138</v>
      </c>
      <c r="R1874" t="s">
        <v>4141</v>
      </c>
      <c r="S1874">
        <f>YEAR(marketing_data[[#This Row],[Start_date]])</f>
        <v>2023</v>
      </c>
      <c r="T1874" t="str">
        <f>TEXT(marketing_data[[#This Row],[Start_date]],"ddd")</f>
        <v>Thu</v>
      </c>
      <c r="U1874">
        <f>marketing_data[[#This Row],[Cleaned End_date]]-marketing_data[[#This Row],[Start_date]]</f>
        <v>9</v>
      </c>
    </row>
    <row r="1875" spans="1:21" x14ac:dyDescent="0.2">
      <c r="A1875" t="s">
        <v>3862</v>
      </c>
      <c r="B1875" t="s">
        <v>3863</v>
      </c>
      <c r="C1875" s="2">
        <v>45226</v>
      </c>
      <c r="D1875" t="str">
        <f t="shared" si="178"/>
        <v>Oct</v>
      </c>
      <c r="E1875" s="2">
        <v>45231</v>
      </c>
      <c r="F1875" t="s">
        <v>14</v>
      </c>
      <c r="G1875">
        <v>40110</v>
      </c>
      <c r="H1875">
        <v>960</v>
      </c>
      <c r="I1875">
        <v>173</v>
      </c>
      <c r="J1875" t="b">
        <v>0</v>
      </c>
      <c r="K1875" s="10">
        <v>1802.67</v>
      </c>
      <c r="L1875" s="6">
        <f t="shared" si="179"/>
        <v>2.3934181002243829E-2</v>
      </c>
      <c r="M1875">
        <f t="shared" si="180"/>
        <v>1.8777812500000002</v>
      </c>
      <c r="N1875">
        <f t="shared" si="181"/>
        <v>10.420057803468209</v>
      </c>
      <c r="O1875">
        <f t="shared" si="182"/>
        <v>6847.33</v>
      </c>
      <c r="P1875">
        <f t="shared" si="183"/>
        <v>0.18020833333333333</v>
      </c>
      <c r="Q1875" t="s">
        <v>4136</v>
      </c>
      <c r="R1875" t="s">
        <v>4141</v>
      </c>
      <c r="S1875">
        <f>YEAR(marketing_data[[#This Row],[Start_date]])</f>
        <v>2023</v>
      </c>
      <c r="T1875" t="str">
        <f>TEXT(marketing_data[[#This Row],[Start_date]],"ddd")</f>
        <v>Fri</v>
      </c>
      <c r="U1875">
        <f>marketing_data[[#This Row],[Cleaned End_date]]-marketing_data[[#This Row],[Start_date]]</f>
        <v>5</v>
      </c>
    </row>
    <row r="1876" spans="1:21" x14ac:dyDescent="0.2">
      <c r="A1876" t="s">
        <v>3864</v>
      </c>
      <c r="B1876" t="s">
        <v>3865</v>
      </c>
      <c r="C1876" s="2">
        <v>44996</v>
      </c>
      <c r="D1876" t="str">
        <f t="shared" si="178"/>
        <v>Mar</v>
      </c>
      <c r="E1876" s="2">
        <v>45001</v>
      </c>
      <c r="F1876" t="s">
        <v>41</v>
      </c>
      <c r="G1876">
        <v>62788</v>
      </c>
      <c r="H1876">
        <v>1937</v>
      </c>
      <c r="J1876" t="b">
        <v>0</v>
      </c>
      <c r="K1876" s="10">
        <v>1105.04</v>
      </c>
      <c r="L1876" s="6">
        <f t="shared" si="179"/>
        <v>3.0849843919220233E-2</v>
      </c>
      <c r="M1876">
        <f t="shared" si="180"/>
        <v>0.57049044914816727</v>
      </c>
      <c r="N1876">
        <f t="shared" si="181"/>
        <v>0</v>
      </c>
      <c r="O1876">
        <f t="shared" si="182"/>
        <v>-1105.04</v>
      </c>
      <c r="P1876">
        <f t="shared" si="183"/>
        <v>0</v>
      </c>
      <c r="Q1876" t="s">
        <v>4137</v>
      </c>
      <c r="R1876" t="s">
        <v>4138</v>
      </c>
      <c r="S1876">
        <f>YEAR(marketing_data[[#This Row],[Start_date]])</f>
        <v>2023</v>
      </c>
      <c r="T1876" t="str">
        <f>TEXT(marketing_data[[#This Row],[Start_date]],"ddd")</f>
        <v>Sat</v>
      </c>
      <c r="U1876">
        <f>marketing_data[[#This Row],[Cleaned End_date]]-marketing_data[[#This Row],[Start_date]]</f>
        <v>5</v>
      </c>
    </row>
    <row r="1877" spans="1:21" x14ac:dyDescent="0.2">
      <c r="A1877" t="s">
        <v>3866</v>
      </c>
      <c r="B1877" t="s">
        <v>3867</v>
      </c>
      <c r="C1877" s="2">
        <v>44939</v>
      </c>
      <c r="D1877" t="str">
        <f t="shared" si="178"/>
        <v>Jan</v>
      </c>
      <c r="E1877" s="2">
        <v>44964</v>
      </c>
      <c r="F1877" t="s">
        <v>19</v>
      </c>
      <c r="G1877">
        <v>83879</v>
      </c>
      <c r="H1877">
        <v>3504</v>
      </c>
      <c r="I1877">
        <v>656</v>
      </c>
      <c r="J1877" t="b">
        <v>0</v>
      </c>
      <c r="K1877" s="10">
        <v>3532.8</v>
      </c>
      <c r="L1877" s="6">
        <f t="shared" si="179"/>
        <v>4.1774460830482002E-2</v>
      </c>
      <c r="M1877">
        <f t="shared" si="180"/>
        <v>1.0082191780821919</v>
      </c>
      <c r="N1877">
        <f t="shared" si="181"/>
        <v>5.3853658536585369</v>
      </c>
      <c r="O1877">
        <f t="shared" si="182"/>
        <v>29267.200000000001</v>
      </c>
      <c r="P1877">
        <f t="shared" si="183"/>
        <v>0.18721461187214611</v>
      </c>
      <c r="Q1877" t="s">
        <v>4138</v>
      </c>
      <c r="R1877" t="s">
        <v>4142</v>
      </c>
      <c r="S1877">
        <f>YEAR(marketing_data[[#This Row],[Start_date]])</f>
        <v>2023</v>
      </c>
      <c r="T1877" t="str">
        <f>TEXT(marketing_data[[#This Row],[Start_date]],"ddd")</f>
        <v>Fri</v>
      </c>
      <c r="U1877">
        <f>marketing_data[[#This Row],[Cleaned End_date]]-marketing_data[[#This Row],[Start_date]]</f>
        <v>25</v>
      </c>
    </row>
    <row r="1878" spans="1:21" x14ac:dyDescent="0.2">
      <c r="A1878" t="s">
        <v>3868</v>
      </c>
      <c r="B1878" t="s">
        <v>3869</v>
      </c>
      <c r="C1878" s="2">
        <v>45291</v>
      </c>
      <c r="D1878" t="str">
        <f t="shared" si="178"/>
        <v>Dec</v>
      </c>
      <c r="E1878" s="2">
        <v>45321</v>
      </c>
      <c r="F1878" t="s">
        <v>33</v>
      </c>
      <c r="G1878">
        <v>39827</v>
      </c>
      <c r="H1878">
        <v>1807</v>
      </c>
      <c r="J1878" t="b">
        <v>1</v>
      </c>
      <c r="K1878" s="10">
        <v>2001.66</v>
      </c>
      <c r="L1878" s="6">
        <f t="shared" si="179"/>
        <v>4.537123057222487E-2</v>
      </c>
      <c r="M1878">
        <f t="shared" si="180"/>
        <v>1.1077255118981739</v>
      </c>
      <c r="N1878">
        <f t="shared" si="181"/>
        <v>0</v>
      </c>
      <c r="O1878">
        <f t="shared" si="182"/>
        <v>-2001.66</v>
      </c>
      <c r="P1878">
        <f t="shared" si="183"/>
        <v>0</v>
      </c>
      <c r="Q1878" t="s">
        <v>4138</v>
      </c>
      <c r="R1878" t="s">
        <v>4139</v>
      </c>
      <c r="S1878">
        <f>YEAR(marketing_data[[#This Row],[Start_date]])</f>
        <v>2023</v>
      </c>
      <c r="T1878" t="str">
        <f>TEXT(marketing_data[[#This Row],[Start_date]],"ddd")</f>
        <v>Sun</v>
      </c>
      <c r="U1878">
        <f>marketing_data[[#This Row],[Cleaned End_date]]-marketing_data[[#This Row],[Start_date]]</f>
        <v>30</v>
      </c>
    </row>
    <row r="1879" spans="1:21" x14ac:dyDescent="0.2">
      <c r="A1879" t="s">
        <v>3870</v>
      </c>
      <c r="B1879" t="s">
        <v>3871</v>
      </c>
      <c r="C1879" s="2">
        <v>44973</v>
      </c>
      <c r="D1879" t="str">
        <f t="shared" si="178"/>
        <v>Feb</v>
      </c>
      <c r="E1879" s="2">
        <v>44980</v>
      </c>
      <c r="F1879" t="s">
        <v>41</v>
      </c>
      <c r="G1879">
        <v>6655</v>
      </c>
      <c r="H1879">
        <v>158</v>
      </c>
      <c r="I1879">
        <v>19</v>
      </c>
      <c r="J1879" t="b">
        <v>1</v>
      </c>
      <c r="K1879" s="10">
        <v>329.13249999999999</v>
      </c>
      <c r="L1879" s="6">
        <f t="shared" si="179"/>
        <v>2.3741547708489859E-2</v>
      </c>
      <c r="M1879">
        <f t="shared" si="180"/>
        <v>2.0831170886075947</v>
      </c>
      <c r="N1879">
        <f t="shared" si="181"/>
        <v>17.322763157894737</v>
      </c>
      <c r="O1879">
        <f t="shared" si="182"/>
        <v>620.86750000000006</v>
      </c>
      <c r="P1879">
        <f t="shared" si="183"/>
        <v>0.12025316455696203</v>
      </c>
      <c r="Q1879" t="s">
        <v>4138</v>
      </c>
      <c r="R1879" t="s">
        <v>4139</v>
      </c>
      <c r="S1879">
        <f>YEAR(marketing_data[[#This Row],[Start_date]])</f>
        <v>2023</v>
      </c>
      <c r="T1879" t="str">
        <f>TEXT(marketing_data[[#This Row],[Start_date]],"ddd")</f>
        <v>Thu</v>
      </c>
      <c r="U1879">
        <f>marketing_data[[#This Row],[Cleaned End_date]]-marketing_data[[#This Row],[Start_date]]</f>
        <v>7</v>
      </c>
    </row>
    <row r="1880" spans="1:21" x14ac:dyDescent="0.2">
      <c r="A1880" t="s">
        <v>3872</v>
      </c>
      <c r="B1880" t="s">
        <v>3873</v>
      </c>
      <c r="C1880" s="2">
        <v>45291</v>
      </c>
      <c r="D1880" t="str">
        <f t="shared" si="178"/>
        <v>Dec</v>
      </c>
      <c r="E1880" s="2">
        <v>45294</v>
      </c>
      <c r="F1880" t="s">
        <v>23</v>
      </c>
      <c r="G1880">
        <v>45859</v>
      </c>
      <c r="H1880">
        <v>1305</v>
      </c>
      <c r="I1880">
        <v>151</v>
      </c>
      <c r="J1880" t="b">
        <v>0</v>
      </c>
      <c r="K1880" s="10">
        <v>1883.52</v>
      </c>
      <c r="L1880" s="6">
        <f t="shared" si="179"/>
        <v>2.8456791469504351E-2</v>
      </c>
      <c r="M1880">
        <f t="shared" si="180"/>
        <v>1.4433103448275861</v>
      </c>
      <c r="N1880">
        <f t="shared" si="181"/>
        <v>12.473642384105959</v>
      </c>
      <c r="O1880">
        <f t="shared" si="182"/>
        <v>5666.48</v>
      </c>
      <c r="P1880">
        <f t="shared" si="183"/>
        <v>0.11570881226053639</v>
      </c>
      <c r="Q1880" t="s">
        <v>4138</v>
      </c>
      <c r="R1880" t="s">
        <v>4139</v>
      </c>
      <c r="S1880">
        <f>YEAR(marketing_data[[#This Row],[Start_date]])</f>
        <v>2023</v>
      </c>
      <c r="T1880" t="str">
        <f>TEXT(marketing_data[[#This Row],[Start_date]],"ddd")</f>
        <v>Sun</v>
      </c>
      <c r="U1880">
        <f>marketing_data[[#This Row],[Cleaned End_date]]-marketing_data[[#This Row],[Start_date]]</f>
        <v>3</v>
      </c>
    </row>
    <row r="1881" spans="1:21" x14ac:dyDescent="0.2">
      <c r="A1881" t="s">
        <v>3874</v>
      </c>
      <c r="B1881" t="s">
        <v>3875</v>
      </c>
      <c r="C1881" s="2">
        <v>45049</v>
      </c>
      <c r="D1881" t="str">
        <f t="shared" si="178"/>
        <v>May</v>
      </c>
      <c r="E1881" s="2">
        <v>45079</v>
      </c>
      <c r="F1881" t="s">
        <v>41</v>
      </c>
      <c r="G1881">
        <v>54625</v>
      </c>
      <c r="H1881">
        <v>1451</v>
      </c>
      <c r="I1881">
        <v>238</v>
      </c>
      <c r="J1881" t="b">
        <v>0</v>
      </c>
      <c r="K1881" s="10">
        <v>2119.29</v>
      </c>
      <c r="L1881" s="6">
        <f t="shared" si="179"/>
        <v>2.6562929061784896E-2</v>
      </c>
      <c r="M1881">
        <f t="shared" si="180"/>
        <v>1.4605720192970364</v>
      </c>
      <c r="N1881">
        <f t="shared" si="181"/>
        <v>8.9045798319327734</v>
      </c>
      <c r="O1881">
        <f t="shared" si="182"/>
        <v>9780.7099999999991</v>
      </c>
      <c r="P1881">
        <f t="shared" si="183"/>
        <v>0.16402481047553411</v>
      </c>
      <c r="Q1881" t="s">
        <v>4137</v>
      </c>
      <c r="R1881" t="s">
        <v>4142</v>
      </c>
      <c r="S1881">
        <f>YEAR(marketing_data[[#This Row],[Start_date]])</f>
        <v>2023</v>
      </c>
      <c r="T1881" t="str">
        <f>TEXT(marketing_data[[#This Row],[Start_date]],"ddd")</f>
        <v>Wed</v>
      </c>
      <c r="U1881">
        <f>marketing_data[[#This Row],[Cleaned End_date]]-marketing_data[[#This Row],[Start_date]]</f>
        <v>30</v>
      </c>
    </row>
    <row r="1882" spans="1:21" x14ac:dyDescent="0.2">
      <c r="A1882" t="s">
        <v>3876</v>
      </c>
      <c r="B1882" t="s">
        <v>3877</v>
      </c>
      <c r="C1882" s="2">
        <v>45288</v>
      </c>
      <c r="D1882" t="str">
        <f t="shared" si="178"/>
        <v>Dec</v>
      </c>
      <c r="E1882" s="2">
        <v>45301</v>
      </c>
      <c r="F1882" t="s">
        <v>41</v>
      </c>
      <c r="G1882">
        <v>53098</v>
      </c>
      <c r="H1882">
        <v>559</v>
      </c>
      <c r="I1882">
        <v>63</v>
      </c>
      <c r="J1882" t="b">
        <v>0</v>
      </c>
      <c r="K1882" s="10">
        <v>992.65</v>
      </c>
      <c r="L1882" s="6">
        <f t="shared" si="179"/>
        <v>1.0527703491656937E-2</v>
      </c>
      <c r="M1882">
        <f t="shared" si="180"/>
        <v>1.7757602862254025</v>
      </c>
      <c r="N1882">
        <f t="shared" si="181"/>
        <v>15.756349206349206</v>
      </c>
      <c r="O1882">
        <f t="shared" si="182"/>
        <v>2157.35</v>
      </c>
      <c r="P1882">
        <f t="shared" si="183"/>
        <v>0.11270125223613596</v>
      </c>
      <c r="Q1882" t="s">
        <v>4138</v>
      </c>
      <c r="R1882" t="s">
        <v>4142</v>
      </c>
      <c r="S1882">
        <f>YEAR(marketing_data[[#This Row],[Start_date]])</f>
        <v>2023</v>
      </c>
      <c r="T1882" t="str">
        <f>TEXT(marketing_data[[#This Row],[Start_date]],"ddd")</f>
        <v>Thu</v>
      </c>
      <c r="U1882">
        <f>marketing_data[[#This Row],[Cleaned End_date]]-marketing_data[[#This Row],[Start_date]]</f>
        <v>13</v>
      </c>
    </row>
    <row r="1883" spans="1:21" x14ac:dyDescent="0.2">
      <c r="A1883" t="s">
        <v>3878</v>
      </c>
      <c r="B1883" t="s">
        <v>3879</v>
      </c>
      <c r="C1883" s="2">
        <v>45195</v>
      </c>
      <c r="D1883" t="str">
        <f t="shared" si="178"/>
        <v>Sep</v>
      </c>
      <c r="E1883" s="2">
        <v>45204</v>
      </c>
      <c r="F1883" t="s">
        <v>14</v>
      </c>
      <c r="G1883">
        <v>16251</v>
      </c>
      <c r="H1883">
        <v>354</v>
      </c>
      <c r="I1883">
        <v>67</v>
      </c>
      <c r="J1883" t="b">
        <v>1</v>
      </c>
      <c r="K1883" s="10">
        <v>570.4</v>
      </c>
      <c r="L1883" s="6">
        <f t="shared" si="179"/>
        <v>2.1783274875392285E-2</v>
      </c>
      <c r="M1883">
        <f t="shared" si="180"/>
        <v>1.6112994350282486</v>
      </c>
      <c r="N1883">
        <f t="shared" si="181"/>
        <v>8.5134328358208951</v>
      </c>
      <c r="O1883">
        <f t="shared" si="182"/>
        <v>2779.6</v>
      </c>
      <c r="P1883">
        <f t="shared" si="183"/>
        <v>0.18926553672316385</v>
      </c>
      <c r="Q1883" t="s">
        <v>4136</v>
      </c>
      <c r="R1883" t="s">
        <v>4138</v>
      </c>
      <c r="S1883">
        <f>YEAR(marketing_data[[#This Row],[Start_date]])</f>
        <v>2023</v>
      </c>
      <c r="T1883" t="str">
        <f>TEXT(marketing_data[[#This Row],[Start_date]],"ddd")</f>
        <v>Tue</v>
      </c>
      <c r="U1883">
        <f>marketing_data[[#This Row],[Cleaned End_date]]-marketing_data[[#This Row],[Start_date]]</f>
        <v>9</v>
      </c>
    </row>
    <row r="1884" spans="1:21" x14ac:dyDescent="0.2">
      <c r="A1884" t="s">
        <v>3880</v>
      </c>
      <c r="B1884" t="s">
        <v>3881</v>
      </c>
      <c r="C1884" s="2">
        <v>45188</v>
      </c>
      <c r="D1884" t="str">
        <f t="shared" si="178"/>
        <v>Sep</v>
      </c>
      <c r="E1884" s="2">
        <v>45201</v>
      </c>
      <c r="F1884" t="s">
        <v>19</v>
      </c>
      <c r="G1884">
        <v>1526</v>
      </c>
      <c r="H1884">
        <v>43</v>
      </c>
      <c r="I1884">
        <v>7</v>
      </c>
      <c r="J1884" t="b">
        <v>1</v>
      </c>
      <c r="K1884" s="10">
        <v>329.13249999999999</v>
      </c>
      <c r="L1884" s="6">
        <f t="shared" si="179"/>
        <v>2.8178243774574049E-2</v>
      </c>
      <c r="M1884">
        <f t="shared" si="180"/>
        <v>7.6542441860465118</v>
      </c>
      <c r="N1884">
        <f t="shared" si="181"/>
        <v>47.018928571428567</v>
      </c>
      <c r="O1884">
        <f t="shared" si="182"/>
        <v>20.867500000000007</v>
      </c>
      <c r="P1884">
        <f t="shared" si="183"/>
        <v>0.16279069767441862</v>
      </c>
      <c r="Q1884" t="s">
        <v>4136</v>
      </c>
      <c r="R1884" t="s">
        <v>4138</v>
      </c>
      <c r="S1884">
        <f>YEAR(marketing_data[[#This Row],[Start_date]])</f>
        <v>2023</v>
      </c>
      <c r="T1884" t="str">
        <f>TEXT(marketing_data[[#This Row],[Start_date]],"ddd")</f>
        <v>Tue</v>
      </c>
      <c r="U1884">
        <f>marketing_data[[#This Row],[Cleaned End_date]]-marketing_data[[#This Row],[Start_date]]</f>
        <v>13</v>
      </c>
    </row>
    <row r="1885" spans="1:21" x14ac:dyDescent="0.2">
      <c r="A1885" t="s">
        <v>3882</v>
      </c>
      <c r="B1885" t="s">
        <v>3883</v>
      </c>
      <c r="C1885" s="2">
        <v>45208</v>
      </c>
      <c r="D1885" t="str">
        <f t="shared" si="178"/>
        <v>Oct</v>
      </c>
      <c r="E1885" s="2">
        <v>45216</v>
      </c>
      <c r="F1885" t="s">
        <v>23</v>
      </c>
      <c r="G1885">
        <v>69760</v>
      </c>
      <c r="H1885">
        <v>1844</v>
      </c>
      <c r="J1885" t="b">
        <v>0</v>
      </c>
      <c r="K1885" s="10">
        <v>2729.82</v>
      </c>
      <c r="L1885" s="6">
        <f t="shared" si="179"/>
        <v>2.643348623853211E-2</v>
      </c>
      <c r="M1885">
        <f t="shared" si="180"/>
        <v>1.4803796095444686</v>
      </c>
      <c r="N1885">
        <f t="shared" si="181"/>
        <v>0</v>
      </c>
      <c r="O1885">
        <f t="shared" si="182"/>
        <v>-2729.82</v>
      </c>
      <c r="P1885">
        <f t="shared" si="183"/>
        <v>0</v>
      </c>
      <c r="Q1885" t="s">
        <v>4136</v>
      </c>
      <c r="R1885" t="s">
        <v>4139</v>
      </c>
      <c r="S1885">
        <f>YEAR(marketing_data[[#This Row],[Start_date]])</f>
        <v>2023</v>
      </c>
      <c r="T1885" t="str">
        <f>TEXT(marketing_data[[#This Row],[Start_date]],"ddd")</f>
        <v>Mon</v>
      </c>
      <c r="U1885">
        <f>marketing_data[[#This Row],[Cleaned End_date]]-marketing_data[[#This Row],[Start_date]]</f>
        <v>8</v>
      </c>
    </row>
    <row r="1886" spans="1:21" x14ac:dyDescent="0.2">
      <c r="A1886" t="s">
        <v>3884</v>
      </c>
      <c r="B1886" t="s">
        <v>3885</v>
      </c>
      <c r="C1886" s="2">
        <v>45098</v>
      </c>
      <c r="D1886" t="str">
        <f t="shared" si="178"/>
        <v>Jun</v>
      </c>
      <c r="E1886" s="2">
        <v>45100</v>
      </c>
      <c r="F1886" t="s">
        <v>23</v>
      </c>
      <c r="G1886">
        <v>48837</v>
      </c>
      <c r="H1886">
        <v>1898</v>
      </c>
      <c r="I1886">
        <v>115</v>
      </c>
      <c r="J1886" t="b">
        <v>0</v>
      </c>
      <c r="K1886" s="10">
        <v>1729.05</v>
      </c>
      <c r="L1886" s="6">
        <f t="shared" si="179"/>
        <v>3.8863976083707022E-2</v>
      </c>
      <c r="M1886">
        <f t="shared" si="180"/>
        <v>0.91098524762908317</v>
      </c>
      <c r="N1886">
        <f t="shared" si="181"/>
        <v>15.035217391304348</v>
      </c>
      <c r="O1886">
        <f t="shared" si="182"/>
        <v>4020.95</v>
      </c>
      <c r="P1886">
        <f t="shared" si="183"/>
        <v>6.0590094836670182E-2</v>
      </c>
      <c r="Q1886" t="s">
        <v>4139</v>
      </c>
      <c r="R1886" t="s">
        <v>4142</v>
      </c>
      <c r="S1886">
        <f>YEAR(marketing_data[[#This Row],[Start_date]])</f>
        <v>2023</v>
      </c>
      <c r="T1886" t="str">
        <f>TEXT(marketing_data[[#This Row],[Start_date]],"ddd")</f>
        <v>Wed</v>
      </c>
      <c r="U1886">
        <f>marketing_data[[#This Row],[Cleaned End_date]]-marketing_data[[#This Row],[Start_date]]</f>
        <v>2</v>
      </c>
    </row>
    <row r="1887" spans="1:21" x14ac:dyDescent="0.2">
      <c r="A1887" t="s">
        <v>3886</v>
      </c>
      <c r="B1887" t="s">
        <v>3887</v>
      </c>
      <c r="C1887" s="2">
        <v>45003</v>
      </c>
      <c r="D1887" t="str">
        <f t="shared" si="178"/>
        <v>Mar</v>
      </c>
      <c r="E1887" s="2">
        <v>45005</v>
      </c>
      <c r="F1887" t="s">
        <v>33</v>
      </c>
      <c r="G1887">
        <v>12536</v>
      </c>
      <c r="H1887">
        <v>318</v>
      </c>
      <c r="I1887">
        <v>56</v>
      </c>
      <c r="J1887" t="b">
        <v>1</v>
      </c>
      <c r="K1887" s="10">
        <v>441.89</v>
      </c>
      <c r="L1887" s="6">
        <f t="shared" si="179"/>
        <v>2.5366943203573709E-2</v>
      </c>
      <c r="M1887">
        <f t="shared" si="180"/>
        <v>1.3895911949685533</v>
      </c>
      <c r="N1887">
        <f t="shared" si="181"/>
        <v>7.8908928571428572</v>
      </c>
      <c r="O1887">
        <f t="shared" si="182"/>
        <v>2358.11</v>
      </c>
      <c r="P1887">
        <f t="shared" si="183"/>
        <v>0.1761006289308176</v>
      </c>
      <c r="Q1887" t="s">
        <v>4137</v>
      </c>
      <c r="R1887" t="s">
        <v>4141</v>
      </c>
      <c r="S1887">
        <f>YEAR(marketing_data[[#This Row],[Start_date]])</f>
        <v>2023</v>
      </c>
      <c r="T1887" t="str">
        <f>TEXT(marketing_data[[#This Row],[Start_date]],"ddd")</f>
        <v>Sat</v>
      </c>
      <c r="U1887">
        <f>marketing_data[[#This Row],[Cleaned End_date]]-marketing_data[[#This Row],[Start_date]]</f>
        <v>2</v>
      </c>
    </row>
    <row r="1888" spans="1:21" x14ac:dyDescent="0.2">
      <c r="A1888" t="s">
        <v>3888</v>
      </c>
      <c r="B1888" t="s">
        <v>3889</v>
      </c>
      <c r="C1888" s="2">
        <v>45291</v>
      </c>
      <c r="D1888" t="str">
        <f t="shared" si="178"/>
        <v>Dec</v>
      </c>
      <c r="E1888" s="2">
        <v>45301</v>
      </c>
      <c r="F1888" t="s">
        <v>14</v>
      </c>
      <c r="G1888">
        <v>29541</v>
      </c>
      <c r="H1888">
        <v>873</v>
      </c>
      <c r="I1888">
        <v>146</v>
      </c>
      <c r="J1888" t="b">
        <v>1</v>
      </c>
      <c r="K1888" s="10">
        <v>1077.1400000000001</v>
      </c>
      <c r="L1888" s="6">
        <f t="shared" si="179"/>
        <v>2.9552147862293085E-2</v>
      </c>
      <c r="M1888">
        <f t="shared" si="180"/>
        <v>1.2338373424971365</v>
      </c>
      <c r="N1888">
        <f t="shared" si="181"/>
        <v>7.3776712328767129</v>
      </c>
      <c r="O1888">
        <f t="shared" si="182"/>
        <v>6222.86</v>
      </c>
      <c r="P1888">
        <f t="shared" si="183"/>
        <v>0.1672394043528064</v>
      </c>
      <c r="Q1888" t="s">
        <v>4138</v>
      </c>
      <c r="R1888" t="s">
        <v>4138</v>
      </c>
      <c r="S1888">
        <f>YEAR(marketing_data[[#This Row],[Start_date]])</f>
        <v>2023</v>
      </c>
      <c r="T1888" t="str">
        <f>TEXT(marketing_data[[#This Row],[Start_date]],"ddd")</f>
        <v>Sun</v>
      </c>
      <c r="U1888">
        <f>marketing_data[[#This Row],[Cleaned End_date]]-marketing_data[[#This Row],[Start_date]]</f>
        <v>10</v>
      </c>
    </row>
    <row r="1889" spans="1:21" x14ac:dyDescent="0.2">
      <c r="A1889" t="s">
        <v>3891</v>
      </c>
      <c r="B1889" t="s">
        <v>3892</v>
      </c>
      <c r="C1889" s="2">
        <v>45084</v>
      </c>
      <c r="D1889" t="str">
        <f t="shared" si="178"/>
        <v>Jun</v>
      </c>
      <c r="E1889" s="2">
        <v>45085</v>
      </c>
      <c r="F1889" t="s">
        <v>19</v>
      </c>
      <c r="G1889">
        <v>80083</v>
      </c>
      <c r="H1889">
        <v>2177</v>
      </c>
      <c r="I1889">
        <v>142</v>
      </c>
      <c r="J1889" t="b">
        <v>0</v>
      </c>
      <c r="K1889" s="10">
        <v>1523.94</v>
      </c>
      <c r="L1889" s="6">
        <f t="shared" si="179"/>
        <v>2.718429629259643E-2</v>
      </c>
      <c r="M1889">
        <f t="shared" si="180"/>
        <v>0.7000183739090492</v>
      </c>
      <c r="N1889">
        <f t="shared" si="181"/>
        <v>10.731971830985916</v>
      </c>
      <c r="O1889">
        <f t="shared" si="182"/>
        <v>5576.0599999999995</v>
      </c>
      <c r="P1889">
        <f t="shared" si="183"/>
        <v>6.5227377124483232E-2</v>
      </c>
      <c r="Q1889" t="s">
        <v>4139</v>
      </c>
      <c r="R1889" t="s">
        <v>4142</v>
      </c>
      <c r="S1889">
        <f>YEAR(marketing_data[[#This Row],[Start_date]])</f>
        <v>2023</v>
      </c>
      <c r="T1889" t="str">
        <f>TEXT(marketing_data[[#This Row],[Start_date]],"ddd")</f>
        <v>Wed</v>
      </c>
      <c r="U1889">
        <f>marketing_data[[#This Row],[Cleaned End_date]]-marketing_data[[#This Row],[Start_date]]</f>
        <v>1</v>
      </c>
    </row>
    <row r="1890" spans="1:21" x14ac:dyDescent="0.2">
      <c r="A1890" t="s">
        <v>3893</v>
      </c>
      <c r="B1890" t="s">
        <v>3894</v>
      </c>
      <c r="C1890" s="2">
        <v>45155</v>
      </c>
      <c r="D1890" t="str">
        <f t="shared" si="178"/>
        <v>Aug</v>
      </c>
      <c r="E1890" s="2">
        <v>45160</v>
      </c>
      <c r="F1890" t="s">
        <v>23</v>
      </c>
      <c r="G1890">
        <v>52027</v>
      </c>
      <c r="H1890">
        <v>2061</v>
      </c>
      <c r="I1890">
        <v>136</v>
      </c>
      <c r="J1890" t="b">
        <v>0</v>
      </c>
      <c r="K1890" s="10">
        <v>1780.33</v>
      </c>
      <c r="L1890" s="6">
        <f t="shared" si="179"/>
        <v>3.9614046552751456E-2</v>
      </c>
      <c r="M1890">
        <f t="shared" si="180"/>
        <v>0.86381853469189707</v>
      </c>
      <c r="N1890">
        <f t="shared" si="181"/>
        <v>13.090661764705882</v>
      </c>
      <c r="O1890">
        <f t="shared" si="182"/>
        <v>5019.67</v>
      </c>
      <c r="P1890">
        <f t="shared" si="183"/>
        <v>6.5987384764677345E-2</v>
      </c>
      <c r="Q1890" t="s">
        <v>4139</v>
      </c>
      <c r="R1890" t="s">
        <v>4138</v>
      </c>
      <c r="S1890">
        <f>YEAR(marketing_data[[#This Row],[Start_date]])</f>
        <v>2023</v>
      </c>
      <c r="T1890" t="str">
        <f>TEXT(marketing_data[[#This Row],[Start_date]],"ddd")</f>
        <v>Thu</v>
      </c>
      <c r="U1890">
        <f>marketing_data[[#This Row],[Cleaned End_date]]-marketing_data[[#This Row],[Start_date]]</f>
        <v>5</v>
      </c>
    </row>
    <row r="1891" spans="1:21" x14ac:dyDescent="0.2">
      <c r="A1891" t="s">
        <v>3895</v>
      </c>
      <c r="B1891" t="s">
        <v>3896</v>
      </c>
      <c r="C1891" s="2">
        <v>44994</v>
      </c>
      <c r="D1891" t="str">
        <f t="shared" si="178"/>
        <v>Mar</v>
      </c>
      <c r="E1891" s="2">
        <v>45179</v>
      </c>
      <c r="F1891" t="s">
        <v>14</v>
      </c>
      <c r="G1891">
        <v>35531</v>
      </c>
      <c r="H1891">
        <v>1581</v>
      </c>
      <c r="J1891" t="b">
        <v>1</v>
      </c>
      <c r="K1891" s="10">
        <v>1482.25</v>
      </c>
      <c r="L1891" s="6">
        <f t="shared" si="179"/>
        <v>4.4496355295375871E-2</v>
      </c>
      <c r="M1891">
        <f t="shared" si="180"/>
        <v>0.93753953194180895</v>
      </c>
      <c r="N1891">
        <f t="shared" si="181"/>
        <v>0</v>
      </c>
      <c r="O1891">
        <f t="shared" si="182"/>
        <v>-1482.25</v>
      </c>
      <c r="P1891">
        <f t="shared" si="183"/>
        <v>0</v>
      </c>
      <c r="Q1891" t="s">
        <v>4137</v>
      </c>
      <c r="R1891" t="s">
        <v>4138</v>
      </c>
      <c r="S1891">
        <f>YEAR(marketing_data[[#This Row],[Start_date]])</f>
        <v>2023</v>
      </c>
      <c r="T1891" t="str">
        <f>TEXT(marketing_data[[#This Row],[Start_date]],"ddd")</f>
        <v>Thu</v>
      </c>
      <c r="U1891">
        <f>marketing_data[[#This Row],[Cleaned End_date]]-marketing_data[[#This Row],[Start_date]]</f>
        <v>185</v>
      </c>
    </row>
    <row r="1892" spans="1:21" x14ac:dyDescent="0.2">
      <c r="A1892" t="s">
        <v>3897</v>
      </c>
      <c r="B1892" t="s">
        <v>3898</v>
      </c>
      <c r="C1892" s="2">
        <v>45204</v>
      </c>
      <c r="D1892" t="str">
        <f t="shared" si="178"/>
        <v>Oct</v>
      </c>
      <c r="E1892" s="2">
        <v>45234</v>
      </c>
      <c r="F1892" t="s">
        <v>33</v>
      </c>
      <c r="G1892">
        <v>9712</v>
      </c>
      <c r="H1892">
        <v>303</v>
      </c>
      <c r="I1892">
        <v>15</v>
      </c>
      <c r="J1892" t="b">
        <v>0</v>
      </c>
      <c r="K1892" s="10">
        <v>571.6</v>
      </c>
      <c r="L1892" s="6">
        <f t="shared" si="179"/>
        <v>3.119851729818781E-2</v>
      </c>
      <c r="M1892">
        <f t="shared" si="180"/>
        <v>1.8864686468646865</v>
      </c>
      <c r="N1892">
        <f t="shared" si="181"/>
        <v>38.106666666666669</v>
      </c>
      <c r="O1892">
        <f t="shared" si="182"/>
        <v>178.39999999999998</v>
      </c>
      <c r="P1892">
        <f t="shared" si="183"/>
        <v>4.9504950495049507E-2</v>
      </c>
      <c r="Q1892" t="s">
        <v>4136</v>
      </c>
      <c r="R1892" t="s">
        <v>4139</v>
      </c>
      <c r="S1892">
        <f>YEAR(marketing_data[[#This Row],[Start_date]])</f>
        <v>2023</v>
      </c>
      <c r="T1892" t="str">
        <f>TEXT(marketing_data[[#This Row],[Start_date]],"ddd")</f>
        <v>Thu</v>
      </c>
      <c r="U1892">
        <f>marketing_data[[#This Row],[Cleaned End_date]]-marketing_data[[#This Row],[Start_date]]</f>
        <v>30</v>
      </c>
    </row>
    <row r="1893" spans="1:21" x14ac:dyDescent="0.2">
      <c r="A1893" t="s">
        <v>3899</v>
      </c>
      <c r="B1893" t="s">
        <v>3900</v>
      </c>
      <c r="C1893" s="2">
        <v>45181</v>
      </c>
      <c r="D1893" t="str">
        <f t="shared" si="178"/>
        <v>Sep</v>
      </c>
      <c r="E1893" s="2">
        <v>45200</v>
      </c>
      <c r="F1893" t="s">
        <v>33</v>
      </c>
      <c r="G1893">
        <v>66455</v>
      </c>
      <c r="H1893">
        <v>2763</v>
      </c>
      <c r="I1893">
        <v>365</v>
      </c>
      <c r="J1893" t="b">
        <v>1</v>
      </c>
      <c r="K1893" s="10">
        <v>2336.34</v>
      </c>
      <c r="L1893" s="6">
        <f t="shared" si="179"/>
        <v>4.1577006997216163E-2</v>
      </c>
      <c r="M1893">
        <f t="shared" si="180"/>
        <v>0.84558089033659067</v>
      </c>
      <c r="N1893">
        <f t="shared" si="181"/>
        <v>6.4009315068493153</v>
      </c>
      <c r="O1893">
        <f t="shared" si="182"/>
        <v>15913.66</v>
      </c>
      <c r="P1893">
        <f t="shared" si="183"/>
        <v>0.13210278682591386</v>
      </c>
      <c r="Q1893" t="s">
        <v>4136</v>
      </c>
      <c r="R1893" t="s">
        <v>4138</v>
      </c>
      <c r="S1893">
        <f>YEAR(marketing_data[[#This Row],[Start_date]])</f>
        <v>2023</v>
      </c>
      <c r="T1893" t="str">
        <f>TEXT(marketing_data[[#This Row],[Start_date]],"ddd")</f>
        <v>Tue</v>
      </c>
      <c r="U1893">
        <f>marketing_data[[#This Row],[Cleaned End_date]]-marketing_data[[#This Row],[Start_date]]</f>
        <v>19</v>
      </c>
    </row>
    <row r="1894" spans="1:21" x14ac:dyDescent="0.2">
      <c r="A1894" t="s">
        <v>3901</v>
      </c>
      <c r="B1894" t="s">
        <v>3902</v>
      </c>
      <c r="C1894" s="2">
        <v>44929</v>
      </c>
      <c r="D1894" t="str">
        <f t="shared" si="178"/>
        <v>Jan</v>
      </c>
      <c r="E1894" s="2">
        <v>44936</v>
      </c>
      <c r="F1894" t="s">
        <v>33</v>
      </c>
      <c r="G1894">
        <v>75744</v>
      </c>
      <c r="H1894">
        <v>1656</v>
      </c>
      <c r="I1894">
        <v>324</v>
      </c>
      <c r="J1894" t="b">
        <v>1</v>
      </c>
      <c r="K1894" s="10">
        <v>1546.48</v>
      </c>
      <c r="L1894" s="6">
        <f t="shared" si="179"/>
        <v>2.1863117870722433E-2</v>
      </c>
      <c r="M1894">
        <f t="shared" si="180"/>
        <v>0.93386473429951689</v>
      </c>
      <c r="N1894">
        <f t="shared" si="181"/>
        <v>4.7730864197530867</v>
      </c>
      <c r="O1894">
        <f t="shared" si="182"/>
        <v>14653.52</v>
      </c>
      <c r="P1894">
        <f t="shared" si="183"/>
        <v>0.19565217391304349</v>
      </c>
      <c r="Q1894" t="s">
        <v>4138</v>
      </c>
      <c r="R1894" t="s">
        <v>4142</v>
      </c>
      <c r="S1894">
        <f>YEAR(marketing_data[[#This Row],[Start_date]])</f>
        <v>2023</v>
      </c>
      <c r="T1894" t="str">
        <f>TEXT(marketing_data[[#This Row],[Start_date]],"ddd")</f>
        <v>Tue</v>
      </c>
      <c r="U1894">
        <f>marketing_data[[#This Row],[Cleaned End_date]]-marketing_data[[#This Row],[Start_date]]</f>
        <v>7</v>
      </c>
    </row>
    <row r="1895" spans="1:21" x14ac:dyDescent="0.2">
      <c r="A1895" t="s">
        <v>3903</v>
      </c>
      <c r="B1895" t="s">
        <v>3904</v>
      </c>
      <c r="C1895" s="2">
        <v>45038</v>
      </c>
      <c r="D1895" t="str">
        <f t="shared" si="178"/>
        <v>Apr</v>
      </c>
      <c r="E1895" s="2">
        <v>45052</v>
      </c>
      <c r="F1895" t="s">
        <v>41</v>
      </c>
      <c r="G1895">
        <v>6109</v>
      </c>
      <c r="H1895">
        <v>193</v>
      </c>
      <c r="I1895">
        <v>22</v>
      </c>
      <c r="J1895" t="b">
        <v>1</v>
      </c>
      <c r="K1895" s="10">
        <v>329.13249999999999</v>
      </c>
      <c r="L1895" s="6">
        <f t="shared" si="179"/>
        <v>3.1592732034702899E-2</v>
      </c>
      <c r="M1895">
        <f t="shared" si="180"/>
        <v>1.7053497409326424</v>
      </c>
      <c r="N1895">
        <f t="shared" si="181"/>
        <v>14.960568181818182</v>
      </c>
      <c r="O1895">
        <f t="shared" si="182"/>
        <v>770.86750000000006</v>
      </c>
      <c r="P1895">
        <f t="shared" si="183"/>
        <v>0.11398963730569948</v>
      </c>
      <c r="Q1895" t="s">
        <v>4137</v>
      </c>
      <c r="R1895" t="s">
        <v>4139</v>
      </c>
      <c r="S1895">
        <f>YEAR(marketing_data[[#This Row],[Start_date]])</f>
        <v>2023</v>
      </c>
      <c r="T1895" t="str">
        <f>TEXT(marketing_data[[#This Row],[Start_date]],"ddd")</f>
        <v>Sat</v>
      </c>
      <c r="U1895">
        <f>marketing_data[[#This Row],[Cleaned End_date]]-marketing_data[[#This Row],[Start_date]]</f>
        <v>14</v>
      </c>
    </row>
    <row r="1896" spans="1:21" x14ac:dyDescent="0.2">
      <c r="A1896" t="s">
        <v>3905</v>
      </c>
      <c r="B1896" t="s">
        <v>3906</v>
      </c>
      <c r="C1896" s="2">
        <v>45136</v>
      </c>
      <c r="D1896" t="str">
        <f t="shared" si="178"/>
        <v>Jul</v>
      </c>
      <c r="E1896" s="2">
        <v>45162</v>
      </c>
      <c r="F1896" t="s">
        <v>23</v>
      </c>
      <c r="G1896">
        <v>50268</v>
      </c>
      <c r="H1896">
        <v>1196</v>
      </c>
      <c r="I1896">
        <v>156</v>
      </c>
      <c r="J1896" t="b">
        <v>1</v>
      </c>
      <c r="K1896" s="10">
        <v>1788.75</v>
      </c>
      <c r="L1896" s="6">
        <f t="shared" si="179"/>
        <v>2.3792472348213575E-2</v>
      </c>
      <c r="M1896">
        <f t="shared" si="180"/>
        <v>1.4956103678929766</v>
      </c>
      <c r="N1896">
        <f t="shared" si="181"/>
        <v>11.466346153846153</v>
      </c>
      <c r="O1896">
        <f t="shared" si="182"/>
        <v>6011.25</v>
      </c>
      <c r="P1896">
        <f t="shared" si="183"/>
        <v>0.13043478260869565</v>
      </c>
      <c r="Q1896" t="s">
        <v>4139</v>
      </c>
      <c r="R1896" t="s">
        <v>4141</v>
      </c>
      <c r="S1896">
        <f>YEAR(marketing_data[[#This Row],[Start_date]])</f>
        <v>2023</v>
      </c>
      <c r="T1896" t="str">
        <f>TEXT(marketing_data[[#This Row],[Start_date]],"ddd")</f>
        <v>Sat</v>
      </c>
      <c r="U1896">
        <f>marketing_data[[#This Row],[Cleaned End_date]]-marketing_data[[#This Row],[Start_date]]</f>
        <v>26</v>
      </c>
    </row>
    <row r="1897" spans="1:21" x14ac:dyDescent="0.2">
      <c r="A1897" t="s">
        <v>3907</v>
      </c>
      <c r="B1897" t="s">
        <v>3908</v>
      </c>
      <c r="C1897" s="2">
        <v>44930</v>
      </c>
      <c r="D1897" t="str">
        <f t="shared" si="178"/>
        <v>Jan</v>
      </c>
      <c r="E1897" s="2">
        <v>44957</v>
      </c>
      <c r="F1897" t="s">
        <v>41</v>
      </c>
      <c r="G1897">
        <v>55615</v>
      </c>
      <c r="H1897">
        <v>1477</v>
      </c>
      <c r="I1897">
        <v>288</v>
      </c>
      <c r="J1897" t="b">
        <v>1</v>
      </c>
      <c r="K1897" s="10">
        <v>1000.46</v>
      </c>
      <c r="L1897" s="6">
        <f t="shared" si="179"/>
        <v>2.6557583385777218E-2</v>
      </c>
      <c r="M1897">
        <f t="shared" si="180"/>
        <v>0.67735951252538928</v>
      </c>
      <c r="N1897">
        <f t="shared" si="181"/>
        <v>3.4738194444444446</v>
      </c>
      <c r="O1897">
        <f t="shared" si="182"/>
        <v>13399.54</v>
      </c>
      <c r="P1897">
        <f t="shared" si="183"/>
        <v>0.19498984427894381</v>
      </c>
      <c r="Q1897" t="s">
        <v>4138</v>
      </c>
      <c r="R1897" t="s">
        <v>4139</v>
      </c>
      <c r="S1897">
        <f>YEAR(marketing_data[[#This Row],[Start_date]])</f>
        <v>2023</v>
      </c>
      <c r="T1897" t="str">
        <f>TEXT(marketing_data[[#This Row],[Start_date]],"ddd")</f>
        <v>Wed</v>
      </c>
      <c r="U1897">
        <f>marketing_data[[#This Row],[Cleaned End_date]]-marketing_data[[#This Row],[Start_date]]</f>
        <v>27</v>
      </c>
    </row>
    <row r="1898" spans="1:21" x14ac:dyDescent="0.2">
      <c r="A1898" t="s">
        <v>3909</v>
      </c>
      <c r="B1898" t="s">
        <v>3910</v>
      </c>
      <c r="C1898" s="2">
        <v>45244</v>
      </c>
      <c r="D1898" t="str">
        <f t="shared" si="178"/>
        <v>Nov</v>
      </c>
      <c r="E1898" s="2">
        <v>45273</v>
      </c>
      <c r="F1898" t="s">
        <v>19</v>
      </c>
      <c r="G1898">
        <v>83503</v>
      </c>
      <c r="H1898">
        <v>3281</v>
      </c>
      <c r="I1898">
        <v>289</v>
      </c>
      <c r="J1898" t="b">
        <v>0</v>
      </c>
      <c r="K1898" s="10">
        <v>3631.7599999999998</v>
      </c>
      <c r="L1898" s="6">
        <f t="shared" si="179"/>
        <v>3.9292001484976587E-2</v>
      </c>
      <c r="M1898">
        <f t="shared" si="180"/>
        <v>1.1069064309661687</v>
      </c>
      <c r="N1898">
        <f t="shared" si="181"/>
        <v>12.566643598615917</v>
      </c>
      <c r="O1898">
        <f t="shared" si="182"/>
        <v>10818.24</v>
      </c>
      <c r="P1898">
        <f t="shared" si="183"/>
        <v>8.8082901554404139E-2</v>
      </c>
      <c r="Q1898" t="s">
        <v>4136</v>
      </c>
      <c r="R1898" t="s">
        <v>4141</v>
      </c>
      <c r="S1898">
        <f>YEAR(marketing_data[[#This Row],[Start_date]])</f>
        <v>2023</v>
      </c>
      <c r="T1898" t="str">
        <f>TEXT(marketing_data[[#This Row],[Start_date]],"ddd")</f>
        <v>Tue</v>
      </c>
      <c r="U1898">
        <f>marketing_data[[#This Row],[Cleaned End_date]]-marketing_data[[#This Row],[Start_date]]</f>
        <v>29</v>
      </c>
    </row>
    <row r="1899" spans="1:21" x14ac:dyDescent="0.2">
      <c r="A1899" t="s">
        <v>3911</v>
      </c>
      <c r="B1899" t="s">
        <v>3912</v>
      </c>
      <c r="C1899" s="2">
        <v>45033</v>
      </c>
      <c r="D1899" t="str">
        <f t="shared" si="178"/>
        <v>Apr</v>
      </c>
      <c r="E1899" s="2">
        <v>45038</v>
      </c>
      <c r="F1899" t="str">
        <f>F1898</f>
        <v>Facebook</v>
      </c>
      <c r="G1899">
        <v>30759</v>
      </c>
      <c r="H1899">
        <v>1392</v>
      </c>
      <c r="J1899" t="b">
        <v>1</v>
      </c>
      <c r="K1899" s="10">
        <v>2503.31</v>
      </c>
      <c r="L1899" s="6">
        <f t="shared" si="179"/>
        <v>4.5255047303228324E-2</v>
      </c>
      <c r="M1899">
        <f t="shared" si="180"/>
        <v>1.7983548850574713</v>
      </c>
      <c r="N1899">
        <f t="shared" si="181"/>
        <v>0</v>
      </c>
      <c r="O1899">
        <f t="shared" si="182"/>
        <v>-2503.31</v>
      </c>
      <c r="P1899">
        <f t="shared" si="183"/>
        <v>0</v>
      </c>
      <c r="Q1899" t="s">
        <v>4137</v>
      </c>
      <c r="R1899" t="s">
        <v>4141</v>
      </c>
      <c r="S1899">
        <f>YEAR(marketing_data[[#This Row],[Start_date]])</f>
        <v>2023</v>
      </c>
      <c r="T1899" t="str">
        <f>TEXT(marketing_data[[#This Row],[Start_date]],"ddd")</f>
        <v>Mon</v>
      </c>
      <c r="U1899">
        <f>marketing_data[[#This Row],[Cleaned End_date]]-marketing_data[[#This Row],[Start_date]]</f>
        <v>5</v>
      </c>
    </row>
    <row r="1900" spans="1:21" x14ac:dyDescent="0.2">
      <c r="A1900" t="s">
        <v>3914</v>
      </c>
      <c r="B1900" t="s">
        <v>3915</v>
      </c>
      <c r="C1900" s="2">
        <v>45002</v>
      </c>
      <c r="D1900" t="str">
        <f t="shared" si="178"/>
        <v>Mar</v>
      </c>
      <c r="E1900" s="2">
        <v>45016</v>
      </c>
      <c r="F1900" t="s">
        <v>23</v>
      </c>
      <c r="G1900">
        <v>86708</v>
      </c>
      <c r="H1900">
        <v>1288</v>
      </c>
      <c r="J1900" t="b">
        <v>0</v>
      </c>
      <c r="K1900" s="10">
        <v>1759.18</v>
      </c>
      <c r="L1900" s="6">
        <f t="shared" si="179"/>
        <v>1.4854454029616644E-2</v>
      </c>
      <c r="M1900">
        <f t="shared" si="180"/>
        <v>1.3658229813664597</v>
      </c>
      <c r="N1900">
        <f t="shared" si="181"/>
        <v>0</v>
      </c>
      <c r="O1900">
        <f t="shared" si="182"/>
        <v>-1759.18</v>
      </c>
      <c r="P1900">
        <f t="shared" si="183"/>
        <v>0</v>
      </c>
      <c r="Q1900" t="s">
        <v>4137</v>
      </c>
      <c r="R1900" t="s">
        <v>4138</v>
      </c>
      <c r="S1900">
        <f>YEAR(marketing_data[[#This Row],[Start_date]])</f>
        <v>2023</v>
      </c>
      <c r="T1900" t="str">
        <f>TEXT(marketing_data[[#This Row],[Start_date]],"ddd")</f>
        <v>Fri</v>
      </c>
      <c r="U1900">
        <f>marketing_data[[#This Row],[Cleaned End_date]]-marketing_data[[#This Row],[Start_date]]</f>
        <v>14</v>
      </c>
    </row>
    <row r="1901" spans="1:21" x14ac:dyDescent="0.2">
      <c r="A1901" t="s">
        <v>3916</v>
      </c>
      <c r="B1901" t="s">
        <v>3917</v>
      </c>
      <c r="C1901" s="2">
        <v>45105</v>
      </c>
      <c r="D1901" t="str">
        <f t="shared" si="178"/>
        <v>Jun</v>
      </c>
      <c r="E1901" s="2">
        <v>45123</v>
      </c>
      <c r="F1901" t="s">
        <v>23</v>
      </c>
      <c r="G1901">
        <v>61112</v>
      </c>
      <c r="H1901">
        <v>2162</v>
      </c>
      <c r="I1901">
        <v>292</v>
      </c>
      <c r="J1901" t="b">
        <v>1</v>
      </c>
      <c r="K1901" s="10">
        <v>3266.9</v>
      </c>
      <c r="L1901" s="6">
        <f t="shared" si="179"/>
        <v>3.537766723393114E-2</v>
      </c>
      <c r="M1901">
        <f t="shared" si="180"/>
        <v>1.511054579093432</v>
      </c>
      <c r="N1901">
        <f t="shared" si="181"/>
        <v>11.188013698630137</v>
      </c>
      <c r="O1901">
        <f t="shared" si="182"/>
        <v>11333.1</v>
      </c>
      <c r="P1901">
        <f t="shared" si="183"/>
        <v>0.13506012950971322</v>
      </c>
      <c r="Q1901" t="s">
        <v>4139</v>
      </c>
      <c r="R1901" t="s">
        <v>4142</v>
      </c>
      <c r="S1901">
        <f>YEAR(marketing_data[[#This Row],[Start_date]])</f>
        <v>2023</v>
      </c>
      <c r="T1901" t="str">
        <f>TEXT(marketing_data[[#This Row],[Start_date]],"ddd")</f>
        <v>Wed</v>
      </c>
      <c r="U1901">
        <f>marketing_data[[#This Row],[Cleaned End_date]]-marketing_data[[#This Row],[Start_date]]</f>
        <v>18</v>
      </c>
    </row>
    <row r="1902" spans="1:21" x14ac:dyDescent="0.2">
      <c r="A1902" t="s">
        <v>3919</v>
      </c>
      <c r="B1902" t="s">
        <v>3920</v>
      </c>
      <c r="C1902" s="2">
        <v>44943</v>
      </c>
      <c r="D1902" t="str">
        <f t="shared" si="178"/>
        <v>Jan</v>
      </c>
      <c r="E1902" s="2">
        <v>44962</v>
      </c>
      <c r="F1902" t="s">
        <v>33</v>
      </c>
      <c r="G1902">
        <v>27589</v>
      </c>
      <c r="H1902">
        <v>918</v>
      </c>
      <c r="I1902">
        <v>93</v>
      </c>
      <c r="J1902" t="b">
        <v>1</v>
      </c>
      <c r="K1902" s="10">
        <v>481.94</v>
      </c>
      <c r="L1902" s="6">
        <f t="shared" si="179"/>
        <v>3.3274130994236831E-2</v>
      </c>
      <c r="M1902">
        <f t="shared" si="180"/>
        <v>0.52498910675381261</v>
      </c>
      <c r="N1902">
        <f t="shared" si="181"/>
        <v>5.1821505376344081</v>
      </c>
      <c r="O1902">
        <f t="shared" si="182"/>
        <v>4168.0600000000004</v>
      </c>
      <c r="P1902">
        <f t="shared" si="183"/>
        <v>0.10130718954248366</v>
      </c>
      <c r="Q1902" t="s">
        <v>4138</v>
      </c>
      <c r="R1902" t="s">
        <v>4138</v>
      </c>
      <c r="S1902">
        <f>YEAR(marketing_data[[#This Row],[Start_date]])</f>
        <v>2023</v>
      </c>
      <c r="T1902" t="str">
        <f>TEXT(marketing_data[[#This Row],[Start_date]],"ddd")</f>
        <v>Tue</v>
      </c>
      <c r="U1902">
        <f>marketing_data[[#This Row],[Cleaned End_date]]-marketing_data[[#This Row],[Start_date]]</f>
        <v>19</v>
      </c>
    </row>
    <row r="1903" spans="1:21" x14ac:dyDescent="0.2">
      <c r="A1903" t="s">
        <v>3921</v>
      </c>
      <c r="B1903" t="s">
        <v>3922</v>
      </c>
      <c r="C1903" s="2">
        <v>45079</v>
      </c>
      <c r="D1903" t="str">
        <f t="shared" si="178"/>
        <v>Jun</v>
      </c>
      <c r="E1903" s="2">
        <v>45109</v>
      </c>
      <c r="F1903" t="s">
        <v>33</v>
      </c>
      <c r="G1903">
        <v>31015</v>
      </c>
      <c r="H1903">
        <v>457</v>
      </c>
      <c r="I1903">
        <v>61</v>
      </c>
      <c r="J1903" t="b">
        <v>0</v>
      </c>
      <c r="K1903" s="10">
        <v>460.85</v>
      </c>
      <c r="L1903" s="6">
        <f t="shared" si="179"/>
        <v>1.4734805739158472E-2</v>
      </c>
      <c r="M1903">
        <f t="shared" si="180"/>
        <v>1.0084245076586433</v>
      </c>
      <c r="N1903">
        <f t="shared" si="181"/>
        <v>7.5549180327868859</v>
      </c>
      <c r="O1903">
        <f t="shared" si="182"/>
        <v>2589.15</v>
      </c>
      <c r="P1903">
        <f t="shared" si="183"/>
        <v>0.13347921225382933</v>
      </c>
      <c r="Q1903" t="s">
        <v>4139</v>
      </c>
      <c r="R1903" t="s">
        <v>4139</v>
      </c>
      <c r="S1903">
        <f>YEAR(marketing_data[[#This Row],[Start_date]])</f>
        <v>2023</v>
      </c>
      <c r="T1903" t="str">
        <f>TEXT(marketing_data[[#This Row],[Start_date]],"ddd")</f>
        <v>Fri</v>
      </c>
      <c r="U1903">
        <f>marketing_data[[#This Row],[Cleaned End_date]]-marketing_data[[#This Row],[Start_date]]</f>
        <v>30</v>
      </c>
    </row>
    <row r="1904" spans="1:21" x14ac:dyDescent="0.2">
      <c r="A1904" t="s">
        <v>3923</v>
      </c>
      <c r="B1904" t="s">
        <v>3924</v>
      </c>
      <c r="C1904" s="2">
        <v>44982</v>
      </c>
      <c r="D1904" t="str">
        <f t="shared" si="178"/>
        <v>Feb</v>
      </c>
      <c r="E1904" s="2">
        <v>45012</v>
      </c>
      <c r="F1904" t="s">
        <v>23</v>
      </c>
      <c r="G1904">
        <v>30009</v>
      </c>
      <c r="H1904">
        <v>554</v>
      </c>
      <c r="I1904">
        <v>33</v>
      </c>
      <c r="J1904" t="b">
        <v>1</v>
      </c>
      <c r="K1904" s="10">
        <v>938.19</v>
      </c>
      <c r="L1904" s="6">
        <f t="shared" si="179"/>
        <v>1.8461128328168215E-2</v>
      </c>
      <c r="M1904">
        <f t="shared" si="180"/>
        <v>1.6934837545126356</v>
      </c>
      <c r="N1904">
        <f t="shared" si="181"/>
        <v>28.430000000000003</v>
      </c>
      <c r="O1904">
        <f t="shared" si="182"/>
        <v>711.81</v>
      </c>
      <c r="P1904">
        <f t="shared" si="183"/>
        <v>5.9566787003610108E-2</v>
      </c>
      <c r="Q1904" t="s">
        <v>4138</v>
      </c>
      <c r="R1904" t="s">
        <v>4142</v>
      </c>
      <c r="S1904">
        <f>YEAR(marketing_data[[#This Row],[Start_date]])</f>
        <v>2023</v>
      </c>
      <c r="T1904" t="str">
        <f>TEXT(marketing_data[[#This Row],[Start_date]],"ddd")</f>
        <v>Sat</v>
      </c>
      <c r="U1904">
        <f>marketing_data[[#This Row],[Cleaned End_date]]-marketing_data[[#This Row],[Start_date]]</f>
        <v>30</v>
      </c>
    </row>
    <row r="1905" spans="1:21" x14ac:dyDescent="0.2">
      <c r="A1905" t="s">
        <v>3925</v>
      </c>
      <c r="B1905" t="s">
        <v>3926</v>
      </c>
      <c r="C1905" s="2">
        <v>45271</v>
      </c>
      <c r="D1905" t="str">
        <f t="shared" si="178"/>
        <v>Dec</v>
      </c>
      <c r="E1905" s="2">
        <v>45278</v>
      </c>
      <c r="F1905" t="s">
        <v>33</v>
      </c>
      <c r="G1905">
        <v>84309</v>
      </c>
      <c r="H1905">
        <v>1891</v>
      </c>
      <c r="I1905">
        <v>311</v>
      </c>
      <c r="J1905" t="b">
        <v>0</v>
      </c>
      <c r="K1905" s="10">
        <v>1165.28</v>
      </c>
      <c r="L1905" s="6">
        <f t="shared" si="179"/>
        <v>2.2429396624322431E-2</v>
      </c>
      <c r="M1905">
        <f t="shared" si="180"/>
        <v>0.61622421998942356</v>
      </c>
      <c r="N1905">
        <f t="shared" si="181"/>
        <v>3.7468810289389065</v>
      </c>
      <c r="O1905">
        <f t="shared" si="182"/>
        <v>14384.72</v>
      </c>
      <c r="P1905">
        <f t="shared" si="183"/>
        <v>0.1644632469592808</v>
      </c>
      <c r="Q1905" t="s">
        <v>4138</v>
      </c>
      <c r="R1905" t="s">
        <v>4139</v>
      </c>
      <c r="S1905">
        <f>YEAR(marketing_data[[#This Row],[Start_date]])</f>
        <v>2023</v>
      </c>
      <c r="T1905" t="str">
        <f>TEXT(marketing_data[[#This Row],[Start_date]],"ddd")</f>
        <v>Mon</v>
      </c>
      <c r="U1905">
        <f>marketing_data[[#This Row],[Cleaned End_date]]-marketing_data[[#This Row],[Start_date]]</f>
        <v>7</v>
      </c>
    </row>
    <row r="1906" spans="1:21" x14ac:dyDescent="0.2">
      <c r="A1906" t="s">
        <v>3927</v>
      </c>
      <c r="B1906" t="s">
        <v>3928</v>
      </c>
      <c r="C1906" s="2">
        <v>45285</v>
      </c>
      <c r="D1906" t="str">
        <f t="shared" si="178"/>
        <v>Dec</v>
      </c>
      <c r="E1906" s="2">
        <v>45286</v>
      </c>
      <c r="F1906" t="s">
        <v>14</v>
      </c>
      <c r="G1906">
        <v>63046</v>
      </c>
      <c r="H1906">
        <v>1051</v>
      </c>
      <c r="J1906" t="b">
        <v>1</v>
      </c>
      <c r="K1906" s="10">
        <v>970.57</v>
      </c>
      <c r="L1906" s="6">
        <f t="shared" si="179"/>
        <v>1.6670367668051897E-2</v>
      </c>
      <c r="M1906">
        <f t="shared" si="180"/>
        <v>0.92347288296860142</v>
      </c>
      <c r="N1906">
        <f t="shared" si="181"/>
        <v>0</v>
      </c>
      <c r="O1906">
        <f t="shared" si="182"/>
        <v>-970.57</v>
      </c>
      <c r="P1906">
        <f t="shared" si="183"/>
        <v>0</v>
      </c>
      <c r="Q1906" t="s">
        <v>4138</v>
      </c>
      <c r="R1906" t="s">
        <v>4139</v>
      </c>
      <c r="S1906">
        <f>YEAR(marketing_data[[#This Row],[Start_date]])</f>
        <v>2023</v>
      </c>
      <c r="T1906" t="str">
        <f>TEXT(marketing_data[[#This Row],[Start_date]],"ddd")</f>
        <v>Mon</v>
      </c>
      <c r="U1906">
        <f>marketing_data[[#This Row],[Cleaned End_date]]-marketing_data[[#This Row],[Start_date]]</f>
        <v>1</v>
      </c>
    </row>
    <row r="1907" spans="1:21" x14ac:dyDescent="0.2">
      <c r="A1907" t="s">
        <v>3929</v>
      </c>
      <c r="B1907" t="s">
        <v>3930</v>
      </c>
      <c r="C1907" s="2">
        <v>45017</v>
      </c>
      <c r="D1907" t="str">
        <f t="shared" si="178"/>
        <v>Apr</v>
      </c>
      <c r="E1907" s="2">
        <v>45020</v>
      </c>
      <c r="F1907" t="s">
        <v>23</v>
      </c>
      <c r="G1907">
        <v>27143</v>
      </c>
      <c r="H1907">
        <v>536</v>
      </c>
      <c r="I1907">
        <v>98</v>
      </c>
      <c r="J1907" t="b">
        <v>1</v>
      </c>
      <c r="K1907" s="10">
        <v>738.58</v>
      </c>
      <c r="L1907" s="6">
        <f t="shared" si="179"/>
        <v>1.9747264488081642E-2</v>
      </c>
      <c r="M1907">
        <f t="shared" si="180"/>
        <v>1.3779477611940298</v>
      </c>
      <c r="N1907">
        <f t="shared" si="181"/>
        <v>7.5365306122448983</v>
      </c>
      <c r="O1907">
        <f t="shared" si="182"/>
        <v>4161.42</v>
      </c>
      <c r="P1907">
        <f t="shared" si="183"/>
        <v>0.18283582089552239</v>
      </c>
      <c r="Q1907" t="s">
        <v>4137</v>
      </c>
      <c r="R1907" t="s">
        <v>4138</v>
      </c>
      <c r="S1907">
        <f>YEAR(marketing_data[[#This Row],[Start_date]])</f>
        <v>2023</v>
      </c>
      <c r="T1907" t="str">
        <f>TEXT(marketing_data[[#This Row],[Start_date]],"ddd")</f>
        <v>Sat</v>
      </c>
      <c r="U1907">
        <f>marketing_data[[#This Row],[Cleaned End_date]]-marketing_data[[#This Row],[Start_date]]</f>
        <v>3</v>
      </c>
    </row>
    <row r="1908" spans="1:21" x14ac:dyDescent="0.2">
      <c r="A1908" t="s">
        <v>3931</v>
      </c>
      <c r="B1908" t="s">
        <v>3932</v>
      </c>
      <c r="C1908" s="2">
        <v>45111</v>
      </c>
      <c r="D1908" t="str">
        <f t="shared" si="178"/>
        <v>Jul</v>
      </c>
      <c r="E1908" s="2">
        <v>45141</v>
      </c>
      <c r="F1908" t="s">
        <v>19</v>
      </c>
      <c r="G1908">
        <v>7154</v>
      </c>
      <c r="H1908">
        <v>148</v>
      </c>
      <c r="I1908">
        <v>15</v>
      </c>
      <c r="J1908" t="b">
        <v>1</v>
      </c>
      <c r="K1908" s="10">
        <v>329.13249999999999</v>
      </c>
      <c r="L1908" s="6">
        <f t="shared" si="179"/>
        <v>2.0687727145652781E-2</v>
      </c>
      <c r="M1908">
        <f t="shared" si="180"/>
        <v>2.2238682432432433</v>
      </c>
      <c r="N1908">
        <f t="shared" si="181"/>
        <v>21.942166666666665</v>
      </c>
      <c r="O1908">
        <f t="shared" si="182"/>
        <v>420.86750000000001</v>
      </c>
      <c r="P1908">
        <f t="shared" si="183"/>
        <v>0.10135135135135136</v>
      </c>
      <c r="Q1908" t="s">
        <v>4139</v>
      </c>
      <c r="R1908" t="s">
        <v>4141</v>
      </c>
      <c r="S1908">
        <f>YEAR(marketing_data[[#This Row],[Start_date]])</f>
        <v>2023</v>
      </c>
      <c r="T1908" t="str">
        <f>TEXT(marketing_data[[#This Row],[Start_date]],"ddd")</f>
        <v>Tue</v>
      </c>
      <c r="U1908">
        <f>marketing_data[[#This Row],[Cleaned End_date]]-marketing_data[[#This Row],[Start_date]]</f>
        <v>30</v>
      </c>
    </row>
    <row r="1909" spans="1:21" x14ac:dyDescent="0.2">
      <c r="A1909" t="s">
        <v>3933</v>
      </c>
      <c r="B1909" t="s">
        <v>3934</v>
      </c>
      <c r="C1909" s="2">
        <v>45080</v>
      </c>
      <c r="D1909" t="str">
        <f t="shared" si="178"/>
        <v>Jun</v>
      </c>
      <c r="E1909" s="2">
        <v>45108</v>
      </c>
      <c r="F1909" t="str">
        <f>F1908</f>
        <v>Facebook</v>
      </c>
      <c r="G1909">
        <v>22804</v>
      </c>
      <c r="H1909">
        <v>534</v>
      </c>
      <c r="I1909">
        <v>38</v>
      </c>
      <c r="J1909" t="b">
        <v>1</v>
      </c>
      <c r="K1909" s="10">
        <v>1015.12</v>
      </c>
      <c r="L1909" s="6">
        <f t="shared" si="179"/>
        <v>2.3416944395720049E-2</v>
      </c>
      <c r="M1909">
        <f t="shared" si="180"/>
        <v>1.9009737827715356</v>
      </c>
      <c r="N1909">
        <f t="shared" si="181"/>
        <v>26.713684210526317</v>
      </c>
      <c r="O1909">
        <f t="shared" si="182"/>
        <v>884.88</v>
      </c>
      <c r="P1909">
        <f t="shared" si="183"/>
        <v>7.116104868913857E-2</v>
      </c>
      <c r="Q1909" t="s">
        <v>4139</v>
      </c>
      <c r="R1909" t="s">
        <v>4139</v>
      </c>
      <c r="S1909">
        <f>YEAR(marketing_data[[#This Row],[Start_date]])</f>
        <v>2023</v>
      </c>
      <c r="T1909" t="str">
        <f>TEXT(marketing_data[[#This Row],[Start_date]],"ddd")</f>
        <v>Sat</v>
      </c>
      <c r="U1909">
        <f>marketing_data[[#This Row],[Cleaned End_date]]-marketing_data[[#This Row],[Start_date]]</f>
        <v>28</v>
      </c>
    </row>
    <row r="1910" spans="1:21" x14ac:dyDescent="0.2">
      <c r="A1910" t="s">
        <v>3935</v>
      </c>
      <c r="B1910" t="s">
        <v>3936</v>
      </c>
      <c r="C1910" s="2">
        <v>44961</v>
      </c>
      <c r="D1910" t="str">
        <f t="shared" si="178"/>
        <v>Feb</v>
      </c>
      <c r="E1910" s="2">
        <v>44963</v>
      </c>
      <c r="F1910" t="s">
        <v>14</v>
      </c>
      <c r="G1910">
        <v>42688</v>
      </c>
      <c r="H1910">
        <v>1706</v>
      </c>
      <c r="I1910">
        <v>263</v>
      </c>
      <c r="J1910" t="b">
        <v>1</v>
      </c>
      <c r="K1910" s="10">
        <v>1188.3800000000001</v>
      </c>
      <c r="L1910" s="6">
        <f t="shared" si="179"/>
        <v>3.9964392803598203E-2</v>
      </c>
      <c r="M1910">
        <f t="shared" si="180"/>
        <v>0.69658851113716302</v>
      </c>
      <c r="N1910">
        <f t="shared" si="181"/>
        <v>4.5185551330798486</v>
      </c>
      <c r="O1910">
        <f t="shared" si="182"/>
        <v>11961.619999999999</v>
      </c>
      <c r="P1910">
        <f t="shared" si="183"/>
        <v>0.15416178194607269</v>
      </c>
      <c r="Q1910" t="s">
        <v>4138</v>
      </c>
      <c r="R1910" t="s">
        <v>4142</v>
      </c>
      <c r="S1910">
        <f>YEAR(marketing_data[[#This Row],[Start_date]])</f>
        <v>2023</v>
      </c>
      <c r="T1910" t="str">
        <f>TEXT(marketing_data[[#This Row],[Start_date]],"ddd")</f>
        <v>Sat</v>
      </c>
      <c r="U1910">
        <f>marketing_data[[#This Row],[Cleaned End_date]]-marketing_data[[#This Row],[Start_date]]</f>
        <v>2</v>
      </c>
    </row>
    <row r="1911" spans="1:21" x14ac:dyDescent="0.2">
      <c r="A1911" t="s">
        <v>3937</v>
      </c>
      <c r="B1911" t="s">
        <v>3938</v>
      </c>
      <c r="C1911" s="2">
        <v>44960</v>
      </c>
      <c r="D1911" t="str">
        <f t="shared" si="178"/>
        <v>Feb</v>
      </c>
      <c r="E1911" s="2">
        <v>44969</v>
      </c>
      <c r="F1911" t="s">
        <v>41</v>
      </c>
      <c r="G1911">
        <v>65288</v>
      </c>
      <c r="H1911">
        <v>2146</v>
      </c>
      <c r="I1911">
        <v>160</v>
      </c>
      <c r="J1911" t="b">
        <v>1</v>
      </c>
      <c r="K1911" s="10">
        <v>3631.7599999999998</v>
      </c>
      <c r="L1911" s="6">
        <f t="shared" si="179"/>
        <v>3.2869746354613406E-2</v>
      </c>
      <c r="M1911">
        <f t="shared" si="180"/>
        <v>1.6923392357875116</v>
      </c>
      <c r="N1911">
        <f t="shared" si="181"/>
        <v>22.698499999999999</v>
      </c>
      <c r="O1911">
        <f t="shared" si="182"/>
        <v>4368.24</v>
      </c>
      <c r="P1911">
        <f t="shared" si="183"/>
        <v>7.4557315936626276E-2</v>
      </c>
      <c r="Q1911" t="s">
        <v>4138</v>
      </c>
      <c r="R1911" t="s">
        <v>4139</v>
      </c>
      <c r="S1911">
        <f>YEAR(marketing_data[[#This Row],[Start_date]])</f>
        <v>2023</v>
      </c>
      <c r="T1911" t="str">
        <f>TEXT(marketing_data[[#This Row],[Start_date]],"ddd")</f>
        <v>Fri</v>
      </c>
      <c r="U1911">
        <f>marketing_data[[#This Row],[Cleaned End_date]]-marketing_data[[#This Row],[Start_date]]</f>
        <v>9</v>
      </c>
    </row>
    <row r="1912" spans="1:21" x14ac:dyDescent="0.2">
      <c r="A1912" t="s">
        <v>3939</v>
      </c>
      <c r="B1912" t="s">
        <v>3940</v>
      </c>
      <c r="C1912" s="2">
        <v>45282</v>
      </c>
      <c r="D1912" t="str">
        <f t="shared" si="178"/>
        <v>Dec</v>
      </c>
      <c r="E1912" s="2">
        <v>45306</v>
      </c>
      <c r="F1912" t="s">
        <v>19</v>
      </c>
      <c r="G1912">
        <v>52195</v>
      </c>
      <c r="H1912">
        <v>2581</v>
      </c>
      <c r="I1912">
        <v>420</v>
      </c>
      <c r="J1912" t="b">
        <v>0</v>
      </c>
      <c r="K1912" s="10">
        <v>3257.02</v>
      </c>
      <c r="L1912" s="6">
        <f t="shared" si="179"/>
        <v>4.9449180956030271E-2</v>
      </c>
      <c r="M1912">
        <f t="shared" si="180"/>
        <v>1.2619217357613328</v>
      </c>
      <c r="N1912">
        <f t="shared" si="181"/>
        <v>7.7548095238095236</v>
      </c>
      <c r="O1912">
        <f t="shared" si="182"/>
        <v>17742.98</v>
      </c>
      <c r="P1912">
        <f t="shared" si="183"/>
        <v>0.16272762495156917</v>
      </c>
      <c r="Q1912" t="s">
        <v>4138</v>
      </c>
      <c r="R1912" t="s">
        <v>4141</v>
      </c>
      <c r="S1912">
        <f>YEAR(marketing_data[[#This Row],[Start_date]])</f>
        <v>2023</v>
      </c>
      <c r="T1912" t="str">
        <f>TEXT(marketing_data[[#This Row],[Start_date]],"ddd")</f>
        <v>Fri</v>
      </c>
      <c r="U1912">
        <f>marketing_data[[#This Row],[Cleaned End_date]]-marketing_data[[#This Row],[Start_date]]</f>
        <v>24</v>
      </c>
    </row>
    <row r="1913" spans="1:21" x14ac:dyDescent="0.2">
      <c r="A1913" t="s">
        <v>3941</v>
      </c>
      <c r="B1913" t="s">
        <v>3942</v>
      </c>
      <c r="C1913" s="2">
        <v>45138</v>
      </c>
      <c r="D1913" t="str">
        <f t="shared" si="178"/>
        <v>Jul</v>
      </c>
      <c r="E1913" s="2">
        <v>45154</v>
      </c>
      <c r="F1913" t="s">
        <v>33</v>
      </c>
      <c r="G1913">
        <v>21581</v>
      </c>
      <c r="H1913">
        <v>573</v>
      </c>
      <c r="J1913" t="b">
        <v>1</v>
      </c>
      <c r="K1913" s="10">
        <v>931.41</v>
      </c>
      <c r="L1913" s="6">
        <f t="shared" si="179"/>
        <v>2.6551132941012929E-2</v>
      </c>
      <c r="M1913">
        <f t="shared" si="180"/>
        <v>1.6254973821989529</v>
      </c>
      <c r="N1913">
        <f t="shared" si="181"/>
        <v>0</v>
      </c>
      <c r="O1913">
        <f t="shared" si="182"/>
        <v>-931.41</v>
      </c>
      <c r="P1913">
        <f t="shared" si="183"/>
        <v>0</v>
      </c>
      <c r="Q1913" t="s">
        <v>4139</v>
      </c>
      <c r="R1913" t="s">
        <v>4141</v>
      </c>
      <c r="S1913">
        <f>YEAR(marketing_data[[#This Row],[Start_date]])</f>
        <v>2023</v>
      </c>
      <c r="T1913" t="str">
        <f>TEXT(marketing_data[[#This Row],[Start_date]],"ddd")</f>
        <v>Mon</v>
      </c>
      <c r="U1913">
        <f>marketing_data[[#This Row],[Cleaned End_date]]-marketing_data[[#This Row],[Start_date]]</f>
        <v>16</v>
      </c>
    </row>
    <row r="1914" spans="1:21" x14ac:dyDescent="0.2">
      <c r="A1914" t="s">
        <v>3943</v>
      </c>
      <c r="B1914" t="s">
        <v>3944</v>
      </c>
      <c r="C1914" s="2">
        <v>45210</v>
      </c>
      <c r="D1914" t="str">
        <f t="shared" si="178"/>
        <v>Oct</v>
      </c>
      <c r="E1914" s="2">
        <v>45266</v>
      </c>
      <c r="F1914" t="s">
        <v>19</v>
      </c>
      <c r="G1914">
        <v>53648</v>
      </c>
      <c r="H1914">
        <v>2154</v>
      </c>
      <c r="I1914">
        <v>359</v>
      </c>
      <c r="J1914" t="b">
        <v>0</v>
      </c>
      <c r="K1914" s="10">
        <v>2080.92</v>
      </c>
      <c r="L1914" s="6">
        <f t="shared" si="179"/>
        <v>4.015061139278258E-2</v>
      </c>
      <c r="M1914">
        <f t="shared" si="180"/>
        <v>0.96607242339832877</v>
      </c>
      <c r="N1914">
        <f t="shared" si="181"/>
        <v>5.7964345403899724</v>
      </c>
      <c r="O1914">
        <f t="shared" si="182"/>
        <v>15869.08</v>
      </c>
      <c r="P1914">
        <f t="shared" si="183"/>
        <v>0.16666666666666666</v>
      </c>
      <c r="Q1914" t="s">
        <v>4136</v>
      </c>
      <c r="R1914" t="s">
        <v>4142</v>
      </c>
      <c r="S1914">
        <f>YEAR(marketing_data[[#This Row],[Start_date]])</f>
        <v>2023</v>
      </c>
      <c r="T1914" t="str">
        <f>TEXT(marketing_data[[#This Row],[Start_date]],"ddd")</f>
        <v>Wed</v>
      </c>
      <c r="U1914">
        <f>marketing_data[[#This Row],[Cleaned End_date]]-marketing_data[[#This Row],[Start_date]]</f>
        <v>56</v>
      </c>
    </row>
    <row r="1915" spans="1:21" x14ac:dyDescent="0.2">
      <c r="A1915" t="s">
        <v>3945</v>
      </c>
      <c r="B1915" t="s">
        <v>3946</v>
      </c>
      <c r="C1915" s="2">
        <v>45219</v>
      </c>
      <c r="D1915" t="str">
        <f t="shared" si="178"/>
        <v>Oct</v>
      </c>
      <c r="E1915" s="2">
        <v>45222</v>
      </c>
      <c r="F1915" t="s">
        <v>23</v>
      </c>
      <c r="G1915">
        <v>31087</v>
      </c>
      <c r="H1915">
        <v>1394</v>
      </c>
      <c r="I1915">
        <v>74</v>
      </c>
      <c r="J1915" t="b">
        <v>0</v>
      </c>
      <c r="K1915" s="10">
        <v>1772.8</v>
      </c>
      <c r="L1915" s="6">
        <f t="shared" si="179"/>
        <v>4.4841895326020523E-2</v>
      </c>
      <c r="M1915">
        <f t="shared" si="180"/>
        <v>1.2717360114777618</v>
      </c>
      <c r="N1915">
        <f t="shared" si="181"/>
        <v>23.956756756756757</v>
      </c>
      <c r="O1915">
        <f t="shared" si="182"/>
        <v>1927.2</v>
      </c>
      <c r="P1915">
        <f t="shared" si="183"/>
        <v>5.308464849354376E-2</v>
      </c>
      <c r="Q1915" t="s">
        <v>4136</v>
      </c>
      <c r="R1915" t="s">
        <v>4138</v>
      </c>
      <c r="S1915">
        <f>YEAR(marketing_data[[#This Row],[Start_date]])</f>
        <v>2023</v>
      </c>
      <c r="T1915" t="str">
        <f>TEXT(marketing_data[[#This Row],[Start_date]],"ddd")</f>
        <v>Fri</v>
      </c>
      <c r="U1915">
        <f>marketing_data[[#This Row],[Cleaned End_date]]-marketing_data[[#This Row],[Start_date]]</f>
        <v>3</v>
      </c>
    </row>
    <row r="1916" spans="1:21" x14ac:dyDescent="0.2">
      <c r="A1916" t="s">
        <v>3947</v>
      </c>
      <c r="B1916" t="s">
        <v>3948</v>
      </c>
      <c r="C1916" s="2">
        <v>44971</v>
      </c>
      <c r="D1916" t="str">
        <f t="shared" si="178"/>
        <v>Feb</v>
      </c>
      <c r="E1916" s="2">
        <v>44979</v>
      </c>
      <c r="F1916" t="str">
        <f>F1915</f>
        <v>Email</v>
      </c>
      <c r="G1916">
        <v>50930</v>
      </c>
      <c r="H1916">
        <v>1892</v>
      </c>
      <c r="I1916">
        <v>264</v>
      </c>
      <c r="J1916" t="b">
        <v>0</v>
      </c>
      <c r="K1916" s="10">
        <v>3377.7</v>
      </c>
      <c r="L1916" s="6">
        <f t="shared" si="179"/>
        <v>3.7149028077753776E-2</v>
      </c>
      <c r="M1916">
        <f t="shared" si="180"/>
        <v>1.7852536997885835</v>
      </c>
      <c r="N1916">
        <f t="shared" si="181"/>
        <v>12.794318181818181</v>
      </c>
      <c r="O1916">
        <f t="shared" si="182"/>
        <v>9822.2999999999993</v>
      </c>
      <c r="P1916">
        <f t="shared" si="183"/>
        <v>0.13953488372093023</v>
      </c>
      <c r="Q1916" t="s">
        <v>4138</v>
      </c>
      <c r="R1916" t="s">
        <v>4139</v>
      </c>
      <c r="S1916">
        <f>YEAR(marketing_data[[#This Row],[Start_date]])</f>
        <v>2023</v>
      </c>
      <c r="T1916" t="str">
        <f>TEXT(marketing_data[[#This Row],[Start_date]],"ddd")</f>
        <v>Tue</v>
      </c>
      <c r="U1916">
        <f>marketing_data[[#This Row],[Cleaned End_date]]-marketing_data[[#This Row],[Start_date]]</f>
        <v>8</v>
      </c>
    </row>
    <row r="1917" spans="1:21" x14ac:dyDescent="0.2">
      <c r="A1917" t="s">
        <v>3949</v>
      </c>
      <c r="B1917" t="s">
        <v>3950</v>
      </c>
      <c r="C1917" s="2">
        <v>45288</v>
      </c>
      <c r="D1917" t="str">
        <f t="shared" si="178"/>
        <v>Dec</v>
      </c>
      <c r="E1917" s="2">
        <v>45303</v>
      </c>
      <c r="F1917" t="s">
        <v>33</v>
      </c>
      <c r="G1917">
        <v>33981</v>
      </c>
      <c r="H1917">
        <v>899</v>
      </c>
      <c r="I1917">
        <v>138</v>
      </c>
      <c r="J1917" t="b">
        <v>1</v>
      </c>
      <c r="K1917" s="10">
        <v>1079.0899999999999</v>
      </c>
      <c r="L1917" s="6">
        <f t="shared" si="179"/>
        <v>2.6455960683911598E-2</v>
      </c>
      <c r="M1917">
        <f t="shared" si="180"/>
        <v>1.2003225806451612</v>
      </c>
      <c r="N1917">
        <f t="shared" si="181"/>
        <v>7.8194927536231882</v>
      </c>
      <c r="O1917">
        <f t="shared" si="182"/>
        <v>5820.91</v>
      </c>
      <c r="P1917">
        <f t="shared" si="183"/>
        <v>0.15350389321468297</v>
      </c>
      <c r="Q1917" t="s">
        <v>4138</v>
      </c>
      <c r="R1917" t="s">
        <v>4142</v>
      </c>
      <c r="S1917">
        <f>YEAR(marketing_data[[#This Row],[Start_date]])</f>
        <v>2023</v>
      </c>
      <c r="T1917" t="str">
        <f>TEXT(marketing_data[[#This Row],[Start_date]],"ddd")</f>
        <v>Thu</v>
      </c>
      <c r="U1917">
        <f>marketing_data[[#This Row],[Cleaned End_date]]-marketing_data[[#This Row],[Start_date]]</f>
        <v>15</v>
      </c>
    </row>
    <row r="1918" spans="1:21" x14ac:dyDescent="0.2">
      <c r="A1918" t="s">
        <v>3951</v>
      </c>
      <c r="B1918" t="s">
        <v>3952</v>
      </c>
      <c r="C1918" s="2">
        <v>45089</v>
      </c>
      <c r="D1918" t="str">
        <f t="shared" si="178"/>
        <v>Jun</v>
      </c>
      <c r="E1918" s="2">
        <v>45119</v>
      </c>
      <c r="F1918" t="s">
        <v>41</v>
      </c>
      <c r="G1918">
        <v>70298</v>
      </c>
      <c r="H1918">
        <v>2822</v>
      </c>
      <c r="I1918">
        <v>490</v>
      </c>
      <c r="J1918" t="b">
        <v>0</v>
      </c>
      <c r="K1918" s="10">
        <v>2933.69</v>
      </c>
      <c r="L1918" s="6">
        <f t="shared" si="179"/>
        <v>4.0143389570115789E-2</v>
      </c>
      <c r="M1918">
        <f t="shared" si="180"/>
        <v>1.0395783132530121</v>
      </c>
      <c r="N1918">
        <f t="shared" si="181"/>
        <v>5.9871224489795916</v>
      </c>
      <c r="O1918">
        <f t="shared" si="182"/>
        <v>21566.31</v>
      </c>
      <c r="P1918">
        <f t="shared" si="183"/>
        <v>0.17363571934798017</v>
      </c>
      <c r="Q1918" t="s">
        <v>4139</v>
      </c>
      <c r="R1918" t="s">
        <v>4139</v>
      </c>
      <c r="S1918">
        <f>YEAR(marketing_data[[#This Row],[Start_date]])</f>
        <v>2023</v>
      </c>
      <c r="T1918" t="str">
        <f>TEXT(marketing_data[[#This Row],[Start_date]],"ddd")</f>
        <v>Mon</v>
      </c>
      <c r="U1918">
        <f>marketing_data[[#This Row],[Cleaned End_date]]-marketing_data[[#This Row],[Start_date]]</f>
        <v>30</v>
      </c>
    </row>
    <row r="1919" spans="1:21" x14ac:dyDescent="0.2">
      <c r="A1919" t="s">
        <v>3953</v>
      </c>
      <c r="B1919" t="s">
        <v>3954</v>
      </c>
      <c r="C1919" s="2">
        <v>45246</v>
      </c>
      <c r="D1919" t="str">
        <f t="shared" si="178"/>
        <v>Nov</v>
      </c>
      <c r="E1919" s="2">
        <v>45252</v>
      </c>
      <c r="F1919" t="s">
        <v>33</v>
      </c>
      <c r="G1919">
        <v>47167</v>
      </c>
      <c r="H1919">
        <v>855</v>
      </c>
      <c r="I1919">
        <v>49</v>
      </c>
      <c r="J1919" t="b">
        <v>1</v>
      </c>
      <c r="K1919" s="10">
        <v>1115.1199999999999</v>
      </c>
      <c r="L1919" s="6">
        <f t="shared" si="179"/>
        <v>1.812708037399029E-2</v>
      </c>
      <c r="M1919">
        <f t="shared" si="180"/>
        <v>1.3042339181286549</v>
      </c>
      <c r="N1919">
        <f t="shared" si="181"/>
        <v>22.757551020408162</v>
      </c>
      <c r="O1919">
        <f t="shared" si="182"/>
        <v>1334.88</v>
      </c>
      <c r="P1919">
        <f t="shared" si="183"/>
        <v>5.7309941520467839E-2</v>
      </c>
      <c r="Q1919" t="s">
        <v>4136</v>
      </c>
      <c r="R1919" t="s">
        <v>4142</v>
      </c>
      <c r="S1919">
        <f>YEAR(marketing_data[[#This Row],[Start_date]])</f>
        <v>2023</v>
      </c>
      <c r="T1919" t="str">
        <f>TEXT(marketing_data[[#This Row],[Start_date]],"ddd")</f>
        <v>Thu</v>
      </c>
      <c r="U1919">
        <f>marketing_data[[#This Row],[Cleaned End_date]]-marketing_data[[#This Row],[Start_date]]</f>
        <v>6</v>
      </c>
    </row>
    <row r="1920" spans="1:21" x14ac:dyDescent="0.2">
      <c r="A1920" t="s">
        <v>3955</v>
      </c>
      <c r="B1920" t="s">
        <v>3956</v>
      </c>
      <c r="C1920" s="2">
        <v>45215</v>
      </c>
      <c r="D1920" t="str">
        <f t="shared" si="178"/>
        <v>Oct</v>
      </c>
      <c r="E1920" s="2">
        <v>45245</v>
      </c>
      <c r="F1920" t="s">
        <v>23</v>
      </c>
      <c r="G1920">
        <v>76304</v>
      </c>
      <c r="H1920">
        <v>1762</v>
      </c>
      <c r="I1920">
        <v>214</v>
      </c>
      <c r="J1920" t="b">
        <v>1</v>
      </c>
      <c r="K1920" s="10">
        <v>2776.99</v>
      </c>
      <c r="L1920" s="6">
        <f t="shared" si="179"/>
        <v>2.3091843153700987E-2</v>
      </c>
      <c r="M1920">
        <f t="shared" si="180"/>
        <v>1.5760442678774118</v>
      </c>
      <c r="N1920">
        <f t="shared" si="181"/>
        <v>12.976588785046728</v>
      </c>
      <c r="O1920">
        <f t="shared" si="182"/>
        <v>7923.01</v>
      </c>
      <c r="P1920">
        <f t="shared" si="183"/>
        <v>0.12145289443813848</v>
      </c>
      <c r="Q1920" t="s">
        <v>4136</v>
      </c>
      <c r="R1920" t="s">
        <v>4141</v>
      </c>
      <c r="S1920">
        <f>YEAR(marketing_data[[#This Row],[Start_date]])</f>
        <v>2023</v>
      </c>
      <c r="T1920" t="str">
        <f>TEXT(marketing_data[[#This Row],[Start_date]],"ddd")</f>
        <v>Mon</v>
      </c>
      <c r="U1920">
        <f>marketing_data[[#This Row],[Cleaned End_date]]-marketing_data[[#This Row],[Start_date]]</f>
        <v>30</v>
      </c>
    </row>
    <row r="1921" spans="1:21" x14ac:dyDescent="0.2">
      <c r="A1921" t="s">
        <v>3957</v>
      </c>
      <c r="B1921" t="s">
        <v>3958</v>
      </c>
      <c r="C1921" s="2">
        <v>45181</v>
      </c>
      <c r="D1921" t="str">
        <f t="shared" si="178"/>
        <v>Sep</v>
      </c>
      <c r="E1921" s="2">
        <v>45203</v>
      </c>
      <c r="F1921" t="s">
        <v>19</v>
      </c>
      <c r="G1921">
        <v>44408</v>
      </c>
      <c r="H1921">
        <v>1415</v>
      </c>
      <c r="I1921">
        <v>184</v>
      </c>
      <c r="J1921" t="b">
        <v>1</v>
      </c>
      <c r="K1921" s="10">
        <v>1648.96</v>
      </c>
      <c r="L1921" s="6">
        <f t="shared" si="179"/>
        <v>3.1863628175103582E-2</v>
      </c>
      <c r="M1921">
        <f t="shared" si="180"/>
        <v>1.1653427561837455</v>
      </c>
      <c r="N1921">
        <f t="shared" si="181"/>
        <v>8.9617391304347827</v>
      </c>
      <c r="O1921">
        <f t="shared" si="182"/>
        <v>7551.04</v>
      </c>
      <c r="P1921">
        <f t="shared" si="183"/>
        <v>0.13003533568904593</v>
      </c>
      <c r="Q1921" t="s">
        <v>4136</v>
      </c>
      <c r="R1921" t="s">
        <v>4142</v>
      </c>
      <c r="S1921">
        <f>YEAR(marketing_data[[#This Row],[Start_date]])</f>
        <v>2023</v>
      </c>
      <c r="T1921" t="str">
        <f>TEXT(marketing_data[[#This Row],[Start_date]],"ddd")</f>
        <v>Tue</v>
      </c>
      <c r="U1921">
        <f>marketing_data[[#This Row],[Cleaned End_date]]-marketing_data[[#This Row],[Start_date]]</f>
        <v>22</v>
      </c>
    </row>
    <row r="1922" spans="1:21" x14ac:dyDescent="0.2">
      <c r="A1922" t="s">
        <v>3959</v>
      </c>
      <c r="B1922" t="s">
        <v>3960</v>
      </c>
      <c r="C1922" s="2">
        <v>45239</v>
      </c>
      <c r="D1922" t="str">
        <f t="shared" si="178"/>
        <v>Nov</v>
      </c>
      <c r="E1922" s="2">
        <v>45255</v>
      </c>
      <c r="F1922" t="s">
        <v>41</v>
      </c>
      <c r="G1922">
        <v>40499</v>
      </c>
      <c r="H1922">
        <v>1337</v>
      </c>
      <c r="I1922">
        <v>100</v>
      </c>
      <c r="J1922" t="b">
        <v>1</v>
      </c>
      <c r="K1922" s="10">
        <v>2551.42</v>
      </c>
      <c r="L1922" s="6">
        <f t="shared" si="179"/>
        <v>3.301316081878565E-2</v>
      </c>
      <c r="M1922">
        <f t="shared" si="180"/>
        <v>1.9083171278982798</v>
      </c>
      <c r="N1922">
        <f t="shared" si="181"/>
        <v>25.514200000000002</v>
      </c>
      <c r="O1922">
        <f t="shared" si="182"/>
        <v>2448.58</v>
      </c>
      <c r="P1922">
        <f t="shared" si="183"/>
        <v>7.4794315632011971E-2</v>
      </c>
      <c r="Q1922" t="s">
        <v>4136</v>
      </c>
      <c r="R1922" t="s">
        <v>4142</v>
      </c>
      <c r="S1922">
        <f>YEAR(marketing_data[[#This Row],[Start_date]])</f>
        <v>2023</v>
      </c>
      <c r="T1922" t="str">
        <f>TEXT(marketing_data[[#This Row],[Start_date]],"ddd")</f>
        <v>Thu</v>
      </c>
      <c r="U1922">
        <f>marketing_data[[#This Row],[Cleaned End_date]]-marketing_data[[#This Row],[Start_date]]</f>
        <v>16</v>
      </c>
    </row>
    <row r="1923" spans="1:21" x14ac:dyDescent="0.2">
      <c r="A1923" t="s">
        <v>3961</v>
      </c>
      <c r="B1923" t="s">
        <v>3962</v>
      </c>
      <c r="C1923" s="2">
        <v>45203</v>
      </c>
      <c r="D1923" t="str">
        <f t="shared" ref="D1923:D1986" si="184">TEXT(C1923,"mmm")</f>
        <v>Oct</v>
      </c>
      <c r="E1923" s="2">
        <v>45233</v>
      </c>
      <c r="F1923" t="s">
        <v>41</v>
      </c>
      <c r="G1923">
        <v>53269</v>
      </c>
      <c r="H1923">
        <v>579</v>
      </c>
      <c r="I1923">
        <v>56</v>
      </c>
      <c r="J1923" t="b">
        <v>1</v>
      </c>
      <c r="K1923" s="10">
        <v>545.66</v>
      </c>
      <c r="L1923" s="6">
        <f t="shared" ref="L1923:L1986" si="185">H1923/G1923</f>
        <v>1.0869361166907582E-2</v>
      </c>
      <c r="M1923">
        <f t="shared" ref="M1923:M1986" si="186">K1923/H1923</f>
        <v>0.94241796200345418</v>
      </c>
      <c r="N1923">
        <f t="shared" ref="N1923:N1986" si="187">IFERROR(K1923/I1923,0)</f>
        <v>9.7439285714285706</v>
      </c>
      <c r="O1923">
        <f t="shared" ref="O1923:O1986" si="188">(50*I1923)-K1923</f>
        <v>2254.34</v>
      </c>
      <c r="P1923">
        <f t="shared" ref="P1923:P1986" si="189">I1923/H1923</f>
        <v>9.6718480138169263E-2</v>
      </c>
      <c r="Q1923" t="s">
        <v>4136</v>
      </c>
      <c r="R1923" t="s">
        <v>4139</v>
      </c>
      <c r="S1923">
        <f>YEAR(marketing_data[[#This Row],[Start_date]])</f>
        <v>2023</v>
      </c>
      <c r="T1923" t="str">
        <f>TEXT(marketing_data[[#This Row],[Start_date]],"ddd")</f>
        <v>Wed</v>
      </c>
      <c r="U1923">
        <f>marketing_data[[#This Row],[Cleaned End_date]]-marketing_data[[#This Row],[Start_date]]</f>
        <v>30</v>
      </c>
    </row>
    <row r="1924" spans="1:21" x14ac:dyDescent="0.2">
      <c r="A1924" t="s">
        <v>3963</v>
      </c>
      <c r="B1924" t="s">
        <v>3964</v>
      </c>
      <c r="C1924" s="2">
        <v>44939</v>
      </c>
      <c r="D1924" t="str">
        <f t="shared" si="184"/>
        <v>Jan</v>
      </c>
      <c r="E1924" s="2">
        <v>44942</v>
      </c>
      <c r="F1924" t="s">
        <v>19</v>
      </c>
      <c r="G1924">
        <v>39559</v>
      </c>
      <c r="H1924">
        <v>1891</v>
      </c>
      <c r="I1924">
        <v>219</v>
      </c>
      <c r="J1924" t="b">
        <v>1</v>
      </c>
      <c r="K1924" s="10">
        <v>2294.15</v>
      </c>
      <c r="L1924" s="6">
        <f t="shared" si="185"/>
        <v>4.7802017240071791E-2</v>
      </c>
      <c r="M1924">
        <f t="shared" si="186"/>
        <v>1.2131940772078267</v>
      </c>
      <c r="N1924">
        <f t="shared" si="187"/>
        <v>10.475570776255708</v>
      </c>
      <c r="O1924">
        <f t="shared" si="188"/>
        <v>8655.85</v>
      </c>
      <c r="P1924">
        <f t="shared" si="189"/>
        <v>0.11581173982020095</v>
      </c>
      <c r="Q1924" t="s">
        <v>4138</v>
      </c>
      <c r="R1924" t="s">
        <v>4139</v>
      </c>
      <c r="S1924">
        <f>YEAR(marketing_data[[#This Row],[Start_date]])</f>
        <v>2023</v>
      </c>
      <c r="T1924" t="str">
        <f>TEXT(marketing_data[[#This Row],[Start_date]],"ddd")</f>
        <v>Fri</v>
      </c>
      <c r="U1924">
        <f>marketing_data[[#This Row],[Cleaned End_date]]-marketing_data[[#This Row],[Start_date]]</f>
        <v>3</v>
      </c>
    </row>
    <row r="1925" spans="1:21" x14ac:dyDescent="0.2">
      <c r="A1925" t="s">
        <v>3965</v>
      </c>
      <c r="B1925" t="s">
        <v>3966</v>
      </c>
      <c r="C1925" s="2">
        <v>45033</v>
      </c>
      <c r="D1925" t="str">
        <f t="shared" si="184"/>
        <v>Apr</v>
      </c>
      <c r="E1925" s="2">
        <v>45055</v>
      </c>
      <c r="F1925" t="s">
        <v>33</v>
      </c>
      <c r="G1925">
        <v>75319</v>
      </c>
      <c r="H1925">
        <v>2851</v>
      </c>
      <c r="I1925">
        <v>498</v>
      </c>
      <c r="J1925" t="b">
        <v>1</v>
      </c>
      <c r="K1925" s="10">
        <v>3631.7599999999998</v>
      </c>
      <c r="L1925" s="6">
        <f t="shared" si="185"/>
        <v>3.7852334736255128E-2</v>
      </c>
      <c r="M1925">
        <f t="shared" si="186"/>
        <v>1.2738547877937565</v>
      </c>
      <c r="N1925">
        <f t="shared" si="187"/>
        <v>7.2926907630522084</v>
      </c>
      <c r="O1925">
        <f t="shared" si="188"/>
        <v>21268.240000000002</v>
      </c>
      <c r="P1925">
        <f t="shared" si="189"/>
        <v>0.17467555243774113</v>
      </c>
      <c r="Q1925" t="s">
        <v>4137</v>
      </c>
      <c r="R1925" t="s">
        <v>4139</v>
      </c>
      <c r="S1925">
        <f>YEAR(marketing_data[[#This Row],[Start_date]])</f>
        <v>2023</v>
      </c>
      <c r="T1925" t="str">
        <f>TEXT(marketing_data[[#This Row],[Start_date]],"ddd")</f>
        <v>Mon</v>
      </c>
      <c r="U1925">
        <f>marketing_data[[#This Row],[Cleaned End_date]]-marketing_data[[#This Row],[Start_date]]</f>
        <v>22</v>
      </c>
    </row>
    <row r="1926" spans="1:21" x14ac:dyDescent="0.2">
      <c r="A1926" t="s">
        <v>3967</v>
      </c>
      <c r="B1926" t="s">
        <v>3968</v>
      </c>
      <c r="C1926" s="2">
        <v>45138</v>
      </c>
      <c r="D1926" t="str">
        <f t="shared" si="184"/>
        <v>Jul</v>
      </c>
      <c r="E1926" s="2">
        <v>45153</v>
      </c>
      <c r="F1926" t="s">
        <v>33</v>
      </c>
      <c r="G1926">
        <v>96317</v>
      </c>
      <c r="H1926">
        <v>2872</v>
      </c>
      <c r="I1926">
        <v>543</v>
      </c>
      <c r="J1926" t="b">
        <v>0</v>
      </c>
      <c r="K1926" s="10">
        <v>3631.7599999999998</v>
      </c>
      <c r="L1926" s="6">
        <f t="shared" si="185"/>
        <v>2.9818204470654194E-2</v>
      </c>
      <c r="M1926">
        <f t="shared" si="186"/>
        <v>1.2645403899721448</v>
      </c>
      <c r="N1926">
        <f t="shared" si="187"/>
        <v>6.6883241252302019</v>
      </c>
      <c r="O1926">
        <f t="shared" si="188"/>
        <v>23518.240000000002</v>
      </c>
      <c r="P1926">
        <f t="shared" si="189"/>
        <v>0.18906685236768803</v>
      </c>
      <c r="Q1926" t="s">
        <v>4139</v>
      </c>
      <c r="R1926" t="s">
        <v>4142</v>
      </c>
      <c r="S1926">
        <f>YEAR(marketing_data[[#This Row],[Start_date]])</f>
        <v>2023</v>
      </c>
      <c r="T1926" t="str">
        <f>TEXT(marketing_data[[#This Row],[Start_date]],"ddd")</f>
        <v>Mon</v>
      </c>
      <c r="U1926">
        <f>marketing_data[[#This Row],[Cleaned End_date]]-marketing_data[[#This Row],[Start_date]]</f>
        <v>15</v>
      </c>
    </row>
    <row r="1927" spans="1:21" x14ac:dyDescent="0.2">
      <c r="A1927" t="s">
        <v>3969</v>
      </c>
      <c r="B1927" t="s">
        <v>3970</v>
      </c>
      <c r="C1927" s="2">
        <v>45106</v>
      </c>
      <c r="D1927" t="str">
        <f t="shared" si="184"/>
        <v>Jun</v>
      </c>
      <c r="E1927" s="2">
        <v>45132</v>
      </c>
      <c r="F1927" t="s">
        <v>19</v>
      </c>
      <c r="G1927">
        <v>97347</v>
      </c>
      <c r="H1927">
        <v>4606</v>
      </c>
      <c r="I1927">
        <v>664</v>
      </c>
      <c r="J1927" t="b">
        <v>0</v>
      </c>
      <c r="K1927" s="10">
        <v>3631.7599999999998</v>
      </c>
      <c r="L1927" s="6">
        <f t="shared" si="185"/>
        <v>4.7315274225194409E-2</v>
      </c>
      <c r="M1927">
        <f t="shared" si="186"/>
        <v>0.78848458532349108</v>
      </c>
      <c r="N1927">
        <f t="shared" si="187"/>
        <v>5.4695180722891559</v>
      </c>
      <c r="O1927">
        <f t="shared" si="188"/>
        <v>29568.240000000002</v>
      </c>
      <c r="P1927">
        <f t="shared" si="189"/>
        <v>0.14415979157620495</v>
      </c>
      <c r="Q1927" t="s">
        <v>4139</v>
      </c>
      <c r="R1927" t="s">
        <v>4138</v>
      </c>
      <c r="S1927">
        <f>YEAR(marketing_data[[#This Row],[Start_date]])</f>
        <v>2023</v>
      </c>
      <c r="T1927" t="str">
        <f>TEXT(marketing_data[[#This Row],[Start_date]],"ddd")</f>
        <v>Thu</v>
      </c>
      <c r="U1927">
        <f>marketing_data[[#This Row],[Cleaned End_date]]-marketing_data[[#This Row],[Start_date]]</f>
        <v>26</v>
      </c>
    </row>
    <row r="1928" spans="1:21" x14ac:dyDescent="0.2">
      <c r="A1928" t="s">
        <v>3971</v>
      </c>
      <c r="B1928" t="s">
        <v>3972</v>
      </c>
      <c r="C1928" s="2">
        <v>44932</v>
      </c>
      <c r="D1928" t="str">
        <f t="shared" si="184"/>
        <v>Jan</v>
      </c>
      <c r="E1928" s="2">
        <v>44961</v>
      </c>
      <c r="F1928" t="s">
        <v>23</v>
      </c>
      <c r="G1928">
        <v>49787</v>
      </c>
      <c r="H1928">
        <v>1372</v>
      </c>
      <c r="I1928">
        <v>149</v>
      </c>
      <c r="J1928" t="b">
        <v>1</v>
      </c>
      <c r="K1928" s="10">
        <v>2737.43</v>
      </c>
      <c r="L1928" s="6">
        <f t="shared" si="185"/>
        <v>2.755739450057244E-2</v>
      </c>
      <c r="M1928">
        <f t="shared" si="186"/>
        <v>1.9952113702623906</v>
      </c>
      <c r="N1928">
        <f t="shared" si="187"/>
        <v>18.372013422818792</v>
      </c>
      <c r="O1928">
        <f t="shared" si="188"/>
        <v>4712.57</v>
      </c>
      <c r="P1928">
        <f t="shared" si="189"/>
        <v>0.10860058309037901</v>
      </c>
      <c r="Q1928" t="s">
        <v>4138</v>
      </c>
      <c r="R1928" t="s">
        <v>4141</v>
      </c>
      <c r="S1928">
        <f>YEAR(marketing_data[[#This Row],[Start_date]])</f>
        <v>2023</v>
      </c>
      <c r="T1928" t="str">
        <f>TEXT(marketing_data[[#This Row],[Start_date]],"ddd")</f>
        <v>Fri</v>
      </c>
      <c r="U1928">
        <f>marketing_data[[#This Row],[Cleaned End_date]]-marketing_data[[#This Row],[Start_date]]</f>
        <v>29</v>
      </c>
    </row>
    <row r="1929" spans="1:21" x14ac:dyDescent="0.2">
      <c r="A1929" t="s">
        <v>3973</v>
      </c>
      <c r="B1929" t="s">
        <v>3974</v>
      </c>
      <c r="C1929" s="2">
        <v>45057</v>
      </c>
      <c r="D1929" t="str">
        <f t="shared" si="184"/>
        <v>May</v>
      </c>
      <c r="E1929" s="2">
        <v>45068</v>
      </c>
      <c r="F1929" t="s">
        <v>41</v>
      </c>
      <c r="G1929">
        <v>36488</v>
      </c>
      <c r="H1929">
        <v>1795</v>
      </c>
      <c r="I1929">
        <v>158</v>
      </c>
      <c r="J1929" t="b">
        <v>1</v>
      </c>
      <c r="K1929" s="10">
        <v>2046.82</v>
      </c>
      <c r="L1929" s="6">
        <f t="shared" si="185"/>
        <v>4.9194255645691735E-2</v>
      </c>
      <c r="M1929">
        <f t="shared" si="186"/>
        <v>1.1402896935933147</v>
      </c>
      <c r="N1929">
        <f t="shared" si="187"/>
        <v>12.954556962025316</v>
      </c>
      <c r="O1929">
        <f t="shared" si="188"/>
        <v>5853.18</v>
      </c>
      <c r="P1929">
        <f t="shared" si="189"/>
        <v>8.8022284122562675E-2</v>
      </c>
      <c r="Q1929" t="s">
        <v>4137</v>
      </c>
      <c r="R1929" t="s">
        <v>4139</v>
      </c>
      <c r="S1929">
        <f>YEAR(marketing_data[[#This Row],[Start_date]])</f>
        <v>2023</v>
      </c>
      <c r="T1929" t="str">
        <f>TEXT(marketing_data[[#This Row],[Start_date]],"ddd")</f>
        <v>Thu</v>
      </c>
      <c r="U1929">
        <f>marketing_data[[#This Row],[Cleaned End_date]]-marketing_data[[#This Row],[Start_date]]</f>
        <v>11</v>
      </c>
    </row>
    <row r="1930" spans="1:21" x14ac:dyDescent="0.2">
      <c r="A1930" t="s">
        <v>3975</v>
      </c>
      <c r="B1930" t="s">
        <v>3976</v>
      </c>
      <c r="C1930" s="2">
        <v>45186</v>
      </c>
      <c r="D1930" t="str">
        <f t="shared" si="184"/>
        <v>Sep</v>
      </c>
      <c r="E1930" s="2">
        <v>45206</v>
      </c>
      <c r="F1930" t="s">
        <v>23</v>
      </c>
      <c r="G1930">
        <v>75441</v>
      </c>
      <c r="H1930">
        <v>2300</v>
      </c>
      <c r="I1930">
        <v>453</v>
      </c>
      <c r="J1930" t="b">
        <v>1</v>
      </c>
      <c r="K1930" s="10">
        <v>1533.47</v>
      </c>
      <c r="L1930" s="6">
        <f t="shared" si="185"/>
        <v>3.0487400750255165E-2</v>
      </c>
      <c r="M1930">
        <f t="shared" si="186"/>
        <v>0.6667260869565218</v>
      </c>
      <c r="N1930">
        <f t="shared" si="187"/>
        <v>3.3851434878587199</v>
      </c>
      <c r="O1930">
        <f t="shared" si="188"/>
        <v>21116.53</v>
      </c>
      <c r="P1930">
        <f t="shared" si="189"/>
        <v>0.19695652173913045</v>
      </c>
      <c r="Q1930" t="s">
        <v>4136</v>
      </c>
      <c r="R1930" t="s">
        <v>4141</v>
      </c>
      <c r="S1930">
        <f>YEAR(marketing_data[[#This Row],[Start_date]])</f>
        <v>2023</v>
      </c>
      <c r="T1930" t="str">
        <f>TEXT(marketing_data[[#This Row],[Start_date]],"ddd")</f>
        <v>Sun</v>
      </c>
      <c r="U1930">
        <f>marketing_data[[#This Row],[Cleaned End_date]]-marketing_data[[#This Row],[Start_date]]</f>
        <v>20</v>
      </c>
    </row>
    <row r="1931" spans="1:21" x14ac:dyDescent="0.2">
      <c r="A1931" t="s">
        <v>3977</v>
      </c>
      <c r="B1931" t="s">
        <v>3978</v>
      </c>
      <c r="C1931" s="2">
        <v>44985</v>
      </c>
      <c r="D1931" t="str">
        <f t="shared" si="184"/>
        <v>Feb</v>
      </c>
      <c r="E1931" s="2">
        <v>45009</v>
      </c>
      <c r="F1931" t="s">
        <v>33</v>
      </c>
      <c r="G1931">
        <v>75663</v>
      </c>
      <c r="H1931">
        <v>1102</v>
      </c>
      <c r="I1931">
        <v>217</v>
      </c>
      <c r="J1931" t="b">
        <v>1</v>
      </c>
      <c r="K1931" s="10">
        <v>601.28</v>
      </c>
      <c r="L1931" s="6">
        <f t="shared" si="185"/>
        <v>1.4564582424698994E-2</v>
      </c>
      <c r="M1931">
        <f t="shared" si="186"/>
        <v>0.54562613430127038</v>
      </c>
      <c r="N1931">
        <f t="shared" si="187"/>
        <v>2.7708755760368664</v>
      </c>
      <c r="O1931">
        <f t="shared" si="188"/>
        <v>10248.719999999999</v>
      </c>
      <c r="P1931">
        <f t="shared" si="189"/>
        <v>0.19691470054446461</v>
      </c>
      <c r="Q1931" t="s">
        <v>4138</v>
      </c>
      <c r="R1931" t="s">
        <v>4142</v>
      </c>
      <c r="S1931">
        <f>YEAR(marketing_data[[#This Row],[Start_date]])</f>
        <v>2023</v>
      </c>
      <c r="T1931" t="str">
        <f>TEXT(marketing_data[[#This Row],[Start_date]],"ddd")</f>
        <v>Tue</v>
      </c>
      <c r="U1931">
        <f>marketing_data[[#This Row],[Cleaned End_date]]-marketing_data[[#This Row],[Start_date]]</f>
        <v>24</v>
      </c>
    </row>
    <row r="1932" spans="1:21" x14ac:dyDescent="0.2">
      <c r="A1932" t="s">
        <v>3979</v>
      </c>
      <c r="B1932" t="s">
        <v>3980</v>
      </c>
      <c r="C1932" s="2">
        <v>45218</v>
      </c>
      <c r="D1932" t="str">
        <f t="shared" si="184"/>
        <v>Oct</v>
      </c>
      <c r="E1932" s="2">
        <v>45230</v>
      </c>
      <c r="F1932" t="str">
        <f>F1931</f>
        <v>Instagram</v>
      </c>
      <c r="G1932">
        <v>23431</v>
      </c>
      <c r="H1932">
        <v>951</v>
      </c>
      <c r="I1932">
        <v>179</v>
      </c>
      <c r="J1932" t="b">
        <v>0</v>
      </c>
      <c r="K1932" s="10">
        <v>1512.39</v>
      </c>
      <c r="L1932" s="6">
        <f t="shared" si="185"/>
        <v>4.058725619905254E-2</v>
      </c>
      <c r="M1932">
        <f t="shared" si="186"/>
        <v>1.5903154574132494</v>
      </c>
      <c r="N1932">
        <f t="shared" si="187"/>
        <v>8.4491061452513971</v>
      </c>
      <c r="O1932">
        <f t="shared" si="188"/>
        <v>7437.61</v>
      </c>
      <c r="P1932">
        <f t="shared" si="189"/>
        <v>0.1882229232386961</v>
      </c>
      <c r="Q1932" t="s">
        <v>4136</v>
      </c>
      <c r="R1932" t="s">
        <v>4141</v>
      </c>
      <c r="S1932">
        <f>YEAR(marketing_data[[#This Row],[Start_date]])</f>
        <v>2023</v>
      </c>
      <c r="T1932" t="str">
        <f>TEXT(marketing_data[[#This Row],[Start_date]],"ddd")</f>
        <v>Thu</v>
      </c>
      <c r="U1932">
        <f>marketing_data[[#This Row],[Cleaned End_date]]-marketing_data[[#This Row],[Start_date]]</f>
        <v>12</v>
      </c>
    </row>
    <row r="1933" spans="1:21" x14ac:dyDescent="0.2">
      <c r="A1933" t="s">
        <v>3981</v>
      </c>
      <c r="B1933" t="s">
        <v>3982</v>
      </c>
      <c r="C1933" s="2">
        <v>45016</v>
      </c>
      <c r="D1933" t="str">
        <f t="shared" si="184"/>
        <v>Mar</v>
      </c>
      <c r="E1933" s="2">
        <v>45044</v>
      </c>
      <c r="F1933" t="s">
        <v>19</v>
      </c>
      <c r="G1933">
        <v>62681</v>
      </c>
      <c r="H1933">
        <v>2328</v>
      </c>
      <c r="I1933">
        <v>390</v>
      </c>
      <c r="J1933" t="b">
        <v>1</v>
      </c>
      <c r="K1933" s="10">
        <v>3631.7599999999998</v>
      </c>
      <c r="L1933" s="6">
        <f t="shared" si="185"/>
        <v>3.7140441282047194E-2</v>
      </c>
      <c r="M1933">
        <f t="shared" si="186"/>
        <v>1.5600343642611683</v>
      </c>
      <c r="N1933">
        <f t="shared" si="187"/>
        <v>9.312205128205127</v>
      </c>
      <c r="O1933">
        <f t="shared" si="188"/>
        <v>15868.24</v>
      </c>
      <c r="P1933">
        <f t="shared" si="189"/>
        <v>0.16752577319587628</v>
      </c>
      <c r="Q1933" t="s">
        <v>4137</v>
      </c>
      <c r="R1933" t="s">
        <v>4138</v>
      </c>
      <c r="S1933">
        <f>YEAR(marketing_data[[#This Row],[Start_date]])</f>
        <v>2023</v>
      </c>
      <c r="T1933" t="str">
        <f>TEXT(marketing_data[[#This Row],[Start_date]],"ddd")</f>
        <v>Fri</v>
      </c>
      <c r="U1933">
        <f>marketing_data[[#This Row],[Cleaned End_date]]-marketing_data[[#This Row],[Start_date]]</f>
        <v>28</v>
      </c>
    </row>
    <row r="1934" spans="1:21" x14ac:dyDescent="0.2">
      <c r="A1934" t="s">
        <v>3983</v>
      </c>
      <c r="B1934" t="s">
        <v>3984</v>
      </c>
      <c r="C1934" s="2">
        <v>45271</v>
      </c>
      <c r="D1934" t="str">
        <f t="shared" si="184"/>
        <v>Dec</v>
      </c>
      <c r="E1934" s="2">
        <v>45287</v>
      </c>
      <c r="F1934" t="s">
        <v>19</v>
      </c>
      <c r="G1934">
        <v>64483</v>
      </c>
      <c r="H1934">
        <v>2638</v>
      </c>
      <c r="I1934">
        <v>260</v>
      </c>
      <c r="J1934" t="b">
        <v>1</v>
      </c>
      <c r="K1934" s="10">
        <v>2192.36</v>
      </c>
      <c r="L1934" s="6">
        <f t="shared" si="185"/>
        <v>4.0910007288742771E-2</v>
      </c>
      <c r="M1934">
        <f t="shared" si="186"/>
        <v>0.83106899166034875</v>
      </c>
      <c r="N1934">
        <f t="shared" si="187"/>
        <v>8.432153846153847</v>
      </c>
      <c r="O1934">
        <f t="shared" si="188"/>
        <v>10807.64</v>
      </c>
      <c r="P1934">
        <f t="shared" si="189"/>
        <v>9.8559514783927216E-2</v>
      </c>
      <c r="Q1934" t="s">
        <v>4138</v>
      </c>
      <c r="R1934" t="s">
        <v>4142</v>
      </c>
      <c r="S1934">
        <f>YEAR(marketing_data[[#This Row],[Start_date]])</f>
        <v>2023</v>
      </c>
      <c r="T1934" t="str">
        <f>TEXT(marketing_data[[#This Row],[Start_date]],"ddd")</f>
        <v>Mon</v>
      </c>
      <c r="U1934">
        <f>marketing_data[[#This Row],[Cleaned End_date]]-marketing_data[[#This Row],[Start_date]]</f>
        <v>16</v>
      </c>
    </row>
    <row r="1935" spans="1:21" x14ac:dyDescent="0.2">
      <c r="A1935" t="s">
        <v>3985</v>
      </c>
      <c r="B1935" t="s">
        <v>3986</v>
      </c>
      <c r="C1935" s="2">
        <v>44945</v>
      </c>
      <c r="D1935" t="str">
        <f t="shared" si="184"/>
        <v>Jan</v>
      </c>
      <c r="E1935" s="2">
        <v>44954</v>
      </c>
      <c r="F1935" t="s">
        <v>33</v>
      </c>
      <c r="G1935">
        <v>50153</v>
      </c>
      <c r="H1935">
        <v>2410</v>
      </c>
      <c r="I1935">
        <v>415</v>
      </c>
      <c r="J1935" t="b">
        <v>1</v>
      </c>
      <c r="K1935" s="10">
        <v>1777.79</v>
      </c>
      <c r="L1935" s="6">
        <f t="shared" si="185"/>
        <v>4.8052957948677047E-2</v>
      </c>
      <c r="M1935">
        <f t="shared" si="186"/>
        <v>0.7376721991701245</v>
      </c>
      <c r="N1935">
        <f t="shared" si="187"/>
        <v>4.2838313253012048</v>
      </c>
      <c r="O1935">
        <f t="shared" si="188"/>
        <v>18972.21</v>
      </c>
      <c r="P1935">
        <f t="shared" si="189"/>
        <v>0.17219917012448133</v>
      </c>
      <c r="Q1935" t="s">
        <v>4138</v>
      </c>
      <c r="R1935" t="s">
        <v>4141</v>
      </c>
      <c r="S1935">
        <f>YEAR(marketing_data[[#This Row],[Start_date]])</f>
        <v>2023</v>
      </c>
      <c r="T1935" t="str">
        <f>TEXT(marketing_data[[#This Row],[Start_date]],"ddd")</f>
        <v>Thu</v>
      </c>
      <c r="U1935">
        <f>marketing_data[[#This Row],[Cleaned End_date]]-marketing_data[[#This Row],[Start_date]]</f>
        <v>9</v>
      </c>
    </row>
    <row r="1936" spans="1:21" x14ac:dyDescent="0.2">
      <c r="A1936" t="s">
        <v>3987</v>
      </c>
      <c r="B1936" t="s">
        <v>3988</v>
      </c>
      <c r="C1936" s="2">
        <v>45248</v>
      </c>
      <c r="D1936" t="str">
        <f t="shared" si="184"/>
        <v>Nov</v>
      </c>
      <c r="E1936" s="2">
        <v>45267</v>
      </c>
      <c r="F1936" t="s">
        <v>41</v>
      </c>
      <c r="G1936">
        <v>7368</v>
      </c>
      <c r="H1936">
        <v>302</v>
      </c>
      <c r="I1936">
        <v>33</v>
      </c>
      <c r="J1936" t="b">
        <v>0</v>
      </c>
      <c r="K1936" s="10">
        <v>329.13249999999999</v>
      </c>
      <c r="L1936" s="6">
        <f t="shared" si="185"/>
        <v>4.0988056460369161E-2</v>
      </c>
      <c r="M1936">
        <f t="shared" si="186"/>
        <v>1.089842715231788</v>
      </c>
      <c r="N1936">
        <f t="shared" si="187"/>
        <v>9.9737121212121203</v>
      </c>
      <c r="O1936">
        <f t="shared" si="188"/>
        <v>1320.8675000000001</v>
      </c>
      <c r="P1936">
        <f t="shared" si="189"/>
        <v>0.10927152317880795</v>
      </c>
      <c r="Q1936" t="s">
        <v>4136</v>
      </c>
      <c r="R1936" t="s">
        <v>4142</v>
      </c>
      <c r="S1936">
        <f>YEAR(marketing_data[[#This Row],[Start_date]])</f>
        <v>2023</v>
      </c>
      <c r="T1936" t="str">
        <f>TEXT(marketing_data[[#This Row],[Start_date]],"ddd")</f>
        <v>Sat</v>
      </c>
      <c r="U1936">
        <f>marketing_data[[#This Row],[Cleaned End_date]]-marketing_data[[#This Row],[Start_date]]</f>
        <v>19</v>
      </c>
    </row>
    <row r="1937" spans="1:21" x14ac:dyDescent="0.2">
      <c r="A1937" t="s">
        <v>3989</v>
      </c>
      <c r="B1937" t="s">
        <v>3990</v>
      </c>
      <c r="C1937" s="2">
        <v>45098</v>
      </c>
      <c r="D1937" t="str">
        <f t="shared" si="184"/>
        <v>Jun</v>
      </c>
      <c r="E1937" s="2">
        <v>45116</v>
      </c>
      <c r="F1937" t="s">
        <v>19</v>
      </c>
      <c r="G1937">
        <v>28424</v>
      </c>
      <c r="H1937">
        <v>979</v>
      </c>
      <c r="I1937">
        <v>96</v>
      </c>
      <c r="J1937" t="b">
        <v>1</v>
      </c>
      <c r="K1937" s="10">
        <v>1697.64</v>
      </c>
      <c r="L1937" s="6">
        <f t="shared" si="185"/>
        <v>3.4442724458204337E-2</v>
      </c>
      <c r="M1937">
        <f t="shared" si="186"/>
        <v>1.7340551583248214</v>
      </c>
      <c r="N1937">
        <f t="shared" si="187"/>
        <v>17.68375</v>
      </c>
      <c r="O1937">
        <f t="shared" si="188"/>
        <v>3102.3599999999997</v>
      </c>
      <c r="P1937">
        <f t="shared" si="189"/>
        <v>9.8059244126659853E-2</v>
      </c>
      <c r="Q1937" t="s">
        <v>4139</v>
      </c>
      <c r="R1937" t="s">
        <v>4141</v>
      </c>
      <c r="S1937">
        <f>YEAR(marketing_data[[#This Row],[Start_date]])</f>
        <v>2023</v>
      </c>
      <c r="T1937" t="str">
        <f>TEXT(marketing_data[[#This Row],[Start_date]],"ddd")</f>
        <v>Wed</v>
      </c>
      <c r="U1937">
        <f>marketing_data[[#This Row],[Cleaned End_date]]-marketing_data[[#This Row],[Start_date]]</f>
        <v>18</v>
      </c>
    </row>
    <row r="1938" spans="1:21" x14ac:dyDescent="0.2">
      <c r="A1938" t="s">
        <v>3991</v>
      </c>
      <c r="B1938" t="s">
        <v>3992</v>
      </c>
      <c r="C1938" s="2">
        <v>44955</v>
      </c>
      <c r="D1938" t="str">
        <f t="shared" si="184"/>
        <v>Jan</v>
      </c>
      <c r="E1938" s="2">
        <v>44973</v>
      </c>
      <c r="F1938" t="s">
        <v>23</v>
      </c>
      <c r="G1938">
        <v>46004</v>
      </c>
      <c r="H1938">
        <v>2037</v>
      </c>
      <c r="I1938">
        <v>329</v>
      </c>
      <c r="J1938" t="b">
        <v>1</v>
      </c>
      <c r="K1938" s="10">
        <v>1969.93</v>
      </c>
      <c r="L1938" s="6">
        <f t="shared" si="185"/>
        <v>4.427875836883749E-2</v>
      </c>
      <c r="M1938">
        <f t="shared" si="186"/>
        <v>0.96707412862052045</v>
      </c>
      <c r="N1938">
        <f t="shared" si="187"/>
        <v>5.9876291793313072</v>
      </c>
      <c r="O1938">
        <f t="shared" si="188"/>
        <v>14480.07</v>
      </c>
      <c r="P1938">
        <f t="shared" si="189"/>
        <v>0.16151202749140894</v>
      </c>
      <c r="Q1938" t="s">
        <v>4138</v>
      </c>
      <c r="R1938" t="s">
        <v>4142</v>
      </c>
      <c r="S1938">
        <f>YEAR(marketing_data[[#This Row],[Start_date]])</f>
        <v>2023</v>
      </c>
      <c r="T1938" t="str">
        <f>TEXT(marketing_data[[#This Row],[Start_date]],"ddd")</f>
        <v>Sun</v>
      </c>
      <c r="U1938">
        <f>marketing_data[[#This Row],[Cleaned End_date]]-marketing_data[[#This Row],[Start_date]]</f>
        <v>18</v>
      </c>
    </row>
    <row r="1939" spans="1:21" x14ac:dyDescent="0.2">
      <c r="A1939" t="s">
        <v>3993</v>
      </c>
      <c r="B1939" t="s">
        <v>3994</v>
      </c>
      <c r="C1939" s="2">
        <v>45274</v>
      </c>
      <c r="D1939" t="str">
        <f t="shared" si="184"/>
        <v>Dec</v>
      </c>
      <c r="E1939" s="2">
        <v>45303</v>
      </c>
      <c r="F1939" t="s">
        <v>14</v>
      </c>
      <c r="G1939">
        <v>84869</v>
      </c>
      <c r="H1939">
        <v>3134</v>
      </c>
      <c r="I1939">
        <v>194</v>
      </c>
      <c r="J1939" t="b">
        <v>0</v>
      </c>
      <c r="K1939" s="10">
        <v>3455.38</v>
      </c>
      <c r="L1939" s="6">
        <f t="shared" si="185"/>
        <v>3.6927500029457161E-2</v>
      </c>
      <c r="M1939">
        <f t="shared" si="186"/>
        <v>1.1025462667517549</v>
      </c>
      <c r="N1939">
        <f t="shared" si="187"/>
        <v>17.811237113402061</v>
      </c>
      <c r="O1939">
        <f t="shared" si="188"/>
        <v>6244.62</v>
      </c>
      <c r="P1939">
        <f t="shared" si="189"/>
        <v>6.1901723037651561E-2</v>
      </c>
      <c r="Q1939" t="s">
        <v>4138</v>
      </c>
      <c r="R1939" t="s">
        <v>4139</v>
      </c>
      <c r="S1939">
        <f>YEAR(marketing_data[[#This Row],[Start_date]])</f>
        <v>2023</v>
      </c>
      <c r="T1939" t="str">
        <f>TEXT(marketing_data[[#This Row],[Start_date]],"ddd")</f>
        <v>Thu</v>
      </c>
      <c r="U1939">
        <f>marketing_data[[#This Row],[Cleaned End_date]]-marketing_data[[#This Row],[Start_date]]</f>
        <v>29</v>
      </c>
    </row>
    <row r="1940" spans="1:21" x14ac:dyDescent="0.2">
      <c r="A1940" t="s">
        <v>3995</v>
      </c>
      <c r="B1940" t="s">
        <v>3996</v>
      </c>
      <c r="C1940" s="2">
        <v>45033</v>
      </c>
      <c r="D1940" t="str">
        <f t="shared" si="184"/>
        <v>Apr</v>
      </c>
      <c r="E1940" s="2">
        <v>45062</v>
      </c>
      <c r="F1940" t="s">
        <v>41</v>
      </c>
      <c r="G1940">
        <v>89652</v>
      </c>
      <c r="H1940">
        <v>2360</v>
      </c>
      <c r="I1940">
        <v>135</v>
      </c>
      <c r="J1940" t="b">
        <v>0</v>
      </c>
      <c r="K1940" s="10">
        <v>2959.74</v>
      </c>
      <c r="L1940" s="6">
        <f t="shared" si="185"/>
        <v>2.6324008387989112E-2</v>
      </c>
      <c r="M1940">
        <f t="shared" si="186"/>
        <v>1.2541271186440677</v>
      </c>
      <c r="N1940">
        <f t="shared" si="187"/>
        <v>21.923999999999999</v>
      </c>
      <c r="O1940">
        <f t="shared" si="188"/>
        <v>3790.26</v>
      </c>
      <c r="P1940">
        <f t="shared" si="189"/>
        <v>5.7203389830508475E-2</v>
      </c>
      <c r="Q1940" t="s">
        <v>4137</v>
      </c>
      <c r="R1940" t="s">
        <v>4139</v>
      </c>
      <c r="S1940">
        <f>YEAR(marketing_data[[#This Row],[Start_date]])</f>
        <v>2023</v>
      </c>
      <c r="T1940" t="str">
        <f>TEXT(marketing_data[[#This Row],[Start_date]],"ddd")</f>
        <v>Mon</v>
      </c>
      <c r="U1940">
        <f>marketing_data[[#This Row],[Cleaned End_date]]-marketing_data[[#This Row],[Start_date]]</f>
        <v>29</v>
      </c>
    </row>
    <row r="1941" spans="1:21" x14ac:dyDescent="0.2">
      <c r="A1941" t="s">
        <v>3997</v>
      </c>
      <c r="B1941" t="s">
        <v>3998</v>
      </c>
      <c r="C1941" s="2">
        <v>44933</v>
      </c>
      <c r="D1941" t="str">
        <f t="shared" si="184"/>
        <v>Jan</v>
      </c>
      <c r="E1941" s="2">
        <v>45135</v>
      </c>
      <c r="F1941" t="s">
        <v>23</v>
      </c>
      <c r="G1941">
        <v>57985</v>
      </c>
      <c r="H1941">
        <v>2633</v>
      </c>
      <c r="I1941">
        <v>308</v>
      </c>
      <c r="J1941" t="b">
        <v>0</v>
      </c>
      <c r="K1941" s="10">
        <v>3631.7599999999998</v>
      </c>
      <c r="L1941" s="6">
        <f t="shared" si="185"/>
        <v>4.5408295248771234E-2</v>
      </c>
      <c r="M1941">
        <f t="shared" si="186"/>
        <v>1.3793239650588682</v>
      </c>
      <c r="N1941">
        <f t="shared" si="187"/>
        <v>11.79142857142857</v>
      </c>
      <c r="O1941">
        <f t="shared" si="188"/>
        <v>11768.24</v>
      </c>
      <c r="P1941">
        <f t="shared" si="189"/>
        <v>0.11697683251044436</v>
      </c>
      <c r="Q1941" t="s">
        <v>4138</v>
      </c>
      <c r="R1941" t="s">
        <v>4139</v>
      </c>
      <c r="S1941">
        <f>YEAR(marketing_data[[#This Row],[Start_date]])</f>
        <v>2023</v>
      </c>
      <c r="T1941" t="str">
        <f>TEXT(marketing_data[[#This Row],[Start_date]],"ddd")</f>
        <v>Sat</v>
      </c>
      <c r="U1941">
        <f>marketing_data[[#This Row],[Cleaned End_date]]-marketing_data[[#This Row],[Start_date]]</f>
        <v>202</v>
      </c>
    </row>
    <row r="1942" spans="1:21" x14ac:dyDescent="0.2">
      <c r="A1942" t="s">
        <v>3999</v>
      </c>
      <c r="B1942" t="s">
        <v>4000</v>
      </c>
      <c r="C1942" s="2">
        <v>45003</v>
      </c>
      <c r="D1942" t="str">
        <f t="shared" si="184"/>
        <v>Mar</v>
      </c>
      <c r="E1942" s="2">
        <v>45027</v>
      </c>
      <c r="F1942" t="s">
        <v>14</v>
      </c>
      <c r="G1942">
        <v>51069</v>
      </c>
      <c r="H1942">
        <v>963</v>
      </c>
      <c r="I1942">
        <v>112</v>
      </c>
      <c r="J1942" t="b">
        <v>1</v>
      </c>
      <c r="K1942" s="10">
        <v>1421.63</v>
      </c>
      <c r="L1942" s="6">
        <f t="shared" si="185"/>
        <v>1.8856840744874582E-2</v>
      </c>
      <c r="M1942">
        <f t="shared" si="186"/>
        <v>1.4762512980269991</v>
      </c>
      <c r="N1942">
        <f t="shared" si="187"/>
        <v>12.693125</v>
      </c>
      <c r="O1942">
        <f t="shared" si="188"/>
        <v>4178.37</v>
      </c>
      <c r="P1942">
        <f t="shared" si="189"/>
        <v>0.11630321910695743</v>
      </c>
      <c r="Q1942" t="s">
        <v>4137</v>
      </c>
      <c r="R1942" t="s">
        <v>4142</v>
      </c>
      <c r="S1942">
        <f>YEAR(marketing_data[[#This Row],[Start_date]])</f>
        <v>2023</v>
      </c>
      <c r="T1942" t="str">
        <f>TEXT(marketing_data[[#This Row],[Start_date]],"ddd")</f>
        <v>Sat</v>
      </c>
      <c r="U1942">
        <f>marketing_data[[#This Row],[Cleaned End_date]]-marketing_data[[#This Row],[Start_date]]</f>
        <v>24</v>
      </c>
    </row>
    <row r="1943" spans="1:21" x14ac:dyDescent="0.2">
      <c r="A1943" t="s">
        <v>4001</v>
      </c>
      <c r="B1943" t="s">
        <v>4002</v>
      </c>
      <c r="C1943" s="2">
        <v>45119</v>
      </c>
      <c r="D1943" t="str">
        <f t="shared" si="184"/>
        <v>Jul</v>
      </c>
      <c r="E1943" s="2">
        <v>45149</v>
      </c>
      <c r="F1943" t="s">
        <v>41</v>
      </c>
      <c r="G1943">
        <v>53326</v>
      </c>
      <c r="H1943">
        <v>2057</v>
      </c>
      <c r="I1943">
        <v>379</v>
      </c>
      <c r="J1943" t="b">
        <v>1</v>
      </c>
      <c r="K1943" s="10">
        <v>2926.28</v>
      </c>
      <c r="L1943" s="6">
        <f t="shared" si="185"/>
        <v>3.8574053932415704E-2</v>
      </c>
      <c r="M1943">
        <f t="shared" si="186"/>
        <v>1.4225960136120566</v>
      </c>
      <c r="N1943">
        <f t="shared" si="187"/>
        <v>7.7210554089709769</v>
      </c>
      <c r="O1943">
        <f t="shared" si="188"/>
        <v>16023.72</v>
      </c>
      <c r="P1943">
        <f t="shared" si="189"/>
        <v>0.18424890617403986</v>
      </c>
      <c r="Q1943" t="s">
        <v>4139</v>
      </c>
      <c r="R1943" t="s">
        <v>4138</v>
      </c>
      <c r="S1943">
        <f>YEAR(marketing_data[[#This Row],[Start_date]])</f>
        <v>2023</v>
      </c>
      <c r="T1943" t="str">
        <f>TEXT(marketing_data[[#This Row],[Start_date]],"ddd")</f>
        <v>Wed</v>
      </c>
      <c r="U1943">
        <f>marketing_data[[#This Row],[Cleaned End_date]]-marketing_data[[#This Row],[Start_date]]</f>
        <v>30</v>
      </c>
    </row>
    <row r="1944" spans="1:21" x14ac:dyDescent="0.2">
      <c r="A1944" t="s">
        <v>4003</v>
      </c>
      <c r="B1944" t="s">
        <v>4004</v>
      </c>
      <c r="C1944" s="2">
        <v>45219</v>
      </c>
      <c r="D1944" t="str">
        <f t="shared" si="184"/>
        <v>Oct</v>
      </c>
      <c r="E1944" s="2">
        <v>45240</v>
      </c>
      <c r="F1944" t="s">
        <v>14</v>
      </c>
      <c r="G1944">
        <v>82061</v>
      </c>
      <c r="H1944">
        <v>3714</v>
      </c>
      <c r="I1944">
        <v>255</v>
      </c>
      <c r="J1944" t="b">
        <v>1</v>
      </c>
      <c r="K1944" s="10">
        <v>2835.67</v>
      </c>
      <c r="L1944" s="6">
        <f t="shared" si="185"/>
        <v>4.5259014635454113E-2</v>
      </c>
      <c r="M1944">
        <f t="shared" si="186"/>
        <v>0.7635083467959074</v>
      </c>
      <c r="N1944">
        <f t="shared" si="187"/>
        <v>11.120274509803922</v>
      </c>
      <c r="O1944">
        <f t="shared" si="188"/>
        <v>9914.33</v>
      </c>
      <c r="P1944">
        <f t="shared" si="189"/>
        <v>6.8659127625201932E-2</v>
      </c>
      <c r="Q1944" t="s">
        <v>4136</v>
      </c>
      <c r="R1944" t="s">
        <v>4139</v>
      </c>
      <c r="S1944">
        <f>YEAR(marketing_data[[#This Row],[Start_date]])</f>
        <v>2023</v>
      </c>
      <c r="T1944" t="str">
        <f>TEXT(marketing_data[[#This Row],[Start_date]],"ddd")</f>
        <v>Fri</v>
      </c>
      <c r="U1944">
        <f>marketing_data[[#This Row],[Cleaned End_date]]-marketing_data[[#This Row],[Start_date]]</f>
        <v>21</v>
      </c>
    </row>
    <row r="1945" spans="1:21" x14ac:dyDescent="0.2">
      <c r="A1945" t="s">
        <v>4005</v>
      </c>
      <c r="B1945" t="s">
        <v>4006</v>
      </c>
      <c r="C1945" s="2">
        <v>44986</v>
      </c>
      <c r="D1945" t="str">
        <f t="shared" si="184"/>
        <v>Mar</v>
      </c>
      <c r="E1945" s="2">
        <v>45008</v>
      </c>
      <c r="F1945" t="s">
        <v>33</v>
      </c>
      <c r="G1945">
        <v>24398</v>
      </c>
      <c r="H1945">
        <v>957</v>
      </c>
      <c r="I1945">
        <v>65</v>
      </c>
      <c r="J1945" t="b">
        <v>1</v>
      </c>
      <c r="K1945" s="10">
        <v>1215.18</v>
      </c>
      <c r="L1945" s="6">
        <f t="shared" si="185"/>
        <v>3.9224526600541029E-2</v>
      </c>
      <c r="M1945">
        <f t="shared" si="186"/>
        <v>1.2697805642633229</v>
      </c>
      <c r="N1945">
        <f t="shared" si="187"/>
        <v>18.695076923076925</v>
      </c>
      <c r="O1945">
        <f t="shared" si="188"/>
        <v>2034.82</v>
      </c>
      <c r="P1945">
        <f t="shared" si="189"/>
        <v>6.7920585161964475E-2</v>
      </c>
      <c r="Q1945" t="s">
        <v>4137</v>
      </c>
      <c r="R1945" t="s">
        <v>4139</v>
      </c>
      <c r="S1945">
        <f>YEAR(marketing_data[[#This Row],[Start_date]])</f>
        <v>2023</v>
      </c>
      <c r="T1945" t="str">
        <f>TEXT(marketing_data[[#This Row],[Start_date]],"ddd")</f>
        <v>Wed</v>
      </c>
      <c r="U1945">
        <f>marketing_data[[#This Row],[Cleaned End_date]]-marketing_data[[#This Row],[Start_date]]</f>
        <v>22</v>
      </c>
    </row>
    <row r="1946" spans="1:21" x14ac:dyDescent="0.2">
      <c r="A1946" t="s">
        <v>4007</v>
      </c>
      <c r="B1946" t="s">
        <v>4008</v>
      </c>
      <c r="C1946" s="2">
        <v>45288</v>
      </c>
      <c r="D1946" t="str">
        <f t="shared" si="184"/>
        <v>Dec</v>
      </c>
      <c r="E1946" s="2">
        <v>45299</v>
      </c>
      <c r="F1946" t="s">
        <v>14</v>
      </c>
      <c r="G1946">
        <v>99393</v>
      </c>
      <c r="H1946">
        <v>3766</v>
      </c>
      <c r="I1946">
        <v>271</v>
      </c>
      <c r="J1946" t="b">
        <v>1</v>
      </c>
      <c r="K1946" s="10">
        <v>3631.7599999999998</v>
      </c>
      <c r="L1946" s="6">
        <f t="shared" si="185"/>
        <v>3.7889992252975561E-2</v>
      </c>
      <c r="M1946">
        <f t="shared" si="186"/>
        <v>0.96435475305363771</v>
      </c>
      <c r="N1946">
        <f t="shared" si="187"/>
        <v>13.401328413284132</v>
      </c>
      <c r="O1946">
        <f t="shared" si="188"/>
        <v>9918.24</v>
      </c>
      <c r="P1946">
        <f t="shared" si="189"/>
        <v>7.1959638874137019E-2</v>
      </c>
      <c r="Q1946" t="s">
        <v>4138</v>
      </c>
      <c r="R1946" t="s">
        <v>4142</v>
      </c>
      <c r="S1946">
        <f>YEAR(marketing_data[[#This Row],[Start_date]])</f>
        <v>2023</v>
      </c>
      <c r="T1946" t="str">
        <f>TEXT(marketing_data[[#This Row],[Start_date]],"ddd")</f>
        <v>Thu</v>
      </c>
      <c r="U1946">
        <f>marketing_data[[#This Row],[Cleaned End_date]]-marketing_data[[#This Row],[Start_date]]</f>
        <v>11</v>
      </c>
    </row>
    <row r="1947" spans="1:21" x14ac:dyDescent="0.2">
      <c r="A1947" t="s">
        <v>4009</v>
      </c>
      <c r="B1947" t="s">
        <v>4010</v>
      </c>
      <c r="C1947" s="2">
        <v>45066</v>
      </c>
      <c r="D1947" t="str">
        <f t="shared" si="184"/>
        <v>May</v>
      </c>
      <c r="E1947" s="2">
        <v>45083</v>
      </c>
      <c r="F1947" t="s">
        <v>14</v>
      </c>
      <c r="G1947">
        <v>51861</v>
      </c>
      <c r="H1947">
        <v>2079</v>
      </c>
      <c r="I1947">
        <v>113</v>
      </c>
      <c r="J1947" t="b">
        <v>1</v>
      </c>
      <c r="K1947" s="10">
        <v>3631.7599999999998</v>
      </c>
      <c r="L1947" s="6">
        <f t="shared" si="185"/>
        <v>4.0087927344247119E-2</v>
      </c>
      <c r="M1947">
        <f t="shared" si="186"/>
        <v>1.7468783068783067</v>
      </c>
      <c r="N1947">
        <f t="shared" si="187"/>
        <v>32.139469026548667</v>
      </c>
      <c r="O1947">
        <f t="shared" si="188"/>
        <v>2018.2400000000002</v>
      </c>
      <c r="P1947">
        <f t="shared" si="189"/>
        <v>5.4353054353054354E-2</v>
      </c>
      <c r="Q1947" t="s">
        <v>4137</v>
      </c>
      <c r="R1947" t="s">
        <v>4138</v>
      </c>
      <c r="S1947">
        <f>YEAR(marketing_data[[#This Row],[Start_date]])</f>
        <v>2023</v>
      </c>
      <c r="T1947" t="str">
        <f>TEXT(marketing_data[[#This Row],[Start_date]],"ddd")</f>
        <v>Sat</v>
      </c>
      <c r="U1947">
        <f>marketing_data[[#This Row],[Cleaned End_date]]-marketing_data[[#This Row],[Start_date]]</f>
        <v>17</v>
      </c>
    </row>
    <row r="1948" spans="1:21" x14ac:dyDescent="0.2">
      <c r="A1948" t="s">
        <v>4011</v>
      </c>
      <c r="B1948" t="s">
        <v>4012</v>
      </c>
      <c r="C1948" s="2">
        <v>45048</v>
      </c>
      <c r="D1948" t="str">
        <f t="shared" si="184"/>
        <v>May</v>
      </c>
      <c r="E1948" s="2">
        <v>45053</v>
      </c>
      <c r="F1948" t="s">
        <v>33</v>
      </c>
      <c r="G1948">
        <v>76897</v>
      </c>
      <c r="H1948">
        <v>2199</v>
      </c>
      <c r="I1948">
        <v>133</v>
      </c>
      <c r="J1948" t="b">
        <v>0</v>
      </c>
      <c r="K1948" s="10">
        <v>1763.84</v>
      </c>
      <c r="L1948" s="6">
        <f t="shared" si="185"/>
        <v>2.8596694279360704E-2</v>
      </c>
      <c r="M1948">
        <f t="shared" si="186"/>
        <v>0.80211005002273761</v>
      </c>
      <c r="N1948">
        <f t="shared" si="187"/>
        <v>13.261954887218044</v>
      </c>
      <c r="O1948">
        <f t="shared" si="188"/>
        <v>4886.16</v>
      </c>
      <c r="P1948">
        <f t="shared" si="189"/>
        <v>6.0482037289677125E-2</v>
      </c>
      <c r="Q1948" t="s">
        <v>4137</v>
      </c>
      <c r="R1948" t="s">
        <v>4142</v>
      </c>
      <c r="S1948">
        <f>YEAR(marketing_data[[#This Row],[Start_date]])</f>
        <v>2023</v>
      </c>
      <c r="T1948" t="str">
        <f>TEXT(marketing_data[[#This Row],[Start_date]],"ddd")</f>
        <v>Tue</v>
      </c>
      <c r="U1948">
        <f>marketing_data[[#This Row],[Cleaned End_date]]-marketing_data[[#This Row],[Start_date]]</f>
        <v>5</v>
      </c>
    </row>
    <row r="1949" spans="1:21" x14ac:dyDescent="0.2">
      <c r="A1949" t="s">
        <v>4013</v>
      </c>
      <c r="B1949" t="s">
        <v>4014</v>
      </c>
      <c r="C1949" s="2">
        <v>45081</v>
      </c>
      <c r="D1949" t="str">
        <f t="shared" si="184"/>
        <v>Jun</v>
      </c>
      <c r="E1949" s="2">
        <v>45103</v>
      </c>
      <c r="F1949" t="s">
        <v>33</v>
      </c>
      <c r="G1949">
        <v>82905</v>
      </c>
      <c r="H1949">
        <v>3727</v>
      </c>
      <c r="I1949">
        <v>555</v>
      </c>
      <c r="J1949" t="b">
        <v>1</v>
      </c>
      <c r="K1949" s="10">
        <v>1916.85</v>
      </c>
      <c r="L1949" s="6">
        <f t="shared" si="185"/>
        <v>4.4955069054942405E-2</v>
      </c>
      <c r="M1949">
        <f t="shared" si="186"/>
        <v>0.51431446203380737</v>
      </c>
      <c r="N1949">
        <f t="shared" si="187"/>
        <v>3.4537837837837837</v>
      </c>
      <c r="O1949">
        <f t="shared" si="188"/>
        <v>25833.15</v>
      </c>
      <c r="P1949">
        <f t="shared" si="189"/>
        <v>0.1489133351220821</v>
      </c>
      <c r="Q1949" t="s">
        <v>4139</v>
      </c>
      <c r="R1949" t="s">
        <v>4139</v>
      </c>
      <c r="S1949">
        <f>YEAR(marketing_data[[#This Row],[Start_date]])</f>
        <v>2023</v>
      </c>
      <c r="T1949" t="str">
        <f>TEXT(marketing_data[[#This Row],[Start_date]],"ddd")</f>
        <v>Sun</v>
      </c>
      <c r="U1949">
        <f>marketing_data[[#This Row],[Cleaned End_date]]-marketing_data[[#This Row],[Start_date]]</f>
        <v>22</v>
      </c>
    </row>
    <row r="1950" spans="1:21" x14ac:dyDescent="0.2">
      <c r="A1950" t="s">
        <v>4015</v>
      </c>
      <c r="B1950" t="s">
        <v>4016</v>
      </c>
      <c r="C1950" s="2">
        <v>44984</v>
      </c>
      <c r="D1950" t="str">
        <f t="shared" si="184"/>
        <v>Feb</v>
      </c>
      <c r="E1950" s="2">
        <v>45006</v>
      </c>
      <c r="F1950" t="s">
        <v>14</v>
      </c>
      <c r="G1950">
        <v>69577</v>
      </c>
      <c r="H1950">
        <v>1261</v>
      </c>
      <c r="I1950">
        <v>144</v>
      </c>
      <c r="J1950" t="b">
        <v>1</v>
      </c>
      <c r="K1950" s="10">
        <v>772.93</v>
      </c>
      <c r="L1950" s="6">
        <f t="shared" si="185"/>
        <v>1.8123805280480618E-2</v>
      </c>
      <c r="M1950">
        <f t="shared" si="186"/>
        <v>0.61295003965107053</v>
      </c>
      <c r="N1950">
        <f t="shared" si="187"/>
        <v>5.3675694444444444</v>
      </c>
      <c r="O1950">
        <f t="shared" si="188"/>
        <v>6427.07</v>
      </c>
      <c r="P1950">
        <f t="shared" si="189"/>
        <v>0.11419508326724821</v>
      </c>
      <c r="Q1950" t="s">
        <v>4138</v>
      </c>
      <c r="R1950" t="s">
        <v>4138</v>
      </c>
      <c r="S1950">
        <f>YEAR(marketing_data[[#This Row],[Start_date]])</f>
        <v>2023</v>
      </c>
      <c r="T1950" t="str">
        <f>TEXT(marketing_data[[#This Row],[Start_date]],"ddd")</f>
        <v>Mon</v>
      </c>
      <c r="U1950">
        <f>marketing_data[[#This Row],[Cleaned End_date]]-marketing_data[[#This Row],[Start_date]]</f>
        <v>22</v>
      </c>
    </row>
    <row r="1951" spans="1:21" x14ac:dyDescent="0.2">
      <c r="A1951" t="s">
        <v>4017</v>
      </c>
      <c r="B1951" t="s">
        <v>4018</v>
      </c>
      <c r="C1951" s="2">
        <v>45030</v>
      </c>
      <c r="D1951" t="str">
        <f t="shared" si="184"/>
        <v>Apr</v>
      </c>
      <c r="E1951" s="2">
        <v>45057</v>
      </c>
      <c r="F1951" t="s">
        <v>33</v>
      </c>
      <c r="G1951">
        <v>66641</v>
      </c>
      <c r="H1951">
        <v>1005</v>
      </c>
      <c r="I1951">
        <v>165</v>
      </c>
      <c r="J1951" t="b">
        <v>0</v>
      </c>
      <c r="K1951" s="10">
        <v>1069.0999999999999</v>
      </c>
      <c r="L1951" s="6">
        <f t="shared" si="185"/>
        <v>1.5080806110352486E-2</v>
      </c>
      <c r="M1951">
        <f t="shared" si="186"/>
        <v>1.0637810945273631</v>
      </c>
      <c r="N1951">
        <f t="shared" si="187"/>
        <v>6.4793939393939386</v>
      </c>
      <c r="O1951">
        <f t="shared" si="188"/>
        <v>7180.9</v>
      </c>
      <c r="P1951">
        <f t="shared" si="189"/>
        <v>0.16417910447761194</v>
      </c>
      <c r="Q1951" t="s">
        <v>4137</v>
      </c>
      <c r="R1951" t="s">
        <v>4139</v>
      </c>
      <c r="S1951">
        <f>YEAR(marketing_data[[#This Row],[Start_date]])</f>
        <v>2023</v>
      </c>
      <c r="T1951" t="str">
        <f>TEXT(marketing_data[[#This Row],[Start_date]],"ddd")</f>
        <v>Fri</v>
      </c>
      <c r="U1951">
        <f>marketing_data[[#This Row],[Cleaned End_date]]-marketing_data[[#This Row],[Start_date]]</f>
        <v>27</v>
      </c>
    </row>
    <row r="1952" spans="1:21" x14ac:dyDescent="0.2">
      <c r="A1952" t="s">
        <v>4019</v>
      </c>
      <c r="B1952" t="s">
        <v>4020</v>
      </c>
      <c r="C1952" s="2">
        <v>44939</v>
      </c>
      <c r="D1952" t="str">
        <f t="shared" si="184"/>
        <v>Jan</v>
      </c>
      <c r="E1952" s="2">
        <v>44962</v>
      </c>
      <c r="F1952" t="s">
        <v>19</v>
      </c>
      <c r="G1952">
        <v>10078</v>
      </c>
      <c r="H1952">
        <v>215</v>
      </c>
      <c r="I1952">
        <v>42</v>
      </c>
      <c r="J1952" t="b">
        <v>1</v>
      </c>
      <c r="K1952" s="10">
        <v>372.13</v>
      </c>
      <c r="L1952" s="6">
        <f t="shared" si="185"/>
        <v>2.1333597936098431E-2</v>
      </c>
      <c r="M1952">
        <f t="shared" si="186"/>
        <v>1.7308372093023257</v>
      </c>
      <c r="N1952">
        <f t="shared" si="187"/>
        <v>8.8602380952380955</v>
      </c>
      <c r="O1952">
        <f t="shared" si="188"/>
        <v>1727.87</v>
      </c>
      <c r="P1952">
        <f t="shared" si="189"/>
        <v>0.19534883720930232</v>
      </c>
      <c r="Q1952" t="s">
        <v>4138</v>
      </c>
      <c r="R1952" t="s">
        <v>4139</v>
      </c>
      <c r="S1952">
        <f>YEAR(marketing_data[[#This Row],[Start_date]])</f>
        <v>2023</v>
      </c>
      <c r="T1952" t="str">
        <f>TEXT(marketing_data[[#This Row],[Start_date]],"ddd")</f>
        <v>Fri</v>
      </c>
      <c r="U1952">
        <f>marketing_data[[#This Row],[Cleaned End_date]]-marketing_data[[#This Row],[Start_date]]</f>
        <v>23</v>
      </c>
    </row>
    <row r="1953" spans="1:21" x14ac:dyDescent="0.2">
      <c r="A1953" t="s">
        <v>4021</v>
      </c>
      <c r="B1953" t="s">
        <v>4022</v>
      </c>
      <c r="C1953" s="2">
        <v>45005</v>
      </c>
      <c r="D1953" t="str">
        <f t="shared" si="184"/>
        <v>Mar</v>
      </c>
      <c r="E1953" s="2">
        <v>45024</v>
      </c>
      <c r="F1953" t="str">
        <f>F1952</f>
        <v>Facebook</v>
      </c>
      <c r="G1953">
        <v>26003</v>
      </c>
      <c r="H1953">
        <v>812</v>
      </c>
      <c r="I1953">
        <v>120</v>
      </c>
      <c r="J1953" t="b">
        <v>0</v>
      </c>
      <c r="K1953" s="10">
        <v>414.7</v>
      </c>
      <c r="L1953" s="6">
        <f t="shared" si="185"/>
        <v>3.1227166096219668E-2</v>
      </c>
      <c r="M1953">
        <f t="shared" si="186"/>
        <v>0.51071428571428568</v>
      </c>
      <c r="N1953">
        <f t="shared" si="187"/>
        <v>3.4558333333333331</v>
      </c>
      <c r="O1953">
        <f t="shared" si="188"/>
        <v>5585.3</v>
      </c>
      <c r="P1953">
        <f t="shared" si="189"/>
        <v>0.14778325123152711</v>
      </c>
      <c r="Q1953" t="s">
        <v>4137</v>
      </c>
      <c r="R1953" t="s">
        <v>4139</v>
      </c>
      <c r="S1953">
        <f>YEAR(marketing_data[[#This Row],[Start_date]])</f>
        <v>2023</v>
      </c>
      <c r="T1953" t="str">
        <f>TEXT(marketing_data[[#This Row],[Start_date]],"ddd")</f>
        <v>Mon</v>
      </c>
      <c r="U1953">
        <f>marketing_data[[#This Row],[Cleaned End_date]]-marketing_data[[#This Row],[Start_date]]</f>
        <v>19</v>
      </c>
    </row>
    <row r="1954" spans="1:21" x14ac:dyDescent="0.2">
      <c r="A1954" t="s">
        <v>4023</v>
      </c>
      <c r="B1954" t="s">
        <v>4024</v>
      </c>
      <c r="C1954" s="2">
        <v>45195</v>
      </c>
      <c r="D1954" t="str">
        <f t="shared" si="184"/>
        <v>Sep</v>
      </c>
      <c r="E1954" s="2">
        <v>45225</v>
      </c>
      <c r="F1954" t="s">
        <v>23</v>
      </c>
      <c r="G1954">
        <v>63768</v>
      </c>
      <c r="H1954">
        <v>1939</v>
      </c>
      <c r="I1954">
        <v>111</v>
      </c>
      <c r="J1954" t="b">
        <v>0</v>
      </c>
      <c r="K1954" s="10">
        <v>2297.9</v>
      </c>
      <c r="L1954" s="6">
        <f t="shared" si="185"/>
        <v>3.0407100740183164E-2</v>
      </c>
      <c r="M1954">
        <f t="shared" si="186"/>
        <v>1.1850954100051574</v>
      </c>
      <c r="N1954">
        <f t="shared" si="187"/>
        <v>20.701801801801803</v>
      </c>
      <c r="O1954">
        <f t="shared" si="188"/>
        <v>3252.1</v>
      </c>
      <c r="P1954">
        <f t="shared" si="189"/>
        <v>5.7246003094378543E-2</v>
      </c>
      <c r="Q1954" t="s">
        <v>4136</v>
      </c>
      <c r="R1954" t="s">
        <v>4138</v>
      </c>
      <c r="S1954">
        <f>YEAR(marketing_data[[#This Row],[Start_date]])</f>
        <v>2023</v>
      </c>
      <c r="T1954" t="str">
        <f>TEXT(marketing_data[[#This Row],[Start_date]],"ddd")</f>
        <v>Tue</v>
      </c>
      <c r="U1954">
        <f>marketing_data[[#This Row],[Cleaned End_date]]-marketing_data[[#This Row],[Start_date]]</f>
        <v>30</v>
      </c>
    </row>
    <row r="1955" spans="1:21" x14ac:dyDescent="0.2">
      <c r="A1955" t="s">
        <v>4025</v>
      </c>
      <c r="B1955" t="s">
        <v>4026</v>
      </c>
      <c r="C1955" s="2">
        <v>44977</v>
      </c>
      <c r="D1955" t="str">
        <f t="shared" si="184"/>
        <v>Feb</v>
      </c>
      <c r="E1955" s="2">
        <v>44999</v>
      </c>
      <c r="F1955" t="s">
        <v>33</v>
      </c>
      <c r="G1955">
        <v>52047</v>
      </c>
      <c r="H1955">
        <v>2228</v>
      </c>
      <c r="J1955" t="b">
        <v>0</v>
      </c>
      <c r="K1955" s="10">
        <v>2214.29</v>
      </c>
      <c r="L1955" s="6">
        <f t="shared" si="185"/>
        <v>4.2807462485830117E-2</v>
      </c>
      <c r="M1955">
        <f t="shared" si="186"/>
        <v>0.99384649910233391</v>
      </c>
      <c r="N1955">
        <f t="shared" si="187"/>
        <v>0</v>
      </c>
      <c r="O1955">
        <f t="shared" si="188"/>
        <v>-2214.29</v>
      </c>
      <c r="P1955">
        <f t="shared" si="189"/>
        <v>0</v>
      </c>
      <c r="Q1955" t="s">
        <v>4138</v>
      </c>
      <c r="R1955" t="s">
        <v>4139</v>
      </c>
      <c r="S1955">
        <f>YEAR(marketing_data[[#This Row],[Start_date]])</f>
        <v>2023</v>
      </c>
      <c r="T1955" t="str">
        <f>TEXT(marketing_data[[#This Row],[Start_date]],"ddd")</f>
        <v>Mon</v>
      </c>
      <c r="U1955">
        <f>marketing_data[[#This Row],[Cleaned End_date]]-marketing_data[[#This Row],[Start_date]]</f>
        <v>22</v>
      </c>
    </row>
    <row r="1956" spans="1:21" x14ac:dyDescent="0.2">
      <c r="A1956" t="s">
        <v>4027</v>
      </c>
      <c r="B1956" t="s">
        <v>4028</v>
      </c>
      <c r="C1956" s="2">
        <v>45273</v>
      </c>
      <c r="D1956" t="str">
        <f t="shared" si="184"/>
        <v>Dec</v>
      </c>
      <c r="E1956" s="2">
        <v>45282</v>
      </c>
      <c r="F1956" t="s">
        <v>33</v>
      </c>
      <c r="G1956">
        <v>72626</v>
      </c>
      <c r="H1956">
        <v>1901</v>
      </c>
      <c r="I1956">
        <v>346</v>
      </c>
      <c r="J1956" t="b">
        <v>1</v>
      </c>
      <c r="K1956" s="10">
        <v>1100.1500000000001</v>
      </c>
      <c r="L1956" s="6">
        <f t="shared" si="185"/>
        <v>2.6175198964558149E-2</v>
      </c>
      <c r="M1956">
        <f t="shared" si="186"/>
        <v>0.57872172540768019</v>
      </c>
      <c r="N1956">
        <f t="shared" si="187"/>
        <v>3.1796242774566474</v>
      </c>
      <c r="O1956">
        <f t="shared" si="188"/>
        <v>16199.85</v>
      </c>
      <c r="P1956">
        <f t="shared" si="189"/>
        <v>0.18200946870068385</v>
      </c>
      <c r="Q1956" t="s">
        <v>4138</v>
      </c>
      <c r="R1956" t="s">
        <v>4141</v>
      </c>
      <c r="S1956">
        <f>YEAR(marketing_data[[#This Row],[Start_date]])</f>
        <v>2023</v>
      </c>
      <c r="T1956" t="str">
        <f>TEXT(marketing_data[[#This Row],[Start_date]],"ddd")</f>
        <v>Wed</v>
      </c>
      <c r="U1956">
        <f>marketing_data[[#This Row],[Cleaned End_date]]-marketing_data[[#This Row],[Start_date]]</f>
        <v>9</v>
      </c>
    </row>
    <row r="1957" spans="1:21" x14ac:dyDescent="0.2">
      <c r="A1957" t="s">
        <v>4029</v>
      </c>
      <c r="B1957" t="s">
        <v>4030</v>
      </c>
      <c r="C1957" s="2">
        <v>44945</v>
      </c>
      <c r="D1957" t="str">
        <f t="shared" si="184"/>
        <v>Jan</v>
      </c>
      <c r="E1957" s="2">
        <v>44971</v>
      </c>
      <c r="F1957" t="s">
        <v>14</v>
      </c>
      <c r="G1957">
        <v>58660</v>
      </c>
      <c r="H1957">
        <v>1723</v>
      </c>
      <c r="I1957">
        <v>222</v>
      </c>
      <c r="J1957" t="b">
        <v>0</v>
      </c>
      <c r="K1957" s="10">
        <v>2025.14</v>
      </c>
      <c r="L1957" s="6">
        <f t="shared" si="185"/>
        <v>2.9372655983634505E-2</v>
      </c>
      <c r="M1957">
        <f t="shared" si="186"/>
        <v>1.1753569355774811</v>
      </c>
      <c r="N1957">
        <f t="shared" si="187"/>
        <v>9.1222522522522524</v>
      </c>
      <c r="O1957">
        <f t="shared" si="188"/>
        <v>9074.86</v>
      </c>
      <c r="P1957">
        <f t="shared" si="189"/>
        <v>0.12884503772489844</v>
      </c>
      <c r="Q1957" t="s">
        <v>4138</v>
      </c>
      <c r="R1957" t="s">
        <v>4138</v>
      </c>
      <c r="S1957">
        <f>YEAR(marketing_data[[#This Row],[Start_date]])</f>
        <v>2023</v>
      </c>
      <c r="T1957" t="str">
        <f>TEXT(marketing_data[[#This Row],[Start_date]],"ddd")</f>
        <v>Thu</v>
      </c>
      <c r="U1957">
        <f>marketing_data[[#This Row],[Cleaned End_date]]-marketing_data[[#This Row],[Start_date]]</f>
        <v>26</v>
      </c>
    </row>
    <row r="1958" spans="1:21" x14ac:dyDescent="0.2">
      <c r="A1958" t="s">
        <v>4031</v>
      </c>
      <c r="B1958" t="s">
        <v>4032</v>
      </c>
      <c r="C1958" s="2">
        <v>45194</v>
      </c>
      <c r="D1958" t="str">
        <f t="shared" si="184"/>
        <v>Sep</v>
      </c>
      <c r="E1958" s="2">
        <v>45214</v>
      </c>
      <c r="F1958" t="s">
        <v>23</v>
      </c>
      <c r="G1958">
        <v>50786</v>
      </c>
      <c r="H1958">
        <v>535</v>
      </c>
      <c r="I1958">
        <v>92</v>
      </c>
      <c r="J1958" t="b">
        <v>0</v>
      </c>
      <c r="K1958" s="10">
        <v>471.94</v>
      </c>
      <c r="L1958" s="6">
        <f t="shared" si="185"/>
        <v>1.0534399243886111E-2</v>
      </c>
      <c r="M1958">
        <f t="shared" si="186"/>
        <v>0.88213084112149531</v>
      </c>
      <c r="N1958">
        <f t="shared" si="187"/>
        <v>5.1297826086956517</v>
      </c>
      <c r="O1958">
        <f t="shared" si="188"/>
        <v>4128.0600000000004</v>
      </c>
      <c r="P1958">
        <f t="shared" si="189"/>
        <v>0.17196261682242991</v>
      </c>
      <c r="Q1958" t="s">
        <v>4136</v>
      </c>
      <c r="R1958" t="s">
        <v>4138</v>
      </c>
      <c r="S1958">
        <f>YEAR(marketing_data[[#This Row],[Start_date]])</f>
        <v>2023</v>
      </c>
      <c r="T1958" t="str">
        <f>TEXT(marketing_data[[#This Row],[Start_date]],"ddd")</f>
        <v>Mon</v>
      </c>
      <c r="U1958">
        <f>marketing_data[[#This Row],[Cleaned End_date]]-marketing_data[[#This Row],[Start_date]]</f>
        <v>20</v>
      </c>
    </row>
    <row r="1959" spans="1:21" x14ac:dyDescent="0.2">
      <c r="A1959" t="s">
        <v>4033</v>
      </c>
      <c r="B1959" t="s">
        <v>4034</v>
      </c>
      <c r="C1959" s="2">
        <v>44949</v>
      </c>
      <c r="D1959" t="str">
        <f t="shared" si="184"/>
        <v>Jan</v>
      </c>
      <c r="E1959" s="2">
        <v>44974</v>
      </c>
      <c r="F1959" t="s">
        <v>19</v>
      </c>
      <c r="G1959">
        <v>2925</v>
      </c>
      <c r="H1959">
        <v>77</v>
      </c>
      <c r="I1959">
        <v>13</v>
      </c>
      <c r="J1959" t="b">
        <v>0</v>
      </c>
      <c r="K1959" s="10">
        <v>329.13249999999999</v>
      </c>
      <c r="L1959" s="6">
        <f t="shared" si="185"/>
        <v>2.6324786324786326E-2</v>
      </c>
      <c r="M1959">
        <f t="shared" si="186"/>
        <v>4.2744480519480517</v>
      </c>
      <c r="N1959">
        <f t="shared" si="187"/>
        <v>25.317884615384614</v>
      </c>
      <c r="O1959">
        <f t="shared" si="188"/>
        <v>320.86750000000001</v>
      </c>
      <c r="P1959">
        <f t="shared" si="189"/>
        <v>0.16883116883116883</v>
      </c>
      <c r="Q1959" t="s">
        <v>4138</v>
      </c>
      <c r="R1959" t="s">
        <v>4138</v>
      </c>
      <c r="S1959">
        <f>YEAR(marketing_data[[#This Row],[Start_date]])</f>
        <v>2023</v>
      </c>
      <c r="T1959" t="str">
        <f>TEXT(marketing_data[[#This Row],[Start_date]],"ddd")</f>
        <v>Mon</v>
      </c>
      <c r="U1959">
        <f>marketing_data[[#This Row],[Cleaned End_date]]-marketing_data[[#This Row],[Start_date]]</f>
        <v>25</v>
      </c>
    </row>
    <row r="1960" spans="1:21" x14ac:dyDescent="0.2">
      <c r="A1960" t="s">
        <v>4035</v>
      </c>
      <c r="B1960" t="s">
        <v>4036</v>
      </c>
      <c r="C1960" s="2">
        <v>44971</v>
      </c>
      <c r="D1960" t="str">
        <f t="shared" si="184"/>
        <v>Feb</v>
      </c>
      <c r="E1960" s="2">
        <v>45000</v>
      </c>
      <c r="F1960" t="s">
        <v>14</v>
      </c>
      <c r="G1960">
        <v>84976</v>
      </c>
      <c r="H1960">
        <v>3051</v>
      </c>
      <c r="I1960">
        <v>577</v>
      </c>
      <c r="J1960" t="b">
        <v>1</v>
      </c>
      <c r="K1960" s="10">
        <v>3631.7599999999998</v>
      </c>
      <c r="L1960" s="6">
        <f t="shared" si="185"/>
        <v>3.5904255319148939E-2</v>
      </c>
      <c r="M1960">
        <f t="shared" si="186"/>
        <v>1.1903507046869879</v>
      </c>
      <c r="N1960">
        <f t="shared" si="187"/>
        <v>6.2942114384748695</v>
      </c>
      <c r="O1960">
        <f t="shared" si="188"/>
        <v>25218.240000000002</v>
      </c>
      <c r="P1960">
        <f t="shared" si="189"/>
        <v>0.1891183218616847</v>
      </c>
      <c r="Q1960" t="s">
        <v>4138</v>
      </c>
      <c r="R1960" t="s">
        <v>4142</v>
      </c>
      <c r="S1960">
        <f>YEAR(marketing_data[[#This Row],[Start_date]])</f>
        <v>2023</v>
      </c>
      <c r="T1960" t="str">
        <f>TEXT(marketing_data[[#This Row],[Start_date]],"ddd")</f>
        <v>Tue</v>
      </c>
      <c r="U1960">
        <f>marketing_data[[#This Row],[Cleaned End_date]]-marketing_data[[#This Row],[Start_date]]</f>
        <v>29</v>
      </c>
    </row>
    <row r="1961" spans="1:21" x14ac:dyDescent="0.2">
      <c r="A1961" t="s">
        <v>4037</v>
      </c>
      <c r="B1961" t="s">
        <v>4038</v>
      </c>
      <c r="C1961" s="2">
        <v>44979</v>
      </c>
      <c r="D1961" t="str">
        <f t="shared" si="184"/>
        <v>Feb</v>
      </c>
      <c r="E1961" s="2">
        <v>44987</v>
      </c>
      <c r="F1961" t="s">
        <v>19</v>
      </c>
      <c r="G1961">
        <v>27015</v>
      </c>
      <c r="H1961">
        <v>286</v>
      </c>
      <c r="I1961">
        <v>55</v>
      </c>
      <c r="J1961" t="b">
        <v>0</v>
      </c>
      <c r="K1961" s="10">
        <v>366.75</v>
      </c>
      <c r="L1961" s="6">
        <f t="shared" si="185"/>
        <v>1.0586711086433463E-2</v>
      </c>
      <c r="M1961">
        <f t="shared" si="186"/>
        <v>1.2823426573426573</v>
      </c>
      <c r="N1961">
        <f t="shared" si="187"/>
        <v>6.668181818181818</v>
      </c>
      <c r="O1961">
        <f t="shared" si="188"/>
        <v>2383.25</v>
      </c>
      <c r="P1961">
        <f t="shared" si="189"/>
        <v>0.19230769230769232</v>
      </c>
      <c r="Q1961" t="s">
        <v>4138</v>
      </c>
      <c r="R1961" t="s">
        <v>4141</v>
      </c>
      <c r="S1961">
        <f>YEAR(marketing_data[[#This Row],[Start_date]])</f>
        <v>2023</v>
      </c>
      <c r="T1961" t="str">
        <f>TEXT(marketing_data[[#This Row],[Start_date]],"ddd")</f>
        <v>Wed</v>
      </c>
      <c r="U1961">
        <f>marketing_data[[#This Row],[Cleaned End_date]]-marketing_data[[#This Row],[Start_date]]</f>
        <v>8</v>
      </c>
    </row>
    <row r="1962" spans="1:21" x14ac:dyDescent="0.2">
      <c r="A1962" t="s">
        <v>4039</v>
      </c>
      <c r="B1962" t="s">
        <v>4040</v>
      </c>
      <c r="C1962" s="2">
        <v>45175</v>
      </c>
      <c r="D1962" t="str">
        <f t="shared" si="184"/>
        <v>Sep</v>
      </c>
      <c r="E1962" s="2">
        <v>45205</v>
      </c>
      <c r="F1962" t="s">
        <v>19</v>
      </c>
      <c r="G1962">
        <v>34320</v>
      </c>
      <c r="H1962">
        <v>728</v>
      </c>
      <c r="I1962">
        <v>96</v>
      </c>
      <c r="J1962" t="b">
        <v>1</v>
      </c>
      <c r="K1962" s="10">
        <v>500.11</v>
      </c>
      <c r="L1962" s="6">
        <f t="shared" si="185"/>
        <v>2.1212121212121213E-2</v>
      </c>
      <c r="M1962">
        <f t="shared" si="186"/>
        <v>0.68696428571428569</v>
      </c>
      <c r="N1962">
        <f t="shared" si="187"/>
        <v>5.2094791666666671</v>
      </c>
      <c r="O1962">
        <f t="shared" si="188"/>
        <v>4299.8900000000003</v>
      </c>
      <c r="P1962">
        <f t="shared" si="189"/>
        <v>0.13186813186813187</v>
      </c>
      <c r="Q1962" t="s">
        <v>4136</v>
      </c>
      <c r="R1962" t="s">
        <v>4139</v>
      </c>
      <c r="S1962">
        <f>YEAR(marketing_data[[#This Row],[Start_date]])</f>
        <v>2023</v>
      </c>
      <c r="T1962" t="str">
        <f>TEXT(marketing_data[[#This Row],[Start_date]],"ddd")</f>
        <v>Wed</v>
      </c>
      <c r="U1962">
        <f>marketing_data[[#This Row],[Cleaned End_date]]-marketing_data[[#This Row],[Start_date]]</f>
        <v>30</v>
      </c>
    </row>
    <row r="1963" spans="1:21" x14ac:dyDescent="0.2">
      <c r="A1963" t="s">
        <v>4041</v>
      </c>
      <c r="B1963" t="s">
        <v>4042</v>
      </c>
      <c r="C1963" s="2">
        <v>45086</v>
      </c>
      <c r="D1963" t="str">
        <f t="shared" si="184"/>
        <v>Jun</v>
      </c>
      <c r="E1963" s="2">
        <v>45113</v>
      </c>
      <c r="F1963" t="s">
        <v>19</v>
      </c>
      <c r="G1963">
        <v>65881</v>
      </c>
      <c r="H1963">
        <v>1206</v>
      </c>
      <c r="I1963">
        <v>121</v>
      </c>
      <c r="J1963" t="b">
        <v>0</v>
      </c>
      <c r="K1963" s="10">
        <v>2342.1999999999998</v>
      </c>
      <c r="L1963" s="6">
        <f t="shared" si="185"/>
        <v>1.8305733064161139E-2</v>
      </c>
      <c r="M1963">
        <f t="shared" si="186"/>
        <v>1.9421227197346598</v>
      </c>
      <c r="N1963">
        <f t="shared" si="187"/>
        <v>19.35702479338843</v>
      </c>
      <c r="O1963">
        <f t="shared" si="188"/>
        <v>3707.8</v>
      </c>
      <c r="P1963">
        <f t="shared" si="189"/>
        <v>0.10033167495854063</v>
      </c>
      <c r="Q1963" t="s">
        <v>4139</v>
      </c>
      <c r="R1963" t="s">
        <v>4138</v>
      </c>
      <c r="S1963">
        <f>YEAR(marketing_data[[#This Row],[Start_date]])</f>
        <v>2023</v>
      </c>
      <c r="T1963" t="str">
        <f>TEXT(marketing_data[[#This Row],[Start_date]],"ddd")</f>
        <v>Fri</v>
      </c>
      <c r="U1963">
        <f>marketing_data[[#This Row],[Cleaned End_date]]-marketing_data[[#This Row],[Start_date]]</f>
        <v>27</v>
      </c>
    </row>
    <row r="1964" spans="1:21" x14ac:dyDescent="0.2">
      <c r="A1964" t="s">
        <v>4043</v>
      </c>
      <c r="B1964" t="s">
        <v>4044</v>
      </c>
      <c r="C1964" s="2">
        <v>45029</v>
      </c>
      <c r="D1964" t="str">
        <f t="shared" si="184"/>
        <v>Apr</v>
      </c>
      <c r="E1964" s="2">
        <v>45030</v>
      </c>
      <c r="F1964" t="str">
        <f>F1963</f>
        <v>Facebook</v>
      </c>
      <c r="G1964">
        <v>91827</v>
      </c>
      <c r="H1964">
        <v>1072</v>
      </c>
      <c r="I1964">
        <v>208</v>
      </c>
      <c r="J1964" t="b">
        <v>1</v>
      </c>
      <c r="K1964" s="10">
        <v>1558.54</v>
      </c>
      <c r="L1964" s="6">
        <f t="shared" si="185"/>
        <v>1.1674126346281595E-2</v>
      </c>
      <c r="M1964">
        <f t="shared" si="186"/>
        <v>1.4538619402985073</v>
      </c>
      <c r="N1964">
        <f t="shared" si="187"/>
        <v>7.4929807692307691</v>
      </c>
      <c r="O1964">
        <f t="shared" si="188"/>
        <v>8841.4599999999991</v>
      </c>
      <c r="P1964">
        <f t="shared" si="189"/>
        <v>0.19402985074626866</v>
      </c>
      <c r="Q1964" t="s">
        <v>4137</v>
      </c>
      <c r="R1964" t="s">
        <v>4142</v>
      </c>
      <c r="S1964">
        <f>YEAR(marketing_data[[#This Row],[Start_date]])</f>
        <v>2023</v>
      </c>
      <c r="T1964" t="str">
        <f>TEXT(marketing_data[[#This Row],[Start_date]],"ddd")</f>
        <v>Thu</v>
      </c>
      <c r="U1964">
        <f>marketing_data[[#This Row],[Cleaned End_date]]-marketing_data[[#This Row],[Start_date]]</f>
        <v>1</v>
      </c>
    </row>
    <row r="1965" spans="1:21" x14ac:dyDescent="0.2">
      <c r="A1965" t="s">
        <v>4045</v>
      </c>
      <c r="B1965" t="s">
        <v>4046</v>
      </c>
      <c r="C1965" s="2">
        <v>45090</v>
      </c>
      <c r="D1965" t="str">
        <f t="shared" si="184"/>
        <v>Jun</v>
      </c>
      <c r="E1965" s="2">
        <v>45104</v>
      </c>
      <c r="F1965" t="s">
        <v>19</v>
      </c>
      <c r="G1965">
        <v>27289</v>
      </c>
      <c r="H1965">
        <v>796</v>
      </c>
      <c r="I1965">
        <v>105</v>
      </c>
      <c r="J1965" t="b">
        <v>1</v>
      </c>
      <c r="K1965" s="10">
        <v>1312.45</v>
      </c>
      <c r="L1965" s="6">
        <f t="shared" si="185"/>
        <v>2.9169262340137052E-2</v>
      </c>
      <c r="M1965">
        <f t="shared" si="186"/>
        <v>1.6488065326633166</v>
      </c>
      <c r="N1965">
        <f t="shared" si="187"/>
        <v>12.49952380952381</v>
      </c>
      <c r="O1965">
        <f t="shared" si="188"/>
        <v>3937.55</v>
      </c>
      <c r="P1965">
        <f t="shared" si="189"/>
        <v>0.13190954773869346</v>
      </c>
      <c r="Q1965" t="s">
        <v>4139</v>
      </c>
      <c r="R1965" t="s">
        <v>4138</v>
      </c>
      <c r="S1965">
        <f>YEAR(marketing_data[[#This Row],[Start_date]])</f>
        <v>2023</v>
      </c>
      <c r="T1965" t="str">
        <f>TEXT(marketing_data[[#This Row],[Start_date]],"ddd")</f>
        <v>Tue</v>
      </c>
      <c r="U1965">
        <f>marketing_data[[#This Row],[Cleaned End_date]]-marketing_data[[#This Row],[Start_date]]</f>
        <v>14</v>
      </c>
    </row>
    <row r="1966" spans="1:21" x14ac:dyDescent="0.2">
      <c r="A1966" t="s">
        <v>4047</v>
      </c>
      <c r="B1966" t="s">
        <v>4048</v>
      </c>
      <c r="C1966" s="2">
        <v>45066</v>
      </c>
      <c r="D1966" t="str">
        <f t="shared" si="184"/>
        <v>May</v>
      </c>
      <c r="E1966" s="2">
        <v>45082</v>
      </c>
      <c r="F1966" t="s">
        <v>19</v>
      </c>
      <c r="G1966">
        <v>4389</v>
      </c>
      <c r="H1966">
        <v>75</v>
      </c>
      <c r="I1966">
        <v>4</v>
      </c>
      <c r="J1966" t="b">
        <v>0</v>
      </c>
      <c r="K1966" s="10">
        <v>329.13249999999999</v>
      </c>
      <c r="L1966" s="6">
        <f t="shared" si="185"/>
        <v>1.7088174982911826E-2</v>
      </c>
      <c r="M1966">
        <f t="shared" si="186"/>
        <v>4.3884333333333334</v>
      </c>
      <c r="N1966">
        <f t="shared" si="187"/>
        <v>82.283124999999998</v>
      </c>
      <c r="O1966">
        <f t="shared" si="188"/>
        <v>-129.13249999999999</v>
      </c>
      <c r="P1966">
        <f t="shared" si="189"/>
        <v>5.3333333333333337E-2</v>
      </c>
      <c r="Q1966" t="s">
        <v>4137</v>
      </c>
      <c r="R1966" t="s">
        <v>4139</v>
      </c>
      <c r="S1966">
        <f>YEAR(marketing_data[[#This Row],[Start_date]])</f>
        <v>2023</v>
      </c>
      <c r="T1966" t="str">
        <f>TEXT(marketing_data[[#This Row],[Start_date]],"ddd")</f>
        <v>Sat</v>
      </c>
      <c r="U1966">
        <f>marketing_data[[#This Row],[Cleaned End_date]]-marketing_data[[#This Row],[Start_date]]</f>
        <v>16</v>
      </c>
    </row>
    <row r="1967" spans="1:21" x14ac:dyDescent="0.2">
      <c r="A1967" t="s">
        <v>4049</v>
      </c>
      <c r="B1967" t="s">
        <v>4050</v>
      </c>
      <c r="C1967" s="2">
        <v>44934</v>
      </c>
      <c r="D1967" t="str">
        <f t="shared" si="184"/>
        <v>Jan</v>
      </c>
      <c r="E1967" s="2">
        <v>44943</v>
      </c>
      <c r="F1967" t="s">
        <v>41</v>
      </c>
      <c r="G1967">
        <v>26683</v>
      </c>
      <c r="H1967">
        <v>1059</v>
      </c>
      <c r="I1967">
        <v>155</v>
      </c>
      <c r="J1967" t="b">
        <v>1</v>
      </c>
      <c r="K1967" s="10">
        <v>604.25</v>
      </c>
      <c r="L1967" s="6">
        <f t="shared" si="185"/>
        <v>3.9688190983022897E-2</v>
      </c>
      <c r="M1967">
        <f t="shared" si="186"/>
        <v>0.57058545797922566</v>
      </c>
      <c r="N1967">
        <f t="shared" si="187"/>
        <v>3.8983870967741936</v>
      </c>
      <c r="O1967">
        <f t="shared" si="188"/>
        <v>7145.75</v>
      </c>
      <c r="P1967">
        <f t="shared" si="189"/>
        <v>0.14636449480642116</v>
      </c>
      <c r="Q1967" t="s">
        <v>4138</v>
      </c>
      <c r="R1967" t="s">
        <v>4138</v>
      </c>
      <c r="S1967">
        <f>YEAR(marketing_data[[#This Row],[Start_date]])</f>
        <v>2023</v>
      </c>
      <c r="T1967" t="str">
        <f>TEXT(marketing_data[[#This Row],[Start_date]],"ddd")</f>
        <v>Sun</v>
      </c>
      <c r="U1967">
        <f>marketing_data[[#This Row],[Cleaned End_date]]-marketing_data[[#This Row],[Start_date]]</f>
        <v>9</v>
      </c>
    </row>
    <row r="1968" spans="1:21" x14ac:dyDescent="0.2">
      <c r="A1968" t="s">
        <v>4051</v>
      </c>
      <c r="B1968" t="s">
        <v>4052</v>
      </c>
      <c r="C1968" s="2">
        <v>44979</v>
      </c>
      <c r="D1968" t="str">
        <f t="shared" si="184"/>
        <v>Feb</v>
      </c>
      <c r="E1968" s="2">
        <v>44990</v>
      </c>
      <c r="F1968" t="s">
        <v>19</v>
      </c>
      <c r="G1968">
        <v>14629</v>
      </c>
      <c r="H1968">
        <v>642</v>
      </c>
      <c r="I1968">
        <v>88</v>
      </c>
      <c r="J1968" t="b">
        <v>0</v>
      </c>
      <c r="K1968" s="10">
        <v>339.73</v>
      </c>
      <c r="L1968" s="6">
        <f t="shared" si="185"/>
        <v>4.3885433043953793E-2</v>
      </c>
      <c r="M1968">
        <f t="shared" si="186"/>
        <v>0.52917445482866043</v>
      </c>
      <c r="N1968">
        <f t="shared" si="187"/>
        <v>3.8605681818181821</v>
      </c>
      <c r="O1968">
        <f t="shared" si="188"/>
        <v>4060.27</v>
      </c>
      <c r="P1968">
        <f t="shared" si="189"/>
        <v>0.13707165109034267</v>
      </c>
      <c r="Q1968" t="s">
        <v>4138</v>
      </c>
      <c r="R1968" t="s">
        <v>4138</v>
      </c>
      <c r="S1968">
        <f>YEAR(marketing_data[[#This Row],[Start_date]])</f>
        <v>2023</v>
      </c>
      <c r="T1968" t="str">
        <f>TEXT(marketing_data[[#This Row],[Start_date]],"ddd")</f>
        <v>Wed</v>
      </c>
      <c r="U1968">
        <f>marketing_data[[#This Row],[Cleaned End_date]]-marketing_data[[#This Row],[Start_date]]</f>
        <v>11</v>
      </c>
    </row>
    <row r="1969" spans="1:21" x14ac:dyDescent="0.2">
      <c r="A1969" t="s">
        <v>4053</v>
      </c>
      <c r="B1969" t="s">
        <v>4054</v>
      </c>
      <c r="C1969" s="2">
        <v>45090</v>
      </c>
      <c r="D1969" t="str">
        <f t="shared" si="184"/>
        <v>Jun</v>
      </c>
      <c r="E1969" s="2">
        <v>45107</v>
      </c>
      <c r="F1969" t="s">
        <v>14</v>
      </c>
      <c r="G1969">
        <v>62550</v>
      </c>
      <c r="H1969">
        <v>1990</v>
      </c>
      <c r="I1969">
        <v>366</v>
      </c>
      <c r="J1969" t="b">
        <v>1</v>
      </c>
      <c r="K1969" s="10">
        <v>1558.55</v>
      </c>
      <c r="L1969" s="6">
        <f t="shared" si="185"/>
        <v>3.1814548361310951E-2</v>
      </c>
      <c r="M1969">
        <f t="shared" si="186"/>
        <v>0.78319095477386935</v>
      </c>
      <c r="N1969">
        <f t="shared" si="187"/>
        <v>4.2583333333333329</v>
      </c>
      <c r="O1969">
        <f t="shared" si="188"/>
        <v>16741.45</v>
      </c>
      <c r="P1969">
        <f t="shared" si="189"/>
        <v>0.18391959798994975</v>
      </c>
      <c r="Q1969" t="s">
        <v>4139</v>
      </c>
      <c r="R1969" t="s">
        <v>4141</v>
      </c>
      <c r="S1969">
        <f>YEAR(marketing_data[[#This Row],[Start_date]])</f>
        <v>2023</v>
      </c>
      <c r="T1969" t="str">
        <f>TEXT(marketing_data[[#This Row],[Start_date]],"ddd")</f>
        <v>Tue</v>
      </c>
      <c r="U1969">
        <f>marketing_data[[#This Row],[Cleaned End_date]]-marketing_data[[#This Row],[Start_date]]</f>
        <v>17</v>
      </c>
    </row>
    <row r="1970" spans="1:21" x14ac:dyDescent="0.2">
      <c r="A1970" t="s">
        <v>4055</v>
      </c>
      <c r="B1970" t="s">
        <v>4056</v>
      </c>
      <c r="C1970" s="2">
        <v>45072</v>
      </c>
      <c r="D1970" t="str">
        <f t="shared" si="184"/>
        <v>May</v>
      </c>
      <c r="E1970" s="2">
        <v>45082</v>
      </c>
      <c r="F1970" t="s">
        <v>14</v>
      </c>
      <c r="G1970">
        <v>25826</v>
      </c>
      <c r="H1970">
        <v>1272</v>
      </c>
      <c r="I1970">
        <v>188</v>
      </c>
      <c r="J1970" t="b">
        <v>1</v>
      </c>
      <c r="K1970" s="10">
        <v>1426.69</v>
      </c>
      <c r="L1970" s="6">
        <f t="shared" si="185"/>
        <v>4.9252691086501973E-2</v>
      </c>
      <c r="M1970">
        <f t="shared" si="186"/>
        <v>1.1216116352201257</v>
      </c>
      <c r="N1970">
        <f t="shared" si="187"/>
        <v>7.5887765957446813</v>
      </c>
      <c r="O1970">
        <f t="shared" si="188"/>
        <v>7973.3099999999995</v>
      </c>
      <c r="P1970">
        <f t="shared" si="189"/>
        <v>0.14779874213836477</v>
      </c>
      <c r="Q1970" t="s">
        <v>4137</v>
      </c>
      <c r="R1970" t="s">
        <v>4141</v>
      </c>
      <c r="S1970">
        <f>YEAR(marketing_data[[#This Row],[Start_date]])</f>
        <v>2023</v>
      </c>
      <c r="T1970" t="str">
        <f>TEXT(marketing_data[[#This Row],[Start_date]],"ddd")</f>
        <v>Fri</v>
      </c>
      <c r="U1970">
        <f>marketing_data[[#This Row],[Cleaned End_date]]-marketing_data[[#This Row],[Start_date]]</f>
        <v>10</v>
      </c>
    </row>
    <row r="1971" spans="1:21" x14ac:dyDescent="0.2">
      <c r="A1971" t="s">
        <v>4057</v>
      </c>
      <c r="B1971" t="s">
        <v>4058</v>
      </c>
      <c r="C1971" s="2">
        <v>45086</v>
      </c>
      <c r="D1971" t="str">
        <f t="shared" si="184"/>
        <v>Jun</v>
      </c>
      <c r="E1971" s="2">
        <v>45102</v>
      </c>
      <c r="F1971" t="s">
        <v>41</v>
      </c>
      <c r="G1971">
        <v>27630</v>
      </c>
      <c r="H1971">
        <v>774</v>
      </c>
      <c r="I1971">
        <v>79</v>
      </c>
      <c r="J1971" t="b">
        <v>1</v>
      </c>
      <c r="K1971" s="10">
        <v>1473.49</v>
      </c>
      <c r="L1971" s="6">
        <f t="shared" si="185"/>
        <v>2.8013029315960912E-2</v>
      </c>
      <c r="M1971">
        <f t="shared" si="186"/>
        <v>1.9037338501291989</v>
      </c>
      <c r="N1971">
        <f t="shared" si="187"/>
        <v>18.651772151898733</v>
      </c>
      <c r="O1971">
        <f t="shared" si="188"/>
        <v>2476.5100000000002</v>
      </c>
      <c r="P1971">
        <f t="shared" si="189"/>
        <v>0.1020671834625323</v>
      </c>
      <c r="Q1971" t="s">
        <v>4139</v>
      </c>
      <c r="R1971" t="s">
        <v>4138</v>
      </c>
      <c r="S1971">
        <f>YEAR(marketing_data[[#This Row],[Start_date]])</f>
        <v>2023</v>
      </c>
      <c r="T1971" t="str">
        <f>TEXT(marketing_data[[#This Row],[Start_date]],"ddd")</f>
        <v>Fri</v>
      </c>
      <c r="U1971">
        <f>marketing_data[[#This Row],[Cleaned End_date]]-marketing_data[[#This Row],[Start_date]]</f>
        <v>16</v>
      </c>
    </row>
    <row r="1972" spans="1:21" x14ac:dyDescent="0.2">
      <c r="A1972" t="s">
        <v>4059</v>
      </c>
      <c r="B1972" t="s">
        <v>4060</v>
      </c>
      <c r="C1972" s="2">
        <v>45154</v>
      </c>
      <c r="D1972" t="str">
        <f t="shared" si="184"/>
        <v>Aug</v>
      </c>
      <c r="E1972" s="2">
        <v>45178</v>
      </c>
      <c r="F1972" t="s">
        <v>33</v>
      </c>
      <c r="G1972">
        <v>99762</v>
      </c>
      <c r="H1972">
        <v>3046</v>
      </c>
      <c r="I1972">
        <v>593</v>
      </c>
      <c r="J1972" t="b">
        <v>0</v>
      </c>
      <c r="K1972" s="10">
        <v>3611.31</v>
      </c>
      <c r="L1972" s="6">
        <f t="shared" si="185"/>
        <v>3.0532667749243198E-2</v>
      </c>
      <c r="M1972">
        <f t="shared" si="186"/>
        <v>1.18559093893631</v>
      </c>
      <c r="N1972">
        <f t="shared" si="187"/>
        <v>6.0898988195615518</v>
      </c>
      <c r="O1972">
        <f t="shared" si="188"/>
        <v>26038.69</v>
      </c>
      <c r="P1972">
        <f t="shared" si="189"/>
        <v>0.19468154957321077</v>
      </c>
      <c r="Q1972" t="s">
        <v>4139</v>
      </c>
      <c r="R1972" t="s">
        <v>4142</v>
      </c>
      <c r="S1972">
        <f>YEAR(marketing_data[[#This Row],[Start_date]])</f>
        <v>2023</v>
      </c>
      <c r="T1972" t="str">
        <f>TEXT(marketing_data[[#This Row],[Start_date]],"ddd")</f>
        <v>Wed</v>
      </c>
      <c r="U1972">
        <f>marketing_data[[#This Row],[Cleaned End_date]]-marketing_data[[#This Row],[Start_date]]</f>
        <v>24</v>
      </c>
    </row>
    <row r="1973" spans="1:21" x14ac:dyDescent="0.2">
      <c r="A1973" t="s">
        <v>4062</v>
      </c>
      <c r="B1973" t="s">
        <v>4063</v>
      </c>
      <c r="C1973" s="2">
        <v>44941</v>
      </c>
      <c r="D1973" t="str">
        <f t="shared" si="184"/>
        <v>Jan</v>
      </c>
      <c r="E1973" s="2">
        <v>44954</v>
      </c>
      <c r="F1973" t="s">
        <v>23</v>
      </c>
      <c r="G1973">
        <v>47163</v>
      </c>
      <c r="H1973">
        <v>2337</v>
      </c>
      <c r="J1973" t="b">
        <v>1</v>
      </c>
      <c r="K1973" s="10">
        <v>2185.9899999999998</v>
      </c>
      <c r="L1973" s="6">
        <f t="shared" si="185"/>
        <v>4.9551555244577314E-2</v>
      </c>
      <c r="M1973">
        <f t="shared" si="186"/>
        <v>0.93538296961916978</v>
      </c>
      <c r="N1973">
        <f t="shared" si="187"/>
        <v>0</v>
      </c>
      <c r="O1973">
        <f t="shared" si="188"/>
        <v>-2185.9899999999998</v>
      </c>
      <c r="P1973">
        <f t="shared" si="189"/>
        <v>0</v>
      </c>
      <c r="Q1973" t="s">
        <v>4138</v>
      </c>
      <c r="R1973" t="s">
        <v>4138</v>
      </c>
      <c r="S1973">
        <f>YEAR(marketing_data[[#This Row],[Start_date]])</f>
        <v>2023</v>
      </c>
      <c r="T1973" t="str">
        <f>TEXT(marketing_data[[#This Row],[Start_date]],"ddd")</f>
        <v>Sun</v>
      </c>
      <c r="U1973">
        <f>marketing_data[[#This Row],[Cleaned End_date]]-marketing_data[[#This Row],[Start_date]]</f>
        <v>13</v>
      </c>
    </row>
    <row r="1974" spans="1:21" x14ac:dyDescent="0.2">
      <c r="A1974" t="s">
        <v>4064</v>
      </c>
      <c r="B1974" t="s">
        <v>4065</v>
      </c>
      <c r="C1974" s="2">
        <v>44981</v>
      </c>
      <c r="D1974" t="str">
        <f t="shared" si="184"/>
        <v>Feb</v>
      </c>
      <c r="E1974" s="2">
        <v>44983</v>
      </c>
      <c r="F1974" t="s">
        <v>23</v>
      </c>
      <c r="G1974">
        <v>99511</v>
      </c>
      <c r="H1974">
        <v>1916</v>
      </c>
      <c r="I1974">
        <v>276</v>
      </c>
      <c r="J1974" t="b">
        <v>0</v>
      </c>
      <c r="K1974" s="10">
        <v>2573</v>
      </c>
      <c r="L1974" s="6">
        <f t="shared" si="185"/>
        <v>1.9254152807227341E-2</v>
      </c>
      <c r="M1974">
        <f t="shared" si="186"/>
        <v>1.3429018789144049</v>
      </c>
      <c r="N1974">
        <f t="shared" si="187"/>
        <v>9.3224637681159415</v>
      </c>
      <c r="O1974">
        <f t="shared" si="188"/>
        <v>11227</v>
      </c>
      <c r="P1974">
        <f t="shared" si="189"/>
        <v>0.1440501043841336</v>
      </c>
      <c r="Q1974" t="s">
        <v>4138</v>
      </c>
      <c r="R1974" t="s">
        <v>4142</v>
      </c>
      <c r="S1974">
        <f>YEAR(marketing_data[[#This Row],[Start_date]])</f>
        <v>2023</v>
      </c>
      <c r="T1974" t="str">
        <f>TEXT(marketing_data[[#This Row],[Start_date]],"ddd")</f>
        <v>Fri</v>
      </c>
      <c r="U1974">
        <f>marketing_data[[#This Row],[Cleaned End_date]]-marketing_data[[#This Row],[Start_date]]</f>
        <v>2</v>
      </c>
    </row>
    <row r="1975" spans="1:21" x14ac:dyDescent="0.2">
      <c r="A1975" t="s">
        <v>4066</v>
      </c>
      <c r="B1975" t="s">
        <v>4067</v>
      </c>
      <c r="C1975" s="2">
        <v>45127</v>
      </c>
      <c r="D1975" t="str">
        <f t="shared" si="184"/>
        <v>Jul</v>
      </c>
      <c r="E1975" s="2">
        <v>45146</v>
      </c>
      <c r="F1975" t="str">
        <f>F1974</f>
        <v>Email</v>
      </c>
      <c r="G1975">
        <v>67435</v>
      </c>
      <c r="H1975">
        <v>3216</v>
      </c>
      <c r="I1975">
        <v>302</v>
      </c>
      <c r="J1975" t="b">
        <v>1</v>
      </c>
      <c r="K1975" s="10">
        <v>2147.9699999999998</v>
      </c>
      <c r="L1975" s="6">
        <f t="shared" si="185"/>
        <v>4.7690368503002893E-2</v>
      </c>
      <c r="M1975">
        <f t="shared" si="186"/>
        <v>0.66790111940298502</v>
      </c>
      <c r="N1975">
        <f t="shared" si="187"/>
        <v>7.1124834437086086</v>
      </c>
      <c r="O1975">
        <f t="shared" si="188"/>
        <v>12952.03</v>
      </c>
      <c r="P1975">
        <f t="shared" si="189"/>
        <v>9.3905472636815923E-2</v>
      </c>
      <c r="Q1975" t="s">
        <v>4139</v>
      </c>
      <c r="R1975" t="s">
        <v>4138</v>
      </c>
      <c r="S1975">
        <f>YEAR(marketing_data[[#This Row],[Start_date]])</f>
        <v>2023</v>
      </c>
      <c r="T1975" t="str">
        <f>TEXT(marketing_data[[#This Row],[Start_date]],"ddd")</f>
        <v>Thu</v>
      </c>
      <c r="U1975">
        <f>marketing_data[[#This Row],[Cleaned End_date]]-marketing_data[[#This Row],[Start_date]]</f>
        <v>19</v>
      </c>
    </row>
    <row r="1976" spans="1:21" x14ac:dyDescent="0.2">
      <c r="A1976" t="s">
        <v>4068</v>
      </c>
      <c r="B1976" t="s">
        <v>4069</v>
      </c>
      <c r="C1976" s="2">
        <v>45230</v>
      </c>
      <c r="D1976" t="str">
        <f t="shared" si="184"/>
        <v>Oct</v>
      </c>
      <c r="E1976" s="2">
        <v>45240</v>
      </c>
      <c r="F1976" t="s">
        <v>41</v>
      </c>
      <c r="G1976">
        <v>12653</v>
      </c>
      <c r="H1976">
        <v>148</v>
      </c>
      <c r="I1976">
        <v>15</v>
      </c>
      <c r="J1976" t="b">
        <v>0</v>
      </c>
      <c r="K1976" s="10">
        <v>329.13249999999999</v>
      </c>
      <c r="L1976" s="6">
        <f t="shared" si="185"/>
        <v>1.1696830791116731E-2</v>
      </c>
      <c r="M1976">
        <f t="shared" si="186"/>
        <v>2.2238682432432433</v>
      </c>
      <c r="N1976">
        <f t="shared" si="187"/>
        <v>21.942166666666665</v>
      </c>
      <c r="O1976">
        <f t="shared" si="188"/>
        <v>420.86750000000001</v>
      </c>
      <c r="P1976">
        <f t="shared" si="189"/>
        <v>0.10135135135135136</v>
      </c>
      <c r="Q1976" t="s">
        <v>4136</v>
      </c>
      <c r="R1976" t="s">
        <v>4139</v>
      </c>
      <c r="S1976">
        <f>YEAR(marketing_data[[#This Row],[Start_date]])</f>
        <v>2023</v>
      </c>
      <c r="T1976" t="str">
        <f>TEXT(marketing_data[[#This Row],[Start_date]],"ddd")</f>
        <v>Tue</v>
      </c>
      <c r="U1976">
        <f>marketing_data[[#This Row],[Cleaned End_date]]-marketing_data[[#This Row],[Start_date]]</f>
        <v>10</v>
      </c>
    </row>
    <row r="1977" spans="1:21" x14ac:dyDescent="0.2">
      <c r="A1977" t="s">
        <v>4070</v>
      </c>
      <c r="B1977" t="s">
        <v>4071</v>
      </c>
      <c r="C1977" s="2">
        <v>45155</v>
      </c>
      <c r="D1977" t="str">
        <f t="shared" si="184"/>
        <v>Aug</v>
      </c>
      <c r="E1977" s="2">
        <v>45181</v>
      </c>
      <c r="F1977" t="s">
        <v>14</v>
      </c>
      <c r="G1977">
        <v>28961</v>
      </c>
      <c r="H1977">
        <v>806</v>
      </c>
      <c r="I1977">
        <v>121</v>
      </c>
      <c r="J1977" t="b">
        <v>0</v>
      </c>
      <c r="K1977" s="10">
        <v>1090.23</v>
      </c>
      <c r="L1977" s="6">
        <f t="shared" si="185"/>
        <v>2.7830530713718448E-2</v>
      </c>
      <c r="M1977">
        <f t="shared" si="186"/>
        <v>1.3526426799007445</v>
      </c>
      <c r="N1977">
        <f t="shared" si="187"/>
        <v>9.0101652892561983</v>
      </c>
      <c r="O1977">
        <f t="shared" si="188"/>
        <v>4959.7700000000004</v>
      </c>
      <c r="P1977">
        <f t="shared" si="189"/>
        <v>0.15012406947890819</v>
      </c>
      <c r="Q1977" t="s">
        <v>4139</v>
      </c>
      <c r="R1977" t="s">
        <v>4141</v>
      </c>
      <c r="S1977">
        <f>YEAR(marketing_data[[#This Row],[Start_date]])</f>
        <v>2023</v>
      </c>
      <c r="T1977" t="str">
        <f>TEXT(marketing_data[[#This Row],[Start_date]],"ddd")</f>
        <v>Thu</v>
      </c>
      <c r="U1977">
        <f>marketing_data[[#This Row],[Cleaned End_date]]-marketing_data[[#This Row],[Start_date]]</f>
        <v>26</v>
      </c>
    </row>
    <row r="1978" spans="1:21" x14ac:dyDescent="0.2">
      <c r="A1978" t="s">
        <v>4072</v>
      </c>
      <c r="B1978" t="s">
        <v>4073</v>
      </c>
      <c r="C1978" s="2">
        <v>45028</v>
      </c>
      <c r="D1978" t="str">
        <f t="shared" si="184"/>
        <v>Apr</v>
      </c>
      <c r="E1978" s="2">
        <v>45056</v>
      </c>
      <c r="F1978" t="s">
        <v>33</v>
      </c>
      <c r="G1978">
        <v>82941</v>
      </c>
      <c r="H1978">
        <v>1061</v>
      </c>
      <c r="I1978">
        <v>64</v>
      </c>
      <c r="J1978" t="b">
        <v>0</v>
      </c>
      <c r="K1978" s="10">
        <v>1790.96</v>
      </c>
      <c r="L1978" s="6">
        <f t="shared" si="185"/>
        <v>1.2792225799061984E-2</v>
      </c>
      <c r="M1978">
        <f t="shared" si="186"/>
        <v>1.6879924599434497</v>
      </c>
      <c r="N1978">
        <f t="shared" si="187"/>
        <v>27.983750000000001</v>
      </c>
      <c r="O1978">
        <f t="shared" si="188"/>
        <v>1409.04</v>
      </c>
      <c r="P1978">
        <f t="shared" si="189"/>
        <v>6.0320452403393024E-2</v>
      </c>
      <c r="Q1978" t="s">
        <v>4137</v>
      </c>
      <c r="R1978" t="s">
        <v>4139</v>
      </c>
      <c r="S1978">
        <f>YEAR(marketing_data[[#This Row],[Start_date]])</f>
        <v>2023</v>
      </c>
      <c r="T1978" t="str">
        <f>TEXT(marketing_data[[#This Row],[Start_date]],"ddd")</f>
        <v>Wed</v>
      </c>
      <c r="U1978">
        <f>marketing_data[[#This Row],[Cleaned End_date]]-marketing_data[[#This Row],[Start_date]]</f>
        <v>28</v>
      </c>
    </row>
    <row r="1979" spans="1:21" x14ac:dyDescent="0.2">
      <c r="A1979" t="s">
        <v>4074</v>
      </c>
      <c r="B1979" t="s">
        <v>4075</v>
      </c>
      <c r="C1979" s="2">
        <v>44936</v>
      </c>
      <c r="D1979" t="str">
        <f t="shared" si="184"/>
        <v>Jan</v>
      </c>
      <c r="E1979" s="2">
        <v>45209</v>
      </c>
      <c r="F1979" t="s">
        <v>14</v>
      </c>
      <c r="G1979">
        <v>75137</v>
      </c>
      <c r="H1979">
        <v>2943</v>
      </c>
      <c r="I1979">
        <v>260</v>
      </c>
      <c r="J1979" t="b">
        <v>1</v>
      </c>
      <c r="K1979" s="10">
        <v>3631.7599999999998</v>
      </c>
      <c r="L1979" s="6">
        <f t="shared" si="185"/>
        <v>3.9168452293809976E-2</v>
      </c>
      <c r="M1979">
        <f t="shared" si="186"/>
        <v>1.2340332993544001</v>
      </c>
      <c r="N1979">
        <f t="shared" si="187"/>
        <v>13.968307692307691</v>
      </c>
      <c r="O1979">
        <f t="shared" si="188"/>
        <v>9368.24</v>
      </c>
      <c r="P1979">
        <f t="shared" si="189"/>
        <v>8.8345225959904863E-2</v>
      </c>
      <c r="Q1979" t="s">
        <v>4138</v>
      </c>
      <c r="R1979" t="s">
        <v>4139</v>
      </c>
      <c r="S1979">
        <f>YEAR(marketing_data[[#This Row],[Start_date]])</f>
        <v>2023</v>
      </c>
      <c r="T1979" t="str">
        <f>TEXT(marketing_data[[#This Row],[Start_date]],"ddd")</f>
        <v>Tue</v>
      </c>
      <c r="U1979">
        <f>marketing_data[[#This Row],[Cleaned End_date]]-marketing_data[[#This Row],[Start_date]]</f>
        <v>273</v>
      </c>
    </row>
    <row r="1980" spans="1:21" x14ac:dyDescent="0.2">
      <c r="A1980" t="s">
        <v>4076</v>
      </c>
      <c r="B1980" t="s">
        <v>4077</v>
      </c>
      <c r="C1980" s="2">
        <v>45165</v>
      </c>
      <c r="D1980" t="str">
        <f t="shared" si="184"/>
        <v>Aug</v>
      </c>
      <c r="E1980" s="2">
        <v>45169</v>
      </c>
      <c r="F1980" t="s">
        <v>41</v>
      </c>
      <c r="G1980">
        <v>34662</v>
      </c>
      <c r="H1980">
        <v>1190</v>
      </c>
      <c r="I1980">
        <v>186</v>
      </c>
      <c r="J1980" t="b">
        <v>1</v>
      </c>
      <c r="K1980" s="10">
        <v>1042.81</v>
      </c>
      <c r="L1980" s="6">
        <f t="shared" si="185"/>
        <v>3.4331544631008022E-2</v>
      </c>
      <c r="M1980">
        <f t="shared" si="186"/>
        <v>0.87631092436974789</v>
      </c>
      <c r="N1980">
        <f t="shared" si="187"/>
        <v>5.606505376344086</v>
      </c>
      <c r="O1980">
        <f t="shared" si="188"/>
        <v>8257.19</v>
      </c>
      <c r="P1980">
        <f t="shared" si="189"/>
        <v>0.15630252100840336</v>
      </c>
      <c r="Q1980" t="s">
        <v>4139</v>
      </c>
      <c r="R1980" t="s">
        <v>4139</v>
      </c>
      <c r="S1980">
        <f>YEAR(marketing_data[[#This Row],[Start_date]])</f>
        <v>2023</v>
      </c>
      <c r="T1980" t="str">
        <f>TEXT(marketing_data[[#This Row],[Start_date]],"ddd")</f>
        <v>Sun</v>
      </c>
      <c r="U1980">
        <f>marketing_data[[#This Row],[Cleaned End_date]]-marketing_data[[#This Row],[Start_date]]</f>
        <v>4</v>
      </c>
    </row>
    <row r="1981" spans="1:21" x14ac:dyDescent="0.2">
      <c r="A1981" t="s">
        <v>4078</v>
      </c>
      <c r="B1981" t="s">
        <v>4079</v>
      </c>
      <c r="C1981" s="2">
        <v>45284</v>
      </c>
      <c r="D1981" t="str">
        <f t="shared" si="184"/>
        <v>Dec</v>
      </c>
      <c r="E1981" s="2">
        <v>45311</v>
      </c>
      <c r="F1981" t="s">
        <v>33</v>
      </c>
      <c r="G1981">
        <v>99818</v>
      </c>
      <c r="H1981">
        <v>3819</v>
      </c>
      <c r="I1981">
        <v>465</v>
      </c>
      <c r="J1981" t="b">
        <v>0</v>
      </c>
      <c r="K1981" s="10">
        <v>3631.7599999999998</v>
      </c>
      <c r="L1981" s="6">
        <f t="shared" si="185"/>
        <v>3.8259632531206796E-2</v>
      </c>
      <c r="M1981">
        <f t="shared" si="186"/>
        <v>0.95097145849698872</v>
      </c>
      <c r="N1981">
        <f t="shared" si="187"/>
        <v>7.8102365591397849</v>
      </c>
      <c r="O1981">
        <f t="shared" si="188"/>
        <v>19618.240000000002</v>
      </c>
      <c r="P1981">
        <f t="shared" si="189"/>
        <v>0.12175962293794187</v>
      </c>
      <c r="Q1981" t="s">
        <v>4138</v>
      </c>
      <c r="R1981" t="s">
        <v>4142</v>
      </c>
      <c r="S1981">
        <f>YEAR(marketing_data[[#This Row],[Start_date]])</f>
        <v>2023</v>
      </c>
      <c r="T1981" t="str">
        <f>TEXT(marketing_data[[#This Row],[Start_date]],"ddd")</f>
        <v>Sun</v>
      </c>
      <c r="U1981">
        <f>marketing_data[[#This Row],[Cleaned End_date]]-marketing_data[[#This Row],[Start_date]]</f>
        <v>27</v>
      </c>
    </row>
    <row r="1982" spans="1:21" x14ac:dyDescent="0.2">
      <c r="A1982" t="s">
        <v>4080</v>
      </c>
      <c r="B1982" t="s">
        <v>4081</v>
      </c>
      <c r="C1982" s="2">
        <v>45277</v>
      </c>
      <c r="D1982" t="str">
        <f t="shared" si="184"/>
        <v>Dec</v>
      </c>
      <c r="E1982" s="2">
        <v>45282</v>
      </c>
      <c r="F1982" t="s">
        <v>14</v>
      </c>
      <c r="G1982">
        <v>57446</v>
      </c>
      <c r="H1982">
        <v>1434</v>
      </c>
      <c r="I1982">
        <v>158</v>
      </c>
      <c r="J1982" t="b">
        <v>1</v>
      </c>
      <c r="K1982" s="10">
        <v>2671.97</v>
      </c>
      <c r="L1982" s="6">
        <f t="shared" si="185"/>
        <v>2.4962573547331408E-2</v>
      </c>
      <c r="M1982">
        <f t="shared" si="186"/>
        <v>1.8632984658298464</v>
      </c>
      <c r="N1982">
        <f t="shared" si="187"/>
        <v>16.911202531645568</v>
      </c>
      <c r="O1982">
        <f t="shared" si="188"/>
        <v>5228.0300000000007</v>
      </c>
      <c r="P1982">
        <f t="shared" si="189"/>
        <v>0.1101813110181311</v>
      </c>
      <c r="Q1982" t="s">
        <v>4138</v>
      </c>
      <c r="R1982" t="s">
        <v>4139</v>
      </c>
      <c r="S1982">
        <f>YEAR(marketing_data[[#This Row],[Start_date]])</f>
        <v>2023</v>
      </c>
      <c r="T1982" t="str">
        <f>TEXT(marketing_data[[#This Row],[Start_date]],"ddd")</f>
        <v>Sun</v>
      </c>
      <c r="U1982">
        <f>marketing_data[[#This Row],[Cleaned End_date]]-marketing_data[[#This Row],[Start_date]]</f>
        <v>5</v>
      </c>
    </row>
    <row r="1983" spans="1:21" x14ac:dyDescent="0.2">
      <c r="A1983" t="s">
        <v>4082</v>
      </c>
      <c r="B1983" t="s">
        <v>4083</v>
      </c>
      <c r="C1983" s="2">
        <v>45167</v>
      </c>
      <c r="D1983" t="str">
        <f t="shared" si="184"/>
        <v>Aug</v>
      </c>
      <c r="E1983" s="2">
        <v>45185</v>
      </c>
      <c r="F1983" t="s">
        <v>19</v>
      </c>
      <c r="G1983">
        <v>22288</v>
      </c>
      <c r="H1983">
        <v>552</v>
      </c>
      <c r="J1983" t="b">
        <v>0</v>
      </c>
      <c r="K1983" s="10">
        <v>926.14</v>
      </c>
      <c r="L1983" s="6">
        <f t="shared" si="185"/>
        <v>2.4766690595836326E-2</v>
      </c>
      <c r="M1983">
        <f t="shared" si="186"/>
        <v>1.6777898550724637</v>
      </c>
      <c r="N1983">
        <f t="shared" si="187"/>
        <v>0</v>
      </c>
      <c r="O1983">
        <f t="shared" si="188"/>
        <v>-926.14</v>
      </c>
      <c r="P1983">
        <f t="shared" si="189"/>
        <v>0</v>
      </c>
      <c r="Q1983" t="s">
        <v>4139</v>
      </c>
      <c r="R1983" t="s">
        <v>4142</v>
      </c>
      <c r="S1983">
        <f>YEAR(marketing_data[[#This Row],[Start_date]])</f>
        <v>2023</v>
      </c>
      <c r="T1983" t="str">
        <f>TEXT(marketing_data[[#This Row],[Start_date]],"ddd")</f>
        <v>Tue</v>
      </c>
      <c r="U1983">
        <f>marketing_data[[#This Row],[Cleaned End_date]]-marketing_data[[#This Row],[Start_date]]</f>
        <v>18</v>
      </c>
    </row>
    <row r="1984" spans="1:21" x14ac:dyDescent="0.2">
      <c r="A1984" t="s">
        <v>4084</v>
      </c>
      <c r="B1984" t="s">
        <v>4085</v>
      </c>
      <c r="C1984" s="2">
        <v>45242</v>
      </c>
      <c r="D1984" t="str">
        <f t="shared" si="184"/>
        <v>Nov</v>
      </c>
      <c r="E1984" s="2">
        <v>45250</v>
      </c>
      <c r="F1984" t="s">
        <v>19</v>
      </c>
      <c r="G1984">
        <v>96081</v>
      </c>
      <c r="H1984">
        <v>1134</v>
      </c>
      <c r="I1984">
        <v>131</v>
      </c>
      <c r="J1984" t="b">
        <v>0</v>
      </c>
      <c r="K1984" s="10">
        <v>1396.08</v>
      </c>
      <c r="L1984" s="6">
        <f t="shared" si="185"/>
        <v>1.1802541605520342E-2</v>
      </c>
      <c r="M1984">
        <f t="shared" si="186"/>
        <v>1.231111111111111</v>
      </c>
      <c r="N1984">
        <f t="shared" si="187"/>
        <v>10.657099236641221</v>
      </c>
      <c r="O1984">
        <f t="shared" si="188"/>
        <v>5153.92</v>
      </c>
      <c r="P1984">
        <f t="shared" si="189"/>
        <v>0.11552028218694885</v>
      </c>
      <c r="Q1984" t="s">
        <v>4136</v>
      </c>
      <c r="R1984" t="s">
        <v>4142</v>
      </c>
      <c r="S1984">
        <f>YEAR(marketing_data[[#This Row],[Start_date]])</f>
        <v>2023</v>
      </c>
      <c r="T1984" t="str">
        <f>TEXT(marketing_data[[#This Row],[Start_date]],"ddd")</f>
        <v>Sun</v>
      </c>
      <c r="U1984">
        <f>marketing_data[[#This Row],[Cleaned End_date]]-marketing_data[[#This Row],[Start_date]]</f>
        <v>8</v>
      </c>
    </row>
    <row r="1985" spans="1:21" x14ac:dyDescent="0.2">
      <c r="A1985" t="s">
        <v>4086</v>
      </c>
      <c r="B1985" t="s">
        <v>4087</v>
      </c>
      <c r="C1985" s="2">
        <v>45020</v>
      </c>
      <c r="D1985" t="str">
        <f t="shared" si="184"/>
        <v>Apr</v>
      </c>
      <c r="E1985" s="2">
        <v>45048</v>
      </c>
      <c r="F1985" t="s">
        <v>41</v>
      </c>
      <c r="G1985">
        <v>37877</v>
      </c>
      <c r="H1985">
        <v>908</v>
      </c>
      <c r="I1985">
        <v>150</v>
      </c>
      <c r="J1985" t="b">
        <v>1</v>
      </c>
      <c r="K1985" s="10">
        <v>1741.6</v>
      </c>
      <c r="L1985" s="6">
        <f t="shared" si="185"/>
        <v>2.3972331494046518E-2</v>
      </c>
      <c r="M1985">
        <f t="shared" si="186"/>
        <v>1.9180616740088106</v>
      </c>
      <c r="N1985">
        <f t="shared" si="187"/>
        <v>11.610666666666667</v>
      </c>
      <c r="O1985">
        <f t="shared" si="188"/>
        <v>5758.4</v>
      </c>
      <c r="P1985">
        <f t="shared" si="189"/>
        <v>0.16519823788546256</v>
      </c>
      <c r="Q1985" t="s">
        <v>4137</v>
      </c>
      <c r="R1985" t="s">
        <v>4142</v>
      </c>
      <c r="S1985">
        <f>YEAR(marketing_data[[#This Row],[Start_date]])</f>
        <v>2023</v>
      </c>
      <c r="T1985" t="str">
        <f>TEXT(marketing_data[[#This Row],[Start_date]],"ddd")</f>
        <v>Tue</v>
      </c>
      <c r="U1985">
        <f>marketing_data[[#This Row],[Cleaned End_date]]-marketing_data[[#This Row],[Start_date]]</f>
        <v>28</v>
      </c>
    </row>
    <row r="1986" spans="1:21" x14ac:dyDescent="0.2">
      <c r="A1986" t="s">
        <v>4088</v>
      </c>
      <c r="B1986" t="s">
        <v>4089</v>
      </c>
      <c r="C1986" s="2">
        <v>45093</v>
      </c>
      <c r="D1986" t="str">
        <f t="shared" si="184"/>
        <v>Jun</v>
      </c>
      <c r="E1986" s="2">
        <v>45119</v>
      </c>
      <c r="F1986" t="str">
        <f>F1985</f>
        <v>Google Ads</v>
      </c>
      <c r="G1986">
        <v>16313</v>
      </c>
      <c r="H1986">
        <v>769</v>
      </c>
      <c r="I1986">
        <v>68</v>
      </c>
      <c r="J1986" t="b">
        <v>0</v>
      </c>
      <c r="K1986" s="10">
        <v>450.52</v>
      </c>
      <c r="L1986" s="6">
        <f t="shared" si="185"/>
        <v>4.7140317538159747E-2</v>
      </c>
      <c r="M1986">
        <f t="shared" si="186"/>
        <v>0.58585175552665802</v>
      </c>
      <c r="N1986">
        <f t="shared" si="187"/>
        <v>6.6252941176470586</v>
      </c>
      <c r="O1986">
        <f t="shared" si="188"/>
        <v>2949.48</v>
      </c>
      <c r="P1986">
        <f t="shared" si="189"/>
        <v>8.8426527958387513E-2</v>
      </c>
      <c r="Q1986" t="s">
        <v>4139</v>
      </c>
      <c r="R1986" t="s">
        <v>4142</v>
      </c>
      <c r="S1986">
        <f>YEAR(marketing_data[[#This Row],[Start_date]])</f>
        <v>2023</v>
      </c>
      <c r="T1986" t="str">
        <f>TEXT(marketing_data[[#This Row],[Start_date]],"ddd")</f>
        <v>Fri</v>
      </c>
      <c r="U1986">
        <f>marketing_data[[#This Row],[Cleaned End_date]]-marketing_data[[#This Row],[Start_date]]</f>
        <v>26</v>
      </c>
    </row>
    <row r="1987" spans="1:21" x14ac:dyDescent="0.2">
      <c r="A1987" t="s">
        <v>4090</v>
      </c>
      <c r="B1987" t="s">
        <v>4091</v>
      </c>
      <c r="C1987" s="2">
        <v>45170</v>
      </c>
      <c r="D1987" t="str">
        <f t="shared" ref="D1987:D2001" si="190">TEXT(C1987,"mmm")</f>
        <v>Sep</v>
      </c>
      <c r="E1987" s="2">
        <v>45178</v>
      </c>
      <c r="F1987" t="s">
        <v>41</v>
      </c>
      <c r="G1987">
        <v>81885</v>
      </c>
      <c r="H1987">
        <v>2060</v>
      </c>
      <c r="I1987">
        <v>104</v>
      </c>
      <c r="J1987" t="b">
        <v>1</v>
      </c>
      <c r="K1987" s="10">
        <v>3631.7599999999998</v>
      </c>
      <c r="L1987" s="6">
        <f t="shared" ref="L1987:L2001" si="191">H1987/G1987</f>
        <v>2.5157232704402517E-2</v>
      </c>
      <c r="M1987">
        <f t="shared" ref="M1987:M2001" si="192">K1987/H1987</f>
        <v>1.7629902912621358</v>
      </c>
      <c r="N1987">
        <f t="shared" ref="N1987:N2001" si="193">IFERROR(K1987/I1987,0)</f>
        <v>34.920769230769231</v>
      </c>
      <c r="O1987">
        <f t="shared" ref="O1987:O2001" si="194">(50*I1987)-K1987</f>
        <v>1568.2400000000002</v>
      </c>
      <c r="P1987">
        <f t="shared" ref="P1987:P2001" si="195">I1987/H1987</f>
        <v>5.0485436893203881E-2</v>
      </c>
      <c r="Q1987" t="s">
        <v>4136</v>
      </c>
      <c r="R1987" t="s">
        <v>4142</v>
      </c>
      <c r="S1987">
        <f>YEAR(marketing_data[[#This Row],[Start_date]])</f>
        <v>2023</v>
      </c>
      <c r="T1987" t="str">
        <f>TEXT(marketing_data[[#This Row],[Start_date]],"ddd")</f>
        <v>Fri</v>
      </c>
      <c r="U1987">
        <f>marketing_data[[#This Row],[Cleaned End_date]]-marketing_data[[#This Row],[Start_date]]</f>
        <v>8</v>
      </c>
    </row>
    <row r="1988" spans="1:21" x14ac:dyDescent="0.2">
      <c r="A1988" t="s">
        <v>4092</v>
      </c>
      <c r="B1988" t="s">
        <v>4093</v>
      </c>
      <c r="C1988" s="2">
        <v>45014</v>
      </c>
      <c r="D1988" t="str">
        <f t="shared" si="190"/>
        <v>Mar</v>
      </c>
      <c r="E1988" s="2">
        <v>45043</v>
      </c>
      <c r="F1988" t="s">
        <v>19</v>
      </c>
      <c r="G1988">
        <v>73715</v>
      </c>
      <c r="H1988">
        <v>3188</v>
      </c>
      <c r="I1988">
        <v>479</v>
      </c>
      <c r="J1988" t="b">
        <v>0</v>
      </c>
      <c r="K1988" s="10">
        <v>1835.53</v>
      </c>
      <c r="L1988" s="6">
        <f t="shared" si="191"/>
        <v>4.3247642949196231E-2</v>
      </c>
      <c r="M1988">
        <f t="shared" si="192"/>
        <v>0.57576223337515686</v>
      </c>
      <c r="N1988">
        <f t="shared" si="193"/>
        <v>3.8320041753653444</v>
      </c>
      <c r="O1988">
        <f t="shared" si="194"/>
        <v>22114.47</v>
      </c>
      <c r="P1988">
        <f t="shared" si="195"/>
        <v>0.15025094102885822</v>
      </c>
      <c r="Q1988" t="s">
        <v>4137</v>
      </c>
      <c r="R1988" t="s">
        <v>4138</v>
      </c>
      <c r="S1988">
        <f>YEAR(marketing_data[[#This Row],[Start_date]])</f>
        <v>2023</v>
      </c>
      <c r="T1988" t="str">
        <f>TEXT(marketing_data[[#This Row],[Start_date]],"ddd")</f>
        <v>Wed</v>
      </c>
      <c r="U1988">
        <f>marketing_data[[#This Row],[Cleaned End_date]]-marketing_data[[#This Row],[Start_date]]</f>
        <v>29</v>
      </c>
    </row>
    <row r="1989" spans="1:21" x14ac:dyDescent="0.2">
      <c r="A1989" t="s">
        <v>4094</v>
      </c>
      <c r="B1989" t="s">
        <v>4095</v>
      </c>
      <c r="C1989" s="2">
        <v>45221</v>
      </c>
      <c r="D1989" t="str">
        <f t="shared" si="190"/>
        <v>Oct</v>
      </c>
      <c r="E1989" s="2">
        <v>45229</v>
      </c>
      <c r="F1989" t="s">
        <v>23</v>
      </c>
      <c r="G1989">
        <v>11326</v>
      </c>
      <c r="H1989">
        <v>494</v>
      </c>
      <c r="I1989">
        <v>96</v>
      </c>
      <c r="J1989" t="b">
        <v>0</v>
      </c>
      <c r="K1989" s="10">
        <v>652.54999999999995</v>
      </c>
      <c r="L1989" s="6">
        <f t="shared" si="191"/>
        <v>4.3616457707928658E-2</v>
      </c>
      <c r="M1989">
        <f t="shared" si="192"/>
        <v>1.3209514170040484</v>
      </c>
      <c r="N1989">
        <f t="shared" si="193"/>
        <v>6.7973958333333329</v>
      </c>
      <c r="O1989">
        <f t="shared" si="194"/>
        <v>4147.45</v>
      </c>
      <c r="P1989">
        <f t="shared" si="195"/>
        <v>0.19433198380566802</v>
      </c>
      <c r="Q1989" t="s">
        <v>4136</v>
      </c>
      <c r="R1989" t="s">
        <v>4139</v>
      </c>
      <c r="S1989">
        <f>YEAR(marketing_data[[#This Row],[Start_date]])</f>
        <v>2023</v>
      </c>
      <c r="T1989" t="str">
        <f>TEXT(marketing_data[[#This Row],[Start_date]],"ddd")</f>
        <v>Sun</v>
      </c>
      <c r="U1989">
        <f>marketing_data[[#This Row],[Cleaned End_date]]-marketing_data[[#This Row],[Start_date]]</f>
        <v>8</v>
      </c>
    </row>
    <row r="1990" spans="1:21" x14ac:dyDescent="0.2">
      <c r="A1990" t="s">
        <v>4096</v>
      </c>
      <c r="B1990" t="s">
        <v>4097</v>
      </c>
      <c r="C1990" s="2">
        <v>45292</v>
      </c>
      <c r="D1990" t="str">
        <f t="shared" si="190"/>
        <v>Jan</v>
      </c>
      <c r="E1990" s="2">
        <v>45307</v>
      </c>
      <c r="F1990" t="s">
        <v>14</v>
      </c>
      <c r="G1990">
        <v>2560</v>
      </c>
      <c r="H1990">
        <v>63</v>
      </c>
      <c r="I1990">
        <v>8</v>
      </c>
      <c r="J1990" t="b">
        <v>1</v>
      </c>
      <c r="K1990" s="10">
        <v>329.13249999999999</v>
      </c>
      <c r="L1990" s="6">
        <f t="shared" si="191"/>
        <v>2.4609374999999999E-2</v>
      </c>
      <c r="M1990">
        <f t="shared" si="192"/>
        <v>5.2243253968253969</v>
      </c>
      <c r="N1990">
        <f t="shared" si="193"/>
        <v>41.141562499999999</v>
      </c>
      <c r="O1990">
        <f t="shared" si="194"/>
        <v>70.867500000000007</v>
      </c>
      <c r="P1990">
        <f t="shared" si="195"/>
        <v>0.12698412698412698</v>
      </c>
      <c r="Q1990" t="s">
        <v>4138</v>
      </c>
      <c r="R1990" t="s">
        <v>4141</v>
      </c>
      <c r="S1990">
        <f>YEAR(marketing_data[[#This Row],[Start_date]])</f>
        <v>2024</v>
      </c>
      <c r="T1990" t="str">
        <f>TEXT(marketing_data[[#This Row],[Start_date]],"ddd")</f>
        <v>Mon</v>
      </c>
      <c r="U1990">
        <f>marketing_data[[#This Row],[Cleaned End_date]]-marketing_data[[#This Row],[Start_date]]</f>
        <v>15</v>
      </c>
    </row>
    <row r="1991" spans="1:21" x14ac:dyDescent="0.2">
      <c r="A1991" t="s">
        <v>4098</v>
      </c>
      <c r="B1991" t="s">
        <v>4099</v>
      </c>
      <c r="C1991" s="2">
        <v>45259</v>
      </c>
      <c r="D1991" t="str">
        <f t="shared" si="190"/>
        <v>Nov</v>
      </c>
      <c r="E1991" s="2">
        <v>45288</v>
      </c>
      <c r="F1991" t="s">
        <v>23</v>
      </c>
      <c r="G1991">
        <v>80148</v>
      </c>
      <c r="H1991">
        <v>2827</v>
      </c>
      <c r="I1991">
        <v>192</v>
      </c>
      <c r="J1991" t="b">
        <v>1</v>
      </c>
      <c r="K1991" s="10">
        <v>2527.5700000000002</v>
      </c>
      <c r="L1991" s="6">
        <f t="shared" si="191"/>
        <v>3.5272246344263111E-2</v>
      </c>
      <c r="M1991">
        <f t="shared" si="192"/>
        <v>0.89408206579412808</v>
      </c>
      <c r="N1991">
        <f t="shared" si="193"/>
        <v>13.164427083333335</v>
      </c>
      <c r="O1991">
        <f t="shared" si="194"/>
        <v>7072.43</v>
      </c>
      <c r="P1991">
        <f t="shared" si="195"/>
        <v>6.7916519278386989E-2</v>
      </c>
      <c r="Q1991" t="s">
        <v>4136</v>
      </c>
      <c r="R1991" t="s">
        <v>4141</v>
      </c>
      <c r="S1991">
        <f>YEAR(marketing_data[[#This Row],[Start_date]])</f>
        <v>2023</v>
      </c>
      <c r="T1991" t="str">
        <f>TEXT(marketing_data[[#This Row],[Start_date]],"ddd")</f>
        <v>Wed</v>
      </c>
      <c r="U1991">
        <f>marketing_data[[#This Row],[Cleaned End_date]]-marketing_data[[#This Row],[Start_date]]</f>
        <v>29</v>
      </c>
    </row>
    <row r="1992" spans="1:21" x14ac:dyDescent="0.2">
      <c r="A1992" t="s">
        <v>4100</v>
      </c>
      <c r="B1992" t="s">
        <v>4101</v>
      </c>
      <c r="C1992" s="2">
        <v>45081</v>
      </c>
      <c r="D1992" t="str">
        <f t="shared" si="190"/>
        <v>Jun</v>
      </c>
      <c r="E1992" s="2">
        <v>45086</v>
      </c>
      <c r="F1992" t="s">
        <v>14</v>
      </c>
      <c r="G1992">
        <v>84186</v>
      </c>
      <c r="H1992">
        <v>1163</v>
      </c>
      <c r="I1992">
        <v>114</v>
      </c>
      <c r="J1992" t="b">
        <v>0</v>
      </c>
      <c r="K1992" s="10">
        <v>1405.34</v>
      </c>
      <c r="L1992" s="6">
        <f t="shared" si="191"/>
        <v>1.3814648516380396E-2</v>
      </c>
      <c r="M1992">
        <f t="shared" si="192"/>
        <v>1.2083748925193465</v>
      </c>
      <c r="N1992">
        <f t="shared" si="193"/>
        <v>12.327543859649122</v>
      </c>
      <c r="O1992">
        <f t="shared" si="194"/>
        <v>4294.66</v>
      </c>
      <c r="P1992">
        <f t="shared" si="195"/>
        <v>9.8022355975924333E-2</v>
      </c>
      <c r="Q1992" t="s">
        <v>4139</v>
      </c>
      <c r="R1992" t="s">
        <v>4141</v>
      </c>
      <c r="S1992">
        <f>YEAR(marketing_data[[#This Row],[Start_date]])</f>
        <v>2023</v>
      </c>
      <c r="T1992" t="str">
        <f>TEXT(marketing_data[[#This Row],[Start_date]],"ddd")</f>
        <v>Sun</v>
      </c>
      <c r="U1992">
        <f>marketing_data[[#This Row],[Cleaned End_date]]-marketing_data[[#This Row],[Start_date]]</f>
        <v>5</v>
      </c>
    </row>
    <row r="1993" spans="1:21" x14ac:dyDescent="0.2">
      <c r="A1993" t="s">
        <v>4102</v>
      </c>
      <c r="B1993" t="s">
        <v>4103</v>
      </c>
      <c r="C1993" s="2">
        <v>45138</v>
      </c>
      <c r="D1993" t="str">
        <f t="shared" si="190"/>
        <v>Jul</v>
      </c>
      <c r="E1993" s="2">
        <v>45168</v>
      </c>
      <c r="F1993" t="s">
        <v>41</v>
      </c>
      <c r="G1993">
        <v>27745</v>
      </c>
      <c r="H1993">
        <v>392</v>
      </c>
      <c r="I1993">
        <v>70</v>
      </c>
      <c r="J1993" t="b">
        <v>1</v>
      </c>
      <c r="K1993" s="10">
        <v>386.71</v>
      </c>
      <c r="L1993" s="6">
        <f t="shared" si="191"/>
        <v>1.412867183276266E-2</v>
      </c>
      <c r="M1993">
        <f t="shared" si="192"/>
        <v>0.98650510204081632</v>
      </c>
      <c r="N1993">
        <f t="shared" si="193"/>
        <v>5.5244285714285715</v>
      </c>
      <c r="O1993">
        <f t="shared" si="194"/>
        <v>3113.29</v>
      </c>
      <c r="P1993">
        <f t="shared" si="195"/>
        <v>0.17857142857142858</v>
      </c>
      <c r="Q1993" t="s">
        <v>4139</v>
      </c>
      <c r="R1993" t="s">
        <v>4141</v>
      </c>
      <c r="S1993">
        <f>YEAR(marketing_data[[#This Row],[Start_date]])</f>
        <v>2023</v>
      </c>
      <c r="T1993" t="str">
        <f>TEXT(marketing_data[[#This Row],[Start_date]],"ddd")</f>
        <v>Mon</v>
      </c>
      <c r="U1993">
        <f>marketing_data[[#This Row],[Cleaned End_date]]-marketing_data[[#This Row],[Start_date]]</f>
        <v>30</v>
      </c>
    </row>
    <row r="1994" spans="1:21" x14ac:dyDescent="0.2">
      <c r="A1994" t="s">
        <v>4104</v>
      </c>
      <c r="B1994" t="s">
        <v>4105</v>
      </c>
      <c r="C1994" s="2">
        <v>45008</v>
      </c>
      <c r="D1994" t="str">
        <f t="shared" si="190"/>
        <v>Mar</v>
      </c>
      <c r="E1994" s="2">
        <v>45012</v>
      </c>
      <c r="F1994" t="s">
        <v>41</v>
      </c>
      <c r="G1994">
        <v>32890</v>
      </c>
      <c r="H1994">
        <v>392</v>
      </c>
      <c r="I1994">
        <v>33</v>
      </c>
      <c r="J1994" t="b">
        <v>1</v>
      </c>
      <c r="K1994" s="10">
        <v>755.86</v>
      </c>
      <c r="L1994" s="6">
        <f t="shared" si="191"/>
        <v>1.1918516266342353E-2</v>
      </c>
      <c r="M1994">
        <f t="shared" si="192"/>
        <v>1.9282142857142857</v>
      </c>
      <c r="N1994">
        <f t="shared" si="193"/>
        <v>22.904848484848486</v>
      </c>
      <c r="O1994">
        <f t="shared" si="194"/>
        <v>894.14</v>
      </c>
      <c r="P1994">
        <f t="shared" si="195"/>
        <v>8.4183673469387751E-2</v>
      </c>
      <c r="Q1994" t="s">
        <v>4137</v>
      </c>
      <c r="R1994" t="s">
        <v>4138</v>
      </c>
      <c r="S1994">
        <f>YEAR(marketing_data[[#This Row],[Start_date]])</f>
        <v>2023</v>
      </c>
      <c r="T1994" t="str">
        <f>TEXT(marketing_data[[#This Row],[Start_date]],"ddd")</f>
        <v>Thu</v>
      </c>
      <c r="U1994">
        <f>marketing_data[[#This Row],[Cleaned End_date]]-marketing_data[[#This Row],[Start_date]]</f>
        <v>4</v>
      </c>
    </row>
    <row r="1995" spans="1:21" x14ac:dyDescent="0.2">
      <c r="A1995" t="s">
        <v>4106</v>
      </c>
      <c r="B1995" t="s">
        <v>4107</v>
      </c>
      <c r="C1995" s="2">
        <v>45101</v>
      </c>
      <c r="D1995" t="str">
        <f t="shared" si="190"/>
        <v>Jun</v>
      </c>
      <c r="E1995" s="2">
        <v>45124</v>
      </c>
      <c r="F1995" t="s">
        <v>19</v>
      </c>
      <c r="G1995">
        <v>21022</v>
      </c>
      <c r="H1995">
        <v>698</v>
      </c>
      <c r="I1995">
        <v>98</v>
      </c>
      <c r="J1995" t="b">
        <v>1</v>
      </c>
      <c r="K1995" s="10">
        <v>1211.3599999999999</v>
      </c>
      <c r="L1995" s="6">
        <f t="shared" si="191"/>
        <v>3.3203310817239082E-2</v>
      </c>
      <c r="M1995">
        <f t="shared" si="192"/>
        <v>1.7354727793696274</v>
      </c>
      <c r="N1995">
        <f t="shared" si="193"/>
        <v>12.36081632653061</v>
      </c>
      <c r="O1995">
        <f t="shared" si="194"/>
        <v>3688.6400000000003</v>
      </c>
      <c r="P1995">
        <f t="shared" si="195"/>
        <v>0.14040114613180515</v>
      </c>
      <c r="Q1995" t="s">
        <v>4139</v>
      </c>
      <c r="R1995" t="s">
        <v>4141</v>
      </c>
      <c r="S1995">
        <f>YEAR(marketing_data[[#This Row],[Start_date]])</f>
        <v>2023</v>
      </c>
      <c r="T1995" t="str">
        <f>TEXT(marketing_data[[#This Row],[Start_date]],"ddd")</f>
        <v>Sat</v>
      </c>
      <c r="U1995">
        <f>marketing_data[[#This Row],[Cleaned End_date]]-marketing_data[[#This Row],[Start_date]]</f>
        <v>23</v>
      </c>
    </row>
    <row r="1996" spans="1:21" x14ac:dyDescent="0.2">
      <c r="A1996" t="s">
        <v>4108</v>
      </c>
      <c r="B1996" t="s">
        <v>4109</v>
      </c>
      <c r="C1996" s="2">
        <v>45147</v>
      </c>
      <c r="D1996" t="str">
        <f t="shared" si="190"/>
        <v>Aug</v>
      </c>
      <c r="E1996" s="2">
        <v>45165</v>
      </c>
      <c r="F1996" t="s">
        <v>14</v>
      </c>
      <c r="G1996">
        <v>53579</v>
      </c>
      <c r="H1996">
        <v>1448</v>
      </c>
      <c r="I1996">
        <v>159</v>
      </c>
      <c r="J1996" t="b">
        <v>1</v>
      </c>
      <c r="K1996" s="10">
        <v>2263.9499999999998</v>
      </c>
      <c r="L1996" s="6">
        <f t="shared" si="191"/>
        <v>2.7025513727393195E-2</v>
      </c>
      <c r="M1996">
        <f t="shared" si="192"/>
        <v>1.5635013812154694</v>
      </c>
      <c r="N1996">
        <f t="shared" si="193"/>
        <v>14.238679245283018</v>
      </c>
      <c r="O1996">
        <f t="shared" si="194"/>
        <v>5686.05</v>
      </c>
      <c r="P1996">
        <f t="shared" si="195"/>
        <v>0.10980662983425414</v>
      </c>
      <c r="Q1996" t="s">
        <v>4139</v>
      </c>
      <c r="R1996" t="s">
        <v>4139</v>
      </c>
      <c r="S1996">
        <f>YEAR(marketing_data[[#This Row],[Start_date]])</f>
        <v>2023</v>
      </c>
      <c r="T1996" t="str">
        <f>TEXT(marketing_data[[#This Row],[Start_date]],"ddd")</f>
        <v>Wed</v>
      </c>
      <c r="U1996">
        <f>marketing_data[[#This Row],[Cleaned End_date]]-marketing_data[[#This Row],[Start_date]]</f>
        <v>18</v>
      </c>
    </row>
    <row r="1997" spans="1:21" x14ac:dyDescent="0.2">
      <c r="A1997" t="s">
        <v>4110</v>
      </c>
      <c r="B1997" t="s">
        <v>4111</v>
      </c>
      <c r="C1997" s="2">
        <v>45102</v>
      </c>
      <c r="D1997" t="str">
        <f t="shared" si="190"/>
        <v>Jun</v>
      </c>
      <c r="E1997" s="2">
        <v>45119</v>
      </c>
      <c r="F1997" t="s">
        <v>41</v>
      </c>
      <c r="G1997">
        <v>71316</v>
      </c>
      <c r="H1997">
        <v>2276</v>
      </c>
      <c r="I1997">
        <v>184</v>
      </c>
      <c r="J1997" t="b">
        <v>1</v>
      </c>
      <c r="K1997" s="10">
        <v>3144.16</v>
      </c>
      <c r="L1997" s="6">
        <f t="shared" si="191"/>
        <v>3.1914296931964778E-2</v>
      </c>
      <c r="M1997">
        <f t="shared" si="192"/>
        <v>1.3814411247803162</v>
      </c>
      <c r="N1997">
        <f t="shared" si="193"/>
        <v>17.087826086956522</v>
      </c>
      <c r="O1997">
        <f t="shared" si="194"/>
        <v>6055.84</v>
      </c>
      <c r="P1997">
        <f t="shared" si="195"/>
        <v>8.0843585237258347E-2</v>
      </c>
      <c r="Q1997" t="s">
        <v>4139</v>
      </c>
      <c r="R1997" t="s">
        <v>4142</v>
      </c>
      <c r="S1997">
        <f>YEAR(marketing_data[[#This Row],[Start_date]])</f>
        <v>2023</v>
      </c>
      <c r="T1997" t="str">
        <f>TEXT(marketing_data[[#This Row],[Start_date]],"ddd")</f>
        <v>Sun</v>
      </c>
      <c r="U1997">
        <f>marketing_data[[#This Row],[Cleaned End_date]]-marketing_data[[#This Row],[Start_date]]</f>
        <v>17</v>
      </c>
    </row>
    <row r="1998" spans="1:21" x14ac:dyDescent="0.2">
      <c r="A1998" t="s">
        <v>4112</v>
      </c>
      <c r="B1998" t="s">
        <v>4113</v>
      </c>
      <c r="C1998" s="2">
        <v>45266</v>
      </c>
      <c r="D1998" t="str">
        <f t="shared" si="190"/>
        <v>Dec</v>
      </c>
      <c r="E1998" s="2">
        <v>45278</v>
      </c>
      <c r="F1998" t="s">
        <v>19</v>
      </c>
      <c r="G1998">
        <v>84847</v>
      </c>
      <c r="H1998">
        <v>2616</v>
      </c>
      <c r="I1998">
        <v>449</v>
      </c>
      <c r="J1998" t="b">
        <v>0</v>
      </c>
      <c r="K1998" s="10">
        <v>3631.7599999999998</v>
      </c>
      <c r="L1998" s="6">
        <f t="shared" si="191"/>
        <v>3.0831968130870861E-2</v>
      </c>
      <c r="M1998">
        <f t="shared" si="192"/>
        <v>1.3882874617737002</v>
      </c>
      <c r="N1998">
        <f t="shared" si="193"/>
        <v>8.0885523385300662</v>
      </c>
      <c r="O1998">
        <f t="shared" si="194"/>
        <v>18818.240000000002</v>
      </c>
      <c r="P1998">
        <f t="shared" si="195"/>
        <v>0.17163608562691132</v>
      </c>
      <c r="Q1998" t="s">
        <v>4138</v>
      </c>
      <c r="R1998" t="s">
        <v>4138</v>
      </c>
      <c r="S1998">
        <f>YEAR(marketing_data[[#This Row],[Start_date]])</f>
        <v>2023</v>
      </c>
      <c r="T1998" t="str">
        <f>TEXT(marketing_data[[#This Row],[Start_date]],"ddd")</f>
        <v>Wed</v>
      </c>
      <c r="U1998">
        <f>marketing_data[[#This Row],[Cleaned End_date]]-marketing_data[[#This Row],[Start_date]]</f>
        <v>12</v>
      </c>
    </row>
    <row r="1999" spans="1:21" x14ac:dyDescent="0.2">
      <c r="A1999" t="s">
        <v>4114</v>
      </c>
      <c r="B1999" t="s">
        <v>4115</v>
      </c>
      <c r="C1999" s="2">
        <v>45291</v>
      </c>
      <c r="D1999" t="str">
        <f t="shared" si="190"/>
        <v>Dec</v>
      </c>
      <c r="E1999" s="2">
        <v>45305</v>
      </c>
      <c r="F1999" t="s">
        <v>33</v>
      </c>
      <c r="G1999">
        <v>29380</v>
      </c>
      <c r="H1999">
        <v>705</v>
      </c>
      <c r="J1999" t="b">
        <v>0</v>
      </c>
      <c r="K1999" s="10">
        <v>767.32</v>
      </c>
      <c r="L1999" s="6">
        <f t="shared" si="191"/>
        <v>2.3995915588835941E-2</v>
      </c>
      <c r="M1999">
        <f t="shared" si="192"/>
        <v>1.0883971631205676</v>
      </c>
      <c r="N1999">
        <f t="shared" si="193"/>
        <v>0</v>
      </c>
      <c r="O1999">
        <f t="shared" si="194"/>
        <v>-767.32</v>
      </c>
      <c r="P1999">
        <f t="shared" si="195"/>
        <v>0</v>
      </c>
      <c r="Q1999" t="s">
        <v>4138</v>
      </c>
      <c r="R1999" t="s">
        <v>4142</v>
      </c>
      <c r="S1999">
        <f>YEAR(marketing_data[[#This Row],[Start_date]])</f>
        <v>2023</v>
      </c>
      <c r="T1999" t="str">
        <f>TEXT(marketing_data[[#This Row],[Start_date]],"ddd")</f>
        <v>Sun</v>
      </c>
      <c r="U1999">
        <f>marketing_data[[#This Row],[Cleaned End_date]]-marketing_data[[#This Row],[Start_date]]</f>
        <v>14</v>
      </c>
    </row>
    <row r="2000" spans="1:21" x14ac:dyDescent="0.2">
      <c r="A2000" t="s">
        <v>4116</v>
      </c>
      <c r="B2000" t="s">
        <v>4117</v>
      </c>
      <c r="C2000" s="2">
        <v>45230</v>
      </c>
      <c r="D2000" t="str">
        <f t="shared" si="190"/>
        <v>Oct</v>
      </c>
      <c r="E2000" s="2">
        <v>45254</v>
      </c>
      <c r="F2000" t="s">
        <v>33</v>
      </c>
      <c r="G2000">
        <v>3356</v>
      </c>
      <c r="H2000">
        <v>124</v>
      </c>
      <c r="I2000">
        <v>18</v>
      </c>
      <c r="J2000" t="b">
        <v>0</v>
      </c>
      <c r="K2000" s="10">
        <v>329.13249999999999</v>
      </c>
      <c r="L2000" s="6">
        <f t="shared" si="191"/>
        <v>3.6948748510131108E-2</v>
      </c>
      <c r="M2000">
        <f t="shared" si="192"/>
        <v>2.6542943548387097</v>
      </c>
      <c r="N2000">
        <f t="shared" si="193"/>
        <v>18.285138888888888</v>
      </c>
      <c r="O2000">
        <f t="shared" si="194"/>
        <v>570.86750000000006</v>
      </c>
      <c r="P2000">
        <f t="shared" si="195"/>
        <v>0.14516129032258066</v>
      </c>
      <c r="Q2000" t="s">
        <v>4136</v>
      </c>
      <c r="R2000" t="s">
        <v>4141</v>
      </c>
      <c r="S2000">
        <f>YEAR(marketing_data[[#This Row],[Start_date]])</f>
        <v>2023</v>
      </c>
      <c r="T2000" t="str">
        <f>TEXT(marketing_data[[#This Row],[Start_date]],"ddd")</f>
        <v>Tue</v>
      </c>
      <c r="U2000">
        <f>marketing_data[[#This Row],[Cleaned End_date]]-marketing_data[[#This Row],[Start_date]]</f>
        <v>24</v>
      </c>
    </row>
    <row r="2001" spans="1:21" x14ac:dyDescent="0.2">
      <c r="A2001" t="s">
        <v>4118</v>
      </c>
      <c r="B2001" t="s">
        <v>4119</v>
      </c>
      <c r="C2001" s="2">
        <v>44976</v>
      </c>
      <c r="D2001" t="str">
        <f t="shared" si="190"/>
        <v>Feb</v>
      </c>
      <c r="E2001" s="2">
        <v>44989</v>
      </c>
      <c r="F2001" t="s">
        <v>14</v>
      </c>
      <c r="G2001">
        <v>71326</v>
      </c>
      <c r="H2001">
        <v>2877</v>
      </c>
      <c r="I2001">
        <v>245</v>
      </c>
      <c r="J2001" t="b">
        <v>1</v>
      </c>
      <c r="K2001" s="10">
        <v>3631.7599999999998</v>
      </c>
      <c r="L2001" s="6">
        <f t="shared" si="191"/>
        <v>4.0335922384544205E-2</v>
      </c>
      <c r="M2001">
        <f t="shared" si="192"/>
        <v>1.2623427181091413</v>
      </c>
      <c r="N2001">
        <f t="shared" si="193"/>
        <v>14.823510204081632</v>
      </c>
      <c r="O2001">
        <f t="shared" si="194"/>
        <v>8618.24</v>
      </c>
      <c r="P2001">
        <f t="shared" si="195"/>
        <v>8.5158150851581502E-2</v>
      </c>
      <c r="Q2001" t="s">
        <v>4138</v>
      </c>
      <c r="R2001" t="s">
        <v>4138</v>
      </c>
      <c r="S2001">
        <f>YEAR(marketing_data[[#This Row],[Start_date]])</f>
        <v>2023</v>
      </c>
      <c r="T2001" t="str">
        <f>TEXT(marketing_data[[#This Row],[Start_date]],"ddd")</f>
        <v>Sun</v>
      </c>
      <c r="U2001">
        <f>marketing_data[[#This Row],[Cleaned End_date]]-marketing_data[[#This Row],[Start_date]]</f>
        <v>13</v>
      </c>
    </row>
  </sheetData>
  <conditionalFormatting sqref="A1:A2001">
    <cfRule type="duplicateValues" dxfId="17"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D91B5-9793-49D1-884C-2F203D9BA34C}">
  <dimension ref="B4:X37"/>
  <sheetViews>
    <sheetView topLeftCell="N1" zoomScale="128" workbookViewId="0">
      <selection activeCell="V21" sqref="V21"/>
    </sheetView>
  </sheetViews>
  <sheetFormatPr defaultRowHeight="14.25" x14ac:dyDescent="0.2"/>
  <cols>
    <col min="2" max="2" width="10.5" bestFit="1" customWidth="1"/>
    <col min="3" max="3" width="11.25" bestFit="1" customWidth="1"/>
    <col min="7" max="7" width="8.375" bestFit="1" customWidth="1"/>
    <col min="8" max="8" width="14.625" bestFit="1" customWidth="1"/>
    <col min="9" max="10" width="12.25" bestFit="1" customWidth="1"/>
    <col min="12" max="12" width="9.875" bestFit="1" customWidth="1"/>
    <col min="13" max="13" width="26.5" bestFit="1" customWidth="1"/>
    <col min="14" max="14" width="14.625" bestFit="1" customWidth="1"/>
    <col min="15" max="15" width="15.25" bestFit="1" customWidth="1"/>
    <col min="18" max="18" width="15" bestFit="1" customWidth="1"/>
    <col min="19" max="19" width="12.25" bestFit="1" customWidth="1"/>
    <col min="20" max="20" width="13.875" bestFit="1" customWidth="1"/>
    <col min="21" max="21" width="15.5" bestFit="1" customWidth="1"/>
    <col min="22" max="22" width="12.25" bestFit="1" customWidth="1"/>
  </cols>
  <sheetData>
    <row r="4" spans="2:24" x14ac:dyDescent="0.2">
      <c r="B4" s="7" t="s">
        <v>4157</v>
      </c>
      <c r="C4" t="s">
        <v>4156</v>
      </c>
      <c r="G4" s="7" t="s">
        <v>4159</v>
      </c>
      <c r="H4" t="s">
        <v>4158</v>
      </c>
      <c r="L4" s="7" t="s">
        <v>4135</v>
      </c>
      <c r="M4" t="s">
        <v>4160</v>
      </c>
    </row>
    <row r="5" spans="2:24" x14ac:dyDescent="0.2">
      <c r="B5" s="8" t="s">
        <v>4139</v>
      </c>
      <c r="C5" s="13">
        <v>872148.77249999845</v>
      </c>
      <c r="G5" s="8" t="s">
        <v>19</v>
      </c>
      <c r="H5" s="12">
        <v>676683</v>
      </c>
      <c r="L5" s="8" t="s">
        <v>4138</v>
      </c>
      <c r="M5" s="13">
        <v>25207621</v>
      </c>
    </row>
    <row r="6" spans="2:24" x14ac:dyDescent="0.2">
      <c r="B6" s="8" t="s">
        <v>4136</v>
      </c>
      <c r="C6" s="13">
        <v>859965.01750000007</v>
      </c>
      <c r="G6" s="8" t="s">
        <v>14</v>
      </c>
      <c r="H6" s="12">
        <v>637630</v>
      </c>
      <c r="R6" t="s">
        <v>4145</v>
      </c>
      <c r="V6" t="s">
        <v>4184</v>
      </c>
      <c r="X6" t="s">
        <v>4188</v>
      </c>
    </row>
    <row r="7" spans="2:24" x14ac:dyDescent="0.2">
      <c r="B7" s="8" t="s">
        <v>4138</v>
      </c>
      <c r="C7" s="13">
        <v>856462.09750000085</v>
      </c>
      <c r="G7" s="8" t="s">
        <v>23</v>
      </c>
      <c r="H7" s="12">
        <v>593263</v>
      </c>
      <c r="R7" t="s">
        <v>4146</v>
      </c>
      <c r="V7" t="s">
        <v>4185</v>
      </c>
      <c r="X7" t="s">
        <v>4188</v>
      </c>
    </row>
    <row r="8" spans="2:24" x14ac:dyDescent="0.2">
      <c r="B8" s="8" t="s">
        <v>4137</v>
      </c>
      <c r="C8" s="13">
        <v>833488.07750000083</v>
      </c>
      <c r="G8" s="8" t="s">
        <v>33</v>
      </c>
      <c r="H8" s="12">
        <v>548074</v>
      </c>
      <c r="R8" t="s">
        <v>4147</v>
      </c>
      <c r="V8" t="s">
        <v>4186</v>
      </c>
    </row>
    <row r="9" spans="2:24" x14ac:dyDescent="0.2">
      <c r="G9" s="8" t="s">
        <v>41</v>
      </c>
      <c r="H9" s="12">
        <v>546825</v>
      </c>
      <c r="R9" t="s">
        <v>4148</v>
      </c>
      <c r="V9" t="s">
        <v>4184</v>
      </c>
      <c r="X9" t="s">
        <v>4188</v>
      </c>
    </row>
    <row r="10" spans="2:24" x14ac:dyDescent="0.2">
      <c r="R10" t="s">
        <v>4149</v>
      </c>
      <c r="V10" t="s">
        <v>4186</v>
      </c>
      <c r="X10" t="s">
        <v>4188</v>
      </c>
    </row>
    <row r="11" spans="2:24" x14ac:dyDescent="0.2">
      <c r="R11" t="s">
        <v>4150</v>
      </c>
      <c r="V11" t="s">
        <v>4186</v>
      </c>
      <c r="X11" t="s">
        <v>4188</v>
      </c>
    </row>
    <row r="12" spans="2:24" x14ac:dyDescent="0.2">
      <c r="B12" s="7" t="s">
        <v>4159</v>
      </c>
      <c r="C12" t="s">
        <v>4156</v>
      </c>
      <c r="R12" t="s">
        <v>4151</v>
      </c>
      <c r="V12" t="s">
        <v>4185</v>
      </c>
      <c r="X12" t="s">
        <v>4188</v>
      </c>
    </row>
    <row r="13" spans="2:24" x14ac:dyDescent="0.2">
      <c r="B13" s="8" t="s">
        <v>23</v>
      </c>
      <c r="C13" s="13">
        <v>684594.58000000007</v>
      </c>
      <c r="R13" t="s">
        <v>4152</v>
      </c>
      <c r="V13" t="s">
        <v>4187</v>
      </c>
      <c r="X13" t="s">
        <v>4188</v>
      </c>
    </row>
    <row r="14" spans="2:24" x14ac:dyDescent="0.2">
      <c r="B14" s="8" t="s">
        <v>19</v>
      </c>
      <c r="C14" s="13">
        <v>769519.70000000042</v>
      </c>
      <c r="R14" t="s">
        <v>4153</v>
      </c>
      <c r="V14" t="s">
        <v>4186</v>
      </c>
      <c r="X14" t="s">
        <v>4188</v>
      </c>
    </row>
    <row r="15" spans="2:24" x14ac:dyDescent="0.2">
      <c r="B15" s="8" t="s">
        <v>41</v>
      </c>
      <c r="C15" s="13">
        <v>628150.12500000023</v>
      </c>
      <c r="G15" s="7" t="s">
        <v>9</v>
      </c>
      <c r="H15" t="s">
        <v>4162</v>
      </c>
      <c r="L15" s="7" t="s">
        <v>4159</v>
      </c>
      <c r="M15" t="s">
        <v>4164</v>
      </c>
      <c r="R15" t="s">
        <v>4189</v>
      </c>
      <c r="V15" t="s">
        <v>4186</v>
      </c>
      <c r="X15" t="s">
        <v>4190</v>
      </c>
    </row>
    <row r="16" spans="2:24" x14ac:dyDescent="0.2">
      <c r="B16" s="8" t="s">
        <v>33</v>
      </c>
      <c r="C16" s="13">
        <v>622066.54500000051</v>
      </c>
      <c r="G16" s="8" t="s">
        <v>4161</v>
      </c>
      <c r="H16" s="11">
        <v>1182</v>
      </c>
      <c r="L16" s="8" t="s">
        <v>19</v>
      </c>
      <c r="M16" s="9">
        <v>0.11213427599439221</v>
      </c>
    </row>
    <row r="17" spans="2:22" x14ac:dyDescent="0.2">
      <c r="B17" s="8" t="s">
        <v>14</v>
      </c>
      <c r="C17" s="13">
        <v>717733.01500000001</v>
      </c>
    </row>
    <row r="20" spans="2:22" x14ac:dyDescent="0.2">
      <c r="R20" t="s">
        <v>4179</v>
      </c>
      <c r="S20" t="s">
        <v>4177</v>
      </c>
      <c r="T20" t="s">
        <v>4180</v>
      </c>
      <c r="U20" t="s">
        <v>4181</v>
      </c>
      <c r="V20" t="s">
        <v>4182</v>
      </c>
    </row>
    <row r="21" spans="2:22" x14ac:dyDescent="0.2">
      <c r="R21" s="13">
        <v>335063</v>
      </c>
      <c r="S21" s="11">
        <v>3422063.96499997</v>
      </c>
      <c r="T21" s="11">
        <v>2000</v>
      </c>
      <c r="U21" s="11">
        <v>186.14611111111111</v>
      </c>
      <c r="V21" s="13">
        <v>13331086.035000028</v>
      </c>
    </row>
    <row r="23" spans="2:22" x14ac:dyDescent="0.2">
      <c r="U23" s="13"/>
    </row>
    <row r="24" spans="2:22" x14ac:dyDescent="0.2">
      <c r="S24" t="s">
        <v>4183</v>
      </c>
    </row>
    <row r="25" spans="2:22" x14ac:dyDescent="0.2">
      <c r="B25" s="7" t="s">
        <v>4140</v>
      </c>
      <c r="C25" t="s">
        <v>4163</v>
      </c>
      <c r="H25" s="7" t="s">
        <v>4134</v>
      </c>
      <c r="I25" t="s">
        <v>4177</v>
      </c>
      <c r="J25" t="s">
        <v>4178</v>
      </c>
      <c r="M25" s="7" t="s">
        <v>4135</v>
      </c>
      <c r="N25" t="s">
        <v>4162</v>
      </c>
    </row>
    <row r="26" spans="2:22" x14ac:dyDescent="0.2">
      <c r="B26" s="8" t="s">
        <v>4142</v>
      </c>
      <c r="C26" s="14">
        <v>12.8851012233005</v>
      </c>
      <c r="H26" s="8" t="s">
        <v>4165</v>
      </c>
      <c r="I26" s="13">
        <v>271604.63250000018</v>
      </c>
      <c r="J26" s="13">
        <v>1101545.3674999999</v>
      </c>
      <c r="M26" s="8" t="s">
        <v>4136</v>
      </c>
      <c r="N26" s="11">
        <v>524</v>
      </c>
    </row>
    <row r="27" spans="2:22" x14ac:dyDescent="0.2">
      <c r="B27" s="8" t="s">
        <v>4141</v>
      </c>
      <c r="C27" s="14">
        <v>11.400896701840789</v>
      </c>
      <c r="H27" s="8" t="s">
        <v>4166</v>
      </c>
      <c r="I27" s="13">
        <v>235745.89250000013</v>
      </c>
      <c r="J27" s="13">
        <v>973504.10749999958</v>
      </c>
    </row>
    <row r="28" spans="2:22" x14ac:dyDescent="0.2">
      <c r="B28" s="8" t="s">
        <v>4138</v>
      </c>
      <c r="C28" s="14">
        <v>12.795512061204828</v>
      </c>
      <c r="H28" s="8" t="s">
        <v>4167</v>
      </c>
      <c r="I28" s="13">
        <v>267814.14250000007</v>
      </c>
      <c r="J28" s="13">
        <v>1036485.8574999995</v>
      </c>
    </row>
    <row r="29" spans="2:22" x14ac:dyDescent="0.2">
      <c r="B29" s="8" t="s">
        <v>4139</v>
      </c>
      <c r="C29" s="14">
        <v>13.223607689546789</v>
      </c>
      <c r="H29" s="8" t="s">
        <v>4168</v>
      </c>
      <c r="I29" s="13">
        <v>279291.25250000006</v>
      </c>
      <c r="J29" s="13">
        <v>1114458.7474999998</v>
      </c>
    </row>
    <row r="30" spans="2:22" x14ac:dyDescent="0.2">
      <c r="H30" s="8" t="s">
        <v>4169</v>
      </c>
      <c r="I30" s="13">
        <v>286382.68250000023</v>
      </c>
      <c r="J30" s="13">
        <v>1129617.3174999997</v>
      </c>
    </row>
    <row r="31" spans="2:22" x14ac:dyDescent="0.2">
      <c r="H31" s="8" t="s">
        <v>4170</v>
      </c>
      <c r="I31" s="13">
        <v>310790.50250000012</v>
      </c>
      <c r="J31" s="13">
        <v>1261559.4974999996</v>
      </c>
    </row>
    <row r="32" spans="2:22" x14ac:dyDescent="0.2">
      <c r="H32" s="8" t="s">
        <v>4171</v>
      </c>
      <c r="I32" s="13">
        <v>309717.97500000033</v>
      </c>
      <c r="J32" s="13">
        <v>1204282.0250000001</v>
      </c>
    </row>
    <row r="33" spans="8:10" x14ac:dyDescent="0.2">
      <c r="H33" s="8" t="s">
        <v>4172</v>
      </c>
      <c r="I33" s="13">
        <v>251640.29500000027</v>
      </c>
      <c r="J33" s="13">
        <v>941559.70500000054</v>
      </c>
    </row>
    <row r="34" spans="8:10" x14ac:dyDescent="0.2">
      <c r="H34" s="8" t="s">
        <v>4173</v>
      </c>
      <c r="I34" s="13">
        <v>283589.63750000036</v>
      </c>
      <c r="J34" s="13">
        <v>1093560.3625000007</v>
      </c>
    </row>
    <row r="35" spans="8:10" x14ac:dyDescent="0.2">
      <c r="H35" s="8" t="s">
        <v>4174</v>
      </c>
      <c r="I35" s="13">
        <v>295435.2725000002</v>
      </c>
      <c r="J35" s="13">
        <v>1070464.7275</v>
      </c>
    </row>
    <row r="36" spans="8:10" x14ac:dyDescent="0.2">
      <c r="H36" s="8" t="s">
        <v>4175</v>
      </c>
      <c r="I36" s="13">
        <v>280940.10750000004</v>
      </c>
      <c r="J36" s="13">
        <v>1045059.8924999997</v>
      </c>
    </row>
    <row r="37" spans="8:10" x14ac:dyDescent="0.2">
      <c r="H37" s="8" t="s">
        <v>4176</v>
      </c>
      <c r="I37" s="13">
        <v>349111.57250000042</v>
      </c>
      <c r="J37" s="13">
        <v>1358988.4275000002</v>
      </c>
    </row>
  </sheetData>
  <pageMargins left="0.7" right="0.7" top="0.75" bottom="0.75" header="0.3" footer="0.3"/>
  <pageSetup orientation="portrait" r:id="rId11"/>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1BE96-8546-498F-99D7-E3D6C094CED6}">
  <dimension ref="A1"/>
  <sheetViews>
    <sheetView showGridLines="0" showRowColHeaders="0" tabSelected="1" topLeftCell="A4" zoomScale="91" zoomScaleNormal="91" workbookViewId="0">
      <selection activeCell="W16" sqref="W16"/>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marketing_campaign_data_messy</vt:lpstr>
      <vt:lpstr>marketing_campaign_data_mes (2)</vt:lpstr>
      <vt:lpstr>marketing_campaign_data_mes (3)</vt:lpstr>
      <vt:lpstr>Pivot_table</vt:lpstr>
      <vt:lpstr>Dashboard</vt:lpstr>
      <vt:lpstr>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2026-08-20T11:49:21Z</dcterms:created>
  <dcterms:modified xsi:type="dcterms:W3CDTF">2026-09-14T13:07:52Z</dcterms:modified>
</cp:coreProperties>
</file>